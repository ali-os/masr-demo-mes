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masr_demo1\"/>
    </mc:Choice>
  </mc:AlternateContent>
  <xr:revisionPtr revIDLastSave="0" documentId="8_{B0950532-99A5-4DBE-9E98-35D5D2CF6D4C}" xr6:coauthVersionLast="47" xr6:coauthVersionMax="47" xr10:uidLastSave="{00000000-0000-0000-0000-000000000000}"/>
  <bookViews>
    <workbookView xWindow="-120" yWindow="-120" windowWidth="29040" windowHeight="15720" tabRatio="812" firstSheet="1" activeTab="8" xr2:uid="{00000000-000D-0000-FFFF-FFFF00000000}"/>
  </bookViews>
  <sheets>
    <sheet name="Perfume" sheetId="225" state="hidden" r:id="rId1"/>
    <sheet name="Codes" sheetId="228" r:id="rId2"/>
    <sheet name="Week Dashboard" sheetId="229" state="hidden" r:id="rId3"/>
    <sheet name="NORDON" sheetId="261" r:id="rId4"/>
    <sheet name="KALEKS" sheetId="157" r:id="rId5"/>
    <sheet name="Techno" sheetId="260" r:id="rId6"/>
    <sheet name="Cream1" sheetId="258" r:id="rId7"/>
    <sheet name="4 NOZZOLE" sheetId="255" r:id="rId8"/>
    <sheet name="OEE F1 march-2026" sheetId="264" r:id="rId9"/>
    <sheet name="6 Nozzole " sheetId="256" r:id="rId10"/>
    <sheet name="ROLL ON" sheetId="262" r:id="rId11"/>
    <sheet name="perfume-" sheetId="266" r:id="rId12"/>
    <sheet name="DashBoard" sheetId="22" r:id="rId13"/>
    <sheet name="Week-1" sheetId="232" state="hidden" r:id="rId14"/>
    <sheet name="Products" sheetId="254" r:id="rId15"/>
    <sheet name="الاعطال متكررة" sheetId="152" state="hidden" r:id="rId16"/>
    <sheet name="Perfum+Toner" sheetId="153" state="hidden" r:id="rId17"/>
  </sheets>
  <definedNames>
    <definedName name="_xlnm._FilterDatabase" localSheetId="7" hidden="1">'4 NOZZOLE'!$A$30:$BK$124</definedName>
    <definedName name="_xlnm._FilterDatabase" localSheetId="9" hidden="1">'6 Nozzole '!$A$30:$BK$124</definedName>
    <definedName name="_xlnm._FilterDatabase" localSheetId="1" hidden="1">Codes!$C$2:$F$71</definedName>
    <definedName name="_xlnm._FilterDatabase" localSheetId="6" hidden="1">Cream1!$A$41:$BK$135</definedName>
    <definedName name="_xlnm._FilterDatabase" localSheetId="4" hidden="1">KALEKS!$A$25:$BK$119</definedName>
    <definedName name="_xlnm._FilterDatabase" localSheetId="3" hidden="1">NORDON!$A$29:$BK$123</definedName>
    <definedName name="_xlnm._FilterDatabase" localSheetId="8" hidden="1">'OEE F1 march-2026'!$A$43:$BK$137</definedName>
    <definedName name="_xlnm._FilterDatabase" localSheetId="11" hidden="1">'perfume-'!$A$38:$BK$132</definedName>
    <definedName name="_xlnm._FilterDatabase" localSheetId="14" hidden="1">Products!$B$3:$H$574</definedName>
    <definedName name="_xlnm._FilterDatabase" localSheetId="10" hidden="1">'ROLL ON'!$A$28:$BK$122</definedName>
    <definedName name="_xlnm._FilterDatabase" localSheetId="5" hidden="1">Techno!$A$36:$BK$130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264" l="1"/>
  <c r="AF131" i="264"/>
  <c r="AF121" i="260"/>
  <c r="AF124" i="260"/>
  <c r="AG113" i="157"/>
  <c r="AF113" i="157"/>
  <c r="AH115" i="261"/>
  <c r="AH117" i="261"/>
  <c r="AF117" i="261"/>
  <c r="AF116" i="262"/>
  <c r="AB131" i="264"/>
  <c r="AB124" i="260"/>
  <c r="AC113" i="157"/>
  <c r="AB113" i="157"/>
  <c r="Z12" i="261"/>
  <c r="AB116" i="262"/>
  <c r="C9" i="262"/>
  <c r="C10" i="262"/>
  <c r="C11" i="262"/>
  <c r="C12" i="262"/>
  <c r="C13" i="262"/>
  <c r="C14" i="262"/>
  <c r="C15" i="262"/>
  <c r="C16" i="262"/>
  <c r="AB117" i="261" l="1"/>
  <c r="Z116" i="262" l="1"/>
  <c r="AB116" i="256"/>
  <c r="Z115" i="256"/>
  <c r="AB118" i="256"/>
  <c r="Z118" i="256"/>
  <c r="Z131" i="264"/>
  <c r="Z117" i="261"/>
  <c r="AA113" i="157"/>
  <c r="Z113" i="157"/>
  <c r="Z124" i="260"/>
  <c r="X131" i="264"/>
  <c r="Y113" i="157"/>
  <c r="X113" i="157"/>
  <c r="X117" i="261"/>
  <c r="X129" i="258"/>
  <c r="V118" i="256"/>
  <c r="V116" i="262"/>
  <c r="V131" i="264"/>
  <c r="V117" i="261"/>
  <c r="V129" i="258"/>
  <c r="W113" i="157"/>
  <c r="V113" i="157"/>
  <c r="V115" i="255"/>
  <c r="V118" i="255"/>
  <c r="T118" i="255"/>
  <c r="T131" i="264"/>
  <c r="T115" i="256"/>
  <c r="T118" i="256"/>
  <c r="U113" i="157"/>
  <c r="T113" i="157"/>
  <c r="N131" i="264"/>
  <c r="N118" i="255"/>
  <c r="T126" i="258"/>
  <c r="T129" i="258"/>
  <c r="N126" i="258"/>
  <c r="N129" i="258"/>
  <c r="T114" i="261"/>
  <c r="N114" i="261"/>
  <c r="T117" i="261"/>
  <c r="N117" i="261"/>
  <c r="O113" i="157"/>
  <c r="N113" i="157"/>
  <c r="N118" i="256"/>
  <c r="L118" i="256" l="1"/>
  <c r="L8" i="256"/>
  <c r="C10" i="256"/>
  <c r="C11" i="256"/>
  <c r="C12" i="256"/>
  <c r="C13" i="256"/>
  <c r="C14" i="256"/>
  <c r="C15" i="256"/>
  <c r="C16" i="256"/>
  <c r="C17" i="256"/>
  <c r="C18" i="256"/>
  <c r="M113" i="157"/>
  <c r="L118" i="255" l="1"/>
  <c r="L131" i="264"/>
  <c r="C10" i="261"/>
  <c r="K117" i="261"/>
  <c r="J117" i="261"/>
  <c r="I117" i="261"/>
  <c r="H117" i="261"/>
  <c r="L113" i="157"/>
  <c r="K113" i="157"/>
  <c r="J113" i="157"/>
  <c r="I113" i="157"/>
  <c r="H113" i="157"/>
  <c r="J126" i="258"/>
  <c r="J129" i="258"/>
  <c r="H129" i="258"/>
  <c r="J131" i="264" l="1"/>
  <c r="J6" i="256"/>
  <c r="H118" i="256"/>
  <c r="F123" i="266"/>
  <c r="F126" i="266"/>
  <c r="F113" i="262"/>
  <c r="F115" i="256"/>
  <c r="F118" i="256"/>
  <c r="G117" i="261"/>
  <c r="G113" i="157"/>
  <c r="F113" i="157"/>
  <c r="J118" i="256" l="1"/>
  <c r="F129" i="258" l="1"/>
  <c r="BJ7" i="264" l="1"/>
  <c r="BJ8" i="264"/>
  <c r="BJ9" i="264"/>
  <c r="BJ10" i="264"/>
  <c r="BJ11" i="264"/>
  <c r="BJ12" i="264"/>
  <c r="BJ5" i="264"/>
  <c r="BJ6" i="264"/>
  <c r="BH129" i="258"/>
  <c r="G110" i="262" l="1"/>
  <c r="H110" i="262"/>
  <c r="G112" i="262"/>
  <c r="H112" i="262"/>
  <c r="H111" i="262" l="1"/>
  <c r="G111" i="262"/>
  <c r="AY112" i="255" l="1"/>
  <c r="AZ112" i="255"/>
  <c r="AY114" i="255"/>
  <c r="AZ114" i="255"/>
  <c r="AZ113" i="255" l="1"/>
  <c r="AY113" i="255"/>
  <c r="AJ114" i="256" l="1"/>
  <c r="AJ112" i="256"/>
  <c r="AJ113" i="256" l="1"/>
  <c r="AF123" i="258"/>
  <c r="C9" i="255" l="1"/>
  <c r="C10" i="255"/>
  <c r="C11" i="255"/>
  <c r="F116" i="262"/>
  <c r="H27" i="262"/>
  <c r="G27" i="262"/>
  <c r="F27" i="262"/>
  <c r="N124" i="260"/>
  <c r="H1" i="157"/>
  <c r="I1" i="157"/>
  <c r="H15" i="157"/>
  <c r="H118" i="157" s="1"/>
  <c r="I15" i="157"/>
  <c r="I118" i="157" s="1"/>
  <c r="H24" i="157"/>
  <c r="I24" i="157"/>
  <c r="H107" i="157"/>
  <c r="I107" i="157"/>
  <c r="H109" i="157"/>
  <c r="I109" i="157"/>
  <c r="L1" i="157"/>
  <c r="M1" i="157"/>
  <c r="L15" i="157"/>
  <c r="L118" i="157" s="1"/>
  <c r="M15" i="157"/>
  <c r="M118" i="157" s="1"/>
  <c r="L24" i="157"/>
  <c r="M24" i="157"/>
  <c r="L107" i="157"/>
  <c r="L112" i="157" s="1"/>
  <c r="M107" i="157"/>
  <c r="L109" i="157"/>
  <c r="M109" i="157"/>
  <c r="N113" i="261"/>
  <c r="N111" i="261"/>
  <c r="BG127" i="264"/>
  <c r="BF127" i="264"/>
  <c r="BG125" i="264"/>
  <c r="BG126" i="264" s="1"/>
  <c r="BF125" i="264"/>
  <c r="BG32" i="264"/>
  <c r="BF32" i="264"/>
  <c r="BG23" i="264"/>
  <c r="BF23" i="264"/>
  <c r="AS127" i="264"/>
  <c r="AR127" i="264"/>
  <c r="AS125" i="264"/>
  <c r="AS126" i="264" s="1"/>
  <c r="AR125" i="264"/>
  <c r="AS32" i="264"/>
  <c r="AR32" i="264"/>
  <c r="AS23" i="264"/>
  <c r="AR23" i="264"/>
  <c r="AD125" i="264"/>
  <c r="AE125" i="264"/>
  <c r="AD127" i="264"/>
  <c r="AE127" i="264"/>
  <c r="Q127" i="264"/>
  <c r="P127" i="264"/>
  <c r="Q125" i="264"/>
  <c r="P125" i="264"/>
  <c r="AE32" i="264"/>
  <c r="AD32" i="264"/>
  <c r="AE23" i="264"/>
  <c r="AD23" i="264"/>
  <c r="Q32" i="264"/>
  <c r="P32" i="264"/>
  <c r="Q23" i="264"/>
  <c r="P23" i="264"/>
  <c r="O114" i="256"/>
  <c r="N114" i="256"/>
  <c r="O112" i="256"/>
  <c r="N112" i="256"/>
  <c r="O29" i="256"/>
  <c r="N29" i="256"/>
  <c r="O20" i="256"/>
  <c r="N20" i="256"/>
  <c r="N123" i="256" s="1"/>
  <c r="O1" i="256"/>
  <c r="N1" i="256"/>
  <c r="AC114" i="256"/>
  <c r="AB114" i="256"/>
  <c r="AC112" i="256"/>
  <c r="AB112" i="256"/>
  <c r="AC29" i="256"/>
  <c r="AB29" i="256"/>
  <c r="AC20" i="256"/>
  <c r="AB20" i="256"/>
  <c r="AB123" i="256" s="1"/>
  <c r="AC1" i="256"/>
  <c r="AB1" i="256"/>
  <c r="AE114" i="256"/>
  <c r="AD114" i="256"/>
  <c r="AE112" i="256"/>
  <c r="AD112" i="256"/>
  <c r="AE29" i="256"/>
  <c r="AD29" i="256"/>
  <c r="AE20" i="256"/>
  <c r="AD20" i="256"/>
  <c r="AE1" i="256"/>
  <c r="AD1" i="256"/>
  <c r="AQ114" i="256"/>
  <c r="AP114" i="256"/>
  <c r="AQ112" i="256"/>
  <c r="AP112" i="256"/>
  <c r="AQ29" i="256"/>
  <c r="AP29" i="256"/>
  <c r="AQ20" i="256"/>
  <c r="AP20" i="256"/>
  <c r="AQ1" i="256"/>
  <c r="AP1" i="256"/>
  <c r="BD1" i="256"/>
  <c r="BE1" i="256"/>
  <c r="BD20" i="256"/>
  <c r="BE20" i="256"/>
  <c r="BD29" i="256"/>
  <c r="BE29" i="256"/>
  <c r="BD112" i="256"/>
  <c r="BE112" i="256"/>
  <c r="BD114" i="256"/>
  <c r="BE114" i="256"/>
  <c r="BA114" i="256"/>
  <c r="AZ114" i="256"/>
  <c r="BA112" i="256"/>
  <c r="AZ112" i="256"/>
  <c r="BA29" i="256"/>
  <c r="AZ29" i="256"/>
  <c r="BA20" i="256"/>
  <c r="AZ20" i="256"/>
  <c r="BA1" i="256"/>
  <c r="AZ1" i="256"/>
  <c r="AM114" i="256"/>
  <c r="AL114" i="256"/>
  <c r="AM112" i="256"/>
  <c r="AL112" i="256"/>
  <c r="AM29" i="256"/>
  <c r="AL29" i="256"/>
  <c r="AM20" i="256"/>
  <c r="AL20" i="256"/>
  <c r="AM1" i="256"/>
  <c r="AL1" i="256"/>
  <c r="Y114" i="256"/>
  <c r="Y112" i="256"/>
  <c r="X112" i="256"/>
  <c r="Y29" i="256"/>
  <c r="X29" i="256"/>
  <c r="Y20" i="256"/>
  <c r="X20" i="256"/>
  <c r="Y1" i="256"/>
  <c r="X1" i="256"/>
  <c r="BG114" i="256"/>
  <c r="BF114" i="256"/>
  <c r="BG112" i="256"/>
  <c r="BF112" i="256"/>
  <c r="BG29" i="256"/>
  <c r="BF29" i="256"/>
  <c r="BG20" i="256"/>
  <c r="BF20" i="256"/>
  <c r="BG1" i="256"/>
  <c r="BF1" i="256"/>
  <c r="AS114" i="256"/>
  <c r="AR114" i="256"/>
  <c r="AS112" i="256"/>
  <c r="AR112" i="256"/>
  <c r="AR113" i="256" s="1"/>
  <c r="AS29" i="256"/>
  <c r="AR29" i="256"/>
  <c r="AS20" i="256"/>
  <c r="AR20" i="256"/>
  <c r="AS1" i="256"/>
  <c r="AR1" i="256"/>
  <c r="H112" i="157" l="1"/>
  <c r="Q126" i="264"/>
  <c r="AZ113" i="256"/>
  <c r="AR126" i="264"/>
  <c r="BF126" i="264"/>
  <c r="AB117" i="256"/>
  <c r="AB119" i="256" s="1"/>
  <c r="N117" i="256"/>
  <c r="N122" i="256" s="1"/>
  <c r="N119" i="256"/>
  <c r="AS113" i="256"/>
  <c r="BD113" i="256"/>
  <c r="I112" i="157"/>
  <c r="I117" i="157" s="1"/>
  <c r="M112" i="157"/>
  <c r="M117" i="157" s="1"/>
  <c r="L114" i="157"/>
  <c r="L117" i="157"/>
  <c r="I114" i="157"/>
  <c r="H114" i="157"/>
  <c r="H117" i="157"/>
  <c r="Y113" i="256"/>
  <c r="AQ113" i="256"/>
  <c r="AC113" i="256"/>
  <c r="BE113" i="256"/>
  <c r="AD113" i="256"/>
  <c r="P126" i="264"/>
  <c r="AE126" i="264"/>
  <c r="AD126" i="264"/>
  <c r="N112" i="261"/>
  <c r="M108" i="157"/>
  <c r="I108" i="157"/>
  <c r="H108" i="157"/>
  <c r="BF113" i="256"/>
  <c r="AP113" i="256"/>
  <c r="O113" i="256"/>
  <c r="BG113" i="256"/>
  <c r="AM113" i="256"/>
  <c r="BA113" i="256"/>
  <c r="AE113" i="256"/>
  <c r="AL113" i="256"/>
  <c r="AB113" i="256"/>
  <c r="N113" i="256"/>
  <c r="L108" i="157"/>
  <c r="AB122" i="256" l="1"/>
  <c r="AB121" i="256"/>
  <c r="AB124" i="256" s="1"/>
  <c r="AB120" i="256"/>
  <c r="M114" i="157"/>
  <c r="N121" i="256"/>
  <c r="N124" i="256" s="1"/>
  <c r="N120" i="256"/>
  <c r="M116" i="157"/>
  <c r="M119" i="157" s="1"/>
  <c r="M115" i="157"/>
  <c r="L116" i="157"/>
  <c r="L119" i="157" s="1"/>
  <c r="L115" i="157"/>
  <c r="I116" i="157"/>
  <c r="I119" i="157" s="1"/>
  <c r="I115" i="157"/>
  <c r="H115" i="157"/>
  <c r="H116" i="157"/>
  <c r="H119" i="157"/>
  <c r="F117" i="261" l="1"/>
  <c r="AV125" i="264"/>
  <c r="BK7" i="264"/>
  <c r="C7" i="264"/>
  <c r="K35" i="260"/>
  <c r="F125" i="258"/>
  <c r="F123" i="258"/>
  <c r="F124" i="258" l="1"/>
  <c r="F40" i="258"/>
  <c r="F128" i="258" s="1"/>
  <c r="G40" i="258"/>
  <c r="H40" i="258"/>
  <c r="I40" i="258"/>
  <c r="J40" i="258"/>
  <c r="K40" i="258"/>
  <c r="L40" i="258"/>
  <c r="M40" i="258"/>
  <c r="N40" i="258"/>
  <c r="O40" i="258"/>
  <c r="P40" i="258"/>
  <c r="Q40" i="258"/>
  <c r="R40" i="258"/>
  <c r="S40" i="258"/>
  <c r="T40" i="258"/>
  <c r="U40" i="258"/>
  <c r="V40" i="258"/>
  <c r="W40" i="258"/>
  <c r="X40" i="258"/>
  <c r="Y40" i="258"/>
  <c r="Z40" i="258"/>
  <c r="AA40" i="258"/>
  <c r="AB40" i="258"/>
  <c r="AC40" i="258"/>
  <c r="AD40" i="258"/>
  <c r="AE40" i="258"/>
  <c r="AF40" i="258"/>
  <c r="AG40" i="258"/>
  <c r="AH40" i="258"/>
  <c r="AI40" i="258"/>
  <c r="AJ40" i="258"/>
  <c r="AK40" i="258"/>
  <c r="AL40" i="258"/>
  <c r="AM40" i="258"/>
  <c r="AN40" i="258"/>
  <c r="AO40" i="258"/>
  <c r="AP40" i="258"/>
  <c r="AQ40" i="258"/>
  <c r="AR40" i="258"/>
  <c r="AS40" i="258"/>
  <c r="AT40" i="258"/>
  <c r="AU40" i="258"/>
  <c r="AV40" i="258"/>
  <c r="AW40" i="258"/>
  <c r="AX40" i="258"/>
  <c r="AY40" i="258"/>
  <c r="AZ40" i="258"/>
  <c r="BA40" i="258"/>
  <c r="BB40" i="258"/>
  <c r="BC40" i="258"/>
  <c r="BD40" i="258"/>
  <c r="BE40" i="258"/>
  <c r="BF40" i="258"/>
  <c r="BG40" i="258"/>
  <c r="BH40" i="258"/>
  <c r="BI40" i="258"/>
  <c r="BJ7" i="260"/>
  <c r="BK8" i="264"/>
  <c r="BK9" i="264"/>
  <c r="BK10" i="264"/>
  <c r="BK11" i="264"/>
  <c r="C8" i="264"/>
  <c r="C9" i="264"/>
  <c r="C10" i="264"/>
  <c r="C11" i="264"/>
  <c r="F133" i="258" l="1"/>
  <c r="F130" i="258"/>
  <c r="F132" i="258"/>
  <c r="BJ9" i="261"/>
  <c r="BK9" i="261"/>
  <c r="BJ10" i="261"/>
  <c r="BK10" i="261"/>
  <c r="BJ11" i="261"/>
  <c r="BK11" i="261"/>
  <c r="BJ12" i="261"/>
  <c r="BK12" i="261"/>
  <c r="BJ13" i="261"/>
  <c r="BK13" i="261"/>
  <c r="BJ8" i="258"/>
  <c r="BK8" i="258"/>
  <c r="BJ9" i="258"/>
  <c r="BK9" i="258"/>
  <c r="BJ10" i="258"/>
  <c r="BK10" i="258"/>
  <c r="BJ11" i="258"/>
  <c r="BK11" i="258"/>
  <c r="BJ27" i="255"/>
  <c r="BK27" i="255"/>
  <c r="BJ9" i="255"/>
  <c r="BK9" i="255"/>
  <c r="AN126" i="266" l="1"/>
  <c r="AL126" i="266"/>
  <c r="BJ124" i="266"/>
  <c r="BJ123" i="266"/>
  <c r="BI122" i="266"/>
  <c r="BH122" i="266"/>
  <c r="BG122" i="266"/>
  <c r="BF122" i="266"/>
  <c r="BE122" i="266"/>
  <c r="BD122" i="266"/>
  <c r="BC122" i="266"/>
  <c r="BB122" i="266"/>
  <c r="BA122" i="266"/>
  <c r="AZ122" i="266"/>
  <c r="AY122" i="266"/>
  <c r="AX122" i="266"/>
  <c r="AW122" i="266"/>
  <c r="AV122" i="266"/>
  <c r="AU122" i="266"/>
  <c r="AT122" i="266"/>
  <c r="AS122" i="266"/>
  <c r="AR122" i="266"/>
  <c r="AQ122" i="266"/>
  <c r="AP122" i="266"/>
  <c r="AO122" i="266"/>
  <c r="AM122" i="266"/>
  <c r="AL122" i="266"/>
  <c r="AK122" i="266"/>
  <c r="AJ122" i="266"/>
  <c r="AI122" i="266"/>
  <c r="AH122" i="266"/>
  <c r="AG122" i="266"/>
  <c r="AF122" i="266"/>
  <c r="AE122" i="266"/>
  <c r="AD122" i="266"/>
  <c r="AC122" i="266"/>
  <c r="AB122" i="266"/>
  <c r="AA122" i="266"/>
  <c r="Z122" i="266"/>
  <c r="Y122" i="266"/>
  <c r="X122" i="266"/>
  <c r="W122" i="266"/>
  <c r="V122" i="266"/>
  <c r="U122" i="266"/>
  <c r="T122" i="266"/>
  <c r="S122" i="266"/>
  <c r="R122" i="266"/>
  <c r="Q122" i="266"/>
  <c r="P122" i="266"/>
  <c r="O122" i="266"/>
  <c r="N122" i="266"/>
  <c r="M122" i="266"/>
  <c r="L122" i="266"/>
  <c r="K122" i="266"/>
  <c r="J122" i="266"/>
  <c r="I122" i="266"/>
  <c r="H122" i="266"/>
  <c r="G122" i="266"/>
  <c r="F122" i="266"/>
  <c r="BI120" i="266"/>
  <c r="BH120" i="266"/>
  <c r="BG120" i="266"/>
  <c r="BF120" i="266"/>
  <c r="BE120" i="266"/>
  <c r="BD120" i="266"/>
  <c r="BC120" i="266"/>
  <c r="BB120" i="266"/>
  <c r="BA120" i="266"/>
  <c r="AZ120" i="266"/>
  <c r="AY120" i="266"/>
  <c r="AX120" i="266"/>
  <c r="AW120" i="266"/>
  <c r="AV120" i="266"/>
  <c r="AU120" i="266"/>
  <c r="AT120" i="266"/>
  <c r="AT121" i="266" s="1"/>
  <c r="AS120" i="266"/>
  <c r="AR120" i="266"/>
  <c r="AQ120" i="266"/>
  <c r="AP120" i="266"/>
  <c r="AO120" i="266"/>
  <c r="AN120" i="266"/>
  <c r="AM120" i="266"/>
  <c r="AM121" i="266" s="1"/>
  <c r="AL120" i="266"/>
  <c r="AK120" i="266"/>
  <c r="AJ120" i="266"/>
  <c r="AJ121" i="266" s="1"/>
  <c r="AI120" i="266"/>
  <c r="AH120" i="266"/>
  <c r="AG120" i="266"/>
  <c r="AF120" i="266"/>
  <c r="AE120" i="266"/>
  <c r="AE121" i="266" s="1"/>
  <c r="AD120" i="266"/>
  <c r="AC120" i="266"/>
  <c r="AB120" i="266"/>
  <c r="AA120" i="266"/>
  <c r="Z120" i="266"/>
  <c r="Y120" i="266"/>
  <c r="X120" i="266"/>
  <c r="W120" i="266"/>
  <c r="W121" i="266" s="1"/>
  <c r="V120" i="266"/>
  <c r="U120" i="266"/>
  <c r="T120" i="266"/>
  <c r="S120" i="266"/>
  <c r="R120" i="266"/>
  <c r="Q120" i="266"/>
  <c r="P120" i="266"/>
  <c r="O120" i="266"/>
  <c r="O121" i="266" s="1"/>
  <c r="N120" i="266"/>
  <c r="M120" i="266"/>
  <c r="L120" i="266"/>
  <c r="L121" i="266" s="1"/>
  <c r="K120" i="266"/>
  <c r="K121" i="266" s="1"/>
  <c r="J120" i="266"/>
  <c r="I120" i="266"/>
  <c r="H120" i="266"/>
  <c r="G120" i="266"/>
  <c r="F120" i="266"/>
  <c r="BJ119" i="266"/>
  <c r="BJ118" i="266"/>
  <c r="BJ117" i="266"/>
  <c r="BJ116" i="266"/>
  <c r="BK115" i="266"/>
  <c r="BJ115" i="266"/>
  <c r="BK114" i="266"/>
  <c r="BJ114" i="266"/>
  <c r="BK113" i="266"/>
  <c r="BJ113" i="266"/>
  <c r="BK112" i="266"/>
  <c r="BJ112" i="266"/>
  <c r="BK111" i="266"/>
  <c r="BJ111" i="266"/>
  <c r="BK110" i="266"/>
  <c r="BJ110" i="266"/>
  <c r="BK109" i="266"/>
  <c r="BJ109" i="266"/>
  <c r="BK108" i="266"/>
  <c r="BJ108" i="266"/>
  <c r="BK107" i="266"/>
  <c r="BJ107" i="266"/>
  <c r="BK106" i="266"/>
  <c r="BJ106" i="266"/>
  <c r="BK105" i="266"/>
  <c r="BJ105" i="266"/>
  <c r="BK104" i="266"/>
  <c r="BJ104" i="266"/>
  <c r="BK103" i="266"/>
  <c r="BJ103" i="266"/>
  <c r="BK102" i="266"/>
  <c r="BJ102" i="266"/>
  <c r="BK101" i="266"/>
  <c r="BJ101" i="266"/>
  <c r="BK100" i="266"/>
  <c r="BJ100" i="266"/>
  <c r="BK99" i="266"/>
  <c r="BJ99" i="266"/>
  <c r="BK98" i="266"/>
  <c r="BJ98" i="266"/>
  <c r="BK97" i="266"/>
  <c r="BJ97" i="266"/>
  <c r="BK96" i="266"/>
  <c r="BJ96" i="266"/>
  <c r="BK95" i="266"/>
  <c r="BJ95" i="266"/>
  <c r="BK94" i="266"/>
  <c r="BJ94" i="266"/>
  <c r="BK93" i="266"/>
  <c r="BJ93" i="266"/>
  <c r="BK92" i="266"/>
  <c r="BJ92" i="266"/>
  <c r="BJ91" i="266"/>
  <c r="BK90" i="266"/>
  <c r="BJ90" i="266"/>
  <c r="BK89" i="266"/>
  <c r="BJ89" i="266"/>
  <c r="BK88" i="266"/>
  <c r="BJ88" i="266"/>
  <c r="BK87" i="266"/>
  <c r="BJ87" i="266"/>
  <c r="BK86" i="266"/>
  <c r="BJ86" i="266"/>
  <c r="BK85" i="266"/>
  <c r="BJ85" i="266"/>
  <c r="BK84" i="266"/>
  <c r="BJ84" i="266"/>
  <c r="BK83" i="266"/>
  <c r="BJ83" i="266"/>
  <c r="BK82" i="266"/>
  <c r="BJ82" i="266"/>
  <c r="BK81" i="266"/>
  <c r="BJ81" i="266"/>
  <c r="BK80" i="266"/>
  <c r="BJ80" i="266"/>
  <c r="BK79" i="266"/>
  <c r="BJ79" i="266"/>
  <c r="BK78" i="266"/>
  <c r="BJ78" i="266"/>
  <c r="BK77" i="266"/>
  <c r="BJ77" i="266"/>
  <c r="BK76" i="266"/>
  <c r="BJ76" i="266"/>
  <c r="BK75" i="266"/>
  <c r="BJ75" i="266"/>
  <c r="BK74" i="266"/>
  <c r="BJ74" i="266"/>
  <c r="BK73" i="266"/>
  <c r="BJ73" i="266"/>
  <c r="BK72" i="266"/>
  <c r="BJ72" i="266"/>
  <c r="BK71" i="266"/>
  <c r="BJ71" i="266"/>
  <c r="BK70" i="266"/>
  <c r="BJ70" i="266"/>
  <c r="BK69" i="266"/>
  <c r="BJ69" i="266"/>
  <c r="BK68" i="266"/>
  <c r="BJ68" i="266"/>
  <c r="BK67" i="266"/>
  <c r="BJ67" i="266"/>
  <c r="BK66" i="266"/>
  <c r="BJ66" i="266"/>
  <c r="BK65" i="266"/>
  <c r="BJ65" i="266"/>
  <c r="BK64" i="266"/>
  <c r="BJ64" i="266"/>
  <c r="BK63" i="266"/>
  <c r="BJ63" i="266"/>
  <c r="BK62" i="266"/>
  <c r="BJ62" i="266"/>
  <c r="BK61" i="266"/>
  <c r="BJ61" i="266"/>
  <c r="BK60" i="266"/>
  <c r="BJ60" i="266"/>
  <c r="BK59" i="266"/>
  <c r="BJ59" i="266"/>
  <c r="BK58" i="266"/>
  <c r="BJ58" i="266"/>
  <c r="BK57" i="266"/>
  <c r="BJ57" i="266"/>
  <c r="BK56" i="266"/>
  <c r="BJ56" i="266"/>
  <c r="BK55" i="266"/>
  <c r="BJ55" i="266"/>
  <c r="BK54" i="266"/>
  <c r="BJ54" i="266"/>
  <c r="BK53" i="266"/>
  <c r="BJ53" i="266"/>
  <c r="BK52" i="266"/>
  <c r="BJ52" i="266"/>
  <c r="BK51" i="266"/>
  <c r="BJ51" i="266"/>
  <c r="BK50" i="266"/>
  <c r="BJ50" i="266"/>
  <c r="BK49" i="266"/>
  <c r="BJ49" i="266"/>
  <c r="BK48" i="266"/>
  <c r="BJ48" i="266"/>
  <c r="BK47" i="266"/>
  <c r="BJ47" i="266"/>
  <c r="BK46" i="266"/>
  <c r="BJ46" i="266"/>
  <c r="BK45" i="266"/>
  <c r="BJ45" i="266"/>
  <c r="BK44" i="266"/>
  <c r="BJ44" i="266"/>
  <c r="BK43" i="266"/>
  <c r="BJ43" i="266"/>
  <c r="BK42" i="266"/>
  <c r="BJ42" i="266"/>
  <c r="BK41" i="266"/>
  <c r="BJ41" i="266"/>
  <c r="BK40" i="266"/>
  <c r="BJ40" i="266"/>
  <c r="BK39" i="266"/>
  <c r="BJ39" i="266"/>
  <c r="BK38" i="266"/>
  <c r="BJ38" i="266"/>
  <c r="BI37" i="266"/>
  <c r="BH37" i="266"/>
  <c r="BG37" i="266"/>
  <c r="BF37" i="266"/>
  <c r="BE37" i="266"/>
  <c r="BD37" i="266"/>
  <c r="BC37" i="266"/>
  <c r="BB37" i="266"/>
  <c r="BA37" i="266"/>
  <c r="AZ37" i="266"/>
  <c r="AY37" i="266"/>
  <c r="AX37" i="266"/>
  <c r="AW37" i="266"/>
  <c r="AV37" i="266"/>
  <c r="AU37" i="266"/>
  <c r="AT37" i="266"/>
  <c r="AS37" i="266"/>
  <c r="AR37" i="266"/>
  <c r="AQ37" i="266"/>
  <c r="AP37" i="266"/>
  <c r="R37" i="266"/>
  <c r="Q37" i="266"/>
  <c r="P37" i="266"/>
  <c r="O37" i="266"/>
  <c r="N37" i="266"/>
  <c r="M37" i="266"/>
  <c r="L37" i="266"/>
  <c r="K37" i="266"/>
  <c r="J37" i="266"/>
  <c r="I37" i="266"/>
  <c r="H37" i="266"/>
  <c r="G37" i="266"/>
  <c r="F37" i="266"/>
  <c r="BK36" i="266"/>
  <c r="BJ36" i="266"/>
  <c r="BK35" i="266"/>
  <c r="BJ35" i="266"/>
  <c r="BK34" i="266"/>
  <c r="BJ34" i="266"/>
  <c r="BK33" i="266"/>
  <c r="BJ33" i="266"/>
  <c r="BK32" i="266"/>
  <c r="BJ32" i="266"/>
  <c r="BK31" i="266"/>
  <c r="BJ31" i="266"/>
  <c r="BK30" i="266"/>
  <c r="BJ30" i="266"/>
  <c r="BK29" i="266"/>
  <c r="BJ29" i="266"/>
  <c r="BK28" i="266"/>
  <c r="BJ28" i="266"/>
  <c r="BI27" i="266"/>
  <c r="BH27" i="266"/>
  <c r="BG27" i="266"/>
  <c r="BF27" i="266"/>
  <c r="BE27" i="266"/>
  <c r="BD27" i="266"/>
  <c r="BC27" i="266"/>
  <c r="BB27" i="266"/>
  <c r="BA27" i="266"/>
  <c r="AZ27" i="266"/>
  <c r="AY27" i="266"/>
  <c r="AX27" i="266"/>
  <c r="AW27" i="266"/>
  <c r="AV27" i="266"/>
  <c r="AU27" i="266"/>
  <c r="AT27" i="266"/>
  <c r="AS27" i="266"/>
  <c r="AR27" i="266"/>
  <c r="AQ27" i="266"/>
  <c r="AP27" i="266"/>
  <c r="AN131" i="266"/>
  <c r="AL131" i="266"/>
  <c r="R27" i="266"/>
  <c r="Q27" i="266"/>
  <c r="P27" i="266"/>
  <c r="O27" i="266"/>
  <c r="N27" i="266"/>
  <c r="M27" i="266"/>
  <c r="L27" i="266"/>
  <c r="K27" i="266"/>
  <c r="J27" i="266"/>
  <c r="I27" i="266"/>
  <c r="H27" i="266"/>
  <c r="G27" i="266"/>
  <c r="F27" i="266"/>
  <c r="F131" i="266" s="1"/>
  <c r="BK26" i="266"/>
  <c r="BJ26" i="266"/>
  <c r="C26" i="266"/>
  <c r="BK25" i="266"/>
  <c r="BJ25" i="266"/>
  <c r="C25" i="266"/>
  <c r="BK24" i="266"/>
  <c r="BJ24" i="266"/>
  <c r="C24" i="266"/>
  <c r="BK23" i="266"/>
  <c r="BJ23" i="266"/>
  <c r="C23" i="266"/>
  <c r="BK22" i="266"/>
  <c r="BJ22" i="266"/>
  <c r="C22" i="266"/>
  <c r="BK21" i="266"/>
  <c r="BJ21" i="266"/>
  <c r="C21" i="266"/>
  <c r="BK20" i="266"/>
  <c r="BJ20" i="266"/>
  <c r="C20" i="266"/>
  <c r="BK19" i="266"/>
  <c r="BJ19" i="266"/>
  <c r="C19" i="266"/>
  <c r="BK18" i="266"/>
  <c r="BJ18" i="266"/>
  <c r="C18" i="266"/>
  <c r="BK17" i="266"/>
  <c r="BJ17" i="266"/>
  <c r="C17" i="266"/>
  <c r="BK16" i="266"/>
  <c r="BJ16" i="266"/>
  <c r="C16" i="266"/>
  <c r="BK15" i="266"/>
  <c r="BJ15" i="266"/>
  <c r="C15" i="266"/>
  <c r="BK14" i="266"/>
  <c r="BJ14" i="266"/>
  <c r="C14" i="266"/>
  <c r="BK13" i="266"/>
  <c r="BJ13" i="266"/>
  <c r="C13" i="266"/>
  <c r="BK12" i="266"/>
  <c r="BJ12" i="266"/>
  <c r="C12" i="266"/>
  <c r="BK11" i="266"/>
  <c r="BJ11" i="266"/>
  <c r="C11" i="266"/>
  <c r="BK10" i="266"/>
  <c r="BJ10" i="266"/>
  <c r="C10" i="266"/>
  <c r="BK9" i="266"/>
  <c r="BJ9" i="266"/>
  <c r="C9" i="266"/>
  <c r="BK8" i="266"/>
  <c r="BJ8" i="266"/>
  <c r="C8" i="266"/>
  <c r="BK7" i="266"/>
  <c r="BJ7" i="266"/>
  <c r="C7" i="266"/>
  <c r="BK6" i="266"/>
  <c r="BJ6" i="266"/>
  <c r="C6" i="266"/>
  <c r="BK5" i="266"/>
  <c r="BJ5" i="266"/>
  <c r="C5" i="266"/>
  <c r="BI1" i="266"/>
  <c r="BH1" i="266"/>
  <c r="BG1" i="266"/>
  <c r="BF1" i="266"/>
  <c r="BE1" i="266"/>
  <c r="BD1" i="266"/>
  <c r="BC1" i="266"/>
  <c r="BB1" i="266"/>
  <c r="BA1" i="266"/>
  <c r="AZ1" i="266"/>
  <c r="AY1" i="266"/>
  <c r="AX1" i="266"/>
  <c r="AW1" i="266"/>
  <c r="AV1" i="266"/>
  <c r="AU1" i="266"/>
  <c r="AT1" i="266"/>
  <c r="AS1" i="266"/>
  <c r="AR1" i="266"/>
  <c r="AQ1" i="266"/>
  <c r="AP1" i="266"/>
  <c r="AO1" i="266"/>
  <c r="AN1" i="266"/>
  <c r="AM1" i="266"/>
  <c r="AL1" i="266"/>
  <c r="AK1" i="266"/>
  <c r="AJ1" i="266"/>
  <c r="AI1" i="266"/>
  <c r="AH1" i="266"/>
  <c r="AG1" i="266"/>
  <c r="AF1" i="266"/>
  <c r="AE1" i="266"/>
  <c r="AD1" i="266"/>
  <c r="AC1" i="266"/>
  <c r="AB1" i="266"/>
  <c r="AA1" i="266"/>
  <c r="Z1" i="266"/>
  <c r="Y1" i="266"/>
  <c r="X1" i="266"/>
  <c r="W1" i="266"/>
  <c r="V1" i="266"/>
  <c r="U1" i="266"/>
  <c r="T1" i="266"/>
  <c r="S1" i="266"/>
  <c r="R1" i="266"/>
  <c r="Q1" i="266"/>
  <c r="P1" i="266"/>
  <c r="O1" i="266"/>
  <c r="N1" i="266"/>
  <c r="M1" i="266"/>
  <c r="L1" i="266"/>
  <c r="K1" i="266"/>
  <c r="J1" i="266"/>
  <c r="I1" i="266"/>
  <c r="H1" i="266"/>
  <c r="G1" i="266"/>
  <c r="F1" i="266"/>
  <c r="C5" i="256"/>
  <c r="C6" i="256"/>
  <c r="C7" i="256"/>
  <c r="C8" i="256"/>
  <c r="C9" i="256"/>
  <c r="C19" i="256"/>
  <c r="J120" i="260"/>
  <c r="R120" i="260"/>
  <c r="C5" i="260"/>
  <c r="C6" i="260"/>
  <c r="C110" i="266" l="1"/>
  <c r="AP121" i="266"/>
  <c r="AX121" i="266"/>
  <c r="BF121" i="266"/>
  <c r="F125" i="266"/>
  <c r="F130" i="266" s="1"/>
  <c r="C102" i="266"/>
  <c r="BB121" i="266"/>
  <c r="AZ121" i="266"/>
  <c r="F121" i="266"/>
  <c r="J121" i="266"/>
  <c r="N121" i="266"/>
  <c r="R121" i="266"/>
  <c r="V121" i="266"/>
  <c r="Z121" i="266"/>
  <c r="AD121" i="266"/>
  <c r="AH121" i="266"/>
  <c r="AQ121" i="266"/>
  <c r="AY121" i="266"/>
  <c r="BG121" i="266"/>
  <c r="AL121" i="266"/>
  <c r="AL129" i="266" s="1"/>
  <c r="AU121" i="266"/>
  <c r="BC121" i="266"/>
  <c r="T121" i="266"/>
  <c r="AR121" i="266"/>
  <c r="BH121" i="266"/>
  <c r="G121" i="266"/>
  <c r="AA121" i="266"/>
  <c r="BK37" i="266"/>
  <c r="C38" i="266"/>
  <c r="BJ1" i="266"/>
  <c r="C94" i="266"/>
  <c r="C98" i="266"/>
  <c r="AB121" i="266"/>
  <c r="C67" i="266"/>
  <c r="S121" i="266"/>
  <c r="AI121" i="266"/>
  <c r="BJ27" i="266"/>
  <c r="BJ131" i="266" s="1"/>
  <c r="I16" i="22" s="1"/>
  <c r="I121" i="266"/>
  <c r="M121" i="266"/>
  <c r="Q121" i="266"/>
  <c r="U121" i="266"/>
  <c r="Y121" i="266"/>
  <c r="AC121" i="266"/>
  <c r="AG121" i="266"/>
  <c r="AK121" i="266"/>
  <c r="AO121" i="266"/>
  <c r="AS121" i="266"/>
  <c r="AW121" i="266"/>
  <c r="BA121" i="266"/>
  <c r="BE121" i="266"/>
  <c r="BI121" i="266"/>
  <c r="BJ126" i="266"/>
  <c r="BK27" i="266"/>
  <c r="BJ120" i="266"/>
  <c r="H121" i="266"/>
  <c r="BJ37" i="266"/>
  <c r="P121" i="266"/>
  <c r="X121" i="266"/>
  <c r="AF121" i="266"/>
  <c r="AV121" i="266"/>
  <c r="BD121" i="266"/>
  <c r="AL125" i="266"/>
  <c r="AL127" i="266" s="1"/>
  <c r="AN122" i="266"/>
  <c r="BJ122" i="266" s="1"/>
  <c r="F127" i="266" l="1"/>
  <c r="F129" i="266"/>
  <c r="F132" i="266" s="1"/>
  <c r="F128" i="266"/>
  <c r="AL128" i="266"/>
  <c r="AL130" i="266"/>
  <c r="AL132" i="266" s="1"/>
  <c r="BJ125" i="266"/>
  <c r="BJ127" i="266" s="1"/>
  <c r="AN121" i="266"/>
  <c r="BJ121" i="266" s="1"/>
  <c r="AN125" i="266"/>
  <c r="BJ130" i="266" l="1"/>
  <c r="H16" i="22" s="1"/>
  <c r="AN127" i="266"/>
  <c r="AN130" i="266"/>
  <c r="BJ128" i="266"/>
  <c r="BJ129" i="266"/>
  <c r="G16" i="22" s="1"/>
  <c r="AN128" i="266"/>
  <c r="AN129" i="266"/>
  <c r="V123" i="258"/>
  <c r="AD112" i="255"/>
  <c r="AD114" i="255"/>
  <c r="J16" i="22" l="1"/>
  <c r="L16" i="22" s="1"/>
  <c r="AN132" i="266"/>
  <c r="BJ132" i="266"/>
  <c r="C8" i="255"/>
  <c r="X114" i="255" l="1"/>
  <c r="AA42" i="264"/>
  <c r="C9" i="261"/>
  <c r="C11" i="261"/>
  <c r="C12" i="261"/>
  <c r="C13" i="261"/>
  <c r="C14" i="261"/>
  <c r="V112" i="255" l="1"/>
  <c r="BJ129" i="264"/>
  <c r="BJ128" i="264"/>
  <c r="BI127" i="264"/>
  <c r="BH127" i="264"/>
  <c r="BE127" i="264"/>
  <c r="BD127" i="264"/>
  <c r="BC127" i="264"/>
  <c r="BB127" i="264"/>
  <c r="BA127" i="264"/>
  <c r="AZ127" i="264"/>
  <c r="AY127" i="264"/>
  <c r="AX127" i="264"/>
  <c r="AW127" i="264"/>
  <c r="AV127" i="264"/>
  <c r="AU127" i="264"/>
  <c r="AT127" i="264"/>
  <c r="AQ127" i="264"/>
  <c r="AP127" i="264"/>
  <c r="AO127" i="264"/>
  <c r="AN127" i="264"/>
  <c r="AM127" i="264"/>
  <c r="AL127" i="264"/>
  <c r="AK127" i="264"/>
  <c r="AJ127" i="264"/>
  <c r="AI127" i="264"/>
  <c r="AH127" i="264"/>
  <c r="AG127" i="264"/>
  <c r="AF127" i="264"/>
  <c r="AC127" i="264"/>
  <c r="AB127" i="264"/>
  <c r="AA127" i="264"/>
  <c r="Z127" i="264"/>
  <c r="Y127" i="264"/>
  <c r="X127" i="264"/>
  <c r="W127" i="264"/>
  <c r="V127" i="264"/>
  <c r="U127" i="264"/>
  <c r="T127" i="264"/>
  <c r="S127" i="264"/>
  <c r="R127" i="264"/>
  <c r="O127" i="264"/>
  <c r="N127" i="264"/>
  <c r="M127" i="264"/>
  <c r="L127" i="264"/>
  <c r="K127" i="264"/>
  <c r="J127" i="264"/>
  <c r="I127" i="264"/>
  <c r="H127" i="264"/>
  <c r="G127" i="264"/>
  <c r="F127" i="264"/>
  <c r="BI125" i="264"/>
  <c r="BH125" i="264"/>
  <c r="BE125" i="264"/>
  <c r="BD125" i="264"/>
  <c r="BC125" i="264"/>
  <c r="BB125" i="264"/>
  <c r="BA125" i="264"/>
  <c r="AZ125" i="264"/>
  <c r="AY125" i="264"/>
  <c r="AX125" i="264"/>
  <c r="AW125" i="264"/>
  <c r="AU125" i="264"/>
  <c r="AT125" i="264"/>
  <c r="AQ125" i="264"/>
  <c r="AP125" i="264"/>
  <c r="AO125" i="264"/>
  <c r="AN125" i="264"/>
  <c r="AM125" i="264"/>
  <c r="AL125" i="264"/>
  <c r="AK125" i="264"/>
  <c r="AJ125" i="264"/>
  <c r="AI125" i="264"/>
  <c r="AH125" i="264"/>
  <c r="AG125" i="264"/>
  <c r="AF125" i="264"/>
  <c r="AC125" i="264"/>
  <c r="AB125" i="264"/>
  <c r="AB130" i="264" s="1"/>
  <c r="AA125" i="264"/>
  <c r="Z125" i="264"/>
  <c r="Z130" i="264" s="1"/>
  <c r="Y125" i="264"/>
  <c r="X125" i="264"/>
  <c r="W125" i="264"/>
  <c r="V125" i="264"/>
  <c r="U125" i="264"/>
  <c r="T125" i="264"/>
  <c r="T130" i="264" s="1"/>
  <c r="S125" i="264"/>
  <c r="R125" i="264"/>
  <c r="O125" i="264"/>
  <c r="N125" i="264"/>
  <c r="M125" i="264"/>
  <c r="L125" i="264"/>
  <c r="K125" i="264"/>
  <c r="J125" i="264"/>
  <c r="I125" i="264"/>
  <c r="H125" i="264"/>
  <c r="G125" i="264"/>
  <c r="F125" i="264"/>
  <c r="BJ124" i="264"/>
  <c r="BJ123" i="264"/>
  <c r="BJ122" i="264"/>
  <c r="BJ121" i="264"/>
  <c r="BK120" i="264"/>
  <c r="BJ120" i="264"/>
  <c r="BK119" i="264"/>
  <c r="BJ119" i="264"/>
  <c r="BK118" i="264"/>
  <c r="BJ118" i="264"/>
  <c r="BK117" i="264"/>
  <c r="BJ117" i="264"/>
  <c r="BK116" i="264"/>
  <c r="BJ116" i="264"/>
  <c r="BK115" i="264"/>
  <c r="BJ115" i="264"/>
  <c r="BK114" i="264"/>
  <c r="BJ114" i="264"/>
  <c r="BK113" i="264"/>
  <c r="BJ113" i="264"/>
  <c r="BK112" i="264"/>
  <c r="BJ112" i="264"/>
  <c r="BK111" i="264"/>
  <c r="BJ111" i="264"/>
  <c r="BK110" i="264"/>
  <c r="BJ110" i="264"/>
  <c r="BK109" i="264"/>
  <c r="BJ109" i="264"/>
  <c r="BK108" i="264"/>
  <c r="BJ108" i="264"/>
  <c r="BK107" i="264"/>
  <c r="BJ107" i="264"/>
  <c r="BK106" i="264"/>
  <c r="BJ106" i="264"/>
  <c r="BK105" i="264"/>
  <c r="BJ105" i="264"/>
  <c r="BK104" i="264"/>
  <c r="BJ104" i="264"/>
  <c r="BK103" i="264"/>
  <c r="BJ103" i="264"/>
  <c r="BK102" i="264"/>
  <c r="BJ102" i="264"/>
  <c r="BK101" i="264"/>
  <c r="BJ101" i="264"/>
  <c r="BK100" i="264"/>
  <c r="BJ100" i="264"/>
  <c r="BK99" i="264"/>
  <c r="BJ99" i="264"/>
  <c r="BK98" i="264"/>
  <c r="BJ98" i="264"/>
  <c r="BK97" i="264"/>
  <c r="BJ97" i="264"/>
  <c r="BJ96" i="264"/>
  <c r="BK95" i="264"/>
  <c r="BJ95" i="264"/>
  <c r="BK94" i="264"/>
  <c r="BJ94" i="264"/>
  <c r="BK93" i="264"/>
  <c r="BJ93" i="264"/>
  <c r="BK92" i="264"/>
  <c r="BJ92" i="264"/>
  <c r="BK91" i="264"/>
  <c r="BJ91" i="264"/>
  <c r="BK90" i="264"/>
  <c r="BJ90" i="264"/>
  <c r="BK89" i="264"/>
  <c r="BJ89" i="264"/>
  <c r="BK88" i="264"/>
  <c r="BJ88" i="264"/>
  <c r="BK87" i="264"/>
  <c r="BJ87" i="264"/>
  <c r="BK86" i="264"/>
  <c r="BJ86" i="264"/>
  <c r="BK85" i="264"/>
  <c r="BJ85" i="264"/>
  <c r="BK84" i="264"/>
  <c r="BJ84" i="264"/>
  <c r="BK83" i="264"/>
  <c r="BJ83" i="264"/>
  <c r="BK82" i="264"/>
  <c r="BJ82" i="264"/>
  <c r="BK81" i="264"/>
  <c r="BJ81" i="264"/>
  <c r="BK80" i="264"/>
  <c r="BJ80" i="264"/>
  <c r="BK79" i="264"/>
  <c r="BJ79" i="264"/>
  <c r="BK78" i="264"/>
  <c r="BJ78" i="264"/>
  <c r="BK77" i="264"/>
  <c r="BJ77" i="264"/>
  <c r="BK76" i="264"/>
  <c r="BJ76" i="264"/>
  <c r="BK75" i="264"/>
  <c r="BJ75" i="264"/>
  <c r="BK74" i="264"/>
  <c r="BJ74" i="264"/>
  <c r="BK73" i="264"/>
  <c r="BJ73" i="264"/>
  <c r="BK72" i="264"/>
  <c r="BJ72" i="264"/>
  <c r="BK71" i="264"/>
  <c r="BJ71" i="264"/>
  <c r="BK70" i="264"/>
  <c r="BJ70" i="264"/>
  <c r="BK69" i="264"/>
  <c r="BJ69" i="264"/>
  <c r="BK68" i="264"/>
  <c r="BJ68" i="264"/>
  <c r="BK67" i="264"/>
  <c r="BJ67" i="264"/>
  <c r="BK66" i="264"/>
  <c r="BJ66" i="264"/>
  <c r="BK65" i="264"/>
  <c r="BJ65" i="264"/>
  <c r="BK64" i="264"/>
  <c r="BJ64" i="264"/>
  <c r="BK63" i="264"/>
  <c r="BJ63" i="264"/>
  <c r="BK62" i="264"/>
  <c r="BJ62" i="264"/>
  <c r="BK61" i="264"/>
  <c r="BJ61" i="264"/>
  <c r="BK60" i="264"/>
  <c r="BJ60" i="264"/>
  <c r="BK59" i="264"/>
  <c r="BJ59" i="264"/>
  <c r="BK58" i="264"/>
  <c r="BJ58" i="264"/>
  <c r="BK57" i="264"/>
  <c r="BJ57" i="264"/>
  <c r="BK56" i="264"/>
  <c r="BJ56" i="264"/>
  <c r="BK55" i="264"/>
  <c r="BJ55" i="264"/>
  <c r="BK54" i="264"/>
  <c r="BJ54" i="264"/>
  <c r="BK53" i="264"/>
  <c r="BJ53" i="264"/>
  <c r="BK52" i="264"/>
  <c r="BJ52" i="264"/>
  <c r="BK51" i="264"/>
  <c r="BJ51" i="264"/>
  <c r="BK50" i="264"/>
  <c r="BJ50" i="264"/>
  <c r="BK49" i="264"/>
  <c r="BJ49" i="264"/>
  <c r="BK48" i="264"/>
  <c r="BJ48" i="264"/>
  <c r="BK47" i="264"/>
  <c r="BJ47" i="264"/>
  <c r="BK46" i="264"/>
  <c r="BJ46" i="264"/>
  <c r="BK45" i="264"/>
  <c r="BJ45" i="264"/>
  <c r="BK44" i="264"/>
  <c r="BJ44" i="264"/>
  <c r="BK43" i="264"/>
  <c r="BJ43" i="264"/>
  <c r="BI42" i="264"/>
  <c r="BH42" i="264"/>
  <c r="BE42" i="264"/>
  <c r="BD42" i="264"/>
  <c r="BC42" i="264"/>
  <c r="BB42" i="264"/>
  <c r="BA42" i="264"/>
  <c r="AZ42" i="264"/>
  <c r="AY42" i="264"/>
  <c r="AX42" i="264"/>
  <c r="AW42" i="264"/>
  <c r="AV42" i="264"/>
  <c r="AU42" i="264"/>
  <c r="AT42" i="264"/>
  <c r="AQ42" i="264"/>
  <c r="AP42" i="264"/>
  <c r="AO42" i="264"/>
  <c r="AN42" i="264"/>
  <c r="AM42" i="264"/>
  <c r="AL42" i="264"/>
  <c r="AK42" i="264"/>
  <c r="AJ42" i="264"/>
  <c r="AI42" i="264"/>
  <c r="AH42" i="264"/>
  <c r="AG42" i="264"/>
  <c r="AF42" i="264"/>
  <c r="AC42" i="264"/>
  <c r="AB42" i="264"/>
  <c r="Z42" i="264"/>
  <c r="Y42" i="264"/>
  <c r="X42" i="264"/>
  <c r="W42" i="264"/>
  <c r="V42" i="264"/>
  <c r="U42" i="264"/>
  <c r="T42" i="264"/>
  <c r="S42" i="264"/>
  <c r="R42" i="264"/>
  <c r="O42" i="264"/>
  <c r="N42" i="264"/>
  <c r="M42" i="264"/>
  <c r="L42" i="264"/>
  <c r="K42" i="264"/>
  <c r="J42" i="264"/>
  <c r="I42" i="264"/>
  <c r="H42" i="264"/>
  <c r="G42" i="264"/>
  <c r="F42" i="264"/>
  <c r="BK41" i="264"/>
  <c r="BJ41" i="264"/>
  <c r="BK40" i="264"/>
  <c r="BJ40" i="264"/>
  <c r="BK39" i="264"/>
  <c r="BJ39" i="264"/>
  <c r="BK38" i="264"/>
  <c r="BJ38" i="264"/>
  <c r="BK37" i="264"/>
  <c r="BJ37" i="264"/>
  <c r="BK36" i="264"/>
  <c r="BJ36" i="264"/>
  <c r="BK35" i="264"/>
  <c r="BJ35" i="264"/>
  <c r="BK34" i="264"/>
  <c r="BJ34" i="264"/>
  <c r="BK33" i="264"/>
  <c r="BJ33" i="264"/>
  <c r="BI32" i="264"/>
  <c r="BH32" i="264"/>
  <c r="BE32" i="264"/>
  <c r="BD32" i="264"/>
  <c r="BC32" i="264"/>
  <c r="BB32" i="264"/>
  <c r="BA32" i="264"/>
  <c r="AZ32" i="264"/>
  <c r="AY32" i="264"/>
  <c r="AX32" i="264"/>
  <c r="AW32" i="264"/>
  <c r="AV32" i="264"/>
  <c r="AU32" i="264"/>
  <c r="AT32" i="264"/>
  <c r="AQ32" i="264"/>
  <c r="AP32" i="264"/>
  <c r="AO32" i="264"/>
  <c r="AN32" i="264"/>
  <c r="AM32" i="264"/>
  <c r="AL32" i="264"/>
  <c r="AK32" i="264"/>
  <c r="AJ32" i="264"/>
  <c r="AI32" i="264"/>
  <c r="AH32" i="264"/>
  <c r="AG32" i="264"/>
  <c r="AF32" i="264"/>
  <c r="AF136" i="264" s="1"/>
  <c r="AC32" i="264"/>
  <c r="AB32" i="264"/>
  <c r="AB136" i="264" s="1"/>
  <c r="AA32" i="264"/>
  <c r="Z32" i="264"/>
  <c r="Z136" i="264" s="1"/>
  <c r="Y32" i="264"/>
  <c r="X32" i="264"/>
  <c r="X136" i="264" s="1"/>
  <c r="W32" i="264"/>
  <c r="V32" i="264"/>
  <c r="V136" i="264" s="1"/>
  <c r="U32" i="264"/>
  <c r="T32" i="264"/>
  <c r="T136" i="264" s="1"/>
  <c r="S32" i="264"/>
  <c r="R32" i="264"/>
  <c r="O32" i="264"/>
  <c r="N32" i="264"/>
  <c r="N136" i="264" s="1"/>
  <c r="M32" i="264"/>
  <c r="L32" i="264"/>
  <c r="L136" i="264" s="1"/>
  <c r="K32" i="264"/>
  <c r="J32" i="264"/>
  <c r="J136" i="264" s="1"/>
  <c r="I32" i="264"/>
  <c r="H32" i="264"/>
  <c r="G32" i="264"/>
  <c r="F32" i="264"/>
  <c r="BK31" i="264"/>
  <c r="BJ31" i="264"/>
  <c r="C31" i="264"/>
  <c r="BK30" i="264"/>
  <c r="BJ30" i="264"/>
  <c r="C30" i="264"/>
  <c r="BK29" i="264"/>
  <c r="BJ29" i="264"/>
  <c r="C29" i="264"/>
  <c r="BK28" i="264"/>
  <c r="BJ28" i="264"/>
  <c r="C28" i="264"/>
  <c r="BK27" i="264"/>
  <c r="BJ27" i="264"/>
  <c r="C27" i="264"/>
  <c r="BK26" i="264"/>
  <c r="BJ26" i="264"/>
  <c r="C26" i="264"/>
  <c r="BK25" i="264"/>
  <c r="BJ25" i="264"/>
  <c r="C25" i="264"/>
  <c r="BK24" i="264"/>
  <c r="BJ24" i="264"/>
  <c r="C24" i="264"/>
  <c r="BK23" i="264"/>
  <c r="BJ23" i="264"/>
  <c r="C23" i="264"/>
  <c r="BK22" i="264"/>
  <c r="BJ22" i="264"/>
  <c r="C22" i="264"/>
  <c r="BK21" i="264"/>
  <c r="BJ21" i="264"/>
  <c r="C21" i="264"/>
  <c r="BK20" i="264"/>
  <c r="BJ20" i="264"/>
  <c r="C20" i="264"/>
  <c r="BK19" i="264"/>
  <c r="BJ19" i="264"/>
  <c r="C19" i="264"/>
  <c r="BK18" i="264"/>
  <c r="BJ18" i="264"/>
  <c r="C18" i="264"/>
  <c r="BK17" i="264"/>
  <c r="BJ17" i="264"/>
  <c r="C17" i="264"/>
  <c r="BK16" i="264"/>
  <c r="BJ16" i="264"/>
  <c r="C16" i="264"/>
  <c r="BK15" i="264"/>
  <c r="BJ15" i="264"/>
  <c r="C15" i="264"/>
  <c r="BK14" i="264"/>
  <c r="BJ14" i="264"/>
  <c r="C14" i="264"/>
  <c r="BK13" i="264"/>
  <c r="BJ13" i="264"/>
  <c r="C13" i="264"/>
  <c r="BK12" i="264"/>
  <c r="C12" i="264"/>
  <c r="BK6" i="264"/>
  <c r="C6" i="264"/>
  <c r="BK5" i="264"/>
  <c r="C5" i="264"/>
  <c r="BI1" i="264"/>
  <c r="BH1" i="264"/>
  <c r="BG1" i="264"/>
  <c r="BF1" i="264"/>
  <c r="BE1" i="264"/>
  <c r="BD1" i="264"/>
  <c r="BC1" i="264"/>
  <c r="BB1" i="264"/>
  <c r="BA1" i="264"/>
  <c r="AZ1" i="264"/>
  <c r="AY1" i="264"/>
  <c r="AX1" i="264"/>
  <c r="AW1" i="264"/>
  <c r="AV1" i="264"/>
  <c r="AU1" i="264"/>
  <c r="AT1" i="264"/>
  <c r="AS1" i="264"/>
  <c r="AR1" i="264"/>
  <c r="AQ1" i="264"/>
  <c r="AP1" i="264"/>
  <c r="AO1" i="264"/>
  <c r="AN1" i="264"/>
  <c r="AM1" i="264"/>
  <c r="AL1" i="264"/>
  <c r="AK1" i="264"/>
  <c r="AJ1" i="264"/>
  <c r="AI1" i="264"/>
  <c r="AH1" i="264"/>
  <c r="AG1" i="264"/>
  <c r="AF1" i="264"/>
  <c r="AE1" i="264"/>
  <c r="AD1" i="264"/>
  <c r="AC1" i="264"/>
  <c r="AB1" i="264"/>
  <c r="AA1" i="264"/>
  <c r="Z1" i="264"/>
  <c r="Y1" i="264"/>
  <c r="X1" i="264"/>
  <c r="W1" i="264"/>
  <c r="V1" i="264"/>
  <c r="U1" i="264"/>
  <c r="T1" i="264"/>
  <c r="S1" i="264"/>
  <c r="R1" i="264"/>
  <c r="Q1" i="264"/>
  <c r="P1" i="264"/>
  <c r="O1" i="264"/>
  <c r="N1" i="264"/>
  <c r="M1" i="264"/>
  <c r="L1" i="264"/>
  <c r="K1" i="264"/>
  <c r="J1" i="264"/>
  <c r="I1" i="264"/>
  <c r="H1" i="264"/>
  <c r="G1" i="264"/>
  <c r="F1" i="264"/>
  <c r="C11" i="258"/>
  <c r="C10" i="258"/>
  <c r="C9" i="258"/>
  <c r="C8" i="258"/>
  <c r="L130" i="264" l="1"/>
  <c r="L135" i="264" s="1"/>
  <c r="AF130" i="264"/>
  <c r="AF132" i="264" s="1"/>
  <c r="N130" i="264"/>
  <c r="N132" i="264" s="1"/>
  <c r="X130" i="264"/>
  <c r="AB132" i="264"/>
  <c r="AB135" i="264"/>
  <c r="Z132" i="264"/>
  <c r="Z135" i="264"/>
  <c r="X132" i="264"/>
  <c r="X135" i="264"/>
  <c r="V130" i="264"/>
  <c r="V135" i="264" s="1"/>
  <c r="V132" i="264"/>
  <c r="T132" i="264"/>
  <c r="T135" i="264"/>
  <c r="L132" i="264"/>
  <c r="J130" i="264"/>
  <c r="J135" i="264" s="1"/>
  <c r="J132" i="264"/>
  <c r="AV126" i="264"/>
  <c r="BJ42" i="264"/>
  <c r="BK42" i="264"/>
  <c r="BJ1" i="264"/>
  <c r="C103" i="264"/>
  <c r="C107" i="264"/>
  <c r="H126" i="264"/>
  <c r="L126" i="264"/>
  <c r="T126" i="264"/>
  <c r="X126" i="264"/>
  <c r="AB126" i="264"/>
  <c r="AF126" i="264"/>
  <c r="AJ126" i="264"/>
  <c r="AN126" i="264"/>
  <c r="AZ126" i="264"/>
  <c r="BD126" i="264"/>
  <c r="BH126" i="264"/>
  <c r="K126" i="264"/>
  <c r="S126" i="264"/>
  <c r="AA126" i="264"/>
  <c r="AI126" i="264"/>
  <c r="C99" i="264"/>
  <c r="C115" i="264"/>
  <c r="C43" i="264"/>
  <c r="C72" i="264"/>
  <c r="BJ131" i="264"/>
  <c r="BK32" i="264"/>
  <c r="F126" i="264"/>
  <c r="BJ125" i="264"/>
  <c r="J126" i="264"/>
  <c r="N126" i="264"/>
  <c r="R126" i="264"/>
  <c r="V126" i="264"/>
  <c r="Z126" i="264"/>
  <c r="AH126" i="264"/>
  <c r="AL126" i="264"/>
  <c r="AP126" i="264"/>
  <c r="AT126" i="264"/>
  <c r="AX126" i="264"/>
  <c r="BB126" i="264"/>
  <c r="BJ127" i="264"/>
  <c r="AM126" i="264"/>
  <c r="AQ126" i="264"/>
  <c r="AU126" i="264"/>
  <c r="AY126" i="264"/>
  <c r="BC126" i="264"/>
  <c r="G126" i="264"/>
  <c r="O126" i="264"/>
  <c r="W126" i="264"/>
  <c r="BJ32" i="264"/>
  <c r="BJ136" i="264" s="1"/>
  <c r="I12" i="22" s="1"/>
  <c r="I126" i="264"/>
  <c r="M126" i="264"/>
  <c r="U126" i="264"/>
  <c r="Y126" i="264"/>
  <c r="AC126" i="264"/>
  <c r="AG126" i="264"/>
  <c r="AK126" i="264"/>
  <c r="AO126" i="264"/>
  <c r="AW126" i="264"/>
  <c r="BA126" i="264"/>
  <c r="BE126" i="264"/>
  <c r="BI126" i="264"/>
  <c r="N135" i="264" l="1"/>
  <c r="AF135" i="264"/>
  <c r="AF133" i="264"/>
  <c r="AF134" i="264"/>
  <c r="AF137" i="264"/>
  <c r="AB134" i="264"/>
  <c r="AB133" i="264"/>
  <c r="AB137" i="264"/>
  <c r="Z134" i="264"/>
  <c r="Z137" i="264" s="1"/>
  <c r="Z133" i="264"/>
  <c r="X133" i="264"/>
  <c r="X134" i="264"/>
  <c r="X137" i="264"/>
  <c r="V134" i="264"/>
  <c r="V137" i="264" s="1"/>
  <c r="V133" i="264"/>
  <c r="T133" i="264"/>
  <c r="T134" i="264"/>
  <c r="T137" i="264" s="1"/>
  <c r="N133" i="264"/>
  <c r="N134" i="264"/>
  <c r="L134" i="264"/>
  <c r="L137" i="264" s="1"/>
  <c r="L133" i="264"/>
  <c r="J133" i="264"/>
  <c r="J134" i="264"/>
  <c r="J137" i="264"/>
  <c r="BJ126" i="264"/>
  <c r="BJ130" i="264"/>
  <c r="BJ132" i="264" s="1"/>
  <c r="BJ114" i="262"/>
  <c r="BI112" i="262"/>
  <c r="BH112" i="262"/>
  <c r="BG112" i="262"/>
  <c r="BF112" i="262"/>
  <c r="BE112" i="262"/>
  <c r="BD112" i="262"/>
  <c r="BC112" i="262"/>
  <c r="BB112" i="262"/>
  <c r="BA112" i="262"/>
  <c r="AZ112" i="262"/>
  <c r="AY112" i="262"/>
  <c r="AX112" i="262"/>
  <c r="AW112" i="262"/>
  <c r="AV112" i="262"/>
  <c r="AU112" i="262"/>
  <c r="AT112" i="262"/>
  <c r="AS112" i="262"/>
  <c r="AR112" i="262"/>
  <c r="AQ112" i="262"/>
  <c r="AP112" i="262"/>
  <c r="AO112" i="262"/>
  <c r="AN112" i="262"/>
  <c r="AM112" i="262"/>
  <c r="AL112" i="262"/>
  <c r="AK112" i="262"/>
  <c r="AJ112" i="262"/>
  <c r="AI112" i="262"/>
  <c r="AH112" i="262"/>
  <c r="AG112" i="262"/>
  <c r="AF112" i="262"/>
  <c r="AE112" i="262"/>
  <c r="AD112" i="262"/>
  <c r="AC112" i="262"/>
  <c r="AB112" i="262"/>
  <c r="AA112" i="262"/>
  <c r="Z112" i="262"/>
  <c r="Y112" i="262"/>
  <c r="X112" i="262"/>
  <c r="W112" i="262"/>
  <c r="V112" i="262"/>
  <c r="U112" i="262"/>
  <c r="T112" i="262"/>
  <c r="BJ113" i="262" s="1"/>
  <c r="S112" i="262"/>
  <c r="R112" i="262"/>
  <c r="Q112" i="262"/>
  <c r="P112" i="262"/>
  <c r="O112" i="262"/>
  <c r="N112" i="262"/>
  <c r="M112" i="262"/>
  <c r="L112" i="262"/>
  <c r="K112" i="262"/>
  <c r="J112" i="262"/>
  <c r="I112" i="262"/>
  <c r="F112" i="262"/>
  <c r="BI110" i="262"/>
  <c r="BH110" i="262"/>
  <c r="BG110" i="262"/>
  <c r="BF110" i="262"/>
  <c r="BE110" i="262"/>
  <c r="BD110" i="262"/>
  <c r="BC110" i="262"/>
  <c r="BB110" i="262"/>
  <c r="BA110" i="262"/>
  <c r="AZ110" i="262"/>
  <c r="AY110" i="262"/>
  <c r="AX110" i="262"/>
  <c r="AW110" i="262"/>
  <c r="AV110" i="262"/>
  <c r="AU110" i="262"/>
  <c r="AT110" i="262"/>
  <c r="AS110" i="262"/>
  <c r="AR110" i="262"/>
  <c r="AQ110" i="262"/>
  <c r="AP110" i="262"/>
  <c r="AO110" i="262"/>
  <c r="AN110" i="262"/>
  <c r="AM110" i="262"/>
  <c r="AL110" i="262"/>
  <c r="AK110" i="262"/>
  <c r="AJ110" i="262"/>
  <c r="AI110" i="262"/>
  <c r="AH110" i="262"/>
  <c r="AG110" i="262"/>
  <c r="AF110" i="262"/>
  <c r="AE110" i="262"/>
  <c r="AD110" i="262"/>
  <c r="AC110" i="262"/>
  <c r="AB110" i="262"/>
  <c r="AA110" i="262"/>
  <c r="Z110" i="262"/>
  <c r="Y110" i="262"/>
  <c r="X110" i="262"/>
  <c r="W110" i="262"/>
  <c r="V110" i="262"/>
  <c r="U110" i="262"/>
  <c r="T110" i="262"/>
  <c r="S110" i="262"/>
  <c r="R110" i="262"/>
  <c r="Q110" i="262"/>
  <c r="P110" i="262"/>
  <c r="O110" i="262"/>
  <c r="N110" i="262"/>
  <c r="M110" i="262"/>
  <c r="L110" i="262"/>
  <c r="K110" i="262"/>
  <c r="J110" i="262"/>
  <c r="I110" i="262"/>
  <c r="F110" i="262"/>
  <c r="BJ109" i="262"/>
  <c r="BJ108" i="262"/>
  <c r="BJ107" i="262"/>
  <c r="BJ106" i="262"/>
  <c r="BK105" i="262"/>
  <c r="BJ105" i="262"/>
  <c r="BK104" i="262"/>
  <c r="BJ104" i="262"/>
  <c r="BK103" i="262"/>
  <c r="BJ103" i="262"/>
  <c r="BK102" i="262"/>
  <c r="BJ102" i="262"/>
  <c r="BK101" i="262"/>
  <c r="BJ101" i="262"/>
  <c r="BK100" i="262"/>
  <c r="BJ100" i="262"/>
  <c r="BK99" i="262"/>
  <c r="BJ99" i="262"/>
  <c r="BK98" i="262"/>
  <c r="BJ98" i="262"/>
  <c r="BK97" i="262"/>
  <c r="BJ97" i="262"/>
  <c r="BK96" i="262"/>
  <c r="BJ96" i="262"/>
  <c r="BK95" i="262"/>
  <c r="BJ95" i="262"/>
  <c r="BK94" i="262"/>
  <c r="BJ94" i="262"/>
  <c r="BK93" i="262"/>
  <c r="BJ93" i="262"/>
  <c r="BK92" i="262"/>
  <c r="BJ92" i="262"/>
  <c r="BK91" i="262"/>
  <c r="BJ91" i="262"/>
  <c r="BK90" i="262"/>
  <c r="BJ90" i="262"/>
  <c r="BK89" i="262"/>
  <c r="BJ89" i="262"/>
  <c r="BK88" i="262"/>
  <c r="BJ88" i="262"/>
  <c r="BK87" i="262"/>
  <c r="BJ87" i="262"/>
  <c r="BK86" i="262"/>
  <c r="BJ86" i="262"/>
  <c r="BK85" i="262"/>
  <c r="BJ85" i="262"/>
  <c r="BK84" i="262"/>
  <c r="BJ84" i="262"/>
  <c r="BK83" i="262"/>
  <c r="BJ83" i="262"/>
  <c r="BK82" i="262"/>
  <c r="BJ82" i="262"/>
  <c r="BJ81" i="262"/>
  <c r="BK80" i="262"/>
  <c r="BJ80" i="262"/>
  <c r="BK79" i="262"/>
  <c r="BJ79" i="262"/>
  <c r="BK78" i="262"/>
  <c r="BJ78" i="262"/>
  <c r="BK77" i="262"/>
  <c r="BJ77" i="262"/>
  <c r="BK76" i="262"/>
  <c r="BJ76" i="262"/>
  <c r="BK75" i="262"/>
  <c r="BJ75" i="262"/>
  <c r="BK74" i="262"/>
  <c r="BJ74" i="262"/>
  <c r="BK73" i="262"/>
  <c r="BJ73" i="262"/>
  <c r="BK72" i="262"/>
  <c r="BJ72" i="262"/>
  <c r="BK71" i="262"/>
  <c r="BJ71" i="262"/>
  <c r="BK70" i="262"/>
  <c r="BJ70" i="262"/>
  <c r="BK69" i="262"/>
  <c r="BJ69" i="262"/>
  <c r="BK68" i="262"/>
  <c r="BJ68" i="262"/>
  <c r="BK67" i="262"/>
  <c r="BJ67" i="262"/>
  <c r="BK66" i="262"/>
  <c r="BJ66" i="262"/>
  <c r="BK65" i="262"/>
  <c r="BJ65" i="262"/>
  <c r="BK64" i="262"/>
  <c r="BJ64" i="262"/>
  <c r="BK63" i="262"/>
  <c r="BJ63" i="262"/>
  <c r="BK62" i="262"/>
  <c r="BJ62" i="262"/>
  <c r="BK61" i="262"/>
  <c r="BJ61" i="262"/>
  <c r="BK60" i="262"/>
  <c r="BJ60" i="262"/>
  <c r="BK59" i="262"/>
  <c r="BJ59" i="262"/>
  <c r="BK58" i="262"/>
  <c r="BJ58" i="262"/>
  <c r="BK57" i="262"/>
  <c r="BJ57" i="262"/>
  <c r="BK56" i="262"/>
  <c r="BJ56" i="262"/>
  <c r="BK55" i="262"/>
  <c r="BJ55" i="262"/>
  <c r="BK54" i="262"/>
  <c r="BJ54" i="262"/>
  <c r="BK53" i="262"/>
  <c r="BJ53" i="262"/>
  <c r="BK52" i="262"/>
  <c r="BJ52" i="262"/>
  <c r="BK51" i="262"/>
  <c r="BJ51" i="262"/>
  <c r="BK50" i="262"/>
  <c r="BJ50" i="262"/>
  <c r="BK49" i="262"/>
  <c r="BJ49" i="262"/>
  <c r="BK48" i="262"/>
  <c r="BJ48" i="262"/>
  <c r="BK47" i="262"/>
  <c r="BJ47" i="262"/>
  <c r="BK46" i="262"/>
  <c r="BJ46" i="262"/>
  <c r="BK45" i="262"/>
  <c r="BJ45" i="262"/>
  <c r="BK44" i="262"/>
  <c r="BJ44" i="262"/>
  <c r="BK43" i="262"/>
  <c r="BJ43" i="262"/>
  <c r="BK42" i="262"/>
  <c r="BJ42" i="262"/>
  <c r="BK41" i="262"/>
  <c r="BJ41" i="262"/>
  <c r="BK40" i="262"/>
  <c r="BJ40" i="262"/>
  <c r="BK39" i="262"/>
  <c r="BJ39" i="262"/>
  <c r="BK38" i="262"/>
  <c r="BJ38" i="262"/>
  <c r="BK37" i="262"/>
  <c r="BJ37" i="262"/>
  <c r="BK36" i="262"/>
  <c r="BJ36" i="262"/>
  <c r="BK35" i="262"/>
  <c r="BJ35" i="262"/>
  <c r="BK34" i="262"/>
  <c r="BJ34" i="262"/>
  <c r="BK33" i="262"/>
  <c r="BJ33" i="262"/>
  <c r="BK32" i="262"/>
  <c r="BJ32" i="262"/>
  <c r="BK31" i="262"/>
  <c r="BJ31" i="262"/>
  <c r="BK30" i="262"/>
  <c r="BJ30" i="262"/>
  <c r="BK29" i="262"/>
  <c r="BJ29" i="262"/>
  <c r="BK28" i="262"/>
  <c r="BJ28" i="262"/>
  <c r="BI27" i="262"/>
  <c r="BH27" i="262"/>
  <c r="BG27" i="262"/>
  <c r="BF27" i="262"/>
  <c r="BE27" i="262"/>
  <c r="BD27" i="262"/>
  <c r="BC27" i="262"/>
  <c r="BB27" i="262"/>
  <c r="BA27" i="262"/>
  <c r="AZ27" i="262"/>
  <c r="AY27" i="262"/>
  <c r="AX27" i="262"/>
  <c r="AW27" i="262"/>
  <c r="AV27" i="262"/>
  <c r="AU27" i="262"/>
  <c r="AT27" i="262"/>
  <c r="AS27" i="262"/>
  <c r="AR27" i="262"/>
  <c r="AQ27" i="262"/>
  <c r="AP27" i="262"/>
  <c r="AO27" i="262"/>
  <c r="AN27" i="262"/>
  <c r="AM27" i="262"/>
  <c r="AL27" i="262"/>
  <c r="AK27" i="262"/>
  <c r="AJ27" i="262"/>
  <c r="AI27" i="262"/>
  <c r="AH27" i="262"/>
  <c r="AG27" i="262"/>
  <c r="AF27" i="262"/>
  <c r="AE27" i="262"/>
  <c r="AD27" i="262"/>
  <c r="AC27" i="262"/>
  <c r="AB27" i="262"/>
  <c r="AA27" i="262"/>
  <c r="Z27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J27" i="262"/>
  <c r="I27" i="262"/>
  <c r="BK26" i="262"/>
  <c r="BJ26" i="262"/>
  <c r="BK25" i="262"/>
  <c r="BJ25" i="262"/>
  <c r="BK24" i="262"/>
  <c r="BJ24" i="262"/>
  <c r="BK23" i="262"/>
  <c r="BJ23" i="262"/>
  <c r="BK22" i="262"/>
  <c r="BJ22" i="262"/>
  <c r="BK21" i="262"/>
  <c r="BJ21" i="262"/>
  <c r="BK20" i="262"/>
  <c r="BJ20" i="262"/>
  <c r="BK19" i="262"/>
  <c r="BJ19" i="262"/>
  <c r="BK18" i="262"/>
  <c r="BJ18" i="262"/>
  <c r="BI17" i="262"/>
  <c r="BH17" i="262"/>
  <c r="BG17" i="262"/>
  <c r="BF17" i="262"/>
  <c r="BE17" i="262"/>
  <c r="BD17" i="262"/>
  <c r="BC17" i="262"/>
  <c r="BB17" i="262"/>
  <c r="BA17" i="262"/>
  <c r="AZ17" i="262"/>
  <c r="AY17" i="262"/>
  <c r="AX17" i="262"/>
  <c r="AW17" i="262"/>
  <c r="AV17" i="262"/>
  <c r="AU17" i="262"/>
  <c r="AT17" i="262"/>
  <c r="AS17" i="262"/>
  <c r="AR17" i="262"/>
  <c r="AQ17" i="262"/>
  <c r="AP17" i="262"/>
  <c r="AO17" i="262"/>
  <c r="AN17" i="262"/>
  <c r="AM17" i="262"/>
  <c r="AL17" i="262"/>
  <c r="AK17" i="262"/>
  <c r="AJ17" i="262"/>
  <c r="AI17" i="262"/>
  <c r="AH17" i="262"/>
  <c r="AG17" i="262"/>
  <c r="AF17" i="262"/>
  <c r="AF121" i="262" s="1"/>
  <c r="AE17" i="262"/>
  <c r="AD17" i="262"/>
  <c r="AC17" i="262"/>
  <c r="AB17" i="262"/>
  <c r="AB121" i="262" s="1"/>
  <c r="AA17" i="262"/>
  <c r="Z17" i="262"/>
  <c r="Z121" i="262" s="1"/>
  <c r="Y17" i="262"/>
  <c r="X17" i="262"/>
  <c r="W17" i="262"/>
  <c r="V17" i="262"/>
  <c r="V121" i="262" s="1"/>
  <c r="U17" i="262"/>
  <c r="T17" i="262"/>
  <c r="S17" i="262"/>
  <c r="R17" i="262"/>
  <c r="Q17" i="262"/>
  <c r="P17" i="262"/>
  <c r="O17" i="262"/>
  <c r="N17" i="262"/>
  <c r="M17" i="262"/>
  <c r="L17" i="262"/>
  <c r="K17" i="262"/>
  <c r="J17" i="262"/>
  <c r="I17" i="262"/>
  <c r="H17" i="262"/>
  <c r="G17" i="262"/>
  <c r="F17" i="262"/>
  <c r="F121" i="262" s="1"/>
  <c r="BK16" i="262"/>
  <c r="BJ16" i="262"/>
  <c r="BK8" i="262"/>
  <c r="BJ8" i="262"/>
  <c r="C8" i="262"/>
  <c r="BK7" i="262"/>
  <c r="BJ7" i="262"/>
  <c r="C7" i="262"/>
  <c r="BK6" i="262"/>
  <c r="BJ6" i="262"/>
  <c r="C6" i="262"/>
  <c r="BK5" i="262"/>
  <c r="BJ5" i="262"/>
  <c r="C5" i="262"/>
  <c r="BI1" i="262"/>
  <c r="BH1" i="262"/>
  <c r="BG1" i="262"/>
  <c r="BF1" i="262"/>
  <c r="BE1" i="262"/>
  <c r="BD1" i="262"/>
  <c r="BC1" i="262"/>
  <c r="BB1" i="262"/>
  <c r="BA1" i="262"/>
  <c r="AZ1" i="262"/>
  <c r="AY1" i="262"/>
  <c r="AX1" i="262"/>
  <c r="AW1" i="262"/>
  <c r="AV1" i="262"/>
  <c r="AU1" i="262"/>
  <c r="AT1" i="262"/>
  <c r="AS1" i="262"/>
  <c r="AR1" i="262"/>
  <c r="AQ1" i="262"/>
  <c r="AP1" i="262"/>
  <c r="AO1" i="262"/>
  <c r="AN1" i="262"/>
  <c r="AM1" i="262"/>
  <c r="AL1" i="262"/>
  <c r="AK1" i="262"/>
  <c r="AJ1" i="262"/>
  <c r="AI1" i="262"/>
  <c r="AH1" i="262"/>
  <c r="AG1" i="262"/>
  <c r="AF1" i="262"/>
  <c r="AE1" i="262"/>
  <c r="AD1" i="262"/>
  <c r="AC1" i="262"/>
  <c r="AB1" i="262"/>
  <c r="AA1" i="262"/>
  <c r="Z1" i="262"/>
  <c r="Y1" i="262"/>
  <c r="X1" i="262"/>
  <c r="W1" i="262"/>
  <c r="V1" i="262"/>
  <c r="U1" i="262"/>
  <c r="T1" i="262"/>
  <c r="S1" i="262"/>
  <c r="R1" i="262"/>
  <c r="Q1" i="262"/>
  <c r="P1" i="262"/>
  <c r="O1" i="262"/>
  <c r="N1" i="262"/>
  <c r="M1" i="262"/>
  <c r="L1" i="262"/>
  <c r="K1" i="262"/>
  <c r="J1" i="262"/>
  <c r="I1" i="262"/>
  <c r="H1" i="262"/>
  <c r="G1" i="262"/>
  <c r="F1" i="262"/>
  <c r="P125" i="258"/>
  <c r="P123" i="258"/>
  <c r="R125" i="258"/>
  <c r="R123" i="258"/>
  <c r="R30" i="258"/>
  <c r="P120" i="260"/>
  <c r="P118" i="260"/>
  <c r="R118" i="260"/>
  <c r="R35" i="260"/>
  <c r="R25" i="260"/>
  <c r="C5" i="255"/>
  <c r="S113" i="261"/>
  <c r="R113" i="261"/>
  <c r="S111" i="261"/>
  <c r="R111" i="261"/>
  <c r="S28" i="261"/>
  <c r="R28" i="261"/>
  <c r="S18" i="261"/>
  <c r="R18" i="261"/>
  <c r="C5" i="261"/>
  <c r="C6" i="261"/>
  <c r="N137" i="264" l="1"/>
  <c r="AF115" i="262"/>
  <c r="AF117" i="262" s="1"/>
  <c r="AF120" i="262"/>
  <c r="AB115" i="262"/>
  <c r="AB117" i="262"/>
  <c r="AB120" i="262"/>
  <c r="V115" i="262"/>
  <c r="V120" i="262" s="1"/>
  <c r="Z115" i="262"/>
  <c r="Z117" i="262" s="1"/>
  <c r="F115" i="262"/>
  <c r="F120" i="262" s="1"/>
  <c r="P119" i="260"/>
  <c r="R119" i="260"/>
  <c r="R112" i="261"/>
  <c r="S112" i="261"/>
  <c r="BJ135" i="264"/>
  <c r="H12" i="22" s="1"/>
  <c r="BJ134" i="264"/>
  <c r="G12" i="22" s="1"/>
  <c r="BJ133" i="264"/>
  <c r="P124" i="258"/>
  <c r="N111" i="262"/>
  <c r="R111" i="262"/>
  <c r="J111" i="262"/>
  <c r="C92" i="262"/>
  <c r="L111" i="262"/>
  <c r="P111" i="262"/>
  <c r="T111" i="262"/>
  <c r="X111" i="262"/>
  <c r="AB111" i="262"/>
  <c r="AF111" i="262"/>
  <c r="AJ111" i="262"/>
  <c r="AN111" i="262"/>
  <c r="AR111" i="262"/>
  <c r="AV111" i="262"/>
  <c r="AZ111" i="262"/>
  <c r="BD111" i="262"/>
  <c r="BH111" i="262"/>
  <c r="M111" i="262"/>
  <c r="Q111" i="262"/>
  <c r="AC111" i="262"/>
  <c r="AG111" i="262"/>
  <c r="AS111" i="262"/>
  <c r="AW111" i="262"/>
  <c r="BI111" i="262"/>
  <c r="V111" i="262"/>
  <c r="Z111" i="262"/>
  <c r="AD111" i="262"/>
  <c r="AH111" i="262"/>
  <c r="AL111" i="262"/>
  <c r="AP111" i="262"/>
  <c r="AT111" i="262"/>
  <c r="AX111" i="262"/>
  <c r="BB111" i="262"/>
  <c r="BF111" i="262"/>
  <c r="C57" i="262"/>
  <c r="K111" i="262"/>
  <c r="O111" i="262"/>
  <c r="S111" i="262"/>
  <c r="W111" i="262"/>
  <c r="AA111" i="262"/>
  <c r="AE111" i="262"/>
  <c r="AI111" i="262"/>
  <c r="AM111" i="262"/>
  <c r="AQ111" i="262"/>
  <c r="AU111" i="262"/>
  <c r="AY111" i="262"/>
  <c r="BC111" i="262"/>
  <c r="BG111" i="262"/>
  <c r="I111" i="262"/>
  <c r="U111" i="262"/>
  <c r="Y111" i="262"/>
  <c r="AK111" i="262"/>
  <c r="AO111" i="262"/>
  <c r="BA111" i="262"/>
  <c r="BE111" i="262"/>
  <c r="BJ116" i="262"/>
  <c r="BK17" i="262"/>
  <c r="BJ112" i="262"/>
  <c r="C100" i="262"/>
  <c r="BJ110" i="262"/>
  <c r="C88" i="262"/>
  <c r="C28" i="262"/>
  <c r="C84" i="262"/>
  <c r="BK27" i="262"/>
  <c r="BJ27" i="262"/>
  <c r="BJ1" i="262"/>
  <c r="BJ17" i="262"/>
  <c r="BJ121" i="262" s="1"/>
  <c r="I14" i="22" s="1"/>
  <c r="F111" i="262"/>
  <c r="R124" i="258"/>
  <c r="AF119" i="262" l="1"/>
  <c r="AF122" i="262" s="1"/>
  <c r="AF118" i="262"/>
  <c r="AB119" i="262"/>
  <c r="AB122" i="262" s="1"/>
  <c r="AB118" i="262"/>
  <c r="Z120" i="262"/>
  <c r="V117" i="262"/>
  <c r="Z119" i="262"/>
  <c r="Z118" i="262"/>
  <c r="V118" i="262"/>
  <c r="V119" i="262"/>
  <c r="V122" i="262" s="1"/>
  <c r="J12" i="22"/>
  <c r="L12" i="22" s="1"/>
  <c r="F117" i="262"/>
  <c r="F118" i="262"/>
  <c r="F119" i="262"/>
  <c r="F122" i="262" s="1"/>
  <c r="BJ137" i="264"/>
  <c r="BJ115" i="262"/>
  <c r="BJ117" i="262" s="1"/>
  <c r="BJ111" i="262"/>
  <c r="BJ115" i="261"/>
  <c r="BJ114" i="261"/>
  <c r="BI113" i="261"/>
  <c r="BH113" i="261"/>
  <c r="BG113" i="261"/>
  <c r="BF113" i="261"/>
  <c r="BE113" i="261"/>
  <c r="BD113" i="261"/>
  <c r="BC113" i="261"/>
  <c r="BB113" i="261"/>
  <c r="BA113" i="261"/>
  <c r="AZ113" i="261"/>
  <c r="AY113" i="261"/>
  <c r="AX113" i="261"/>
  <c r="AW113" i="261"/>
  <c r="AV113" i="261"/>
  <c r="AU113" i="261"/>
  <c r="AT113" i="261"/>
  <c r="AS113" i="261"/>
  <c r="AR113" i="261"/>
  <c r="AQ113" i="261"/>
  <c r="AP113" i="261"/>
  <c r="AO113" i="261"/>
  <c r="AN113" i="261"/>
  <c r="AM113" i="261"/>
  <c r="AL113" i="261"/>
  <c r="AK113" i="261"/>
  <c r="AJ113" i="261"/>
  <c r="AI113" i="261"/>
  <c r="AH113" i="261"/>
  <c r="AG113" i="261"/>
  <c r="AF113" i="261"/>
  <c r="AE113" i="261"/>
  <c r="AD113" i="261"/>
  <c r="AC113" i="261"/>
  <c r="AB113" i="261"/>
  <c r="AA113" i="261"/>
  <c r="Z113" i="261"/>
  <c r="Y113" i="261"/>
  <c r="X113" i="261"/>
  <c r="W113" i="261"/>
  <c r="V113" i="261"/>
  <c r="U113" i="261"/>
  <c r="T113" i="261"/>
  <c r="Q113" i="261"/>
  <c r="P113" i="261"/>
  <c r="O113" i="261"/>
  <c r="M113" i="261"/>
  <c r="L113" i="261"/>
  <c r="K113" i="261"/>
  <c r="J113" i="261"/>
  <c r="I113" i="261"/>
  <c r="H113" i="261"/>
  <c r="G113" i="261"/>
  <c r="F113" i="261"/>
  <c r="BI111" i="261"/>
  <c r="BH111" i="261"/>
  <c r="BG111" i="261"/>
  <c r="BF111" i="261"/>
  <c r="BE111" i="261"/>
  <c r="BD111" i="261"/>
  <c r="BC111" i="261"/>
  <c r="BB111" i="261"/>
  <c r="BA111" i="261"/>
  <c r="AZ111" i="261"/>
  <c r="AY111" i="261"/>
  <c r="AX111" i="261"/>
  <c r="AW111" i="261"/>
  <c r="AV111" i="261"/>
  <c r="AU111" i="261"/>
  <c r="AT111" i="261"/>
  <c r="AS111" i="261"/>
  <c r="AR111" i="261"/>
  <c r="AQ111" i="261"/>
  <c r="AP111" i="261"/>
  <c r="AO111" i="261"/>
  <c r="AN111" i="261"/>
  <c r="AM111" i="261"/>
  <c r="AL111" i="261"/>
  <c r="AK111" i="261"/>
  <c r="AJ111" i="261"/>
  <c r="AI111" i="261"/>
  <c r="AH111" i="261"/>
  <c r="AG111" i="261"/>
  <c r="AF111" i="261"/>
  <c r="AE111" i="261"/>
  <c r="AD111" i="261"/>
  <c r="AC111" i="261"/>
  <c r="AB111" i="261"/>
  <c r="AA111" i="261"/>
  <c r="Z111" i="261"/>
  <c r="Y111" i="261"/>
  <c r="X111" i="261"/>
  <c r="W111" i="261"/>
  <c r="V111" i="261"/>
  <c r="U111" i="261"/>
  <c r="T111" i="261"/>
  <c r="Q111" i="261"/>
  <c r="P111" i="261"/>
  <c r="O111" i="261"/>
  <c r="M111" i="261"/>
  <c r="L111" i="261"/>
  <c r="K111" i="261"/>
  <c r="J111" i="261"/>
  <c r="I111" i="261"/>
  <c r="H111" i="261"/>
  <c r="G111" i="261"/>
  <c r="F111" i="261"/>
  <c r="BJ110" i="261"/>
  <c r="BJ109" i="261"/>
  <c r="BJ108" i="261"/>
  <c r="BJ107" i="261"/>
  <c r="BK106" i="261"/>
  <c r="BJ106" i="261"/>
  <c r="BK105" i="261"/>
  <c r="BJ105" i="261"/>
  <c r="BK104" i="261"/>
  <c r="BJ104" i="261"/>
  <c r="BK103" i="261"/>
  <c r="BJ103" i="261"/>
  <c r="BK102" i="261"/>
  <c r="BJ102" i="261"/>
  <c r="BK101" i="261"/>
  <c r="BJ101" i="261"/>
  <c r="BK100" i="261"/>
  <c r="BJ100" i="261"/>
  <c r="BK99" i="261"/>
  <c r="BJ99" i="261"/>
  <c r="BK98" i="261"/>
  <c r="BJ98" i="261"/>
  <c r="BK97" i="261"/>
  <c r="BJ97" i="261"/>
  <c r="BK96" i="261"/>
  <c r="BJ96" i="261"/>
  <c r="BK95" i="261"/>
  <c r="BJ95" i="261"/>
  <c r="BK94" i="261"/>
  <c r="BJ94" i="261"/>
  <c r="BK93" i="261"/>
  <c r="BJ93" i="261"/>
  <c r="BK92" i="261"/>
  <c r="BJ92" i="261"/>
  <c r="BK91" i="261"/>
  <c r="BJ91" i="261"/>
  <c r="BK90" i="261"/>
  <c r="BJ90" i="261"/>
  <c r="BK89" i="261"/>
  <c r="BJ89" i="261"/>
  <c r="BK88" i="261"/>
  <c r="BJ88" i="261"/>
  <c r="BK87" i="261"/>
  <c r="BJ87" i="261"/>
  <c r="BK86" i="261"/>
  <c r="BJ86" i="261"/>
  <c r="BK85" i="261"/>
  <c r="BJ85" i="261"/>
  <c r="BK84" i="261"/>
  <c r="BJ84" i="261"/>
  <c r="BK83" i="261"/>
  <c r="BJ83" i="261"/>
  <c r="BJ82" i="261"/>
  <c r="BK81" i="261"/>
  <c r="BJ81" i="261"/>
  <c r="BK80" i="261"/>
  <c r="BJ80" i="261"/>
  <c r="BK79" i="261"/>
  <c r="BJ79" i="261"/>
  <c r="BK78" i="261"/>
  <c r="BJ78" i="261"/>
  <c r="BK77" i="261"/>
  <c r="BJ77" i="261"/>
  <c r="BK76" i="261"/>
  <c r="BJ76" i="261"/>
  <c r="BK75" i="261"/>
  <c r="BJ75" i="261"/>
  <c r="BK74" i="261"/>
  <c r="BJ74" i="261"/>
  <c r="BK73" i="261"/>
  <c r="BJ73" i="261"/>
  <c r="BK72" i="261"/>
  <c r="BJ72" i="261"/>
  <c r="BK71" i="261"/>
  <c r="BJ71" i="261"/>
  <c r="BK70" i="261"/>
  <c r="BJ70" i="261"/>
  <c r="BK69" i="261"/>
  <c r="BJ69" i="261"/>
  <c r="BK68" i="261"/>
  <c r="BJ68" i="261"/>
  <c r="BK67" i="261"/>
  <c r="BJ67" i="261"/>
  <c r="BK66" i="261"/>
  <c r="BJ66" i="261"/>
  <c r="BK65" i="261"/>
  <c r="BJ65" i="261"/>
  <c r="BK64" i="261"/>
  <c r="BJ64" i="261"/>
  <c r="BK63" i="261"/>
  <c r="BJ63" i="261"/>
  <c r="BK62" i="261"/>
  <c r="BJ62" i="261"/>
  <c r="BK61" i="261"/>
  <c r="BJ61" i="261"/>
  <c r="BK60" i="261"/>
  <c r="BJ60" i="261"/>
  <c r="BK59" i="261"/>
  <c r="BJ59" i="261"/>
  <c r="BK58" i="261"/>
  <c r="BJ58" i="261"/>
  <c r="BK57" i="261"/>
  <c r="BJ57" i="261"/>
  <c r="BK56" i="261"/>
  <c r="BJ56" i="261"/>
  <c r="BK55" i="261"/>
  <c r="BJ55" i="261"/>
  <c r="BK54" i="261"/>
  <c r="BJ54" i="261"/>
  <c r="BK53" i="261"/>
  <c r="BJ53" i="261"/>
  <c r="BK52" i="261"/>
  <c r="BJ52" i="261"/>
  <c r="BK51" i="261"/>
  <c r="BJ51" i="261"/>
  <c r="BK50" i="261"/>
  <c r="BJ50" i="261"/>
  <c r="BK49" i="261"/>
  <c r="BJ49" i="261"/>
  <c r="BK48" i="261"/>
  <c r="BJ48" i="261"/>
  <c r="BK47" i="261"/>
  <c r="BJ47" i="261"/>
  <c r="BK46" i="261"/>
  <c r="BJ46" i="261"/>
  <c r="BK45" i="261"/>
  <c r="BJ45" i="261"/>
  <c r="BK44" i="261"/>
  <c r="BJ44" i="261"/>
  <c r="BK43" i="261"/>
  <c r="BJ43" i="261"/>
  <c r="BK42" i="261"/>
  <c r="BJ42" i="261"/>
  <c r="BK41" i="261"/>
  <c r="BJ41" i="261"/>
  <c r="BK40" i="261"/>
  <c r="BJ40" i="261"/>
  <c r="BK39" i="261"/>
  <c r="BJ39" i="261"/>
  <c r="BK38" i="261"/>
  <c r="BJ38" i="261"/>
  <c r="BK37" i="261"/>
  <c r="BJ37" i="261"/>
  <c r="BK36" i="261"/>
  <c r="BJ36" i="261"/>
  <c r="BK35" i="261"/>
  <c r="BJ35" i="261"/>
  <c r="BK34" i="261"/>
  <c r="BJ34" i="261"/>
  <c r="BK33" i="261"/>
  <c r="BJ33" i="261"/>
  <c r="BK32" i="261"/>
  <c r="BJ32" i="261"/>
  <c r="BK31" i="261"/>
  <c r="BJ31" i="261"/>
  <c r="BK30" i="261"/>
  <c r="BJ30" i="261"/>
  <c r="BK29" i="261"/>
  <c r="BJ29" i="261"/>
  <c r="BI28" i="261"/>
  <c r="BH28" i="261"/>
  <c r="BG28" i="261"/>
  <c r="BF28" i="261"/>
  <c r="BE28" i="261"/>
  <c r="BD28" i="261"/>
  <c r="BC28" i="261"/>
  <c r="BB28" i="261"/>
  <c r="BA28" i="261"/>
  <c r="AY28" i="261"/>
  <c r="AX28" i="261"/>
  <c r="AW28" i="261"/>
  <c r="AV28" i="261"/>
  <c r="AU28" i="261"/>
  <c r="AT28" i="261"/>
  <c r="AS28" i="261"/>
  <c r="AR28" i="261"/>
  <c r="AQ28" i="261"/>
  <c r="AP28" i="261"/>
  <c r="AO28" i="261"/>
  <c r="AN28" i="261"/>
  <c r="AM28" i="261"/>
  <c r="AL28" i="261"/>
  <c r="AK28" i="261"/>
  <c r="AJ28" i="261"/>
  <c r="AI28" i="261"/>
  <c r="AH28" i="261"/>
  <c r="AG28" i="261"/>
  <c r="AF28" i="261"/>
  <c r="AE28" i="261"/>
  <c r="AD28" i="261"/>
  <c r="AC28" i="261"/>
  <c r="AB28" i="261"/>
  <c r="AA28" i="261"/>
  <c r="Z28" i="261"/>
  <c r="Y28" i="261"/>
  <c r="X28" i="261"/>
  <c r="W28" i="261"/>
  <c r="V28" i="261"/>
  <c r="U28" i="261"/>
  <c r="T28" i="261"/>
  <c r="O28" i="261"/>
  <c r="N28" i="261"/>
  <c r="M28" i="261"/>
  <c r="L28" i="261"/>
  <c r="K28" i="261"/>
  <c r="J28" i="261"/>
  <c r="I28" i="261"/>
  <c r="H28" i="261"/>
  <c r="G28" i="261"/>
  <c r="F28" i="261"/>
  <c r="BK27" i="261"/>
  <c r="BJ27" i="261"/>
  <c r="BK26" i="261"/>
  <c r="BJ26" i="261"/>
  <c r="BK25" i="261"/>
  <c r="BJ25" i="261"/>
  <c r="BK24" i="261"/>
  <c r="BJ24" i="261"/>
  <c r="BK23" i="261"/>
  <c r="BJ23" i="261"/>
  <c r="BK22" i="261"/>
  <c r="BJ22" i="261"/>
  <c r="BK21" i="261"/>
  <c r="BJ21" i="261"/>
  <c r="BK20" i="261"/>
  <c r="BJ20" i="261"/>
  <c r="BK19" i="261"/>
  <c r="BJ19" i="261"/>
  <c r="BI18" i="261"/>
  <c r="BH18" i="261"/>
  <c r="BG18" i="261"/>
  <c r="BF18" i="261"/>
  <c r="BE18" i="261"/>
  <c r="BD18" i="261"/>
  <c r="BC18" i="261"/>
  <c r="BB18" i="261"/>
  <c r="BA18" i="261"/>
  <c r="AY18" i="261"/>
  <c r="AX18" i="261"/>
  <c r="AW18" i="261"/>
  <c r="AV18" i="261"/>
  <c r="AU18" i="261"/>
  <c r="AT18" i="261"/>
  <c r="AS18" i="261"/>
  <c r="AR18" i="261"/>
  <c r="AQ18" i="261"/>
  <c r="AP18" i="261"/>
  <c r="AO18" i="261"/>
  <c r="AN18" i="261"/>
  <c r="AM18" i="261"/>
  <c r="AL18" i="261"/>
  <c r="AK18" i="261"/>
  <c r="AJ18" i="261"/>
  <c r="AI18" i="261"/>
  <c r="AH18" i="261"/>
  <c r="AH122" i="261" s="1"/>
  <c r="AG18" i="261"/>
  <c r="AF18" i="261"/>
  <c r="AF122" i="261" s="1"/>
  <c r="AE18" i="261"/>
  <c r="AD18" i="261"/>
  <c r="AC18" i="261"/>
  <c r="AB18" i="261"/>
  <c r="AB122" i="261" s="1"/>
  <c r="AA18" i="261"/>
  <c r="Z18" i="261"/>
  <c r="Z122" i="261" s="1"/>
  <c r="Y18" i="261"/>
  <c r="X18" i="261"/>
  <c r="X122" i="261" s="1"/>
  <c r="W18" i="261"/>
  <c r="V18" i="261"/>
  <c r="V122" i="261" s="1"/>
  <c r="U18" i="261"/>
  <c r="T18" i="261"/>
  <c r="T122" i="261" s="1"/>
  <c r="Q18" i="261"/>
  <c r="P18" i="261"/>
  <c r="O18" i="261"/>
  <c r="N18" i="261"/>
  <c r="N122" i="261" s="1"/>
  <c r="M18" i="261"/>
  <c r="L18" i="261"/>
  <c r="K18" i="261"/>
  <c r="K122" i="261" s="1"/>
  <c r="J18" i="261"/>
  <c r="J122" i="261" s="1"/>
  <c r="I18" i="261"/>
  <c r="I122" i="261" s="1"/>
  <c r="H18" i="261"/>
  <c r="H122" i="261" s="1"/>
  <c r="G18" i="261"/>
  <c r="G122" i="261" s="1"/>
  <c r="F18" i="261"/>
  <c r="BJ17" i="261"/>
  <c r="C17" i="261"/>
  <c r="BK16" i="261"/>
  <c r="BJ16" i="261"/>
  <c r="C16" i="261"/>
  <c r="BK15" i="261"/>
  <c r="BJ15" i="261"/>
  <c r="C15" i="261"/>
  <c r="BK14" i="261"/>
  <c r="BJ14" i="261"/>
  <c r="BK8" i="261"/>
  <c r="BJ8" i="261"/>
  <c r="C8" i="261"/>
  <c r="BK7" i="261"/>
  <c r="BJ7" i="261"/>
  <c r="C7" i="261"/>
  <c r="BK6" i="261"/>
  <c r="BJ6" i="261"/>
  <c r="BK17" i="261" s="1"/>
  <c r="BK5" i="261"/>
  <c r="BJ5" i="261"/>
  <c r="BI1" i="261"/>
  <c r="BH1" i="261"/>
  <c r="BG1" i="261"/>
  <c r="BF1" i="261"/>
  <c r="BE1" i="261"/>
  <c r="BD1" i="261"/>
  <c r="BC1" i="261"/>
  <c r="BB1" i="261"/>
  <c r="BA1" i="261"/>
  <c r="AZ1" i="261"/>
  <c r="AY1" i="261"/>
  <c r="AX1" i="261"/>
  <c r="AW1" i="261"/>
  <c r="AV1" i="261"/>
  <c r="AU1" i="261"/>
  <c r="AT1" i="261"/>
  <c r="AS1" i="261"/>
  <c r="AR1" i="261"/>
  <c r="AQ1" i="261"/>
  <c r="AP1" i="261"/>
  <c r="AO1" i="261"/>
  <c r="AN1" i="261"/>
  <c r="AM1" i="261"/>
  <c r="AL1" i="261"/>
  <c r="AK1" i="261"/>
  <c r="AJ1" i="261"/>
  <c r="AI1" i="261"/>
  <c r="AH1" i="261"/>
  <c r="AG1" i="261"/>
  <c r="AF1" i="261"/>
  <c r="AE1" i="261"/>
  <c r="AD1" i="261"/>
  <c r="AC1" i="261"/>
  <c r="AB1" i="261"/>
  <c r="AA1" i="261"/>
  <c r="Z1" i="261"/>
  <c r="Y1" i="261"/>
  <c r="X1" i="261"/>
  <c r="W1" i="261"/>
  <c r="V1" i="261"/>
  <c r="U1" i="261"/>
  <c r="T1" i="261"/>
  <c r="S1" i="261"/>
  <c r="R1" i="261"/>
  <c r="Q1" i="261"/>
  <c r="P1" i="261"/>
  <c r="O1" i="261"/>
  <c r="N1" i="261"/>
  <c r="M1" i="261"/>
  <c r="L1" i="261"/>
  <c r="K1" i="261"/>
  <c r="J1" i="261"/>
  <c r="I1" i="261"/>
  <c r="H1" i="261"/>
  <c r="G1" i="261"/>
  <c r="F1" i="261"/>
  <c r="BJ122" i="260"/>
  <c r="BJ121" i="260"/>
  <c r="BI120" i="260"/>
  <c r="BH120" i="260"/>
  <c r="BG120" i="260"/>
  <c r="BF120" i="260"/>
  <c r="BE120" i="260"/>
  <c r="BD120" i="260"/>
  <c r="BC120" i="260"/>
  <c r="BB120" i="260"/>
  <c r="BA120" i="260"/>
  <c r="AZ120" i="260"/>
  <c r="AY120" i="260"/>
  <c r="AX120" i="260"/>
  <c r="AW120" i="260"/>
  <c r="AV120" i="260"/>
  <c r="AU120" i="260"/>
  <c r="AT120" i="260"/>
  <c r="AS120" i="260"/>
  <c r="AR120" i="260"/>
  <c r="AQ120" i="260"/>
  <c r="AP120" i="260"/>
  <c r="AO120" i="260"/>
  <c r="AN120" i="260"/>
  <c r="AM120" i="260"/>
  <c r="AL120" i="260"/>
  <c r="AK120" i="260"/>
  <c r="AJ120" i="260"/>
  <c r="AI120" i="260"/>
  <c r="AH120" i="260"/>
  <c r="AG120" i="260"/>
  <c r="AF120" i="260"/>
  <c r="AE120" i="260"/>
  <c r="AD120" i="260"/>
  <c r="AC120" i="260"/>
  <c r="AB120" i="260"/>
  <c r="AA120" i="260"/>
  <c r="Z120" i="260"/>
  <c r="Y120" i="260"/>
  <c r="X120" i="260"/>
  <c r="W120" i="260"/>
  <c r="V120" i="260"/>
  <c r="U120" i="260"/>
  <c r="T120" i="260"/>
  <c r="S120" i="260"/>
  <c r="Q120" i="260"/>
  <c r="O120" i="260"/>
  <c r="N120" i="260"/>
  <c r="M120" i="260"/>
  <c r="L120" i="260"/>
  <c r="K120" i="260"/>
  <c r="I120" i="260"/>
  <c r="H120" i="260"/>
  <c r="G120" i="260"/>
  <c r="F120" i="260"/>
  <c r="BI118" i="260"/>
  <c r="BH118" i="260"/>
  <c r="BG118" i="260"/>
  <c r="BF118" i="260"/>
  <c r="BE118" i="260"/>
  <c r="BD118" i="260"/>
  <c r="BC118" i="260"/>
  <c r="BC119" i="260" s="1"/>
  <c r="BB118" i="260"/>
  <c r="BA118" i="260"/>
  <c r="AZ118" i="260"/>
  <c r="AY118" i="260"/>
  <c r="AX118" i="260"/>
  <c r="AW118" i="260"/>
  <c r="AV118" i="260"/>
  <c r="AU118" i="260"/>
  <c r="AU119" i="260" s="1"/>
  <c r="AT118" i="260"/>
  <c r="AS118" i="260"/>
  <c r="AR118" i="260"/>
  <c r="AQ118" i="260"/>
  <c r="AP118" i="260"/>
  <c r="AO118" i="260"/>
  <c r="AN118" i="260"/>
  <c r="AM118" i="260"/>
  <c r="AM119" i="260" s="1"/>
  <c r="AL118" i="260"/>
  <c r="AK118" i="260"/>
  <c r="AJ118" i="260"/>
  <c r="AI118" i="260"/>
  <c r="AH118" i="260"/>
  <c r="AG118" i="260"/>
  <c r="AF118" i="260"/>
  <c r="AE118" i="260"/>
  <c r="AE119" i="260" s="1"/>
  <c r="AD118" i="260"/>
  <c r="AD119" i="260" s="1"/>
  <c r="AC118" i="260"/>
  <c r="AB118" i="260"/>
  <c r="AA118" i="260"/>
  <c r="Z118" i="260"/>
  <c r="Y118" i="260"/>
  <c r="X118" i="260"/>
  <c r="W118" i="260"/>
  <c r="W119" i="260" s="1"/>
  <c r="V118" i="260"/>
  <c r="U118" i="260"/>
  <c r="T118" i="260"/>
  <c r="S118" i="260"/>
  <c r="Q118" i="260"/>
  <c r="O118" i="260"/>
  <c r="O119" i="260" s="1"/>
  <c r="N118" i="260"/>
  <c r="M118" i="260"/>
  <c r="M119" i="260" s="1"/>
  <c r="L118" i="260"/>
  <c r="K118" i="260"/>
  <c r="J118" i="260"/>
  <c r="J119" i="260" s="1"/>
  <c r="I118" i="260"/>
  <c r="H118" i="260"/>
  <c r="H119" i="260" s="1"/>
  <c r="G118" i="260"/>
  <c r="F118" i="260"/>
  <c r="BJ117" i="260"/>
  <c r="BJ116" i="260"/>
  <c r="BJ115" i="260"/>
  <c r="BJ114" i="260"/>
  <c r="BK113" i="260"/>
  <c r="BJ113" i="260"/>
  <c r="BK112" i="260"/>
  <c r="BJ112" i="260"/>
  <c r="BK111" i="260"/>
  <c r="BJ111" i="260"/>
  <c r="BK110" i="260"/>
  <c r="BJ110" i="260"/>
  <c r="BK109" i="260"/>
  <c r="BJ109" i="260"/>
  <c r="BK108" i="260"/>
  <c r="BJ108" i="260"/>
  <c r="BK107" i="260"/>
  <c r="BJ107" i="260"/>
  <c r="BK106" i="260"/>
  <c r="BJ106" i="260"/>
  <c r="BK105" i="260"/>
  <c r="BJ105" i="260"/>
  <c r="BK104" i="260"/>
  <c r="BJ104" i="260"/>
  <c r="BK103" i="260"/>
  <c r="BJ103" i="260"/>
  <c r="BK102" i="260"/>
  <c r="BJ102" i="260"/>
  <c r="BK101" i="260"/>
  <c r="BJ101" i="260"/>
  <c r="BK100" i="260"/>
  <c r="BJ100" i="260"/>
  <c r="BK99" i="260"/>
  <c r="BJ99" i="260"/>
  <c r="BK98" i="260"/>
  <c r="BJ98" i="260"/>
  <c r="BK97" i="260"/>
  <c r="BJ97" i="260"/>
  <c r="BK96" i="260"/>
  <c r="BJ96" i="260"/>
  <c r="BK95" i="260"/>
  <c r="BJ95" i="260"/>
  <c r="BK94" i="260"/>
  <c r="BJ94" i="260"/>
  <c r="BK93" i="260"/>
  <c r="BJ93" i="260"/>
  <c r="BK92" i="260"/>
  <c r="BJ92" i="260"/>
  <c r="BK91" i="260"/>
  <c r="BJ91" i="260"/>
  <c r="BK90" i="260"/>
  <c r="BJ90" i="260"/>
  <c r="BJ89" i="260"/>
  <c r="BK88" i="260"/>
  <c r="BJ88" i="260"/>
  <c r="BK87" i="260"/>
  <c r="BJ87" i="260"/>
  <c r="BK86" i="260"/>
  <c r="BJ86" i="260"/>
  <c r="BK85" i="260"/>
  <c r="BJ85" i="260"/>
  <c r="BK84" i="260"/>
  <c r="BJ84" i="260"/>
  <c r="BK83" i="260"/>
  <c r="BJ83" i="260"/>
  <c r="BK82" i="260"/>
  <c r="BJ82" i="260"/>
  <c r="BK81" i="260"/>
  <c r="BJ81" i="260"/>
  <c r="BK80" i="260"/>
  <c r="BJ80" i="260"/>
  <c r="BK79" i="260"/>
  <c r="BJ79" i="260"/>
  <c r="BK78" i="260"/>
  <c r="BJ78" i="260"/>
  <c r="BK77" i="260"/>
  <c r="BJ77" i="260"/>
  <c r="BK76" i="260"/>
  <c r="BJ76" i="260"/>
  <c r="BK75" i="260"/>
  <c r="BJ75" i="260"/>
  <c r="BK74" i="260"/>
  <c r="BJ74" i="260"/>
  <c r="BK73" i="260"/>
  <c r="BJ73" i="260"/>
  <c r="BK72" i="260"/>
  <c r="BJ72" i="260"/>
  <c r="BK71" i="260"/>
  <c r="BJ71" i="260"/>
  <c r="BK70" i="260"/>
  <c r="BJ70" i="260"/>
  <c r="BK69" i="260"/>
  <c r="BJ69" i="260"/>
  <c r="BK68" i="260"/>
  <c r="BJ68" i="260"/>
  <c r="BK67" i="260"/>
  <c r="BJ67" i="260"/>
  <c r="BK66" i="260"/>
  <c r="BJ66" i="260"/>
  <c r="BK65" i="260"/>
  <c r="BJ65" i="260"/>
  <c r="BK64" i="260"/>
  <c r="BJ64" i="260"/>
  <c r="BK63" i="260"/>
  <c r="BJ63" i="260"/>
  <c r="BK62" i="260"/>
  <c r="BJ62" i="260"/>
  <c r="BK61" i="260"/>
  <c r="BJ61" i="260"/>
  <c r="BK60" i="260"/>
  <c r="BJ60" i="260"/>
  <c r="BK59" i="260"/>
  <c r="BJ59" i="260"/>
  <c r="BK58" i="260"/>
  <c r="BJ58" i="260"/>
  <c r="BK57" i="260"/>
  <c r="BJ57" i="260"/>
  <c r="BK56" i="260"/>
  <c r="BJ56" i="260"/>
  <c r="BK55" i="260"/>
  <c r="BJ55" i="260"/>
  <c r="BK54" i="260"/>
  <c r="BJ54" i="260"/>
  <c r="BK53" i="260"/>
  <c r="BJ53" i="260"/>
  <c r="BK52" i="260"/>
  <c r="BJ52" i="260"/>
  <c r="BK51" i="260"/>
  <c r="BJ51" i="260"/>
  <c r="BK50" i="260"/>
  <c r="BJ50" i="260"/>
  <c r="BK49" i="260"/>
  <c r="BJ49" i="260"/>
  <c r="BK48" i="260"/>
  <c r="BJ48" i="260"/>
  <c r="BK47" i="260"/>
  <c r="BJ47" i="260"/>
  <c r="BK46" i="260"/>
  <c r="BJ46" i="260"/>
  <c r="BK45" i="260"/>
  <c r="BJ45" i="260"/>
  <c r="BK44" i="260"/>
  <c r="BJ44" i="260"/>
  <c r="BK43" i="260"/>
  <c r="BJ43" i="260"/>
  <c r="BK42" i="260"/>
  <c r="BJ42" i="260"/>
  <c r="BK41" i="260"/>
  <c r="BJ41" i="260"/>
  <c r="BK40" i="260"/>
  <c r="BJ40" i="260"/>
  <c r="BK39" i="260"/>
  <c r="BJ39" i="260"/>
  <c r="BK38" i="260"/>
  <c r="BJ38" i="260"/>
  <c r="BK37" i="260"/>
  <c r="BJ37" i="260"/>
  <c r="BK36" i="260"/>
  <c r="BJ36" i="260"/>
  <c r="BI35" i="260"/>
  <c r="BH35" i="260"/>
  <c r="BG35" i="260"/>
  <c r="BF35" i="260"/>
  <c r="BE35" i="260"/>
  <c r="BD35" i="260"/>
  <c r="BC35" i="260"/>
  <c r="BB35" i="260"/>
  <c r="BA35" i="260"/>
  <c r="AZ35" i="260"/>
  <c r="AY35" i="260"/>
  <c r="AX35" i="260"/>
  <c r="AW35" i="260"/>
  <c r="AV35" i="260"/>
  <c r="AU35" i="260"/>
  <c r="AT35" i="260"/>
  <c r="AS35" i="260"/>
  <c r="AR35" i="260"/>
  <c r="AQ35" i="260"/>
  <c r="AP35" i="260"/>
  <c r="AO35" i="260"/>
  <c r="AN35" i="260"/>
  <c r="AM35" i="260"/>
  <c r="AL35" i="260"/>
  <c r="AK35" i="260"/>
  <c r="AJ35" i="260"/>
  <c r="AI35" i="260"/>
  <c r="AH35" i="260"/>
  <c r="AG35" i="260"/>
  <c r="AF35" i="260"/>
  <c r="AE35" i="260"/>
  <c r="AD35" i="260"/>
  <c r="AC35" i="260"/>
  <c r="AB35" i="260"/>
  <c r="AA35" i="260"/>
  <c r="Z35" i="260"/>
  <c r="Y35" i="260"/>
  <c r="X35" i="260"/>
  <c r="W35" i="260"/>
  <c r="V35" i="260"/>
  <c r="U35" i="260"/>
  <c r="T35" i="260"/>
  <c r="S35" i="260"/>
  <c r="Q35" i="260"/>
  <c r="O35" i="260"/>
  <c r="N35" i="260"/>
  <c r="M35" i="260"/>
  <c r="L35" i="260"/>
  <c r="J35" i="260"/>
  <c r="I35" i="260"/>
  <c r="H35" i="260"/>
  <c r="G35" i="260"/>
  <c r="F35" i="260"/>
  <c r="BK34" i="260"/>
  <c r="BJ34" i="260"/>
  <c r="BK33" i="260"/>
  <c r="BJ33" i="260"/>
  <c r="BK32" i="260"/>
  <c r="BJ32" i="260"/>
  <c r="BK31" i="260"/>
  <c r="BJ31" i="260"/>
  <c r="BK30" i="260"/>
  <c r="BJ30" i="260"/>
  <c r="BK29" i="260"/>
  <c r="BJ29" i="260"/>
  <c r="BK28" i="260"/>
  <c r="BJ28" i="260"/>
  <c r="BK27" i="260"/>
  <c r="BJ27" i="260"/>
  <c r="BK26" i="260"/>
  <c r="BJ26" i="260"/>
  <c r="BI25" i="260"/>
  <c r="BH25" i="260"/>
  <c r="BG25" i="260"/>
  <c r="BF25" i="260"/>
  <c r="BE25" i="260"/>
  <c r="BD25" i="260"/>
  <c r="BC25" i="260"/>
  <c r="BB25" i="260"/>
  <c r="BA25" i="260"/>
  <c r="AZ25" i="260"/>
  <c r="AY25" i="260"/>
  <c r="AX25" i="260"/>
  <c r="AW25" i="260"/>
  <c r="AV25" i="260"/>
  <c r="AU25" i="260"/>
  <c r="AT25" i="260"/>
  <c r="AS25" i="260"/>
  <c r="AR25" i="260"/>
  <c r="AQ25" i="260"/>
  <c r="AP25" i="260"/>
  <c r="AO25" i="260"/>
  <c r="AN25" i="260"/>
  <c r="AM25" i="260"/>
  <c r="AL25" i="260"/>
  <c r="AK25" i="260"/>
  <c r="AJ25" i="260"/>
  <c r="AI25" i="260"/>
  <c r="AH25" i="260"/>
  <c r="AG25" i="260"/>
  <c r="AF25" i="260"/>
  <c r="AF129" i="260" s="1"/>
  <c r="AE25" i="260"/>
  <c r="AD25" i="260"/>
  <c r="AC25" i="260"/>
  <c r="AB25" i="260"/>
  <c r="AB129" i="260" s="1"/>
  <c r="AA25" i="260"/>
  <c r="Z25" i="260"/>
  <c r="Z129" i="260" s="1"/>
  <c r="Y25" i="260"/>
  <c r="X25" i="260"/>
  <c r="W25" i="260"/>
  <c r="V25" i="260"/>
  <c r="U25" i="260"/>
  <c r="T25" i="260"/>
  <c r="S25" i="260"/>
  <c r="Q25" i="260"/>
  <c r="O25" i="260"/>
  <c r="N25" i="260"/>
  <c r="N129" i="260" s="1"/>
  <c r="M25" i="260"/>
  <c r="L25" i="260"/>
  <c r="K25" i="260"/>
  <c r="J25" i="260"/>
  <c r="I25" i="260"/>
  <c r="H25" i="260"/>
  <c r="G25" i="260"/>
  <c r="F25" i="260"/>
  <c r="BK24" i="260"/>
  <c r="BJ24" i="260"/>
  <c r="C24" i="260"/>
  <c r="C23" i="260"/>
  <c r="BK22" i="260"/>
  <c r="BJ22" i="260"/>
  <c r="C22" i="260"/>
  <c r="BK21" i="260"/>
  <c r="BJ21" i="260"/>
  <c r="C21" i="260"/>
  <c r="BK20" i="260"/>
  <c r="BJ20" i="260"/>
  <c r="C20" i="260"/>
  <c r="BK19" i="260"/>
  <c r="BJ19" i="260"/>
  <c r="C19" i="260"/>
  <c r="BK18" i="260"/>
  <c r="BJ18" i="260"/>
  <c r="C18" i="260"/>
  <c r="BK17" i="260"/>
  <c r="BJ17" i="260"/>
  <c r="C17" i="260"/>
  <c r="BK16" i="260"/>
  <c r="BJ16" i="260"/>
  <c r="C16" i="260"/>
  <c r="BK15" i="260"/>
  <c r="BJ15" i="260"/>
  <c r="C15" i="260"/>
  <c r="BK14" i="260"/>
  <c r="BJ14" i="260"/>
  <c r="C14" i="260"/>
  <c r="BK13" i="260"/>
  <c r="BJ13" i="260"/>
  <c r="C13" i="260"/>
  <c r="BK12" i="260"/>
  <c r="BJ12" i="260"/>
  <c r="C12" i="260"/>
  <c r="BK11" i="260"/>
  <c r="BJ11" i="260"/>
  <c r="C11" i="260"/>
  <c r="BK10" i="260"/>
  <c r="BJ10" i="260"/>
  <c r="C10" i="260"/>
  <c r="BK9" i="260"/>
  <c r="BJ9" i="260"/>
  <c r="C9" i="260"/>
  <c r="BK8" i="260"/>
  <c r="BJ8" i="260"/>
  <c r="C8" i="260"/>
  <c r="BK7" i="260"/>
  <c r="C7" i="260"/>
  <c r="BK6" i="260"/>
  <c r="BJ6" i="260"/>
  <c r="BK5" i="260"/>
  <c r="BJ5" i="260"/>
  <c r="BH1" i="260" s="1"/>
  <c r="BI1" i="260"/>
  <c r="BG1" i="260"/>
  <c r="BF1" i="260"/>
  <c r="BE1" i="260"/>
  <c r="BD1" i="260"/>
  <c r="BC1" i="260"/>
  <c r="BB1" i="260"/>
  <c r="BA1" i="260"/>
  <c r="AZ1" i="260"/>
  <c r="AY1" i="260"/>
  <c r="AX1" i="260"/>
  <c r="AW1" i="260"/>
  <c r="AV1" i="260"/>
  <c r="AU1" i="260"/>
  <c r="AT1" i="260"/>
  <c r="AS1" i="260"/>
  <c r="AR1" i="260"/>
  <c r="AQ1" i="260"/>
  <c r="AP1" i="260"/>
  <c r="AO1" i="260"/>
  <c r="AN1" i="260"/>
  <c r="AM1" i="260"/>
  <c r="AL1" i="260"/>
  <c r="AK1" i="260"/>
  <c r="AJ1" i="260"/>
  <c r="AI1" i="260"/>
  <c r="AH1" i="260"/>
  <c r="AG1" i="260"/>
  <c r="AF1" i="260"/>
  <c r="AE1" i="260"/>
  <c r="AD1" i="260"/>
  <c r="AC1" i="260"/>
  <c r="AB1" i="260"/>
  <c r="AA1" i="260"/>
  <c r="Z1" i="260"/>
  <c r="Y1" i="260"/>
  <c r="X1" i="260"/>
  <c r="W1" i="260"/>
  <c r="V1" i="260"/>
  <c r="U1" i="260"/>
  <c r="T1" i="260"/>
  <c r="S1" i="260"/>
  <c r="R1" i="260"/>
  <c r="Q1" i="260"/>
  <c r="P1" i="260"/>
  <c r="O1" i="260"/>
  <c r="N1" i="260"/>
  <c r="M1" i="260"/>
  <c r="L1" i="260"/>
  <c r="K1" i="260"/>
  <c r="J1" i="260"/>
  <c r="I1" i="260"/>
  <c r="H1" i="260"/>
  <c r="G1" i="260"/>
  <c r="F1" i="260"/>
  <c r="Z122" i="262" l="1"/>
  <c r="S119" i="260"/>
  <c r="AA119" i="260"/>
  <c r="AI119" i="260"/>
  <c r="AQ119" i="260"/>
  <c r="AY119" i="260"/>
  <c r="BG119" i="260"/>
  <c r="AH116" i="261"/>
  <c r="AH121" i="261" s="1"/>
  <c r="G119" i="260"/>
  <c r="Q119" i="260"/>
  <c r="AR119" i="260"/>
  <c r="U119" i="260"/>
  <c r="AC119" i="260"/>
  <c r="AB116" i="261"/>
  <c r="AB118" i="261" s="1"/>
  <c r="O112" i="261"/>
  <c r="AF123" i="260"/>
  <c r="AF125" i="260" s="1"/>
  <c r="AH118" i="261"/>
  <c r="AF116" i="261"/>
  <c r="AF118" i="261" s="1"/>
  <c r="AF121" i="261"/>
  <c r="AB123" i="260"/>
  <c r="AB125" i="260" s="1"/>
  <c r="AB121" i="261"/>
  <c r="Z116" i="261"/>
  <c r="Z118" i="261" s="1"/>
  <c r="Z123" i="260"/>
  <c r="Z125" i="260" s="1"/>
  <c r="X116" i="261"/>
  <c r="X118" i="261" s="1"/>
  <c r="V116" i="261"/>
  <c r="V118" i="261" s="1"/>
  <c r="V121" i="261"/>
  <c r="T116" i="261"/>
  <c r="T121" i="261" s="1"/>
  <c r="T118" i="261"/>
  <c r="N116" i="261"/>
  <c r="N119" i="261"/>
  <c r="N120" i="261"/>
  <c r="J116" i="261"/>
  <c r="J118" i="261" s="1"/>
  <c r="I116" i="261"/>
  <c r="H116" i="261"/>
  <c r="K112" i="261"/>
  <c r="K116" i="261"/>
  <c r="I118" i="261"/>
  <c r="I121" i="261"/>
  <c r="H118" i="261"/>
  <c r="H121" i="261"/>
  <c r="G116" i="261"/>
  <c r="G118" i="261" s="1"/>
  <c r="BJ23" i="260"/>
  <c r="BK23" i="260"/>
  <c r="AT119" i="260"/>
  <c r="AP119" i="260"/>
  <c r="AJ119" i="260"/>
  <c r="AH119" i="260"/>
  <c r="N123" i="260"/>
  <c r="N128" i="260" s="1"/>
  <c r="BF119" i="260"/>
  <c r="AG119" i="260"/>
  <c r="AO119" i="260"/>
  <c r="AS119" i="260"/>
  <c r="BA119" i="260"/>
  <c r="V119" i="260"/>
  <c r="H112" i="261"/>
  <c r="F116" i="261"/>
  <c r="F122" i="261"/>
  <c r="AB119" i="260"/>
  <c r="AN119" i="260"/>
  <c r="AZ119" i="260"/>
  <c r="I119" i="260"/>
  <c r="BH119" i="260"/>
  <c r="BE119" i="260"/>
  <c r="T119" i="260"/>
  <c r="K119" i="260"/>
  <c r="Y119" i="260"/>
  <c r="AK119" i="260"/>
  <c r="AW119" i="260"/>
  <c r="BI119" i="260"/>
  <c r="L119" i="260"/>
  <c r="Z119" i="260"/>
  <c r="AL119" i="260"/>
  <c r="AX119" i="260"/>
  <c r="AF119" i="260"/>
  <c r="BD119" i="260"/>
  <c r="X119" i="260"/>
  <c r="BJ25" i="260"/>
  <c r="BB119" i="260"/>
  <c r="AV119" i="260"/>
  <c r="F119" i="260"/>
  <c r="N119" i="260"/>
  <c r="BJ124" i="260"/>
  <c r="C96" i="260"/>
  <c r="BK25" i="260"/>
  <c r="C36" i="260"/>
  <c r="T112" i="261"/>
  <c r="AF112" i="261"/>
  <c r="AN112" i="261"/>
  <c r="AV112" i="261"/>
  <c r="BD112" i="261"/>
  <c r="I112" i="261"/>
  <c r="M112" i="261"/>
  <c r="F112" i="261"/>
  <c r="F120" i="261" s="1"/>
  <c r="J112" i="261"/>
  <c r="AB112" i="261"/>
  <c r="AJ112" i="261"/>
  <c r="AR112" i="261"/>
  <c r="AZ112" i="261"/>
  <c r="BH112" i="261"/>
  <c r="L112" i="261"/>
  <c r="AD112" i="261"/>
  <c r="AL112" i="261"/>
  <c r="AT112" i="261"/>
  <c r="BB112" i="261"/>
  <c r="Y112" i="261"/>
  <c r="AC112" i="261"/>
  <c r="AG112" i="261"/>
  <c r="AK112" i="261"/>
  <c r="AO112" i="261"/>
  <c r="AS112" i="261"/>
  <c r="AW112" i="261"/>
  <c r="BA112" i="261"/>
  <c r="BE112" i="261"/>
  <c r="BI112" i="261"/>
  <c r="C89" i="261"/>
  <c r="C93" i="261"/>
  <c r="C101" i="261"/>
  <c r="P112" i="261"/>
  <c r="Z112" i="261"/>
  <c r="AH112" i="261"/>
  <c r="AP112" i="261"/>
  <c r="AX112" i="261"/>
  <c r="BF112" i="261"/>
  <c r="AA112" i="261"/>
  <c r="AE112" i="261"/>
  <c r="AI112" i="261"/>
  <c r="AM112" i="261"/>
  <c r="AQ112" i="261"/>
  <c r="AU112" i="261"/>
  <c r="AY112" i="261"/>
  <c r="BC112" i="261"/>
  <c r="BG112" i="261"/>
  <c r="BJ113" i="261"/>
  <c r="R29" i="256"/>
  <c r="BJ120" i="262"/>
  <c r="H14" i="22" s="1"/>
  <c r="X112" i="261"/>
  <c r="W112" i="261"/>
  <c r="V112" i="261"/>
  <c r="U112" i="261"/>
  <c r="BJ118" i="262"/>
  <c r="BJ119" i="262"/>
  <c r="G14" i="22" s="1"/>
  <c r="C108" i="260"/>
  <c r="BJ1" i="260"/>
  <c r="C92" i="260"/>
  <c r="C65" i="260"/>
  <c r="C100" i="260"/>
  <c r="C58" i="261"/>
  <c r="BJ18" i="261"/>
  <c r="BJ122" i="261" s="1"/>
  <c r="I8" i="22" s="1"/>
  <c r="BK18" i="261"/>
  <c r="BJ1" i="261"/>
  <c r="C85" i="261"/>
  <c r="C29" i="261"/>
  <c r="BJ117" i="261"/>
  <c r="BK28" i="261"/>
  <c r="BJ111" i="261"/>
  <c r="Q112" i="261"/>
  <c r="BJ120" i="260"/>
  <c r="BJ118" i="260"/>
  <c r="G112" i="261"/>
  <c r="BJ28" i="261"/>
  <c r="J114" i="256"/>
  <c r="J112" i="256"/>
  <c r="J29" i="256"/>
  <c r="BJ127" i="258"/>
  <c r="BJ126" i="258"/>
  <c r="BI125" i="258"/>
  <c r="BH125" i="258"/>
  <c r="BG125" i="258"/>
  <c r="BF125" i="258"/>
  <c r="BE125" i="258"/>
  <c r="BD125" i="258"/>
  <c r="BC125" i="258"/>
  <c r="BB125" i="258"/>
  <c r="BA125" i="258"/>
  <c r="AZ125" i="258"/>
  <c r="AY125" i="258"/>
  <c r="AX125" i="258"/>
  <c r="AW125" i="258"/>
  <c r="AV125" i="258"/>
  <c r="AU125" i="258"/>
  <c r="AT125" i="258"/>
  <c r="AS125" i="258"/>
  <c r="AR125" i="258"/>
  <c r="AQ125" i="258"/>
  <c r="AP125" i="258"/>
  <c r="AO125" i="258"/>
  <c r="AN125" i="258"/>
  <c r="AM125" i="258"/>
  <c r="AL125" i="258"/>
  <c r="AK125" i="258"/>
  <c r="AJ125" i="258"/>
  <c r="AI125" i="258"/>
  <c r="AH125" i="258"/>
  <c r="AG125" i="258"/>
  <c r="AF125" i="258"/>
  <c r="AE125" i="258"/>
  <c r="AD125" i="258"/>
  <c r="AC125" i="258"/>
  <c r="AB125" i="258"/>
  <c r="AA125" i="258"/>
  <c r="Z125" i="258"/>
  <c r="Y125" i="258"/>
  <c r="X125" i="258"/>
  <c r="W125" i="258"/>
  <c r="V125" i="258"/>
  <c r="V128" i="258" s="1"/>
  <c r="U125" i="258"/>
  <c r="T125" i="258"/>
  <c r="S125" i="258"/>
  <c r="Q125" i="258"/>
  <c r="O125" i="258"/>
  <c r="N125" i="258"/>
  <c r="M125" i="258"/>
  <c r="L125" i="258"/>
  <c r="K125" i="258"/>
  <c r="J125" i="258"/>
  <c r="I125" i="258"/>
  <c r="H125" i="258"/>
  <c r="G125" i="258"/>
  <c r="BI123" i="258"/>
  <c r="BH123" i="258"/>
  <c r="BG123" i="258"/>
  <c r="BF123" i="258"/>
  <c r="BF124" i="258" s="1"/>
  <c r="BE123" i="258"/>
  <c r="BD123" i="258"/>
  <c r="BC123" i="258"/>
  <c r="BB123" i="258"/>
  <c r="BA123" i="258"/>
  <c r="AZ123" i="258"/>
  <c r="AY123" i="258"/>
  <c r="AX123" i="258"/>
  <c r="AW123" i="258"/>
  <c r="AV123" i="258"/>
  <c r="AU123" i="258"/>
  <c r="AT123" i="258"/>
  <c r="AS123" i="258"/>
  <c r="AR123" i="258"/>
  <c r="AQ123" i="258"/>
  <c r="AP123" i="258"/>
  <c r="AO123" i="258"/>
  <c r="AN123" i="258"/>
  <c r="AM123" i="258"/>
  <c r="AL123" i="258"/>
  <c r="AK123" i="258"/>
  <c r="AJ123" i="258"/>
  <c r="AI123" i="258"/>
  <c r="AH123" i="258"/>
  <c r="AG123" i="258"/>
  <c r="AE123" i="258"/>
  <c r="AD123" i="258"/>
  <c r="AC123" i="258"/>
  <c r="AB123" i="258"/>
  <c r="AA123" i="258"/>
  <c r="Z123" i="258"/>
  <c r="Y123" i="258"/>
  <c r="X123" i="258"/>
  <c r="W123" i="258"/>
  <c r="U123" i="258"/>
  <c r="T123" i="258"/>
  <c r="S123" i="258"/>
  <c r="Q123" i="258"/>
  <c r="O123" i="258"/>
  <c r="N123" i="258"/>
  <c r="M123" i="258"/>
  <c r="L123" i="258"/>
  <c r="K123" i="258"/>
  <c r="J123" i="258"/>
  <c r="I123" i="258"/>
  <c r="H123" i="258"/>
  <c r="H128" i="258" s="1"/>
  <c r="G123" i="258"/>
  <c r="BJ122" i="258"/>
  <c r="BJ121" i="258"/>
  <c r="BJ120" i="258"/>
  <c r="BJ119" i="258"/>
  <c r="BK118" i="258"/>
  <c r="BJ118" i="258"/>
  <c r="BK117" i="258"/>
  <c r="BJ117" i="258"/>
  <c r="BK116" i="258"/>
  <c r="BJ116" i="258"/>
  <c r="BK115" i="258"/>
  <c r="BJ115" i="258"/>
  <c r="BK114" i="258"/>
  <c r="BJ114" i="258"/>
  <c r="BK113" i="258"/>
  <c r="BJ113" i="258"/>
  <c r="BK112" i="258"/>
  <c r="BJ112" i="258"/>
  <c r="BK111" i="258"/>
  <c r="BJ111" i="258"/>
  <c r="BK110" i="258"/>
  <c r="BJ110" i="258"/>
  <c r="BK109" i="258"/>
  <c r="BJ109" i="258"/>
  <c r="BK108" i="258"/>
  <c r="BJ108" i="258"/>
  <c r="BK107" i="258"/>
  <c r="BJ107" i="258"/>
  <c r="BK106" i="258"/>
  <c r="BJ106" i="258"/>
  <c r="BK105" i="258"/>
  <c r="BJ105" i="258"/>
  <c r="BK104" i="258"/>
  <c r="BJ104" i="258"/>
  <c r="BK103" i="258"/>
  <c r="BJ103" i="258"/>
  <c r="BK102" i="258"/>
  <c r="BJ102" i="258"/>
  <c r="BK101" i="258"/>
  <c r="BJ101" i="258"/>
  <c r="BK100" i="258"/>
  <c r="BJ100" i="258"/>
  <c r="BK99" i="258"/>
  <c r="BJ99" i="258"/>
  <c r="BK98" i="258"/>
  <c r="BJ98" i="258"/>
  <c r="BK97" i="258"/>
  <c r="BJ97" i="258"/>
  <c r="BK96" i="258"/>
  <c r="BJ96" i="258"/>
  <c r="BK95" i="258"/>
  <c r="BJ95" i="258"/>
  <c r="BJ94" i="258"/>
  <c r="BK93" i="258"/>
  <c r="BJ93" i="258"/>
  <c r="BK92" i="258"/>
  <c r="BJ92" i="258"/>
  <c r="BK91" i="258"/>
  <c r="BJ91" i="258"/>
  <c r="BK90" i="258"/>
  <c r="BJ90" i="258"/>
  <c r="BK89" i="258"/>
  <c r="BJ89" i="258"/>
  <c r="BK88" i="258"/>
  <c r="BJ88" i="258"/>
  <c r="BK87" i="258"/>
  <c r="BJ87" i="258"/>
  <c r="BK86" i="258"/>
  <c r="BJ86" i="258"/>
  <c r="BK85" i="258"/>
  <c r="BJ85" i="258"/>
  <c r="BK84" i="258"/>
  <c r="BJ84" i="258"/>
  <c r="BK83" i="258"/>
  <c r="BJ83" i="258"/>
  <c r="BK82" i="258"/>
  <c r="BJ82" i="258"/>
  <c r="BK81" i="258"/>
  <c r="BJ81" i="258"/>
  <c r="BK80" i="258"/>
  <c r="BJ80" i="258"/>
  <c r="BK79" i="258"/>
  <c r="BJ79" i="258"/>
  <c r="BK78" i="258"/>
  <c r="BJ78" i="258"/>
  <c r="BK77" i="258"/>
  <c r="BJ77" i="258"/>
  <c r="BK76" i="258"/>
  <c r="BJ76" i="258"/>
  <c r="BK75" i="258"/>
  <c r="BJ75" i="258"/>
  <c r="BK74" i="258"/>
  <c r="BJ74" i="258"/>
  <c r="BK73" i="258"/>
  <c r="BJ73" i="258"/>
  <c r="BK72" i="258"/>
  <c r="BJ72" i="258"/>
  <c r="BK71" i="258"/>
  <c r="BJ71" i="258"/>
  <c r="BK70" i="258"/>
  <c r="BJ70" i="258"/>
  <c r="BK69" i="258"/>
  <c r="BJ69" i="258"/>
  <c r="BK68" i="258"/>
  <c r="BJ68" i="258"/>
  <c r="BK67" i="258"/>
  <c r="BJ67" i="258"/>
  <c r="BK66" i="258"/>
  <c r="BJ66" i="258"/>
  <c r="BK65" i="258"/>
  <c r="BJ65" i="258"/>
  <c r="BK64" i="258"/>
  <c r="BJ64" i="258"/>
  <c r="BK63" i="258"/>
  <c r="BJ63" i="258"/>
  <c r="BK62" i="258"/>
  <c r="BJ62" i="258"/>
  <c r="BK61" i="258"/>
  <c r="BJ61" i="258"/>
  <c r="BK60" i="258"/>
  <c r="BJ60" i="258"/>
  <c r="BK59" i="258"/>
  <c r="BJ59" i="258"/>
  <c r="BK58" i="258"/>
  <c r="BJ58" i="258"/>
  <c r="BK57" i="258"/>
  <c r="BJ57" i="258"/>
  <c r="BK56" i="258"/>
  <c r="BJ56" i="258"/>
  <c r="BK55" i="258"/>
  <c r="BJ55" i="258"/>
  <c r="BK54" i="258"/>
  <c r="BJ54" i="258"/>
  <c r="BK53" i="258"/>
  <c r="BJ53" i="258"/>
  <c r="BK52" i="258"/>
  <c r="BJ52" i="258"/>
  <c r="BK51" i="258"/>
  <c r="BJ51" i="258"/>
  <c r="BK50" i="258"/>
  <c r="BJ50" i="258"/>
  <c r="BK49" i="258"/>
  <c r="BJ49" i="258"/>
  <c r="BK48" i="258"/>
  <c r="BJ48" i="258"/>
  <c r="BK47" i="258"/>
  <c r="BJ47" i="258"/>
  <c r="BK46" i="258"/>
  <c r="BJ46" i="258"/>
  <c r="BK45" i="258"/>
  <c r="BJ45" i="258"/>
  <c r="BK44" i="258"/>
  <c r="BJ44" i="258"/>
  <c r="BK43" i="258"/>
  <c r="BJ43" i="258"/>
  <c r="BK42" i="258"/>
  <c r="BJ42" i="258"/>
  <c r="BK41" i="258"/>
  <c r="BJ41" i="258"/>
  <c r="BK39" i="258"/>
  <c r="BJ39" i="258"/>
  <c r="BK38" i="258"/>
  <c r="BJ38" i="258"/>
  <c r="BK37" i="258"/>
  <c r="BJ37" i="258"/>
  <c r="BK36" i="258"/>
  <c r="BJ36" i="258"/>
  <c r="BK35" i="258"/>
  <c r="BJ35" i="258"/>
  <c r="BK34" i="258"/>
  <c r="BJ34" i="258"/>
  <c r="BK33" i="258"/>
  <c r="BJ33" i="258"/>
  <c r="BK32" i="258"/>
  <c r="BJ32" i="258"/>
  <c r="BK31" i="258"/>
  <c r="BJ31" i="258"/>
  <c r="BI30" i="258"/>
  <c r="BH30" i="258"/>
  <c r="BH134" i="258" s="1"/>
  <c r="BG30" i="258"/>
  <c r="BF30" i="258"/>
  <c r="BE30" i="258"/>
  <c r="BD30" i="258"/>
  <c r="BC30" i="258"/>
  <c r="BB30" i="258"/>
  <c r="BA30" i="258"/>
  <c r="AZ30" i="258"/>
  <c r="AY30" i="258"/>
  <c r="AX30" i="258"/>
  <c r="AW30" i="258"/>
  <c r="AV30" i="258"/>
  <c r="AU30" i="258"/>
  <c r="AT30" i="258"/>
  <c r="AS30" i="258"/>
  <c r="AR30" i="258"/>
  <c r="AQ30" i="258"/>
  <c r="AP30" i="258"/>
  <c r="AO30" i="258"/>
  <c r="AN30" i="258"/>
  <c r="AM30" i="258"/>
  <c r="AL30" i="258"/>
  <c r="AK30" i="258"/>
  <c r="AJ30" i="258"/>
  <c r="AI30" i="258"/>
  <c r="AH30" i="258"/>
  <c r="AG30" i="258"/>
  <c r="AF30" i="258"/>
  <c r="AE30" i="258"/>
  <c r="AD30" i="258"/>
  <c r="AC30" i="258"/>
  <c r="AB30" i="258"/>
  <c r="AA30" i="258"/>
  <c r="Z30" i="258"/>
  <c r="Y30" i="258"/>
  <c r="X30" i="258"/>
  <c r="X134" i="258" s="1"/>
  <c r="W30" i="258"/>
  <c r="V30" i="258"/>
  <c r="V134" i="258" s="1"/>
  <c r="U30" i="258"/>
  <c r="T30" i="258"/>
  <c r="T134" i="258" s="1"/>
  <c r="S30" i="258"/>
  <c r="Q30" i="258"/>
  <c r="P30" i="258"/>
  <c r="O30" i="258"/>
  <c r="N30" i="258"/>
  <c r="N134" i="258" s="1"/>
  <c r="M30" i="258"/>
  <c r="L30" i="258"/>
  <c r="K30" i="258"/>
  <c r="J30" i="258"/>
  <c r="J134" i="258" s="1"/>
  <c r="I30" i="258"/>
  <c r="H30" i="258"/>
  <c r="H134" i="258" s="1"/>
  <c r="G30" i="258"/>
  <c r="F30" i="258"/>
  <c r="BK29" i="258"/>
  <c r="BJ29" i="258"/>
  <c r="C29" i="258"/>
  <c r="BK28" i="258"/>
  <c r="BJ28" i="258"/>
  <c r="C28" i="258"/>
  <c r="BK27" i="258"/>
  <c r="BJ27" i="258"/>
  <c r="C27" i="258"/>
  <c r="BK26" i="258"/>
  <c r="BJ26" i="258"/>
  <c r="C26" i="258"/>
  <c r="BK25" i="258"/>
  <c r="BJ25" i="258"/>
  <c r="C25" i="258"/>
  <c r="BK24" i="258"/>
  <c r="BJ24" i="258"/>
  <c r="C24" i="258"/>
  <c r="BK23" i="258"/>
  <c r="BJ23" i="258"/>
  <c r="C23" i="258"/>
  <c r="BK22" i="258"/>
  <c r="BJ22" i="258"/>
  <c r="C22" i="258"/>
  <c r="BK21" i="258"/>
  <c r="BJ21" i="258"/>
  <c r="C21" i="258"/>
  <c r="BK20" i="258"/>
  <c r="BJ20" i="258"/>
  <c r="C20" i="258"/>
  <c r="BK19" i="258"/>
  <c r="BJ19" i="258"/>
  <c r="C19" i="258"/>
  <c r="BK18" i="258"/>
  <c r="BJ18" i="258"/>
  <c r="C18" i="258"/>
  <c r="BK17" i="258"/>
  <c r="BJ17" i="258"/>
  <c r="C17" i="258"/>
  <c r="BK16" i="258"/>
  <c r="BJ16" i="258"/>
  <c r="C16" i="258"/>
  <c r="BK15" i="258"/>
  <c r="BJ15" i="258"/>
  <c r="C15" i="258"/>
  <c r="BK14" i="258"/>
  <c r="BJ14" i="258"/>
  <c r="C14" i="258"/>
  <c r="BK13" i="258"/>
  <c r="BJ13" i="258"/>
  <c r="C13" i="258"/>
  <c r="C12" i="258"/>
  <c r="BK7" i="258"/>
  <c r="BJ7" i="258"/>
  <c r="BJ12" i="258" s="1"/>
  <c r="C7" i="258"/>
  <c r="BK6" i="258"/>
  <c r="BJ6" i="258"/>
  <c r="C6" i="258"/>
  <c r="BK5" i="258"/>
  <c r="BJ5" i="258"/>
  <c r="C5" i="258"/>
  <c r="BI1" i="258"/>
  <c r="BG1" i="258"/>
  <c r="BF1" i="258"/>
  <c r="BE1" i="258"/>
  <c r="BD1" i="258"/>
  <c r="BC1" i="258"/>
  <c r="BB1" i="258"/>
  <c r="BA1" i="258"/>
  <c r="AZ1" i="258"/>
  <c r="AY1" i="258"/>
  <c r="AX1" i="258"/>
  <c r="AW1" i="258"/>
  <c r="AV1" i="258"/>
  <c r="AU1" i="258"/>
  <c r="AT1" i="258"/>
  <c r="AS1" i="258"/>
  <c r="AR1" i="258"/>
  <c r="AQ1" i="258"/>
  <c r="AP1" i="258"/>
  <c r="AO1" i="258"/>
  <c r="AN1" i="258"/>
  <c r="AM1" i="258"/>
  <c r="AL1" i="258"/>
  <c r="AK1" i="258"/>
  <c r="AJ1" i="258"/>
  <c r="AI1" i="258"/>
  <c r="AH1" i="258"/>
  <c r="AG1" i="258"/>
  <c r="AF1" i="258"/>
  <c r="AE1" i="258"/>
  <c r="AD1" i="258"/>
  <c r="AC1" i="258"/>
  <c r="AB1" i="258"/>
  <c r="AA1" i="258"/>
  <c r="Z1" i="258"/>
  <c r="Y1" i="258"/>
  <c r="X1" i="258"/>
  <c r="W1" i="258"/>
  <c r="V1" i="258"/>
  <c r="U1" i="258"/>
  <c r="T1" i="258"/>
  <c r="S1" i="258"/>
  <c r="R1" i="258"/>
  <c r="Q1" i="258"/>
  <c r="P1" i="258"/>
  <c r="O1" i="258"/>
  <c r="N1" i="258"/>
  <c r="M1" i="258"/>
  <c r="L1" i="258"/>
  <c r="K1" i="258"/>
  <c r="J1" i="258"/>
  <c r="I1" i="258"/>
  <c r="H1" i="258"/>
  <c r="G1" i="258"/>
  <c r="F1" i="258"/>
  <c r="BJ129" i="260" l="1"/>
  <c r="I15" i="22" s="1"/>
  <c r="J121" i="261"/>
  <c r="X121" i="261"/>
  <c r="Z128" i="260"/>
  <c r="AF128" i="260"/>
  <c r="AF127" i="260"/>
  <c r="AF130" i="260" s="1"/>
  <c r="AF126" i="260"/>
  <c r="AH119" i="261"/>
  <c r="AH120" i="261"/>
  <c r="AH123" i="261"/>
  <c r="AF119" i="261"/>
  <c r="AF120" i="261"/>
  <c r="AF123" i="261" s="1"/>
  <c r="AB128" i="260"/>
  <c r="AB127" i="260"/>
  <c r="AB126" i="260"/>
  <c r="AB119" i="261"/>
  <c r="AB120" i="261"/>
  <c r="AB123" i="261"/>
  <c r="Z121" i="261"/>
  <c r="Z119" i="261"/>
  <c r="Z120" i="261"/>
  <c r="Z127" i="260"/>
  <c r="Z130" i="260" s="1"/>
  <c r="Z126" i="260"/>
  <c r="X119" i="261"/>
  <c r="X120" i="261"/>
  <c r="X128" i="258"/>
  <c r="X133" i="258" s="1"/>
  <c r="X130" i="258"/>
  <c r="V120" i="261"/>
  <c r="V119" i="261"/>
  <c r="V123" i="261"/>
  <c r="V130" i="258"/>
  <c r="V133" i="258"/>
  <c r="T128" i="258"/>
  <c r="T130" i="258" s="1"/>
  <c r="N128" i="258"/>
  <c r="N130" i="258" s="1"/>
  <c r="T119" i="261"/>
  <c r="T120" i="261"/>
  <c r="T123" i="261" s="1"/>
  <c r="N118" i="261"/>
  <c r="N121" i="261"/>
  <c r="N123" i="261" s="1"/>
  <c r="K118" i="261"/>
  <c r="K121" i="261"/>
  <c r="K119" i="261"/>
  <c r="K120" i="261"/>
  <c r="J120" i="261"/>
  <c r="J119" i="261"/>
  <c r="I120" i="261"/>
  <c r="I123" i="261" s="1"/>
  <c r="I119" i="261"/>
  <c r="H120" i="261"/>
  <c r="H123" i="261" s="1"/>
  <c r="H119" i="261"/>
  <c r="J128" i="258"/>
  <c r="J133" i="258" s="1"/>
  <c r="J130" i="258"/>
  <c r="H130" i="258"/>
  <c r="H133" i="258"/>
  <c r="F134" i="258"/>
  <c r="F135" i="258" s="1"/>
  <c r="F131" i="258"/>
  <c r="J117" i="256"/>
  <c r="J119" i="256" s="1"/>
  <c r="G121" i="261"/>
  <c r="G120" i="261"/>
  <c r="G119" i="261"/>
  <c r="N125" i="260"/>
  <c r="BH128" i="258"/>
  <c r="BH130" i="258" s="1"/>
  <c r="BK12" i="258"/>
  <c r="BH1" i="258"/>
  <c r="AT124" i="258"/>
  <c r="AH124" i="258"/>
  <c r="J14" i="22"/>
  <c r="L14" i="22" s="1"/>
  <c r="N126" i="260"/>
  <c r="N127" i="260"/>
  <c r="N130" i="260" s="1"/>
  <c r="F119" i="261"/>
  <c r="F121" i="261"/>
  <c r="F123" i="261" s="1"/>
  <c r="F118" i="261"/>
  <c r="AD124" i="258"/>
  <c r="AX124" i="258"/>
  <c r="AP124" i="258"/>
  <c r="G124" i="258"/>
  <c r="Z124" i="258"/>
  <c r="O124" i="258"/>
  <c r="K124" i="258"/>
  <c r="J124" i="258"/>
  <c r="H124" i="258"/>
  <c r="BJ122" i="262"/>
  <c r="AL124" i="258"/>
  <c r="BB124" i="258"/>
  <c r="N124" i="258"/>
  <c r="T124" i="258"/>
  <c r="AB124" i="258"/>
  <c r="AJ124" i="258"/>
  <c r="AR124" i="258"/>
  <c r="AZ124" i="258"/>
  <c r="BH124" i="258"/>
  <c r="L124" i="258"/>
  <c r="C101" i="258"/>
  <c r="C113" i="258"/>
  <c r="Q124" i="258"/>
  <c r="U124" i="258"/>
  <c r="Y124" i="258"/>
  <c r="AC124" i="258"/>
  <c r="AG124" i="258"/>
  <c r="AK124" i="258"/>
  <c r="AO124" i="258"/>
  <c r="AS124" i="258"/>
  <c r="AW124" i="258"/>
  <c r="BA124" i="258"/>
  <c r="BE124" i="258"/>
  <c r="BI124" i="258"/>
  <c r="I124" i="258"/>
  <c r="M124" i="258"/>
  <c r="S124" i="258"/>
  <c r="AA124" i="258"/>
  <c r="AE124" i="258"/>
  <c r="AI124" i="258"/>
  <c r="AM124" i="258"/>
  <c r="AQ124" i="258"/>
  <c r="AU124" i="258"/>
  <c r="AY124" i="258"/>
  <c r="BC124" i="258"/>
  <c r="BG124" i="258"/>
  <c r="X124" i="258"/>
  <c r="AF124" i="258"/>
  <c r="AN124" i="258"/>
  <c r="AV124" i="258"/>
  <c r="BD124" i="258"/>
  <c r="J113" i="256"/>
  <c r="W124" i="258"/>
  <c r="V124" i="258"/>
  <c r="BJ123" i="258"/>
  <c r="BK30" i="258"/>
  <c r="C41" i="258"/>
  <c r="BJ116" i="261"/>
  <c r="BJ121" i="261" s="1"/>
  <c r="H8" i="22" s="1"/>
  <c r="BK40" i="258"/>
  <c r="BJ30" i="258"/>
  <c r="BJ134" i="258" s="1"/>
  <c r="I10" i="22" s="1"/>
  <c r="C97" i="258"/>
  <c r="BJ112" i="261"/>
  <c r="BJ120" i="261" s="1"/>
  <c r="G8" i="22" s="1"/>
  <c r="BJ119" i="260"/>
  <c r="C105" i="258"/>
  <c r="BJ125" i="258"/>
  <c r="C70" i="258"/>
  <c r="BJ1" i="258"/>
  <c r="BJ129" i="258"/>
  <c r="BJ40" i="258"/>
  <c r="X123" i="261" l="1"/>
  <c r="J123" i="261"/>
  <c r="AB130" i="260"/>
  <c r="Z123" i="261"/>
  <c r="X131" i="258"/>
  <c r="X132" i="258"/>
  <c r="X135" i="258" s="1"/>
  <c r="V131" i="258"/>
  <c r="V132" i="258"/>
  <c r="V135" i="258" s="1"/>
  <c r="T133" i="258"/>
  <c r="T132" i="258"/>
  <c r="T131" i="258"/>
  <c r="N133" i="258"/>
  <c r="N132" i="258"/>
  <c r="N131" i="258"/>
  <c r="J122" i="256"/>
  <c r="K123" i="261"/>
  <c r="J131" i="258"/>
  <c r="J132" i="258"/>
  <c r="J135" i="258" s="1"/>
  <c r="H131" i="258"/>
  <c r="H132" i="258"/>
  <c r="H135" i="258" s="1"/>
  <c r="J121" i="256"/>
  <c r="G123" i="261"/>
  <c r="BH133" i="258"/>
  <c r="BH132" i="258"/>
  <c r="BH131" i="258"/>
  <c r="J8" i="22"/>
  <c r="L8" i="22" s="1"/>
  <c r="BJ123" i="261"/>
  <c r="BJ119" i="261"/>
  <c r="BJ118" i="261"/>
  <c r="BJ128" i="258"/>
  <c r="BJ133" i="258" s="1"/>
  <c r="H10" i="22" s="1"/>
  <c r="BJ124" i="258"/>
  <c r="BJ131" i="258" s="1"/>
  <c r="T135" i="258" l="1"/>
  <c r="N135" i="258"/>
  <c r="BH135" i="258"/>
  <c r="BJ132" i="258"/>
  <c r="G10" i="22" s="1"/>
  <c r="J10" i="22" s="1"/>
  <c r="L10" i="22" s="1"/>
  <c r="BJ130" i="258"/>
  <c r="BJ135" i="258" l="1"/>
  <c r="BJ115" i="256"/>
  <c r="BI114" i="256"/>
  <c r="BH114" i="256"/>
  <c r="BC114" i="256"/>
  <c r="BB114" i="256"/>
  <c r="AY114" i="256"/>
  <c r="AX114" i="256"/>
  <c r="AW114" i="256"/>
  <c r="AV114" i="256"/>
  <c r="AU114" i="256"/>
  <c r="AT114" i="256"/>
  <c r="AO114" i="256"/>
  <c r="AN114" i="256"/>
  <c r="AK114" i="256"/>
  <c r="AI114" i="256"/>
  <c r="AH114" i="256"/>
  <c r="AG114" i="256"/>
  <c r="AF114" i="256"/>
  <c r="AA114" i="256"/>
  <c r="Z114" i="256"/>
  <c r="W114" i="256"/>
  <c r="V114" i="256"/>
  <c r="U114" i="256"/>
  <c r="T114" i="256"/>
  <c r="S114" i="256"/>
  <c r="R114" i="256"/>
  <c r="Q114" i="256"/>
  <c r="P114" i="256"/>
  <c r="M114" i="256"/>
  <c r="L114" i="256"/>
  <c r="K114" i="256"/>
  <c r="I114" i="256"/>
  <c r="H114" i="256"/>
  <c r="G114" i="256"/>
  <c r="F114" i="256"/>
  <c r="BI112" i="256"/>
  <c r="BH112" i="256"/>
  <c r="BC112" i="256"/>
  <c r="BB112" i="256"/>
  <c r="AY112" i="256"/>
  <c r="AX112" i="256"/>
  <c r="AW112" i="256"/>
  <c r="AV112" i="256"/>
  <c r="AU112" i="256"/>
  <c r="AT112" i="256"/>
  <c r="AO112" i="256"/>
  <c r="AN112" i="256"/>
  <c r="AK112" i="256"/>
  <c r="AI112" i="256"/>
  <c r="AH112" i="256"/>
  <c r="AG112" i="256"/>
  <c r="AF112" i="256"/>
  <c r="AA112" i="256"/>
  <c r="Z112" i="256"/>
  <c r="W112" i="256"/>
  <c r="V112" i="256"/>
  <c r="U112" i="256"/>
  <c r="T112" i="256"/>
  <c r="S112" i="256"/>
  <c r="R112" i="256"/>
  <c r="Q112" i="256"/>
  <c r="P112" i="256"/>
  <c r="M112" i="256"/>
  <c r="L112" i="256"/>
  <c r="K112" i="256"/>
  <c r="I112" i="256"/>
  <c r="H112" i="256"/>
  <c r="G112" i="256"/>
  <c r="F112" i="256"/>
  <c r="BJ111" i="256"/>
  <c r="BJ110" i="256"/>
  <c r="BJ109" i="256"/>
  <c r="BJ108" i="256"/>
  <c r="BK107" i="256"/>
  <c r="BJ107" i="256"/>
  <c r="BK106" i="256"/>
  <c r="BJ106" i="256"/>
  <c r="BK105" i="256"/>
  <c r="BJ105" i="256"/>
  <c r="BK104" i="256"/>
  <c r="BJ104" i="256"/>
  <c r="BK103" i="256"/>
  <c r="BJ103" i="256"/>
  <c r="BK102" i="256"/>
  <c r="BJ102" i="256"/>
  <c r="BK101" i="256"/>
  <c r="BJ101" i="256"/>
  <c r="BK100" i="256"/>
  <c r="BJ100" i="256"/>
  <c r="BK99" i="256"/>
  <c r="BJ99" i="256"/>
  <c r="BK98" i="256"/>
  <c r="BJ98" i="256"/>
  <c r="BK97" i="256"/>
  <c r="BJ97" i="256"/>
  <c r="BK96" i="256"/>
  <c r="BJ96" i="256"/>
  <c r="BK95" i="256"/>
  <c r="BJ95" i="256"/>
  <c r="BK94" i="256"/>
  <c r="BJ94" i="256"/>
  <c r="BK93" i="256"/>
  <c r="BJ93" i="256"/>
  <c r="BK92" i="256"/>
  <c r="BJ92" i="256"/>
  <c r="BK91" i="256"/>
  <c r="BJ91" i="256"/>
  <c r="BK90" i="256"/>
  <c r="BJ90" i="256"/>
  <c r="BK89" i="256"/>
  <c r="BJ89" i="256"/>
  <c r="BK88" i="256"/>
  <c r="BJ88" i="256"/>
  <c r="BK87" i="256"/>
  <c r="BJ87" i="256"/>
  <c r="BK86" i="256"/>
  <c r="BJ86" i="256"/>
  <c r="BK85" i="256"/>
  <c r="BJ85" i="256"/>
  <c r="BK84" i="256"/>
  <c r="BJ84" i="256"/>
  <c r="BJ83" i="256"/>
  <c r="BK82" i="256"/>
  <c r="BJ82" i="256"/>
  <c r="BK81" i="256"/>
  <c r="BJ81" i="256"/>
  <c r="BK80" i="256"/>
  <c r="BJ80" i="256"/>
  <c r="BK79" i="256"/>
  <c r="BJ79" i="256"/>
  <c r="BK78" i="256"/>
  <c r="BJ78" i="256"/>
  <c r="BK77" i="256"/>
  <c r="BJ77" i="256"/>
  <c r="BK76" i="256"/>
  <c r="BJ76" i="256"/>
  <c r="BK75" i="256"/>
  <c r="BJ75" i="256"/>
  <c r="BK74" i="256"/>
  <c r="BJ74" i="256"/>
  <c r="BK73" i="256"/>
  <c r="BJ73" i="256"/>
  <c r="BK72" i="256"/>
  <c r="BJ72" i="256"/>
  <c r="BK71" i="256"/>
  <c r="BJ71" i="256"/>
  <c r="BK70" i="256"/>
  <c r="BJ70" i="256"/>
  <c r="BK69" i="256"/>
  <c r="BJ69" i="256"/>
  <c r="BK68" i="256"/>
  <c r="BJ68" i="256"/>
  <c r="BK67" i="256"/>
  <c r="BJ67" i="256"/>
  <c r="BK66" i="256"/>
  <c r="BJ66" i="256"/>
  <c r="BK65" i="256"/>
  <c r="BJ65" i="256"/>
  <c r="BK64" i="256"/>
  <c r="BJ64" i="256"/>
  <c r="BK63" i="256"/>
  <c r="BJ63" i="256"/>
  <c r="BK62" i="256"/>
  <c r="BJ62" i="256"/>
  <c r="BK61" i="256"/>
  <c r="BJ61" i="256"/>
  <c r="BK60" i="256"/>
  <c r="BJ60" i="256"/>
  <c r="BK59" i="256"/>
  <c r="BJ59" i="256"/>
  <c r="BK58" i="256"/>
  <c r="BJ58" i="256"/>
  <c r="BK57" i="256"/>
  <c r="BJ57" i="256"/>
  <c r="BK56" i="256"/>
  <c r="BJ56" i="256"/>
  <c r="BK55" i="256"/>
  <c r="BJ55" i="256"/>
  <c r="BK54" i="256"/>
  <c r="BJ54" i="256"/>
  <c r="BK53" i="256"/>
  <c r="BJ53" i="256"/>
  <c r="BK52" i="256"/>
  <c r="BJ52" i="256"/>
  <c r="BK51" i="256"/>
  <c r="BJ51" i="256"/>
  <c r="BK50" i="256"/>
  <c r="BJ50" i="256"/>
  <c r="BK49" i="256"/>
  <c r="BJ49" i="256"/>
  <c r="BK48" i="256"/>
  <c r="BJ48" i="256"/>
  <c r="BK47" i="256"/>
  <c r="BJ47" i="256"/>
  <c r="BK46" i="256"/>
  <c r="BJ46" i="256"/>
  <c r="BK45" i="256"/>
  <c r="BJ45" i="256"/>
  <c r="BK44" i="256"/>
  <c r="BJ44" i="256"/>
  <c r="BK43" i="256"/>
  <c r="BJ43" i="256"/>
  <c r="BK42" i="256"/>
  <c r="BJ42" i="256"/>
  <c r="BK41" i="256"/>
  <c r="BJ41" i="256"/>
  <c r="BK40" i="256"/>
  <c r="BJ40" i="256"/>
  <c r="BK39" i="256"/>
  <c r="BJ39" i="256"/>
  <c r="BK38" i="256"/>
  <c r="BJ38" i="256"/>
  <c r="BK37" i="256"/>
  <c r="BJ37" i="256"/>
  <c r="BK36" i="256"/>
  <c r="BJ36" i="256"/>
  <c r="BK35" i="256"/>
  <c r="BJ35" i="256"/>
  <c r="BK34" i="256"/>
  <c r="BJ34" i="256"/>
  <c r="BK33" i="256"/>
  <c r="BJ33" i="256"/>
  <c r="BK32" i="256"/>
  <c r="BJ32" i="256"/>
  <c r="BK31" i="256"/>
  <c r="BJ31" i="256"/>
  <c r="BK30" i="256"/>
  <c r="BJ30" i="256"/>
  <c r="BI29" i="256"/>
  <c r="BH29" i="256"/>
  <c r="BC29" i="256"/>
  <c r="BB29" i="256"/>
  <c r="AY29" i="256"/>
  <c r="AX29" i="256"/>
  <c r="AW29" i="256"/>
  <c r="AV29" i="256"/>
  <c r="AU29" i="256"/>
  <c r="AT29" i="256"/>
  <c r="AO29" i="256"/>
  <c r="AN29" i="256"/>
  <c r="AK29" i="256"/>
  <c r="AJ29" i="256"/>
  <c r="AI29" i="256"/>
  <c r="AH29" i="256"/>
  <c r="AG29" i="256"/>
  <c r="AF29" i="256"/>
  <c r="AA29" i="256"/>
  <c r="Z29" i="256"/>
  <c r="W29" i="256"/>
  <c r="V29" i="256"/>
  <c r="U29" i="256"/>
  <c r="T29" i="256"/>
  <c r="S29" i="256"/>
  <c r="Q29" i="256"/>
  <c r="P29" i="256"/>
  <c r="M29" i="256"/>
  <c r="L29" i="256"/>
  <c r="K29" i="256"/>
  <c r="I29" i="256"/>
  <c r="H29" i="256"/>
  <c r="G29" i="256"/>
  <c r="F29" i="256"/>
  <c r="BK28" i="256"/>
  <c r="BJ28" i="256"/>
  <c r="BK27" i="256"/>
  <c r="BJ27" i="256"/>
  <c r="BK26" i="256"/>
  <c r="BJ26" i="256"/>
  <c r="BK25" i="256"/>
  <c r="BJ25" i="256"/>
  <c r="BK24" i="256"/>
  <c r="BJ24" i="256"/>
  <c r="BK23" i="256"/>
  <c r="BJ23" i="256"/>
  <c r="BK22" i="256"/>
  <c r="BJ22" i="256"/>
  <c r="BK21" i="256"/>
  <c r="BJ21" i="256"/>
  <c r="BI20" i="256"/>
  <c r="BH20" i="256"/>
  <c r="BC20" i="256"/>
  <c r="BB20" i="256"/>
  <c r="AY20" i="256"/>
  <c r="AX20" i="256"/>
  <c r="AW20" i="256"/>
  <c r="AV20" i="256"/>
  <c r="AU20" i="256"/>
  <c r="AT20" i="256"/>
  <c r="AO20" i="256"/>
  <c r="AN20" i="256"/>
  <c r="AK20" i="256"/>
  <c r="AJ20" i="256"/>
  <c r="AI20" i="256"/>
  <c r="AH20" i="256"/>
  <c r="AG20" i="256"/>
  <c r="AF20" i="256"/>
  <c r="AA20" i="256"/>
  <c r="Z20" i="256"/>
  <c r="Z123" i="256" s="1"/>
  <c r="W20" i="256"/>
  <c r="V20" i="256"/>
  <c r="V123" i="256" s="1"/>
  <c r="U20" i="256"/>
  <c r="T20" i="256"/>
  <c r="T123" i="256" s="1"/>
  <c r="S20" i="256"/>
  <c r="R20" i="256"/>
  <c r="Q20" i="256"/>
  <c r="P20" i="256"/>
  <c r="M20" i="256"/>
  <c r="L20" i="256"/>
  <c r="L123" i="256" s="1"/>
  <c r="K20" i="256"/>
  <c r="J20" i="256"/>
  <c r="I20" i="256"/>
  <c r="H20" i="256"/>
  <c r="H123" i="256" s="1"/>
  <c r="G20" i="256"/>
  <c r="F20" i="256"/>
  <c r="F123" i="256" s="1"/>
  <c r="BK19" i="256"/>
  <c r="BJ19" i="256"/>
  <c r="BK9" i="256"/>
  <c r="BJ9" i="256"/>
  <c r="BK8" i="256"/>
  <c r="BJ8" i="256"/>
  <c r="BK7" i="256"/>
  <c r="BJ7" i="256"/>
  <c r="BK6" i="256"/>
  <c r="BJ6" i="256"/>
  <c r="BK5" i="256"/>
  <c r="BJ5" i="256"/>
  <c r="BI1" i="256"/>
  <c r="BH1" i="256"/>
  <c r="BC1" i="256"/>
  <c r="BB1" i="256"/>
  <c r="AY1" i="256"/>
  <c r="AX1" i="256"/>
  <c r="AW1" i="256"/>
  <c r="AV1" i="256"/>
  <c r="AU1" i="256"/>
  <c r="AT1" i="256"/>
  <c r="AO1" i="256"/>
  <c r="AN1" i="256"/>
  <c r="AK1" i="256"/>
  <c r="AJ1" i="256"/>
  <c r="AI1" i="256"/>
  <c r="AH1" i="256"/>
  <c r="AG1" i="256"/>
  <c r="AF1" i="256"/>
  <c r="AA1" i="256"/>
  <c r="Z1" i="256"/>
  <c r="W1" i="256"/>
  <c r="V1" i="256"/>
  <c r="U1" i="256"/>
  <c r="T1" i="256"/>
  <c r="S1" i="256"/>
  <c r="R1" i="256"/>
  <c r="Q1" i="256"/>
  <c r="P1" i="256"/>
  <c r="M1" i="256"/>
  <c r="L1" i="256"/>
  <c r="K1" i="256"/>
  <c r="J1" i="256"/>
  <c r="I1" i="256"/>
  <c r="H1" i="256"/>
  <c r="G1" i="256"/>
  <c r="F1" i="256"/>
  <c r="BJ116" i="255"/>
  <c r="BJ115" i="255"/>
  <c r="BI114" i="255"/>
  <c r="BH114" i="255"/>
  <c r="BG114" i="255"/>
  <c r="BF114" i="255"/>
  <c r="BE114" i="255"/>
  <c r="BD114" i="255"/>
  <c r="BC114" i="255"/>
  <c r="BB114" i="255"/>
  <c r="BA114" i="255"/>
  <c r="AX114" i="255"/>
  <c r="AW114" i="255"/>
  <c r="AV114" i="255"/>
  <c r="AU114" i="255"/>
  <c r="AT114" i="255"/>
  <c r="AS114" i="255"/>
  <c r="AR114" i="255"/>
  <c r="AQ114" i="255"/>
  <c r="AP114" i="255"/>
  <c r="AO114" i="255"/>
  <c r="AN114" i="255"/>
  <c r="AM114" i="255"/>
  <c r="AL114" i="255"/>
  <c r="AK114" i="255"/>
  <c r="AJ114" i="255"/>
  <c r="AI114" i="255"/>
  <c r="AH114" i="255"/>
  <c r="AG114" i="255"/>
  <c r="AF114" i="255"/>
  <c r="AE114" i="255"/>
  <c r="AC114" i="255"/>
  <c r="AB114" i="255"/>
  <c r="AA114" i="255"/>
  <c r="Z114" i="255"/>
  <c r="Y114" i="255"/>
  <c r="W114" i="255"/>
  <c r="V114" i="255"/>
  <c r="V117" i="255" s="1"/>
  <c r="U114" i="255"/>
  <c r="T114" i="255"/>
  <c r="S114" i="255"/>
  <c r="R114" i="255"/>
  <c r="Q114" i="255"/>
  <c r="P114" i="255"/>
  <c r="O114" i="255"/>
  <c r="N114" i="255"/>
  <c r="M114" i="255"/>
  <c r="L114" i="255"/>
  <c r="K114" i="255"/>
  <c r="J114" i="255"/>
  <c r="I114" i="255"/>
  <c r="H114" i="255"/>
  <c r="G114" i="255"/>
  <c r="F114" i="255"/>
  <c r="BI112" i="255"/>
  <c r="BH112" i="255"/>
  <c r="BG112" i="255"/>
  <c r="BF112" i="255"/>
  <c r="BE112" i="255"/>
  <c r="BD112" i="255"/>
  <c r="BC112" i="255"/>
  <c r="BB112" i="255"/>
  <c r="BA112" i="255"/>
  <c r="AX112" i="255"/>
  <c r="AW112" i="255"/>
  <c r="AV112" i="255"/>
  <c r="AU112" i="255"/>
  <c r="AT112" i="255"/>
  <c r="AS112" i="255"/>
  <c r="AR112" i="255"/>
  <c r="AQ112" i="255"/>
  <c r="AP112" i="255"/>
  <c r="AO112" i="255"/>
  <c r="AN112" i="255"/>
  <c r="AM112" i="255"/>
  <c r="AL112" i="255"/>
  <c r="AK112" i="255"/>
  <c r="AJ112" i="255"/>
  <c r="AI112" i="255"/>
  <c r="AH112" i="255"/>
  <c r="AG112" i="255"/>
  <c r="AF112" i="255"/>
  <c r="AE112" i="255"/>
  <c r="AC112" i="255"/>
  <c r="AB112" i="255"/>
  <c r="AA112" i="255"/>
  <c r="Z112" i="255"/>
  <c r="Y112" i="255"/>
  <c r="X112" i="255"/>
  <c r="X113" i="255" s="1"/>
  <c r="W112" i="255"/>
  <c r="U112" i="255"/>
  <c r="T112" i="255"/>
  <c r="S112" i="255"/>
  <c r="R112" i="255"/>
  <c r="Q112" i="255"/>
  <c r="P112" i="255"/>
  <c r="O112" i="255"/>
  <c r="N112" i="255"/>
  <c r="M112" i="255"/>
  <c r="L112" i="255"/>
  <c r="K112" i="255"/>
  <c r="J112" i="255"/>
  <c r="I112" i="255"/>
  <c r="H112" i="255"/>
  <c r="G112" i="255"/>
  <c r="F112" i="255"/>
  <c r="BJ111" i="255"/>
  <c r="BJ110" i="255"/>
  <c r="BJ109" i="255"/>
  <c r="BJ108" i="255"/>
  <c r="BK107" i="255"/>
  <c r="BJ107" i="255"/>
  <c r="BK106" i="255"/>
  <c r="BJ106" i="255"/>
  <c r="BK105" i="255"/>
  <c r="BJ105" i="255"/>
  <c r="BK104" i="255"/>
  <c r="BJ104" i="255"/>
  <c r="BK103" i="255"/>
  <c r="BJ103" i="255"/>
  <c r="BK102" i="255"/>
  <c r="BJ102" i="255"/>
  <c r="BK101" i="255"/>
  <c r="BJ101" i="255"/>
  <c r="BK100" i="255"/>
  <c r="BJ100" i="255"/>
  <c r="BK99" i="255"/>
  <c r="BJ99" i="255"/>
  <c r="BK98" i="255"/>
  <c r="BJ98" i="255"/>
  <c r="BK97" i="255"/>
  <c r="BJ97" i="255"/>
  <c r="BK96" i="255"/>
  <c r="BJ96" i="255"/>
  <c r="BK95" i="255"/>
  <c r="BJ95" i="255"/>
  <c r="BK94" i="255"/>
  <c r="BJ94" i="255"/>
  <c r="BK93" i="255"/>
  <c r="BJ93" i="255"/>
  <c r="BK92" i="255"/>
  <c r="BJ92" i="255"/>
  <c r="BK91" i="255"/>
  <c r="BJ91" i="255"/>
  <c r="BK90" i="255"/>
  <c r="BJ90" i="255"/>
  <c r="BK89" i="255"/>
  <c r="BJ89" i="255"/>
  <c r="BK88" i="255"/>
  <c r="BJ88" i="255"/>
  <c r="BK87" i="255"/>
  <c r="BJ87" i="255"/>
  <c r="BK86" i="255"/>
  <c r="BJ86" i="255"/>
  <c r="BK85" i="255"/>
  <c r="BJ85" i="255"/>
  <c r="BK84" i="255"/>
  <c r="BJ84" i="255"/>
  <c r="BJ83" i="255"/>
  <c r="BK82" i="255"/>
  <c r="BJ82" i="255"/>
  <c r="BK81" i="255"/>
  <c r="BJ81" i="255"/>
  <c r="BK80" i="255"/>
  <c r="BJ80" i="255"/>
  <c r="BK79" i="255"/>
  <c r="BJ79" i="255"/>
  <c r="BK78" i="255"/>
  <c r="BJ78" i="255"/>
  <c r="BK77" i="255"/>
  <c r="BJ77" i="255"/>
  <c r="BK76" i="255"/>
  <c r="BJ76" i="255"/>
  <c r="BK75" i="255"/>
  <c r="BJ75" i="255"/>
  <c r="BK74" i="255"/>
  <c r="BJ74" i="255"/>
  <c r="BK73" i="255"/>
  <c r="BJ73" i="255"/>
  <c r="BK72" i="255"/>
  <c r="BJ72" i="255"/>
  <c r="BK71" i="255"/>
  <c r="BJ71" i="255"/>
  <c r="BK70" i="255"/>
  <c r="BJ70" i="255"/>
  <c r="BK69" i="255"/>
  <c r="BJ69" i="255"/>
  <c r="BK68" i="255"/>
  <c r="BJ68" i="255"/>
  <c r="BK67" i="255"/>
  <c r="BJ67" i="255"/>
  <c r="BK66" i="255"/>
  <c r="BJ66" i="255"/>
  <c r="BK65" i="255"/>
  <c r="BJ65" i="255"/>
  <c r="BK64" i="255"/>
  <c r="BJ64" i="255"/>
  <c r="BK63" i="255"/>
  <c r="BJ63" i="255"/>
  <c r="BK62" i="255"/>
  <c r="BJ62" i="255"/>
  <c r="BK61" i="255"/>
  <c r="BJ61" i="255"/>
  <c r="BK60" i="255"/>
  <c r="BJ60" i="255"/>
  <c r="BK59" i="255"/>
  <c r="BJ59" i="255"/>
  <c r="BK58" i="255"/>
  <c r="BJ58" i="255"/>
  <c r="BK57" i="255"/>
  <c r="BJ57" i="255"/>
  <c r="BK56" i="255"/>
  <c r="BJ56" i="255"/>
  <c r="BK55" i="255"/>
  <c r="BJ55" i="255"/>
  <c r="BK54" i="255"/>
  <c r="BJ54" i="255"/>
  <c r="BK53" i="255"/>
  <c r="BJ53" i="255"/>
  <c r="BK52" i="255"/>
  <c r="BJ52" i="255"/>
  <c r="BK51" i="255"/>
  <c r="BJ51" i="255"/>
  <c r="BK50" i="255"/>
  <c r="BJ50" i="255"/>
  <c r="BK49" i="255"/>
  <c r="BJ49" i="255"/>
  <c r="BK48" i="255"/>
  <c r="BJ48" i="255"/>
  <c r="BK47" i="255"/>
  <c r="BJ47" i="255"/>
  <c r="BK46" i="255"/>
  <c r="BJ46" i="255"/>
  <c r="BK45" i="255"/>
  <c r="BJ45" i="255"/>
  <c r="BK44" i="255"/>
  <c r="BJ44" i="255"/>
  <c r="BK43" i="255"/>
  <c r="BJ43" i="255"/>
  <c r="BK42" i="255"/>
  <c r="BJ42" i="255"/>
  <c r="BK41" i="255"/>
  <c r="BJ41" i="255"/>
  <c r="BK40" i="255"/>
  <c r="BJ40" i="255"/>
  <c r="BK39" i="255"/>
  <c r="BJ39" i="255"/>
  <c r="BK38" i="255"/>
  <c r="BJ38" i="255"/>
  <c r="BK37" i="255"/>
  <c r="BJ37" i="255"/>
  <c r="BK36" i="255"/>
  <c r="BJ36" i="255"/>
  <c r="BK35" i="255"/>
  <c r="BJ35" i="255"/>
  <c r="BK34" i="255"/>
  <c r="BJ34" i="255"/>
  <c r="BK33" i="255"/>
  <c r="BJ33" i="255"/>
  <c r="BK32" i="255"/>
  <c r="BJ32" i="255"/>
  <c r="BK31" i="255"/>
  <c r="BJ31" i="255"/>
  <c r="BK30" i="255"/>
  <c r="BJ30" i="255"/>
  <c r="BI29" i="255"/>
  <c r="BH29" i="255"/>
  <c r="BG29" i="255"/>
  <c r="BF29" i="255"/>
  <c r="BE29" i="255"/>
  <c r="BD29" i="255"/>
  <c r="BC29" i="255"/>
  <c r="BB29" i="255"/>
  <c r="BA29" i="255"/>
  <c r="AZ29" i="255"/>
  <c r="AY29" i="255"/>
  <c r="AW29" i="255"/>
  <c r="AV29" i="255"/>
  <c r="AU29" i="255"/>
  <c r="AT29" i="255"/>
  <c r="AS29" i="255"/>
  <c r="AR29" i="255"/>
  <c r="AQ29" i="255"/>
  <c r="AP29" i="255"/>
  <c r="AO29" i="255"/>
  <c r="AN29" i="255"/>
  <c r="AM29" i="255"/>
  <c r="AL29" i="255"/>
  <c r="AK29" i="255"/>
  <c r="AJ29" i="255"/>
  <c r="AI29" i="255"/>
  <c r="AH29" i="255"/>
  <c r="AG29" i="255"/>
  <c r="AF29" i="255"/>
  <c r="AE29" i="255"/>
  <c r="AD29" i="255"/>
  <c r="AC29" i="255"/>
  <c r="AB29" i="255"/>
  <c r="AA29" i="255"/>
  <c r="Z29" i="255"/>
  <c r="Y29" i="255"/>
  <c r="X29" i="255"/>
  <c r="W29" i="255"/>
  <c r="V29" i="255"/>
  <c r="U29" i="255"/>
  <c r="T29" i="255"/>
  <c r="S29" i="255"/>
  <c r="R29" i="255"/>
  <c r="Q29" i="255"/>
  <c r="P29" i="255"/>
  <c r="O29" i="255"/>
  <c r="N29" i="255"/>
  <c r="M29" i="255"/>
  <c r="L29" i="255"/>
  <c r="K29" i="255"/>
  <c r="J29" i="255"/>
  <c r="I29" i="255"/>
  <c r="H29" i="255"/>
  <c r="G29" i="255"/>
  <c r="F29" i="255"/>
  <c r="BK28" i="255"/>
  <c r="BJ28" i="255"/>
  <c r="BK26" i="255"/>
  <c r="BJ26" i="255"/>
  <c r="BK25" i="255"/>
  <c r="BJ25" i="255"/>
  <c r="BK24" i="255"/>
  <c r="BJ24" i="255"/>
  <c r="BK23" i="255"/>
  <c r="BJ23" i="255"/>
  <c r="BK22" i="255"/>
  <c r="BJ22" i="255"/>
  <c r="BK21" i="255"/>
  <c r="BJ21" i="255"/>
  <c r="BI20" i="255"/>
  <c r="BH20" i="255"/>
  <c r="BG20" i="255"/>
  <c r="BF20" i="255"/>
  <c r="BE20" i="255"/>
  <c r="BD20" i="255"/>
  <c r="BC20" i="255"/>
  <c r="BB20" i="255"/>
  <c r="BA20" i="255"/>
  <c r="AZ20" i="255"/>
  <c r="AY20" i="255"/>
  <c r="AX20" i="255"/>
  <c r="AW20" i="255"/>
  <c r="AV20" i="255"/>
  <c r="AU20" i="255"/>
  <c r="AT20" i="255"/>
  <c r="AS20" i="255"/>
  <c r="AR20" i="255"/>
  <c r="AQ20" i="255"/>
  <c r="AP20" i="255"/>
  <c r="AO20" i="255"/>
  <c r="AN20" i="255"/>
  <c r="AM20" i="255"/>
  <c r="AL20" i="255"/>
  <c r="AK20" i="255"/>
  <c r="AJ20" i="255"/>
  <c r="AI20" i="255"/>
  <c r="AH20" i="255"/>
  <c r="AG20" i="255"/>
  <c r="AF20" i="255"/>
  <c r="AE20" i="255"/>
  <c r="AD20" i="255"/>
  <c r="AC20" i="255"/>
  <c r="AB20" i="255"/>
  <c r="AA20" i="255"/>
  <c r="Z20" i="255"/>
  <c r="Y20" i="255"/>
  <c r="X20" i="255"/>
  <c r="W20" i="255"/>
  <c r="V20" i="255"/>
  <c r="V123" i="255" s="1"/>
  <c r="U20" i="255"/>
  <c r="T20" i="255"/>
  <c r="T123" i="255" s="1"/>
  <c r="S20" i="255"/>
  <c r="R20" i="255"/>
  <c r="Q20" i="255"/>
  <c r="P20" i="255"/>
  <c r="O20" i="255"/>
  <c r="N20" i="255"/>
  <c r="N123" i="255" s="1"/>
  <c r="M20" i="255"/>
  <c r="L20" i="255"/>
  <c r="L123" i="255" s="1"/>
  <c r="K20" i="255"/>
  <c r="J20" i="255"/>
  <c r="I20" i="255"/>
  <c r="H20" i="255"/>
  <c r="G20" i="255"/>
  <c r="F20" i="255"/>
  <c r="BK19" i="255"/>
  <c r="BJ19" i="255"/>
  <c r="C19" i="255"/>
  <c r="BK18" i="255"/>
  <c r="BJ18" i="255"/>
  <c r="C18" i="255"/>
  <c r="BK17" i="255"/>
  <c r="BJ17" i="255"/>
  <c r="C17" i="255"/>
  <c r="BK16" i="255"/>
  <c r="BJ16" i="255"/>
  <c r="C16" i="255"/>
  <c r="BK15" i="255"/>
  <c r="BJ15" i="255"/>
  <c r="C15" i="255"/>
  <c r="BK14" i="255"/>
  <c r="BJ14" i="255"/>
  <c r="C14" i="255"/>
  <c r="BK13" i="255"/>
  <c r="BJ13" i="255"/>
  <c r="C13" i="255"/>
  <c r="C12" i="255"/>
  <c r="BK11" i="255"/>
  <c r="BJ11" i="255"/>
  <c r="BK10" i="255"/>
  <c r="BJ10" i="255"/>
  <c r="BK8" i="255"/>
  <c r="BJ8" i="255"/>
  <c r="BK7" i="255"/>
  <c r="BJ7" i="255"/>
  <c r="C7" i="255"/>
  <c r="BK6" i="255"/>
  <c r="BJ6" i="255"/>
  <c r="BK5" i="255"/>
  <c r="BJ5" i="255"/>
  <c r="BI1" i="255"/>
  <c r="BH1" i="255"/>
  <c r="BG1" i="255"/>
  <c r="BF1" i="255"/>
  <c r="BE1" i="255"/>
  <c r="BD1" i="255"/>
  <c r="BC1" i="255"/>
  <c r="BB1" i="255"/>
  <c r="BA1" i="255"/>
  <c r="AZ1" i="255"/>
  <c r="AY1" i="255"/>
  <c r="AW1" i="255"/>
  <c r="AV1" i="255"/>
  <c r="AU1" i="255"/>
  <c r="AT1" i="255"/>
  <c r="AS1" i="255"/>
  <c r="AR1" i="255"/>
  <c r="AQ1" i="255"/>
  <c r="AP1" i="255"/>
  <c r="AO1" i="255"/>
  <c r="AN1" i="255"/>
  <c r="AM1" i="255"/>
  <c r="AL1" i="255"/>
  <c r="AK1" i="255"/>
  <c r="AJ1" i="255"/>
  <c r="AI1" i="255"/>
  <c r="AH1" i="255"/>
  <c r="AG1" i="255"/>
  <c r="AF1" i="255"/>
  <c r="AE1" i="255"/>
  <c r="AD1" i="255"/>
  <c r="AC1" i="255"/>
  <c r="AB1" i="255"/>
  <c r="AA1" i="255"/>
  <c r="Z1" i="255"/>
  <c r="Y1" i="255"/>
  <c r="X1" i="255"/>
  <c r="W1" i="255"/>
  <c r="V1" i="255"/>
  <c r="U1" i="255"/>
  <c r="T1" i="255"/>
  <c r="S1" i="255"/>
  <c r="R1" i="255"/>
  <c r="Q1" i="255"/>
  <c r="P1" i="255"/>
  <c r="O1" i="255"/>
  <c r="N1" i="255"/>
  <c r="M1" i="255"/>
  <c r="L1" i="255"/>
  <c r="K1" i="255"/>
  <c r="J1" i="255"/>
  <c r="I1" i="255"/>
  <c r="H1" i="255"/>
  <c r="G1" i="255"/>
  <c r="F1" i="255"/>
  <c r="C6" i="157"/>
  <c r="C7" i="157"/>
  <c r="C8" i="157"/>
  <c r="C9" i="157"/>
  <c r="C10" i="157"/>
  <c r="C11" i="157"/>
  <c r="C12" i="157"/>
  <c r="C13" i="157"/>
  <c r="C14" i="157"/>
  <c r="C5" i="157"/>
  <c r="Z117" i="256" l="1"/>
  <c r="Z119" i="256"/>
  <c r="Z122" i="256"/>
  <c r="V117" i="256"/>
  <c r="V119" i="256"/>
  <c r="V122" i="256"/>
  <c r="V119" i="255"/>
  <c r="V122" i="255"/>
  <c r="T117" i="255"/>
  <c r="T119" i="255" s="1"/>
  <c r="T117" i="256"/>
  <c r="T119" i="256"/>
  <c r="T122" i="256"/>
  <c r="N117" i="255"/>
  <c r="N122" i="255" s="1"/>
  <c r="N119" i="255"/>
  <c r="L117" i="256"/>
  <c r="L122" i="256" s="1"/>
  <c r="J123" i="256"/>
  <c r="J124" i="256" s="1"/>
  <c r="J120" i="256"/>
  <c r="L117" i="255"/>
  <c r="L119" i="255" s="1"/>
  <c r="L122" i="255"/>
  <c r="H117" i="256"/>
  <c r="H119" i="256" s="1"/>
  <c r="F117" i="256"/>
  <c r="F119" i="256" s="1"/>
  <c r="L113" i="256"/>
  <c r="P113" i="256"/>
  <c r="T113" i="256"/>
  <c r="AF113" i="256"/>
  <c r="C90" i="255"/>
  <c r="AH113" i="255"/>
  <c r="C86" i="255"/>
  <c r="C94" i="255"/>
  <c r="C102" i="255"/>
  <c r="I113" i="255"/>
  <c r="M113" i="255"/>
  <c r="Q113" i="255"/>
  <c r="U113" i="255"/>
  <c r="AE113" i="255"/>
  <c r="AI113" i="255"/>
  <c r="AM113" i="255"/>
  <c r="AQ113" i="255"/>
  <c r="AU113" i="255"/>
  <c r="BC113" i="255"/>
  <c r="BG113" i="255"/>
  <c r="W113" i="255"/>
  <c r="AA113" i="255"/>
  <c r="AF113" i="255"/>
  <c r="AJ113" i="255"/>
  <c r="AN113" i="255"/>
  <c r="AR113" i="255"/>
  <c r="AV113" i="255"/>
  <c r="BD113" i="255"/>
  <c r="BH113" i="255"/>
  <c r="G113" i="255"/>
  <c r="K113" i="255"/>
  <c r="O113" i="255"/>
  <c r="S113" i="255"/>
  <c r="AB113" i="255"/>
  <c r="AG113" i="255"/>
  <c r="AK113" i="255"/>
  <c r="AO113" i="255"/>
  <c r="AS113" i="255"/>
  <c r="AW113" i="255"/>
  <c r="BA113" i="255"/>
  <c r="BE113" i="255"/>
  <c r="BI113" i="255"/>
  <c r="H113" i="255"/>
  <c r="L113" i="255"/>
  <c r="P113" i="255"/>
  <c r="T113" i="255"/>
  <c r="Y113" i="255"/>
  <c r="AC113" i="255"/>
  <c r="C30" i="256"/>
  <c r="C86" i="256"/>
  <c r="C90" i="256"/>
  <c r="C94" i="256"/>
  <c r="C102" i="256"/>
  <c r="M113" i="256"/>
  <c r="Q113" i="256"/>
  <c r="U113" i="256"/>
  <c r="AG113" i="256"/>
  <c r="AK113" i="256"/>
  <c r="AO113" i="256"/>
  <c r="AW113" i="256"/>
  <c r="BI113" i="256"/>
  <c r="V113" i="256"/>
  <c r="Z113" i="256"/>
  <c r="AH113" i="256"/>
  <c r="AT113" i="256"/>
  <c r="AX113" i="256"/>
  <c r="BB113" i="256"/>
  <c r="F113" i="256"/>
  <c r="I113" i="256"/>
  <c r="K113" i="256"/>
  <c r="S113" i="256"/>
  <c r="W113" i="256"/>
  <c r="AA113" i="256"/>
  <c r="AI113" i="256"/>
  <c r="AU113" i="256"/>
  <c r="AY113" i="256"/>
  <c r="BC113" i="256"/>
  <c r="AN113" i="256"/>
  <c r="AV113" i="256"/>
  <c r="BH113" i="256"/>
  <c r="C59" i="255"/>
  <c r="C30" i="255"/>
  <c r="BJ118" i="256"/>
  <c r="R113" i="256"/>
  <c r="BK29" i="256"/>
  <c r="BK20" i="256"/>
  <c r="H113" i="256"/>
  <c r="BJ112" i="256"/>
  <c r="C59" i="256"/>
  <c r="BJ20" i="256"/>
  <c r="BJ123" i="256" s="1"/>
  <c r="I13" i="22" s="1"/>
  <c r="BJ29" i="256"/>
  <c r="G113" i="256"/>
  <c r="BJ1" i="256"/>
  <c r="J113" i="255"/>
  <c r="N113" i="255"/>
  <c r="R113" i="255"/>
  <c r="V113" i="255"/>
  <c r="Z113" i="255"/>
  <c r="AL113" i="255"/>
  <c r="AP113" i="255"/>
  <c r="AT113" i="255"/>
  <c r="AX113" i="255"/>
  <c r="BB113" i="255"/>
  <c r="BF113" i="255"/>
  <c r="BK20" i="255"/>
  <c r="BJ20" i="255"/>
  <c r="BK29" i="255"/>
  <c r="BJ29" i="255"/>
  <c r="F113" i="255"/>
  <c r="BJ112" i="255"/>
  <c r="L119" i="256" l="1"/>
  <c r="Z121" i="256"/>
  <c r="Z124" i="256" s="1"/>
  <c r="Z120" i="256"/>
  <c r="V121" i="256"/>
  <c r="V124" i="256" s="1"/>
  <c r="V120" i="256"/>
  <c r="V121" i="255"/>
  <c r="V124" i="255" s="1"/>
  <c r="V120" i="255"/>
  <c r="T122" i="255"/>
  <c r="T120" i="255"/>
  <c r="T121" i="255"/>
  <c r="T121" i="256"/>
  <c r="T124" i="256" s="1"/>
  <c r="T120" i="256"/>
  <c r="N121" i="255"/>
  <c r="N120" i="255"/>
  <c r="N124" i="255"/>
  <c r="L121" i="256"/>
  <c r="L124" i="256" s="1"/>
  <c r="L120" i="256"/>
  <c r="H122" i="256"/>
  <c r="L121" i="255"/>
  <c r="L124" i="255" s="1"/>
  <c r="L120" i="255"/>
  <c r="H120" i="256"/>
  <c r="H121" i="256"/>
  <c r="F122" i="256"/>
  <c r="F121" i="256"/>
  <c r="F120" i="256"/>
  <c r="T124" i="255" l="1"/>
  <c r="F124" i="256"/>
  <c r="H124" i="256"/>
  <c r="H102" i="153" l="1"/>
  <c r="AH101" i="153"/>
  <c r="AH100" i="153"/>
  <c r="AH99" i="153"/>
  <c r="AH98" i="153"/>
  <c r="AG97" i="153"/>
  <c r="AE97" i="153"/>
  <c r="AD97" i="153"/>
  <c r="AC97" i="153"/>
  <c r="AB97" i="153"/>
  <c r="AA97" i="153"/>
  <c r="Z97" i="153"/>
  <c r="Y97" i="153"/>
  <c r="X97" i="153"/>
  <c r="W97" i="153"/>
  <c r="V97" i="153"/>
  <c r="U97" i="153"/>
  <c r="T97" i="153"/>
  <c r="S97" i="153"/>
  <c r="R97" i="153"/>
  <c r="Q97" i="153"/>
  <c r="P97" i="153"/>
  <c r="O97" i="153"/>
  <c r="N97" i="153"/>
  <c r="M97" i="153"/>
  <c r="L97" i="153"/>
  <c r="K97" i="153"/>
  <c r="J97" i="153"/>
  <c r="I97" i="153"/>
  <c r="H97" i="153"/>
  <c r="G97" i="153"/>
  <c r="F97" i="153"/>
  <c r="E97" i="153"/>
  <c r="D97" i="153"/>
  <c r="C97" i="153"/>
  <c r="AG96" i="153"/>
  <c r="AE96" i="153"/>
  <c r="AD96" i="153"/>
  <c r="AC96" i="153"/>
  <c r="AB96" i="153"/>
  <c r="AA96" i="153"/>
  <c r="Z96" i="153"/>
  <c r="Y96" i="153"/>
  <c r="X96" i="153"/>
  <c r="W96" i="153"/>
  <c r="V96" i="153"/>
  <c r="U96" i="153"/>
  <c r="T96" i="153"/>
  <c r="S96" i="153"/>
  <c r="R96" i="153"/>
  <c r="Q96" i="153"/>
  <c r="P96" i="153"/>
  <c r="O96" i="153"/>
  <c r="N96" i="153"/>
  <c r="M96" i="153"/>
  <c r="L96" i="153"/>
  <c r="K96" i="153"/>
  <c r="K103" i="153" s="1"/>
  <c r="J96" i="153"/>
  <c r="I96" i="153"/>
  <c r="H96" i="153"/>
  <c r="G96" i="153"/>
  <c r="G102" i="153" s="1"/>
  <c r="F96" i="153"/>
  <c r="E96" i="153"/>
  <c r="D96" i="153"/>
  <c r="C96" i="153"/>
  <c r="AH96" i="153" s="1"/>
  <c r="AH95" i="153"/>
  <c r="AH94" i="153"/>
  <c r="AH93" i="153"/>
  <c r="AH92" i="153"/>
  <c r="AI91" i="153"/>
  <c r="AH91" i="153"/>
  <c r="AI90" i="153"/>
  <c r="AH90" i="153"/>
  <c r="AI89" i="153"/>
  <c r="AH89" i="153"/>
  <c r="AI88" i="153"/>
  <c r="AH88" i="153"/>
  <c r="AI87" i="153"/>
  <c r="AH87" i="153"/>
  <c r="AI86" i="153"/>
  <c r="AH86" i="153"/>
  <c r="AI85" i="153"/>
  <c r="AH85" i="153"/>
  <c r="AI84" i="153"/>
  <c r="AH84" i="153"/>
  <c r="AI83" i="153"/>
  <c r="AH83" i="153"/>
  <c r="AI82" i="153"/>
  <c r="AH82" i="153"/>
  <c r="AI81" i="153"/>
  <c r="AH81" i="153"/>
  <c r="AI80" i="153"/>
  <c r="AH80" i="153"/>
  <c r="AI79" i="153"/>
  <c r="AH79" i="153"/>
  <c r="AI78" i="153"/>
  <c r="AH78" i="153"/>
  <c r="AI77" i="153"/>
  <c r="AH77" i="153"/>
  <c r="AI76" i="153"/>
  <c r="AH76" i="153"/>
  <c r="AI75" i="153"/>
  <c r="AH75" i="153"/>
  <c r="AI74" i="153"/>
  <c r="AH74" i="153"/>
  <c r="AI73" i="153"/>
  <c r="AH73" i="153"/>
  <c r="AI72" i="153"/>
  <c r="AH72" i="153"/>
  <c r="A71" i="153" s="1"/>
  <c r="AI71" i="153"/>
  <c r="AH71" i="153"/>
  <c r="AI70" i="153"/>
  <c r="AH70" i="153"/>
  <c r="AI69" i="153"/>
  <c r="AH69" i="153"/>
  <c r="AH68" i="153"/>
  <c r="A52" i="153" s="1"/>
  <c r="G68" i="153"/>
  <c r="AI68" i="153" s="1"/>
  <c r="AI67" i="153"/>
  <c r="AH67" i="153"/>
  <c r="AI66" i="153"/>
  <c r="AH66" i="153"/>
  <c r="AI65" i="153"/>
  <c r="AH65" i="153"/>
  <c r="AI64" i="153"/>
  <c r="AH64" i="153"/>
  <c r="AI63" i="153"/>
  <c r="AH63" i="153"/>
  <c r="AI62" i="153"/>
  <c r="AH62" i="153"/>
  <c r="AI61" i="153"/>
  <c r="AH61" i="153"/>
  <c r="AI60" i="153"/>
  <c r="AH60" i="153"/>
  <c r="AI59" i="153"/>
  <c r="AH59" i="153"/>
  <c r="AI58" i="153"/>
  <c r="AH58" i="153"/>
  <c r="AI57" i="153"/>
  <c r="AH57" i="153"/>
  <c r="AI56" i="153"/>
  <c r="AH56" i="153"/>
  <c r="AI55" i="153"/>
  <c r="AH55" i="153"/>
  <c r="AI54" i="153"/>
  <c r="AH54" i="153"/>
  <c r="AI53" i="153"/>
  <c r="AH53" i="153"/>
  <c r="AI52" i="153"/>
  <c r="AH52" i="153"/>
  <c r="AI51" i="153"/>
  <c r="AH51" i="153"/>
  <c r="AI50" i="153"/>
  <c r="AH50" i="153"/>
  <c r="AI49" i="153"/>
  <c r="AH49" i="153"/>
  <c r="AI48" i="153"/>
  <c r="AH48" i="153"/>
  <c r="AI47" i="153"/>
  <c r="AH47" i="153"/>
  <c r="AI46" i="153"/>
  <c r="AH46" i="153"/>
  <c r="AI45" i="153"/>
  <c r="AH45" i="153"/>
  <c r="AI44" i="153"/>
  <c r="AH44" i="153"/>
  <c r="AI43" i="153"/>
  <c r="AH43" i="153"/>
  <c r="AI42" i="153"/>
  <c r="AH42" i="153"/>
  <c r="AI41" i="153"/>
  <c r="AH41" i="153"/>
  <c r="AI40" i="153"/>
  <c r="AH40" i="153"/>
  <c r="AI39" i="153"/>
  <c r="AH39" i="153"/>
  <c r="AI38" i="153"/>
  <c r="AH38" i="153"/>
  <c r="AI37" i="153"/>
  <c r="AH37" i="153"/>
  <c r="AI36" i="153"/>
  <c r="AH36" i="153"/>
  <c r="AI35" i="153"/>
  <c r="AH35" i="153"/>
  <c r="AI34" i="153"/>
  <c r="AH34" i="153"/>
  <c r="AI33" i="153"/>
  <c r="AH33" i="153"/>
  <c r="A32" i="153" s="1"/>
  <c r="AI32" i="153"/>
  <c r="AH32" i="153"/>
  <c r="AG31" i="153"/>
  <c r="AE31" i="153"/>
  <c r="AD31" i="153"/>
  <c r="AC31" i="153"/>
  <c r="AB31" i="153"/>
  <c r="AA31" i="153"/>
  <c r="Z31" i="153"/>
  <c r="Y31" i="153"/>
  <c r="X31" i="153"/>
  <c r="W31" i="153"/>
  <c r="V31" i="153"/>
  <c r="U31" i="153"/>
  <c r="T31" i="153"/>
  <c r="S31" i="153"/>
  <c r="R31" i="153"/>
  <c r="Q31" i="153"/>
  <c r="P31" i="153"/>
  <c r="O31" i="153"/>
  <c r="N31" i="153"/>
  <c r="M31" i="153"/>
  <c r="L31" i="153"/>
  <c r="K31" i="153"/>
  <c r="J31" i="153"/>
  <c r="I31" i="153"/>
  <c r="H31" i="153"/>
  <c r="G31" i="153"/>
  <c r="F31" i="153"/>
  <c r="E31" i="153"/>
  <c r="D31" i="153"/>
  <c r="C31" i="153"/>
  <c r="AI30" i="153"/>
  <c r="AH30" i="153"/>
  <c r="AI29" i="153"/>
  <c r="AH29" i="153"/>
  <c r="AI28" i="153"/>
  <c r="AH28" i="153"/>
  <c r="AI27" i="153"/>
  <c r="AH27" i="153"/>
  <c r="AI26" i="153"/>
  <c r="AH26" i="153"/>
  <c r="AI25" i="153"/>
  <c r="AH25" i="153"/>
  <c r="AI24" i="153"/>
  <c r="AH24" i="153"/>
  <c r="AI23" i="153"/>
  <c r="AH23" i="153"/>
  <c r="AI22" i="153"/>
  <c r="AH22" i="153"/>
  <c r="AG21" i="153"/>
  <c r="AE21" i="153"/>
  <c r="AD21" i="153"/>
  <c r="AC21" i="153"/>
  <c r="AB21" i="153"/>
  <c r="AA21" i="153"/>
  <c r="Z21" i="153"/>
  <c r="Y21" i="153"/>
  <c r="X21" i="153"/>
  <c r="W21" i="153"/>
  <c r="V21" i="153"/>
  <c r="U21" i="153"/>
  <c r="T21" i="153"/>
  <c r="S21" i="153"/>
  <c r="R21" i="153"/>
  <c r="Q21" i="153"/>
  <c r="P21" i="153"/>
  <c r="O21" i="153"/>
  <c r="N21" i="153"/>
  <c r="M21" i="153"/>
  <c r="L21" i="153"/>
  <c r="K21" i="153"/>
  <c r="K105" i="153" s="1"/>
  <c r="J21" i="153"/>
  <c r="J105" i="153" s="1"/>
  <c r="I21" i="153"/>
  <c r="H21" i="153"/>
  <c r="H105" i="153" s="1"/>
  <c r="G21" i="153"/>
  <c r="G105" i="153" s="1"/>
  <c r="F21" i="153"/>
  <c r="E21" i="153"/>
  <c r="D21" i="153"/>
  <c r="C21" i="153"/>
  <c r="AI20" i="153"/>
  <c r="AH20" i="153"/>
  <c r="A20" i="153"/>
  <c r="AI19" i="153"/>
  <c r="AH19" i="153"/>
  <c r="A19" i="153"/>
  <c r="AI18" i="153"/>
  <c r="AH18" i="153"/>
  <c r="A18" i="153"/>
  <c r="AI17" i="153"/>
  <c r="AH17" i="153"/>
  <c r="A17" i="153"/>
  <c r="AI16" i="153"/>
  <c r="AH16" i="153"/>
  <c r="A16" i="153"/>
  <c r="AI15" i="153"/>
  <c r="AH15" i="153"/>
  <c r="A15" i="153"/>
  <c r="AI14" i="153"/>
  <c r="AH14" i="153"/>
  <c r="A14" i="153"/>
  <c r="AI13" i="153"/>
  <c r="AH13" i="153"/>
  <c r="A13" i="153"/>
  <c r="AI12" i="153"/>
  <c r="AH12" i="153"/>
  <c r="A12" i="153"/>
  <c r="AI11" i="153"/>
  <c r="AH11" i="153"/>
  <c r="A11" i="153"/>
  <c r="AI10" i="153"/>
  <c r="AH10" i="153"/>
  <c r="A10" i="153"/>
  <c r="AI9" i="153"/>
  <c r="AH9" i="153"/>
  <c r="A9" i="153"/>
  <c r="AI8" i="153"/>
  <c r="AH8" i="153"/>
  <c r="A8" i="153"/>
  <c r="AI7" i="153"/>
  <c r="AH7" i="153"/>
  <c r="A7" i="153"/>
  <c r="AI6" i="153"/>
  <c r="AH6" i="153"/>
  <c r="A6" i="153"/>
  <c r="AI5" i="153"/>
  <c r="AH5" i="153"/>
  <c r="A5" i="153"/>
  <c r="AI4" i="153"/>
  <c r="AH4" i="153"/>
  <c r="A4" i="153"/>
  <c r="AG1" i="153"/>
  <c r="AE1" i="153"/>
  <c r="AD1" i="153"/>
  <c r="AC1" i="153"/>
  <c r="AB1" i="153"/>
  <c r="AA1" i="153"/>
  <c r="Z1" i="153"/>
  <c r="Y1" i="153"/>
  <c r="X1" i="153"/>
  <c r="W1" i="153"/>
  <c r="V1" i="153"/>
  <c r="U1" i="153"/>
  <c r="T1" i="153"/>
  <c r="S1" i="153"/>
  <c r="R1" i="153"/>
  <c r="Q1" i="153"/>
  <c r="P1" i="153"/>
  <c r="O1" i="153"/>
  <c r="N1" i="153"/>
  <c r="M1" i="153"/>
  <c r="L1" i="153"/>
  <c r="K1" i="153"/>
  <c r="J1" i="153"/>
  <c r="I1" i="153"/>
  <c r="H1" i="153"/>
  <c r="G1" i="153"/>
  <c r="F1" i="153"/>
  <c r="E1" i="153"/>
  <c r="D1" i="153"/>
  <c r="C1" i="153"/>
  <c r="L10" i="152"/>
  <c r="K10" i="152"/>
  <c r="H10" i="152"/>
  <c r="G10" i="152"/>
  <c r="E10" i="152"/>
  <c r="D10" i="152"/>
  <c r="M9" i="152"/>
  <c r="N9" i="152" s="1"/>
  <c r="J8" i="152"/>
  <c r="M8" i="152" s="1"/>
  <c r="N8" i="152" s="1"/>
  <c r="D7" i="152"/>
  <c r="M7" i="152" s="1"/>
  <c r="N7" i="152" s="1"/>
  <c r="I6" i="152"/>
  <c r="I10" i="152" s="1"/>
  <c r="F6" i="152"/>
  <c r="F10" i="152" s="1"/>
  <c r="M5" i="152"/>
  <c r="C5" i="152"/>
  <c r="C10" i="152" s="1"/>
  <c r="M4" i="152"/>
  <c r="N4" i="152" s="1"/>
  <c r="BJ111" i="157"/>
  <c r="BJ78" i="157"/>
  <c r="BJ110" i="157"/>
  <c r="BI109" i="157"/>
  <c r="BH109" i="157"/>
  <c r="BG109" i="157"/>
  <c r="BF109" i="157"/>
  <c r="BE109" i="157"/>
  <c r="BD109" i="157"/>
  <c r="BC109" i="157"/>
  <c r="BB109" i="157"/>
  <c r="BA109" i="157"/>
  <c r="AZ109" i="157"/>
  <c r="AY109" i="157"/>
  <c r="AX109" i="157"/>
  <c r="AW109" i="157"/>
  <c r="AV109" i="157"/>
  <c r="AU109" i="157"/>
  <c r="AT109" i="157"/>
  <c r="AS109" i="157"/>
  <c r="AR109" i="157"/>
  <c r="AQ109" i="157"/>
  <c r="AP109" i="157"/>
  <c r="AO109" i="157"/>
  <c r="AN109" i="157"/>
  <c r="AM109" i="157"/>
  <c r="AL109" i="157"/>
  <c r="AK109" i="157"/>
  <c r="AJ109" i="157"/>
  <c r="AI109" i="157"/>
  <c r="AH109" i="157"/>
  <c r="AG109" i="157"/>
  <c r="AF109" i="157"/>
  <c r="AE109" i="157"/>
  <c r="AD109" i="157"/>
  <c r="AC109" i="157"/>
  <c r="AB109" i="157"/>
  <c r="AA109" i="157"/>
  <c r="Z109" i="157"/>
  <c r="Y109" i="157"/>
  <c r="X109" i="157"/>
  <c r="W109" i="157"/>
  <c r="V109" i="157"/>
  <c r="U109" i="157"/>
  <c r="T109" i="157"/>
  <c r="S109" i="157"/>
  <c r="R109" i="157"/>
  <c r="Q109" i="157"/>
  <c r="P109" i="157"/>
  <c r="O109" i="157"/>
  <c r="N109" i="157"/>
  <c r="K109" i="157"/>
  <c r="J109" i="157"/>
  <c r="G109" i="157"/>
  <c r="F109" i="157"/>
  <c r="BI107" i="157"/>
  <c r="BH107" i="157"/>
  <c r="BG107" i="157"/>
  <c r="BF107" i="157"/>
  <c r="BE107" i="157"/>
  <c r="BD107" i="157"/>
  <c r="BC107" i="157"/>
  <c r="BB107" i="157"/>
  <c r="BA107" i="157"/>
  <c r="AZ107" i="157"/>
  <c r="AY107" i="157"/>
  <c r="AX107" i="157"/>
  <c r="AW107" i="157"/>
  <c r="AV107" i="157"/>
  <c r="AU107" i="157"/>
  <c r="AT107" i="157"/>
  <c r="AS107" i="157"/>
  <c r="AR107" i="157"/>
  <c r="AQ107" i="157"/>
  <c r="AP107" i="157"/>
  <c r="AO107" i="157"/>
  <c r="AN107" i="157"/>
  <c r="AM107" i="157"/>
  <c r="AL107" i="157"/>
  <c r="AK107" i="157"/>
  <c r="AJ107" i="157"/>
  <c r="AI107" i="157"/>
  <c r="AH107" i="157"/>
  <c r="AG107" i="157"/>
  <c r="AG112" i="157" s="1"/>
  <c r="AF107" i="157"/>
  <c r="AE107" i="157"/>
  <c r="AD107" i="157"/>
  <c r="AC107" i="157"/>
  <c r="AB107" i="157"/>
  <c r="AA107" i="157"/>
  <c r="Z107" i="157"/>
  <c r="Y107" i="157"/>
  <c r="X107" i="157"/>
  <c r="W107" i="157"/>
  <c r="V107" i="157"/>
  <c r="U107" i="157"/>
  <c r="T107" i="157"/>
  <c r="S107" i="157"/>
  <c r="R107" i="157"/>
  <c r="Q107" i="157"/>
  <c r="P107" i="157"/>
  <c r="O107" i="157"/>
  <c r="N107" i="157"/>
  <c r="K107" i="157"/>
  <c r="J107" i="157"/>
  <c r="G107" i="157"/>
  <c r="F107" i="157"/>
  <c r="BJ106" i="157"/>
  <c r="BJ105" i="157"/>
  <c r="BJ104" i="157"/>
  <c r="BJ103" i="157"/>
  <c r="BK102" i="157"/>
  <c r="BJ102" i="157"/>
  <c r="BK101" i="157"/>
  <c r="BJ101" i="157"/>
  <c r="BK100" i="157"/>
  <c r="BJ100" i="157"/>
  <c r="BK99" i="157"/>
  <c r="BJ99" i="157"/>
  <c r="BK98" i="157"/>
  <c r="BJ98" i="157"/>
  <c r="BK97" i="157"/>
  <c r="BJ97" i="157"/>
  <c r="BK96" i="157"/>
  <c r="BJ96" i="157"/>
  <c r="BK95" i="157"/>
  <c r="BJ95" i="157"/>
  <c r="BK94" i="157"/>
  <c r="BJ94" i="157"/>
  <c r="BK93" i="157"/>
  <c r="BJ93" i="157"/>
  <c r="BK92" i="157"/>
  <c r="BJ92" i="157"/>
  <c r="BK91" i="157"/>
  <c r="BJ91" i="157"/>
  <c r="BK90" i="157"/>
  <c r="BJ90" i="157"/>
  <c r="BK89" i="157"/>
  <c r="BJ89" i="157"/>
  <c r="BK88" i="157"/>
  <c r="BJ88" i="157"/>
  <c r="BK87" i="157"/>
  <c r="BJ87" i="157"/>
  <c r="BK86" i="157"/>
  <c r="BJ86" i="157"/>
  <c r="BK85" i="157"/>
  <c r="BJ85" i="157"/>
  <c r="BK84" i="157"/>
  <c r="BJ84" i="157"/>
  <c r="BK83" i="157"/>
  <c r="BJ83" i="157"/>
  <c r="BK82" i="157"/>
  <c r="BJ82" i="157"/>
  <c r="BK81" i="157"/>
  <c r="BJ81" i="157"/>
  <c r="BK80" i="157"/>
  <c r="BJ80" i="157"/>
  <c r="BK79" i="157"/>
  <c r="BJ79" i="157"/>
  <c r="BK77" i="157"/>
  <c r="BJ77" i="157"/>
  <c r="BK76" i="157"/>
  <c r="BJ76" i="157"/>
  <c r="BK75" i="157"/>
  <c r="BJ75" i="157"/>
  <c r="BK74" i="157"/>
  <c r="BJ74" i="157"/>
  <c r="BK73" i="157"/>
  <c r="BJ73" i="157"/>
  <c r="BK72" i="157"/>
  <c r="BJ72" i="157"/>
  <c r="BK71" i="157"/>
  <c r="BJ71" i="157"/>
  <c r="BK70" i="157"/>
  <c r="BJ70" i="157"/>
  <c r="BK69" i="157"/>
  <c r="BJ69" i="157"/>
  <c r="BK68" i="157"/>
  <c r="BJ68" i="157"/>
  <c r="BK67" i="157"/>
  <c r="BJ67" i="157"/>
  <c r="BK66" i="157"/>
  <c r="BJ66" i="157"/>
  <c r="BK65" i="157"/>
  <c r="BJ65" i="157"/>
  <c r="BK64" i="157"/>
  <c r="BJ64" i="157"/>
  <c r="BK63" i="157"/>
  <c r="BJ63" i="157"/>
  <c r="BK62" i="157"/>
  <c r="BJ62" i="157"/>
  <c r="BK61" i="157"/>
  <c r="BJ61" i="157"/>
  <c r="BK60" i="157"/>
  <c r="BJ60" i="157"/>
  <c r="BK59" i="157"/>
  <c r="BJ59" i="157"/>
  <c r="BK58" i="157"/>
  <c r="BJ58" i="157"/>
  <c r="BK57" i="157"/>
  <c r="BJ57" i="157"/>
  <c r="BK56" i="157"/>
  <c r="BJ56" i="157"/>
  <c r="BK55" i="157"/>
  <c r="BJ55" i="157"/>
  <c r="BK54" i="157"/>
  <c r="BJ54" i="157"/>
  <c r="BK53" i="157"/>
  <c r="BJ53" i="157"/>
  <c r="BK52" i="157"/>
  <c r="BJ52" i="157"/>
  <c r="BK51" i="157"/>
  <c r="BJ51" i="157"/>
  <c r="BK50" i="157"/>
  <c r="BJ50" i="157"/>
  <c r="BK49" i="157"/>
  <c r="BJ49" i="157"/>
  <c r="BK48" i="157"/>
  <c r="BJ48" i="157"/>
  <c r="BK47" i="157"/>
  <c r="BJ47" i="157"/>
  <c r="BK46" i="157"/>
  <c r="BJ46" i="157"/>
  <c r="BK45" i="157"/>
  <c r="BJ45" i="157"/>
  <c r="BK44" i="157"/>
  <c r="BJ44" i="157"/>
  <c r="BK43" i="157"/>
  <c r="BJ43" i="157"/>
  <c r="BK42" i="157"/>
  <c r="BJ42" i="157"/>
  <c r="BK41" i="157"/>
  <c r="BJ41" i="157"/>
  <c r="BK40" i="157"/>
  <c r="BJ40" i="157"/>
  <c r="BK39" i="157"/>
  <c r="BJ39" i="157"/>
  <c r="BK38" i="157"/>
  <c r="BJ38" i="157"/>
  <c r="BK37" i="157"/>
  <c r="BJ37" i="157"/>
  <c r="BK36" i="157"/>
  <c r="BJ36" i="157"/>
  <c r="BK35" i="157"/>
  <c r="BJ35" i="157"/>
  <c r="BK34" i="157"/>
  <c r="BJ34" i="157"/>
  <c r="BK33" i="157"/>
  <c r="BJ33" i="157"/>
  <c r="BK32" i="157"/>
  <c r="BJ32" i="157"/>
  <c r="BK31" i="157"/>
  <c r="BJ31" i="157"/>
  <c r="BK30" i="157"/>
  <c r="BJ30" i="157"/>
  <c r="BK29" i="157"/>
  <c r="BJ29" i="157"/>
  <c r="BK28" i="157"/>
  <c r="BJ28" i="157"/>
  <c r="BK27" i="157"/>
  <c r="BJ27" i="157"/>
  <c r="BK26" i="157"/>
  <c r="BJ26" i="157"/>
  <c r="BK25" i="157"/>
  <c r="BJ25" i="157"/>
  <c r="BI24" i="157"/>
  <c r="BH24" i="157"/>
  <c r="BG24" i="157"/>
  <c r="BF24" i="157"/>
  <c r="BE24" i="157"/>
  <c r="BD24" i="157"/>
  <c r="BC24" i="157"/>
  <c r="BB24" i="157"/>
  <c r="BA24" i="157"/>
  <c r="AZ24" i="157"/>
  <c r="AY24" i="157"/>
  <c r="AX24" i="157"/>
  <c r="AW24" i="157"/>
  <c r="AV24" i="157"/>
  <c r="AU24" i="157"/>
  <c r="AT24" i="157"/>
  <c r="AS24" i="157"/>
  <c r="AR24" i="157"/>
  <c r="AQ24" i="157"/>
  <c r="AP24" i="157"/>
  <c r="AO24" i="157"/>
  <c r="AN24" i="157"/>
  <c r="AM24" i="157"/>
  <c r="AL24" i="157"/>
  <c r="AK24" i="157"/>
  <c r="AJ24" i="157"/>
  <c r="AI24" i="157"/>
  <c r="AH24" i="157"/>
  <c r="AG24" i="157"/>
  <c r="AF24" i="157"/>
  <c r="AE24" i="157"/>
  <c r="AD24" i="157"/>
  <c r="AC24" i="157"/>
  <c r="AB24" i="157"/>
  <c r="AA24" i="157"/>
  <c r="Z24" i="157"/>
  <c r="Y24" i="157"/>
  <c r="X24" i="157"/>
  <c r="W24" i="157"/>
  <c r="V24" i="157"/>
  <c r="U24" i="157"/>
  <c r="T24" i="157"/>
  <c r="S24" i="157"/>
  <c r="R24" i="157"/>
  <c r="Q24" i="157"/>
  <c r="P24" i="157"/>
  <c r="O24" i="157"/>
  <c r="N24" i="157"/>
  <c r="K24" i="157"/>
  <c r="J24" i="157"/>
  <c r="G24" i="157"/>
  <c r="F24" i="157"/>
  <c r="BK23" i="157"/>
  <c r="BJ23" i="157"/>
  <c r="BK22" i="157"/>
  <c r="BJ22" i="157"/>
  <c r="BK21" i="157"/>
  <c r="BJ21" i="157"/>
  <c r="BK20" i="157"/>
  <c r="BJ20" i="157"/>
  <c r="BK19" i="157"/>
  <c r="BJ19" i="157"/>
  <c r="BK18" i="157"/>
  <c r="BJ18" i="157"/>
  <c r="BK17" i="157"/>
  <c r="BJ17" i="157"/>
  <c r="BK16" i="157"/>
  <c r="BJ16" i="157"/>
  <c r="BI15" i="157"/>
  <c r="BH15" i="157"/>
  <c r="BG15" i="157"/>
  <c r="BF15" i="157"/>
  <c r="BE15" i="157"/>
  <c r="BD15" i="157"/>
  <c r="BC15" i="157"/>
  <c r="BB15" i="157"/>
  <c r="BA15" i="157"/>
  <c r="AZ15" i="157"/>
  <c r="AY15" i="157"/>
  <c r="AX15" i="157"/>
  <c r="AW15" i="157"/>
  <c r="AV15" i="157"/>
  <c r="AU15" i="157"/>
  <c r="AT15" i="157"/>
  <c r="AS15" i="157"/>
  <c r="AR15" i="157"/>
  <c r="AQ15" i="157"/>
  <c r="AP15" i="157"/>
  <c r="AO15" i="157"/>
  <c r="AN15" i="157"/>
  <c r="AM15" i="157"/>
  <c r="AL15" i="157"/>
  <c r="AK15" i="157"/>
  <c r="AJ15" i="157"/>
  <c r="AI15" i="157"/>
  <c r="AH15" i="157"/>
  <c r="AG15" i="157"/>
  <c r="AG118" i="157" s="1"/>
  <c r="AF15" i="157"/>
  <c r="AF118" i="157" s="1"/>
  <c r="AE15" i="157"/>
  <c r="AD15" i="157"/>
  <c r="AC15" i="157"/>
  <c r="AC118" i="157" s="1"/>
  <c r="AB15" i="157"/>
  <c r="AB118" i="157" s="1"/>
  <c r="AA15" i="157"/>
  <c r="AA118" i="157" s="1"/>
  <c r="Z15" i="157"/>
  <c r="Z118" i="157" s="1"/>
  <c r="Y15" i="157"/>
  <c r="Y118" i="157" s="1"/>
  <c r="X15" i="157"/>
  <c r="X118" i="157" s="1"/>
  <c r="W15" i="157"/>
  <c r="W118" i="157" s="1"/>
  <c r="V15" i="157"/>
  <c r="V118" i="157" s="1"/>
  <c r="U15" i="157"/>
  <c r="U118" i="157" s="1"/>
  <c r="T15" i="157"/>
  <c r="T118" i="157" s="1"/>
  <c r="S15" i="157"/>
  <c r="R15" i="157"/>
  <c r="Q15" i="157"/>
  <c r="P15" i="157"/>
  <c r="O15" i="157"/>
  <c r="O118" i="157" s="1"/>
  <c r="N15" i="157"/>
  <c r="N118" i="157" s="1"/>
  <c r="K15" i="157"/>
  <c r="K118" i="157" s="1"/>
  <c r="J15" i="157"/>
  <c r="J118" i="157" s="1"/>
  <c r="G15" i="157"/>
  <c r="G118" i="157" s="1"/>
  <c r="F15" i="157"/>
  <c r="F118" i="157" s="1"/>
  <c r="BK14" i="157"/>
  <c r="BJ14" i="157"/>
  <c r="BK13" i="157"/>
  <c r="BJ13" i="157"/>
  <c r="BK12" i="157"/>
  <c r="BJ12" i="157"/>
  <c r="BK11" i="157"/>
  <c r="BJ11" i="157"/>
  <c r="BK10" i="157"/>
  <c r="BJ10" i="157"/>
  <c r="BK9" i="157"/>
  <c r="BJ9" i="157"/>
  <c r="BK8" i="157"/>
  <c r="BJ8" i="157"/>
  <c r="BK7" i="157"/>
  <c r="BJ7" i="157"/>
  <c r="BK6" i="157"/>
  <c r="BJ6" i="157"/>
  <c r="BK5" i="157"/>
  <c r="BJ5" i="157"/>
  <c r="BI1" i="157"/>
  <c r="BH1" i="157"/>
  <c r="BG1" i="157"/>
  <c r="BF1" i="157"/>
  <c r="BE1" i="157"/>
  <c r="BD1" i="157"/>
  <c r="BC1" i="157"/>
  <c r="BB1" i="157"/>
  <c r="BA1" i="157"/>
  <c r="AZ1" i="157"/>
  <c r="AY1" i="157"/>
  <c r="AX1" i="157"/>
  <c r="AW1" i="157"/>
  <c r="AV1" i="157"/>
  <c r="AU1" i="157"/>
  <c r="AT1" i="157"/>
  <c r="AS1" i="157"/>
  <c r="AR1" i="157"/>
  <c r="AQ1" i="157"/>
  <c r="AP1" i="157"/>
  <c r="AO1" i="157"/>
  <c r="AN1" i="157"/>
  <c r="AM1" i="157"/>
  <c r="AL1" i="157"/>
  <c r="AK1" i="157"/>
  <c r="AJ1" i="157"/>
  <c r="AI1" i="157"/>
  <c r="AH1" i="157"/>
  <c r="AG1" i="157"/>
  <c r="AF1" i="157"/>
  <c r="AE1" i="157"/>
  <c r="AD1" i="157"/>
  <c r="AC1" i="157"/>
  <c r="AB1" i="157"/>
  <c r="AA1" i="157"/>
  <c r="Z1" i="157"/>
  <c r="Y1" i="157"/>
  <c r="X1" i="157"/>
  <c r="W1" i="157"/>
  <c r="V1" i="157"/>
  <c r="U1" i="157"/>
  <c r="T1" i="157"/>
  <c r="S1" i="157"/>
  <c r="R1" i="157"/>
  <c r="Q1" i="157"/>
  <c r="P1" i="157"/>
  <c r="O1" i="157"/>
  <c r="N1" i="157"/>
  <c r="K1" i="157"/>
  <c r="J1" i="157"/>
  <c r="G1" i="157"/>
  <c r="F1" i="157"/>
  <c r="R77" i="232"/>
  <c r="Q77" i="232"/>
  <c r="P77" i="232"/>
  <c r="O77" i="232"/>
  <c r="N77" i="232"/>
  <c r="M77" i="232"/>
  <c r="L77" i="232"/>
  <c r="K77" i="232"/>
  <c r="I76" i="232"/>
  <c r="I75" i="232"/>
  <c r="I74" i="232"/>
  <c r="H74" i="232"/>
  <c r="H77" i="232" s="1"/>
  <c r="I73" i="232"/>
  <c r="I72" i="232"/>
  <c r="I71" i="232"/>
  <c r="I70" i="232"/>
  <c r="I69" i="232"/>
  <c r="I68" i="232"/>
  <c r="I67" i="232"/>
  <c r="I66" i="232"/>
  <c r="I65" i="232"/>
  <c r="I64" i="232"/>
  <c r="I63" i="232"/>
  <c r="I62" i="232"/>
  <c r="I61" i="232"/>
  <c r="I60" i="232"/>
  <c r="I59" i="232"/>
  <c r="I58" i="232"/>
  <c r="I57" i="232"/>
  <c r="I56" i="232"/>
  <c r="I55" i="232"/>
  <c r="I54" i="232"/>
  <c r="I53" i="232"/>
  <c r="I52" i="232"/>
  <c r="I51" i="232"/>
  <c r="I50" i="232"/>
  <c r="I49" i="232"/>
  <c r="I48" i="232"/>
  <c r="I47" i="232"/>
  <c r="I46" i="232"/>
  <c r="I45" i="232"/>
  <c r="I44" i="232"/>
  <c r="I43" i="232"/>
  <c r="I42" i="232"/>
  <c r="I41" i="232"/>
  <c r="I40" i="232"/>
  <c r="I39" i="232"/>
  <c r="I38" i="232"/>
  <c r="I37" i="232"/>
  <c r="I36" i="232"/>
  <c r="I35" i="232"/>
  <c r="I34" i="232"/>
  <c r="I33" i="232"/>
  <c r="I32" i="232"/>
  <c r="I31" i="232"/>
  <c r="I30" i="232"/>
  <c r="I29" i="232"/>
  <c r="I28" i="232"/>
  <c r="I27" i="232"/>
  <c r="I26" i="232"/>
  <c r="I25" i="232"/>
  <c r="I24" i="232"/>
  <c r="I23" i="232"/>
  <c r="I22" i="232"/>
  <c r="I21" i="232"/>
  <c r="I20" i="232"/>
  <c r="I19" i="232"/>
  <c r="I18" i="232"/>
  <c r="I17" i="232"/>
  <c r="I16" i="232"/>
  <c r="I15" i="232"/>
  <c r="I14" i="232"/>
  <c r="I13" i="232"/>
  <c r="I12" i="232"/>
  <c r="I11" i="232"/>
  <c r="I10" i="232"/>
  <c r="I9" i="232"/>
  <c r="I8" i="232"/>
  <c r="I7" i="232"/>
  <c r="I77" i="232" s="1"/>
  <c r="I6" i="232"/>
  <c r="I5" i="232"/>
  <c r="P2" i="232"/>
  <c r="G23" i="229"/>
  <c r="I23" i="229" s="1"/>
  <c r="F23" i="229"/>
  <c r="E23" i="229"/>
  <c r="D23" i="229"/>
  <c r="N22" i="229"/>
  <c r="M22" i="229"/>
  <c r="L22" i="229"/>
  <c r="N21" i="229"/>
  <c r="M21" i="229"/>
  <c r="L21" i="229"/>
  <c r="F21" i="229"/>
  <c r="E21" i="229"/>
  <c r="D21" i="229"/>
  <c r="N20" i="229"/>
  <c r="M20" i="229"/>
  <c r="L20" i="229"/>
  <c r="O20" i="229" s="1"/>
  <c r="Q20" i="229" s="1"/>
  <c r="F20" i="229"/>
  <c r="E20" i="229"/>
  <c r="D20" i="229"/>
  <c r="F18" i="229"/>
  <c r="E18" i="229"/>
  <c r="D18" i="229"/>
  <c r="N17" i="229"/>
  <c r="M17" i="229"/>
  <c r="L17" i="229"/>
  <c r="F17" i="229"/>
  <c r="E17" i="229"/>
  <c r="G17" i="229" s="1"/>
  <c r="I17" i="229" s="1"/>
  <c r="D17" i="229"/>
  <c r="F16" i="229"/>
  <c r="E16" i="229"/>
  <c r="D16" i="229"/>
  <c r="G16" i="229" s="1"/>
  <c r="I16" i="229" s="1"/>
  <c r="N15" i="229"/>
  <c r="M15" i="229"/>
  <c r="L15" i="229"/>
  <c r="O15" i="229" s="1"/>
  <c r="Q15" i="229" s="1"/>
  <c r="F15" i="229"/>
  <c r="G15" i="229" s="1"/>
  <c r="I15" i="229" s="1"/>
  <c r="E15" i="229"/>
  <c r="D15" i="229"/>
  <c r="N14" i="229"/>
  <c r="O14" i="229" s="1"/>
  <c r="Q14" i="229" s="1"/>
  <c r="M14" i="229"/>
  <c r="L14" i="229"/>
  <c r="F14" i="229"/>
  <c r="E14" i="229"/>
  <c r="D14" i="229"/>
  <c r="N13" i="229"/>
  <c r="M13" i="229"/>
  <c r="L13" i="229"/>
  <c r="O13" i="229" s="1"/>
  <c r="Q13" i="229" s="1"/>
  <c r="F13" i="229"/>
  <c r="E13" i="229"/>
  <c r="D13" i="229"/>
  <c r="O12" i="229"/>
  <c r="Q12" i="229" s="1"/>
  <c r="N12" i="229"/>
  <c r="M12" i="229"/>
  <c r="L12" i="229"/>
  <c r="F12" i="229"/>
  <c r="E12" i="229"/>
  <c r="D12" i="229"/>
  <c r="N11" i="229"/>
  <c r="M11" i="229"/>
  <c r="L11" i="229"/>
  <c r="F11" i="229"/>
  <c r="E11" i="229"/>
  <c r="D11" i="229"/>
  <c r="N10" i="229"/>
  <c r="M10" i="229"/>
  <c r="L10" i="229"/>
  <c r="O10" i="229" s="1"/>
  <c r="Q10" i="229" s="1"/>
  <c r="F10" i="229"/>
  <c r="E10" i="229"/>
  <c r="D10" i="229"/>
  <c r="G10" i="229" s="1"/>
  <c r="I10" i="229" s="1"/>
  <c r="N9" i="229"/>
  <c r="M9" i="229"/>
  <c r="L9" i="229"/>
  <c r="F9" i="229"/>
  <c r="E9" i="229"/>
  <c r="D9" i="229"/>
  <c r="N8" i="229"/>
  <c r="M8" i="229"/>
  <c r="O8" i="229" s="1"/>
  <c r="Q8" i="229" s="1"/>
  <c r="L8" i="229"/>
  <c r="F8" i="229"/>
  <c r="E8" i="229"/>
  <c r="D8" i="229"/>
  <c r="G8" i="229" s="1"/>
  <c r="I8" i="229" s="1"/>
  <c r="N7" i="229"/>
  <c r="M7" i="229"/>
  <c r="L7" i="229"/>
  <c r="O7" i="229" s="1"/>
  <c r="Q7" i="229" s="1"/>
  <c r="F7" i="229"/>
  <c r="G7" i="229" s="1"/>
  <c r="I7" i="229" s="1"/>
  <c r="E7" i="229"/>
  <c r="D7" i="229"/>
  <c r="N6" i="229"/>
  <c r="O6" i="229" s="1"/>
  <c r="Q6" i="229" s="1"/>
  <c r="M6" i="229"/>
  <c r="L6" i="229"/>
  <c r="F6" i="229"/>
  <c r="E6" i="229"/>
  <c r="D6" i="229"/>
  <c r="N5" i="229"/>
  <c r="M5" i="229"/>
  <c r="L5" i="229"/>
  <c r="O5" i="229" s="1"/>
  <c r="F5" i="229"/>
  <c r="E5" i="229"/>
  <c r="D5" i="229"/>
  <c r="AL128" i="225"/>
  <c r="AJ128" i="225"/>
  <c r="AH128" i="225"/>
  <c r="AF128" i="225"/>
  <c r="AF126" i="225"/>
  <c r="AF122" i="225" s="1"/>
  <c r="BN125" i="225"/>
  <c r="BN124" i="225"/>
  <c r="BN123" i="225"/>
  <c r="BM122" i="225"/>
  <c r="BL122" i="225"/>
  <c r="BK122" i="225"/>
  <c r="BJ122" i="225"/>
  <c r="BI122" i="225"/>
  <c r="BH122" i="225"/>
  <c r="BG122" i="225"/>
  <c r="BF122" i="225"/>
  <c r="BE122" i="225"/>
  <c r="BD122" i="225"/>
  <c r="BC122" i="225"/>
  <c r="BB122" i="225"/>
  <c r="BA122" i="225"/>
  <c r="AZ122" i="225"/>
  <c r="AY122" i="225"/>
  <c r="AX122" i="225"/>
  <c r="AW122" i="225"/>
  <c r="AV122" i="225"/>
  <c r="AU122" i="225"/>
  <c r="AT122" i="225"/>
  <c r="AS122" i="225"/>
  <c r="AR122" i="225"/>
  <c r="AQ122" i="225"/>
  <c r="AP122" i="225"/>
  <c r="AO122" i="225"/>
  <c r="AN122" i="225"/>
  <c r="AM122" i="225"/>
  <c r="AL122" i="225"/>
  <c r="AK122" i="225"/>
  <c r="AJ122" i="225"/>
  <c r="AI122" i="225"/>
  <c r="AH122" i="225"/>
  <c r="AG122" i="225"/>
  <c r="AE122" i="225"/>
  <c r="AD122" i="225"/>
  <c r="AC122" i="225"/>
  <c r="AB122" i="225"/>
  <c r="AA122" i="225"/>
  <c r="Z122" i="225"/>
  <c r="Y122" i="225"/>
  <c r="X122" i="225"/>
  <c r="W122" i="225"/>
  <c r="V122" i="225"/>
  <c r="U122" i="225"/>
  <c r="T122" i="225"/>
  <c r="S122" i="225"/>
  <c r="R122" i="225"/>
  <c r="Q122" i="225"/>
  <c r="P122" i="225"/>
  <c r="O122" i="225"/>
  <c r="N122" i="225"/>
  <c r="M122" i="225"/>
  <c r="L122" i="225"/>
  <c r="K122" i="225"/>
  <c r="J122" i="225"/>
  <c r="I122" i="225"/>
  <c r="H122" i="225"/>
  <c r="G122" i="225"/>
  <c r="F122" i="225"/>
  <c r="E122" i="225"/>
  <c r="D122" i="225"/>
  <c r="BM121" i="225"/>
  <c r="BL121" i="225"/>
  <c r="BK121" i="225"/>
  <c r="BJ121" i="225"/>
  <c r="BI121" i="225"/>
  <c r="BH121" i="225"/>
  <c r="BG121" i="225"/>
  <c r="BF121" i="225"/>
  <c r="BE121" i="225"/>
  <c r="BD121" i="225"/>
  <c r="BC121" i="225"/>
  <c r="BB121" i="225"/>
  <c r="BA121" i="225"/>
  <c r="AZ121" i="225"/>
  <c r="AY121" i="225"/>
  <c r="AX121" i="225"/>
  <c r="AW121" i="225"/>
  <c r="AV121" i="225"/>
  <c r="AU121" i="225"/>
  <c r="AT121" i="225"/>
  <c r="AS121" i="225"/>
  <c r="AR121" i="225"/>
  <c r="AQ121" i="225"/>
  <c r="AP121" i="225"/>
  <c r="AO121" i="225"/>
  <c r="AN121" i="225"/>
  <c r="AM121" i="225"/>
  <c r="AL121" i="225"/>
  <c r="AK121" i="225"/>
  <c r="AJ121" i="225"/>
  <c r="AI121" i="225"/>
  <c r="AH121" i="225"/>
  <c r="AG121" i="225"/>
  <c r="AF121" i="225"/>
  <c r="AE121" i="225"/>
  <c r="AD121" i="225"/>
  <c r="AC121" i="225"/>
  <c r="AB121" i="225"/>
  <c r="AA121" i="225"/>
  <c r="Z121" i="225"/>
  <c r="Y121" i="225"/>
  <c r="X121" i="225"/>
  <c r="W121" i="225"/>
  <c r="V121" i="225"/>
  <c r="U121" i="225"/>
  <c r="T121" i="225"/>
  <c r="S121" i="225"/>
  <c r="R121" i="225"/>
  <c r="Q121" i="225"/>
  <c r="P121" i="225"/>
  <c r="O121" i="225"/>
  <c r="N121" i="225"/>
  <c r="M121" i="225"/>
  <c r="L121" i="225"/>
  <c r="K121" i="225"/>
  <c r="J121" i="225"/>
  <c r="I121" i="225"/>
  <c r="H121" i="225"/>
  <c r="G121" i="225"/>
  <c r="F121" i="225"/>
  <c r="E121" i="225"/>
  <c r="D121" i="225"/>
  <c r="BN120" i="225"/>
  <c r="BN119" i="225"/>
  <c r="BN118" i="225"/>
  <c r="BN117" i="225"/>
  <c r="BO116" i="225"/>
  <c r="BN116" i="225"/>
  <c r="BO115" i="225"/>
  <c r="BN115" i="225"/>
  <c r="BO114" i="225"/>
  <c r="BN114" i="225"/>
  <c r="BO113" i="225"/>
  <c r="BN113" i="225"/>
  <c r="BO112" i="225"/>
  <c r="BN112" i="225"/>
  <c r="A111" i="225" s="1"/>
  <c r="BO111" i="225"/>
  <c r="BN111" i="225"/>
  <c r="BO110" i="225"/>
  <c r="BN110" i="225"/>
  <c r="BO109" i="225"/>
  <c r="BN109" i="225"/>
  <c r="BO108" i="225"/>
  <c r="BN108" i="225"/>
  <c r="BO107" i="225"/>
  <c r="BN107" i="225"/>
  <c r="BO106" i="225"/>
  <c r="BN106" i="225"/>
  <c r="BO105" i="225"/>
  <c r="BN105" i="225"/>
  <c r="BO104" i="225"/>
  <c r="BN104" i="225"/>
  <c r="BO103" i="225"/>
  <c r="BN103" i="225"/>
  <c r="A103" i="225"/>
  <c r="BO102" i="225"/>
  <c r="BN102" i="225"/>
  <c r="BO101" i="225"/>
  <c r="BN101" i="225"/>
  <c r="A99" i="225" s="1"/>
  <c r="BO100" i="225"/>
  <c r="BN100" i="225"/>
  <c r="BO99" i="225"/>
  <c r="BN99" i="225"/>
  <c r="BO98" i="225"/>
  <c r="BN98" i="225"/>
  <c r="BO97" i="225"/>
  <c r="BN97" i="225"/>
  <c r="BO96" i="225"/>
  <c r="BN96" i="225"/>
  <c r="A95" i="225" s="1"/>
  <c r="BO95" i="225"/>
  <c r="BN95" i="225"/>
  <c r="BO94" i="225"/>
  <c r="BN94" i="225"/>
  <c r="BO93" i="225"/>
  <c r="BN93" i="225"/>
  <c r="BO92" i="225"/>
  <c r="BN92" i="225"/>
  <c r="BO91" i="225"/>
  <c r="BN91" i="225"/>
  <c r="BO90" i="225"/>
  <c r="BN90" i="225"/>
  <c r="BO89" i="225"/>
  <c r="BN89" i="225"/>
  <c r="BO88" i="225"/>
  <c r="BN88" i="225"/>
  <c r="BO87" i="225"/>
  <c r="BN87" i="225"/>
  <c r="BO86" i="225"/>
  <c r="BN86" i="225"/>
  <c r="BO85" i="225"/>
  <c r="BN85" i="225"/>
  <c r="BO84" i="225"/>
  <c r="BN84" i="225"/>
  <c r="BO83" i="225"/>
  <c r="BN83" i="225"/>
  <c r="BO82" i="225"/>
  <c r="BN82" i="225"/>
  <c r="BO81" i="225"/>
  <c r="BN81" i="225"/>
  <c r="BO80" i="225"/>
  <c r="BN80" i="225"/>
  <c r="BO79" i="225"/>
  <c r="BN79" i="225"/>
  <c r="BO78" i="225"/>
  <c r="BN78" i="225"/>
  <c r="BO77" i="225"/>
  <c r="BN77" i="225"/>
  <c r="BO76" i="225"/>
  <c r="BN76" i="225"/>
  <c r="BO75" i="225"/>
  <c r="BN75" i="225"/>
  <c r="BO74" i="225"/>
  <c r="BN74" i="225"/>
  <c r="BO73" i="225"/>
  <c r="BN73" i="225"/>
  <c r="BO72" i="225"/>
  <c r="BN72" i="225"/>
  <c r="BO71" i="225"/>
  <c r="BN71" i="225"/>
  <c r="BO70" i="225"/>
  <c r="BN70" i="225"/>
  <c r="BO69" i="225"/>
  <c r="BN69" i="225"/>
  <c r="BO68" i="225"/>
  <c r="BN68" i="225"/>
  <c r="BO67" i="225"/>
  <c r="BN67" i="225"/>
  <c r="BO66" i="225"/>
  <c r="BN66" i="225"/>
  <c r="BO65" i="225"/>
  <c r="BN65" i="225"/>
  <c r="BO64" i="225"/>
  <c r="BN64" i="225"/>
  <c r="BO63" i="225"/>
  <c r="BN63" i="225"/>
  <c r="BO62" i="225"/>
  <c r="BN62" i="225"/>
  <c r="BO61" i="225"/>
  <c r="BN61" i="225"/>
  <c r="BO60" i="225"/>
  <c r="BN60" i="225"/>
  <c r="BO59" i="225"/>
  <c r="BN59" i="225"/>
  <c r="BO58" i="225"/>
  <c r="BN58" i="225"/>
  <c r="BO57" i="225"/>
  <c r="BN57" i="225"/>
  <c r="BO56" i="225"/>
  <c r="BN56" i="225"/>
  <c r="BO55" i="225"/>
  <c r="BN55" i="225"/>
  <c r="BO54" i="225"/>
  <c r="BN54" i="225"/>
  <c r="BO53" i="225"/>
  <c r="BN53" i="225"/>
  <c r="BO52" i="225"/>
  <c r="BN52" i="225"/>
  <c r="BO51" i="225"/>
  <c r="BN51" i="225"/>
  <c r="BO50" i="225"/>
  <c r="BN50" i="225"/>
  <c r="BO49" i="225"/>
  <c r="BN49" i="225"/>
  <c r="BO48" i="225"/>
  <c r="BN48" i="225"/>
  <c r="BO47" i="225"/>
  <c r="BN47" i="225"/>
  <c r="BO46" i="225"/>
  <c r="BN46" i="225"/>
  <c r="BO45" i="225"/>
  <c r="BN45" i="225"/>
  <c r="BO44" i="225"/>
  <c r="BN44" i="225"/>
  <c r="BO43" i="225"/>
  <c r="BN43" i="225"/>
  <c r="BO42" i="225"/>
  <c r="BN42" i="225"/>
  <c r="BO41" i="225"/>
  <c r="BN41" i="225"/>
  <c r="BO40" i="225"/>
  <c r="BN40" i="225"/>
  <c r="BO39" i="225"/>
  <c r="BN39" i="225"/>
  <c r="BO38" i="225"/>
  <c r="BN38" i="225"/>
  <c r="BO37" i="225"/>
  <c r="BN37" i="225"/>
  <c r="BO36" i="225"/>
  <c r="BN36" i="225"/>
  <c r="BO35" i="225"/>
  <c r="BN35" i="225"/>
  <c r="BO34" i="225"/>
  <c r="BN34" i="225"/>
  <c r="BO33" i="225"/>
  <c r="BN33" i="225"/>
  <c r="A33" i="225"/>
  <c r="BM32" i="225"/>
  <c r="BL32" i="225"/>
  <c r="BK32" i="225"/>
  <c r="BJ32" i="225"/>
  <c r="BI32" i="225"/>
  <c r="BH32" i="225"/>
  <c r="BG32" i="225"/>
  <c r="BF32" i="225"/>
  <c r="BE32" i="225"/>
  <c r="BD32" i="225"/>
  <c r="BC32" i="225"/>
  <c r="BB32" i="225"/>
  <c r="BA32" i="225"/>
  <c r="AZ32" i="225"/>
  <c r="AY32" i="225"/>
  <c r="AX32" i="225"/>
  <c r="AW32" i="225"/>
  <c r="AV32" i="225"/>
  <c r="AU32" i="225"/>
  <c r="AT32" i="225"/>
  <c r="AS32" i="225"/>
  <c r="AR32" i="225"/>
  <c r="AQ32" i="225"/>
  <c r="AP32" i="225"/>
  <c r="AO32" i="225"/>
  <c r="AN32" i="225"/>
  <c r="AM32" i="225"/>
  <c r="AL32" i="225"/>
  <c r="AK32" i="225"/>
  <c r="AJ32" i="225"/>
  <c r="AJ127" i="225" s="1"/>
  <c r="AJ129" i="225" s="1"/>
  <c r="AI32" i="225"/>
  <c r="AH32" i="225"/>
  <c r="AG32" i="225"/>
  <c r="AF32" i="225"/>
  <c r="AE32" i="225"/>
  <c r="AD32" i="225"/>
  <c r="AC32" i="225"/>
  <c r="AB32" i="225"/>
  <c r="AA32" i="225"/>
  <c r="Z32" i="225"/>
  <c r="Y32" i="225"/>
  <c r="X32" i="225"/>
  <c r="W32" i="225"/>
  <c r="V32" i="225"/>
  <c r="U32" i="225"/>
  <c r="T32" i="225"/>
  <c r="S32" i="225"/>
  <c r="R32" i="225"/>
  <c r="Q32" i="225"/>
  <c r="P32" i="225"/>
  <c r="O32" i="225"/>
  <c r="N32" i="225"/>
  <c r="M32" i="225"/>
  <c r="L32" i="225"/>
  <c r="K32" i="225"/>
  <c r="J32" i="225"/>
  <c r="I32" i="225"/>
  <c r="H32" i="225"/>
  <c r="G32" i="225"/>
  <c r="F32" i="225"/>
  <c r="E32" i="225"/>
  <c r="D32" i="225"/>
  <c r="BO31" i="225"/>
  <c r="BN31" i="225"/>
  <c r="BO30" i="225"/>
  <c r="BN30" i="225"/>
  <c r="BO29" i="225"/>
  <c r="BN29" i="225"/>
  <c r="BO28" i="225"/>
  <c r="BN28" i="225"/>
  <c r="BO27" i="225"/>
  <c r="BN27" i="225"/>
  <c r="BO26" i="225"/>
  <c r="BN26" i="225"/>
  <c r="BO25" i="225"/>
  <c r="BN25" i="225"/>
  <c r="BO24" i="225"/>
  <c r="BN24" i="225"/>
  <c r="BO23" i="225"/>
  <c r="BN23" i="225"/>
  <c r="BM22" i="225"/>
  <c r="BL22" i="225"/>
  <c r="BK22" i="225"/>
  <c r="BJ22" i="225"/>
  <c r="BI22" i="225"/>
  <c r="BH22" i="225"/>
  <c r="BG22" i="225"/>
  <c r="BF22" i="225"/>
  <c r="BE22" i="225"/>
  <c r="BD22" i="225"/>
  <c r="BC22" i="225"/>
  <c r="BB22" i="225"/>
  <c r="BA22" i="225"/>
  <c r="AZ22" i="225"/>
  <c r="AY22" i="225"/>
  <c r="AX22" i="225"/>
  <c r="AW22" i="225"/>
  <c r="AV22" i="225"/>
  <c r="AU22" i="225"/>
  <c r="AT22" i="225"/>
  <c r="AS22" i="225"/>
  <c r="AR22" i="225"/>
  <c r="AQ22" i="225"/>
  <c r="AP22" i="225"/>
  <c r="AO22" i="225"/>
  <c r="AN22" i="225"/>
  <c r="AM22" i="225"/>
  <c r="AL22" i="225"/>
  <c r="AL133" i="225" s="1"/>
  <c r="AK22" i="225"/>
  <c r="AJ22" i="225"/>
  <c r="AJ133" i="225" s="1"/>
  <c r="AI22" i="225"/>
  <c r="AH22" i="225"/>
  <c r="AH133" i="225" s="1"/>
  <c r="AG22" i="225"/>
  <c r="AF22" i="225"/>
  <c r="AF133" i="225" s="1"/>
  <c r="AE22" i="225"/>
  <c r="AD22" i="225"/>
  <c r="AC22" i="225"/>
  <c r="AB22" i="225"/>
  <c r="AA22" i="225"/>
  <c r="Z22" i="225"/>
  <c r="Y22" i="225"/>
  <c r="X22" i="225"/>
  <c r="W22" i="225"/>
  <c r="V22" i="225"/>
  <c r="U22" i="225"/>
  <c r="T22" i="225"/>
  <c r="S22" i="225"/>
  <c r="R22" i="225"/>
  <c r="Q22" i="225"/>
  <c r="P22" i="225"/>
  <c r="O22" i="225"/>
  <c r="N22" i="225"/>
  <c r="M22" i="225"/>
  <c r="L22" i="225"/>
  <c r="K22" i="225"/>
  <c r="J22" i="225"/>
  <c r="I22" i="225"/>
  <c r="H22" i="225"/>
  <c r="G22" i="225"/>
  <c r="F22" i="225"/>
  <c r="E22" i="225"/>
  <c r="D22" i="225"/>
  <c r="BO21" i="225"/>
  <c r="BN21" i="225"/>
  <c r="A21" i="225"/>
  <c r="BO20" i="225"/>
  <c r="BN20" i="225"/>
  <c r="A20" i="225"/>
  <c r="BO19" i="225"/>
  <c r="BN19" i="225"/>
  <c r="A19" i="225"/>
  <c r="BO18" i="225"/>
  <c r="BN18" i="225"/>
  <c r="A18" i="225"/>
  <c r="BO17" i="225"/>
  <c r="BN17" i="225"/>
  <c r="A17" i="225"/>
  <c r="BO16" i="225"/>
  <c r="BN16" i="225"/>
  <c r="A16" i="225"/>
  <c r="BO15" i="225"/>
  <c r="BN15" i="225"/>
  <c r="A15" i="225"/>
  <c r="BO14" i="225"/>
  <c r="BN14" i="225"/>
  <c r="A14" i="225"/>
  <c r="BO13" i="225"/>
  <c r="BN13" i="225"/>
  <c r="A13" i="225"/>
  <c r="BO12" i="225"/>
  <c r="BN12" i="225"/>
  <c r="A12" i="225"/>
  <c r="BO11" i="225"/>
  <c r="BN11" i="225"/>
  <c r="A11" i="225"/>
  <c r="BO10" i="225"/>
  <c r="BN10" i="225"/>
  <c r="A10" i="225"/>
  <c r="BO9" i="225"/>
  <c r="BN9" i="225"/>
  <c r="A9" i="225"/>
  <c r="BO8" i="225"/>
  <c r="BN8" i="225"/>
  <c r="A8" i="225"/>
  <c r="BO7" i="225"/>
  <c r="BN7" i="225"/>
  <c r="A7" i="225"/>
  <c r="BO6" i="225"/>
  <c r="BN6" i="225"/>
  <c r="A6" i="225"/>
  <c r="BO5" i="225"/>
  <c r="BN5" i="225"/>
  <c r="A5" i="225"/>
  <c r="BH1" i="225"/>
  <c r="BF1" i="225"/>
  <c r="BD1" i="225"/>
  <c r="BB1" i="225"/>
  <c r="AZ1" i="225"/>
  <c r="AX1" i="225"/>
  <c r="AV1" i="225"/>
  <c r="AT1" i="225"/>
  <c r="AR1" i="225"/>
  <c r="AP1" i="225"/>
  <c r="AN1" i="225"/>
  <c r="AL1" i="225"/>
  <c r="AJ1" i="225"/>
  <c r="AH1" i="225"/>
  <c r="AF1" i="225"/>
  <c r="AD1" i="225"/>
  <c r="AB1" i="225"/>
  <c r="Z1" i="225"/>
  <c r="X1" i="225"/>
  <c r="V1" i="225"/>
  <c r="T1" i="225"/>
  <c r="R1" i="225"/>
  <c r="P1" i="225"/>
  <c r="N1" i="225"/>
  <c r="L1" i="225"/>
  <c r="J1" i="225"/>
  <c r="H1" i="225"/>
  <c r="F1" i="225"/>
  <c r="D1" i="225"/>
  <c r="AF131" i="225" l="1"/>
  <c r="O17" i="229"/>
  <c r="Q17" i="229" s="1"/>
  <c r="Q79" i="232"/>
  <c r="BN22" i="225"/>
  <c r="G11" i="229"/>
  <c r="I11" i="229" s="1"/>
  <c r="G18" i="229"/>
  <c r="I18" i="229" s="1"/>
  <c r="O22" i="229"/>
  <c r="Q22" i="229" s="1"/>
  <c r="A78" i="153"/>
  <c r="BO32" i="225"/>
  <c r="AH131" i="225"/>
  <c r="G5" i="229"/>
  <c r="O11" i="229"/>
  <c r="Q11" i="229" s="1"/>
  <c r="G14" i="229"/>
  <c r="I14" i="229" s="1"/>
  <c r="T112" i="157"/>
  <c r="AH1" i="153"/>
  <c r="A86" i="153"/>
  <c r="A62" i="225"/>
  <c r="AJ130" i="225"/>
  <c r="G9" i="229"/>
  <c r="I9" i="229" s="1"/>
  <c r="G20" i="229"/>
  <c r="I20" i="229" s="1"/>
  <c r="V112" i="157"/>
  <c r="AH21" i="153"/>
  <c r="H104" i="153"/>
  <c r="BN128" i="225"/>
  <c r="AJ132" i="225"/>
  <c r="O9" i="229"/>
  <c r="Q9" i="229" s="1"/>
  <c r="G12" i="229"/>
  <c r="I12" i="229" s="1"/>
  <c r="G21" i="229"/>
  <c r="I21" i="229" s="1"/>
  <c r="O112" i="157"/>
  <c r="W112" i="157"/>
  <c r="A75" i="153"/>
  <c r="AH97" i="153"/>
  <c r="BN121" i="225"/>
  <c r="AL130" i="225"/>
  <c r="G6" i="229"/>
  <c r="I6" i="229" s="1"/>
  <c r="G13" i="229"/>
  <c r="I13" i="229" s="1"/>
  <c r="O21" i="229"/>
  <c r="Q21" i="229" s="1"/>
  <c r="AF112" i="157"/>
  <c r="N5" i="152"/>
  <c r="AH31" i="153"/>
  <c r="J104" i="153"/>
  <c r="BO22" i="225"/>
  <c r="AG114" i="157"/>
  <c r="AG117" i="157"/>
  <c r="AF114" i="157"/>
  <c r="AF117" i="157"/>
  <c r="AB112" i="157"/>
  <c r="AB114" i="157" s="1"/>
  <c r="AC112" i="157"/>
  <c r="AC114" i="157" s="1"/>
  <c r="AA112" i="157"/>
  <c r="AA114" i="157" s="1"/>
  <c r="Z112" i="157"/>
  <c r="Z114" i="157" s="1"/>
  <c r="AA117" i="157"/>
  <c r="Y112" i="157"/>
  <c r="Y114" i="157" s="1"/>
  <c r="X112" i="157"/>
  <c r="X114" i="157"/>
  <c r="X117" i="157"/>
  <c r="W114" i="157"/>
  <c r="W117" i="157"/>
  <c r="V114" i="157"/>
  <c r="V117" i="157"/>
  <c r="U112" i="157"/>
  <c r="U114" i="157" s="1"/>
  <c r="T114" i="157"/>
  <c r="T117" i="157"/>
  <c r="N112" i="157"/>
  <c r="O114" i="157"/>
  <c r="O117" i="157"/>
  <c r="N114" i="157"/>
  <c r="N117" i="157"/>
  <c r="K112" i="157"/>
  <c r="K117" i="157" s="1"/>
  <c r="J112" i="157"/>
  <c r="J114" i="157" s="1"/>
  <c r="J117" i="157"/>
  <c r="G112" i="157"/>
  <c r="G114" i="157" s="1"/>
  <c r="F112" i="157"/>
  <c r="F114" i="157" s="1"/>
  <c r="F117" i="157"/>
  <c r="AN108" i="157"/>
  <c r="AJ108" i="157"/>
  <c r="C89" i="157"/>
  <c r="C85" i="157"/>
  <c r="C97" i="157"/>
  <c r="J108" i="157"/>
  <c r="N108" i="157"/>
  <c r="R108" i="157"/>
  <c r="V108" i="157"/>
  <c r="Z108" i="157"/>
  <c r="AD108" i="157"/>
  <c r="AL108" i="157"/>
  <c r="AP108" i="157"/>
  <c r="AX108" i="157"/>
  <c r="BB108" i="157"/>
  <c r="BF108" i="157"/>
  <c r="G108" i="157"/>
  <c r="K108" i="157"/>
  <c r="O108" i="157"/>
  <c r="S108" i="157"/>
  <c r="W108" i="157"/>
  <c r="AA108" i="157"/>
  <c r="AE108" i="157"/>
  <c r="AI108" i="157"/>
  <c r="AM108" i="157"/>
  <c r="AQ108" i="157"/>
  <c r="AU108" i="157"/>
  <c r="AY108" i="157"/>
  <c r="BC108" i="157"/>
  <c r="BG108" i="157"/>
  <c r="T108" i="157"/>
  <c r="X108" i="157"/>
  <c r="AB108" i="157"/>
  <c r="AZ108" i="157"/>
  <c r="BD108" i="157"/>
  <c r="BH108" i="157"/>
  <c r="C81" i="157"/>
  <c r="AV108" i="157"/>
  <c r="AT108" i="157"/>
  <c r="AR108" i="157"/>
  <c r="AH108" i="157"/>
  <c r="AF108" i="157"/>
  <c r="BJ1" i="157"/>
  <c r="C25" i="157"/>
  <c r="C54" i="157"/>
  <c r="AH105" i="153"/>
  <c r="G24" i="229"/>
  <c r="I24" i="229" s="1"/>
  <c r="I5" i="229"/>
  <c r="Q5" i="229"/>
  <c r="O24" i="229"/>
  <c r="Q24" i="229" s="1"/>
  <c r="BN122" i="225"/>
  <c r="AI96" i="153"/>
  <c r="BN126" i="225"/>
  <c r="AL127" i="225"/>
  <c r="AL129" i="225" s="1"/>
  <c r="AF130" i="225"/>
  <c r="AL131" i="225"/>
  <c r="M6" i="152"/>
  <c r="N6" i="152" s="1"/>
  <c r="J102" i="153"/>
  <c r="H103" i="153"/>
  <c r="H106" i="153" s="1"/>
  <c r="G104" i="153"/>
  <c r="AJ131" i="225"/>
  <c r="AJ134" i="225" s="1"/>
  <c r="G103" i="153"/>
  <c r="BN1" i="225"/>
  <c r="BN32" i="225"/>
  <c r="AF127" i="225"/>
  <c r="AF129" i="225" s="1"/>
  <c r="AH130" i="225"/>
  <c r="Q108" i="157"/>
  <c r="U108" i="157"/>
  <c r="Y108" i="157"/>
  <c r="AC108" i="157"/>
  <c r="AG108" i="157"/>
  <c r="AK108" i="157"/>
  <c r="AO108" i="157"/>
  <c r="AS108" i="157"/>
  <c r="AW108" i="157"/>
  <c r="BA108" i="157"/>
  <c r="BE108" i="157"/>
  <c r="BI108" i="157"/>
  <c r="J10" i="152"/>
  <c r="K102" i="153"/>
  <c r="J103" i="153"/>
  <c r="J106" i="153" s="1"/>
  <c r="BN133" i="225"/>
  <c r="K104" i="153"/>
  <c r="K106" i="153" s="1"/>
  <c r="AH127" i="225"/>
  <c r="AH129" i="225" s="1"/>
  <c r="F108" i="157"/>
  <c r="BJ109" i="157"/>
  <c r="P108" i="157"/>
  <c r="BK15" i="157"/>
  <c r="BJ15" i="157"/>
  <c r="BK24" i="157"/>
  <c r="BJ24" i="157"/>
  <c r="BJ107" i="157"/>
  <c r="Z117" i="157" l="1"/>
  <c r="AL132" i="225"/>
  <c r="AL134" i="225" s="1"/>
  <c r="G106" i="153"/>
  <c r="AB117" i="157"/>
  <c r="BN127" i="225"/>
  <c r="K114" i="157"/>
  <c r="AH102" i="153"/>
  <c r="AC117" i="157"/>
  <c r="AG116" i="157"/>
  <c r="AG119" i="157" s="1"/>
  <c r="AG115" i="157"/>
  <c r="AF116" i="157"/>
  <c r="AF119" i="157" s="1"/>
  <c r="AF115" i="157"/>
  <c r="AC115" i="157"/>
  <c r="AC116" i="157"/>
  <c r="AB116" i="157"/>
  <c r="AB119" i="157" s="1"/>
  <c r="AB115" i="157"/>
  <c r="AA115" i="157"/>
  <c r="AA116" i="157"/>
  <c r="AA119" i="157" s="1"/>
  <c r="Z116" i="157"/>
  <c r="Z119" i="157" s="1"/>
  <c r="Z115" i="157"/>
  <c r="Y117" i="157"/>
  <c r="Y116" i="157"/>
  <c r="Y119" i="157" s="1"/>
  <c r="Y115" i="157"/>
  <c r="X115" i="157"/>
  <c r="X116" i="157"/>
  <c r="X119" i="157" s="1"/>
  <c r="W115" i="157"/>
  <c r="W116" i="157"/>
  <c r="W119" i="157" s="1"/>
  <c r="V115" i="157"/>
  <c r="V116" i="157"/>
  <c r="V119" i="157" s="1"/>
  <c r="U117" i="157"/>
  <c r="U116" i="157"/>
  <c r="U115" i="157"/>
  <c r="T116" i="157"/>
  <c r="T119" i="157" s="1"/>
  <c r="T115" i="157"/>
  <c r="O116" i="157"/>
  <c r="O119" i="157" s="1"/>
  <c r="O115" i="157"/>
  <c r="N115" i="157"/>
  <c r="N116" i="157"/>
  <c r="N119" i="157" s="1"/>
  <c r="K115" i="157"/>
  <c r="K116" i="157"/>
  <c r="K119" i="157" s="1"/>
  <c r="J116" i="157"/>
  <c r="J119" i="157" s="1"/>
  <c r="J115" i="157"/>
  <c r="G117" i="157"/>
  <c r="G116" i="157"/>
  <c r="G115" i="157"/>
  <c r="F115" i="157"/>
  <c r="F116" i="157"/>
  <c r="F119" i="157"/>
  <c r="BN129" i="225"/>
  <c r="BN132" i="225"/>
  <c r="AH106" i="153"/>
  <c r="BJ112" i="157"/>
  <c r="AH103" i="153"/>
  <c r="BO121" i="225"/>
  <c r="BN131" i="225"/>
  <c r="BJ108" i="157"/>
  <c r="BJ116" i="157" s="1"/>
  <c r="G9" i="22" s="1"/>
  <c r="M10" i="152"/>
  <c r="N10" i="152" s="1"/>
  <c r="AF132" i="225"/>
  <c r="AF134" i="225" s="1"/>
  <c r="BN130" i="225"/>
  <c r="AH104" i="153"/>
  <c r="AH132" i="225"/>
  <c r="AH134" i="225" s="1"/>
  <c r="BJ118" i="157"/>
  <c r="I9" i="22" s="1"/>
  <c r="AC119" i="157" l="1"/>
  <c r="BN134" i="225"/>
  <c r="U119" i="157"/>
  <c r="G119" i="157"/>
  <c r="BJ115" i="157"/>
  <c r="BJ113" i="157" l="1"/>
  <c r="BJ117" i="157" s="1"/>
  <c r="H9" i="22" s="1"/>
  <c r="J9" i="22" s="1"/>
  <c r="L9" i="22" s="1"/>
  <c r="BJ119" i="157" l="1"/>
  <c r="BJ114" i="157"/>
  <c r="BJ114" i="255"/>
  <c r="BJ117" i="255" s="1"/>
  <c r="AD113" i="255"/>
  <c r="BJ113" i="255" l="1"/>
  <c r="BJ121" i="255" l="1"/>
  <c r="G11" i="22" s="1"/>
  <c r="BJ35" i="260" l="1"/>
  <c r="BJ123" i="260" s="1"/>
  <c r="BK35" i="260"/>
  <c r="BJ128" i="260" l="1"/>
  <c r="H15" i="22" s="1"/>
  <c r="BJ125" i="260"/>
  <c r="BJ126" i="260"/>
  <c r="BJ127" i="260"/>
  <c r="G15" i="22" s="1"/>
  <c r="J15" i="22" l="1"/>
  <c r="L15" i="22" s="1"/>
  <c r="BJ130" i="260"/>
  <c r="BK12" i="255" l="1"/>
  <c r="AX1" i="255"/>
  <c r="BJ12" i="255"/>
  <c r="BJ123" i="255" s="1"/>
  <c r="I11" i="22" s="1"/>
  <c r="BJ118" i="255" l="1"/>
  <c r="BJ122" i="255" s="1"/>
  <c r="H11" i="22" s="1"/>
  <c r="J11" i="22" s="1"/>
  <c r="L11" i="22" s="1"/>
  <c r="BJ1" i="255"/>
  <c r="BJ120" i="255"/>
  <c r="BJ124" i="255" l="1"/>
  <c r="BJ119" i="255"/>
  <c r="BJ116" i="256" l="1"/>
  <c r="X114" i="256"/>
  <c r="X113" i="256" s="1"/>
  <c r="BJ114" i="256" l="1"/>
  <c r="BJ117" i="256" s="1"/>
  <c r="BJ113" i="256"/>
  <c r="BJ121" i="256" s="1"/>
  <c r="G13" i="22" s="1"/>
  <c r="BJ122" i="256"/>
  <c r="BJ119" i="256"/>
  <c r="BJ120" i="256"/>
  <c r="BJ124" i="256" l="1"/>
  <c r="H13" i="22"/>
  <c r="J13" i="22" s="1"/>
  <c r="L13" i="22" l="1"/>
  <c r="J17" i="22"/>
  <c r="L1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Amira Ahmed</author>
  </authors>
  <commentList>
    <comment ref="C5" authorId="0" shapeId="0" xr:uid="{00000000-0006-0000-1900-000001000000}">
      <text>
        <r>
          <rPr>
            <b/>
            <sz val="9"/>
            <rFont val="Tahoma"/>
            <family val="2"/>
          </rPr>
          <t>Amira Ahmed:</t>
        </r>
        <r>
          <rPr>
            <sz val="9"/>
            <rFont val="Tahoma"/>
            <family val="2"/>
          </rPr>
          <t xml:space="preserve">
220 دقيقة توقف لزيارة الصحة
</t>
        </r>
      </text>
    </comment>
  </commentList>
</comments>
</file>

<file path=xl/sharedStrings.xml><?xml version="1.0" encoding="utf-8"?>
<sst xmlns="http://schemas.openxmlformats.org/spreadsheetml/2006/main" count="6700" uniqueCount="1045">
  <si>
    <t>Date</t>
  </si>
  <si>
    <t>Shift</t>
  </si>
  <si>
    <t>sh1</t>
  </si>
  <si>
    <t>sh2</t>
  </si>
  <si>
    <t>Item code</t>
  </si>
  <si>
    <t>Item description</t>
  </si>
  <si>
    <t>Rate</t>
  </si>
  <si>
    <t>الثلاثاء</t>
  </si>
  <si>
    <t>الاربعاء</t>
  </si>
  <si>
    <t>الخميس</t>
  </si>
  <si>
    <t>الجمعة</t>
  </si>
  <si>
    <t>السبت</t>
  </si>
  <si>
    <t>الاحد</t>
  </si>
  <si>
    <t>الاثنين</t>
  </si>
  <si>
    <t>شيف كود جيل حلاقة عادي 150 مل شكل جديد 23</t>
  </si>
  <si>
    <t>مان زون فايبر جل الشفاف – اكسترا سترونج هولد 175 مل</t>
  </si>
  <si>
    <t>كير اند مور كريم للقدمين  100مل</t>
  </si>
  <si>
    <t>``</t>
  </si>
  <si>
    <t xml:space="preserve">التوالف </t>
  </si>
  <si>
    <t>(مورد)</t>
  </si>
  <si>
    <t>عبوة</t>
  </si>
  <si>
    <t>غطاء</t>
  </si>
  <si>
    <t>(تشغيل)</t>
  </si>
  <si>
    <t>بامب</t>
  </si>
  <si>
    <t>Unplanned downtime</t>
  </si>
  <si>
    <t xml:space="preserve">اعطال الصيانة </t>
  </si>
  <si>
    <t>Machine failure</t>
  </si>
  <si>
    <t>MF1</t>
  </si>
  <si>
    <t>مشكلة فى النزل</t>
  </si>
  <si>
    <t xml:space="preserve">Set up&amp; adjustment </t>
  </si>
  <si>
    <t>ADJ1</t>
  </si>
  <si>
    <t>ضبط الميزان</t>
  </si>
  <si>
    <t>MF2</t>
  </si>
  <si>
    <t>مشكلة فى الميزان</t>
  </si>
  <si>
    <t>MF3</t>
  </si>
  <si>
    <t>مشكلة فى المكبس</t>
  </si>
  <si>
    <t>MF4</t>
  </si>
  <si>
    <t>تسريب الخامة من العبوات</t>
  </si>
  <si>
    <t>MF5</t>
  </si>
  <si>
    <t>مشكة فى ضغط العبوات (اللحام)</t>
  </si>
  <si>
    <t>MF6</t>
  </si>
  <si>
    <t>مشكلة فى السخانات</t>
  </si>
  <si>
    <t>MF7</t>
  </si>
  <si>
    <t>ضبط الكاميرا</t>
  </si>
  <si>
    <t>Quality losses</t>
  </si>
  <si>
    <t>Q1</t>
  </si>
  <si>
    <t>utility loss</t>
  </si>
  <si>
    <t>UT1</t>
  </si>
  <si>
    <t>مشكله في ضغط الهواء (فى الكومبرسور)</t>
  </si>
  <si>
    <t>MF8</t>
  </si>
  <si>
    <t>مشكله في خرطوم الهواء</t>
  </si>
  <si>
    <t>MF9</t>
  </si>
  <si>
    <t>ضبط اعدادات الماكينة</t>
  </si>
  <si>
    <t>MF10</t>
  </si>
  <si>
    <t>مشاكل ضخ الخامة</t>
  </si>
  <si>
    <t>MF11</t>
  </si>
  <si>
    <t>تغيير خرطوم الهواء</t>
  </si>
  <si>
    <t>MF12</t>
  </si>
  <si>
    <t>خلل فى سير الماكينة</t>
  </si>
  <si>
    <t>ADJ2</t>
  </si>
  <si>
    <t>ضبط البستم</t>
  </si>
  <si>
    <t>UT2</t>
  </si>
  <si>
    <t>انقطاع الكهرباء</t>
  </si>
  <si>
    <t>MF13</t>
  </si>
  <si>
    <t>انقطاع كهرباء الماكينة</t>
  </si>
  <si>
    <t>ADJ3</t>
  </si>
  <si>
    <t>ضبط ماكينة الاستيكر</t>
  </si>
  <si>
    <t>MF14</t>
  </si>
  <si>
    <t>تغيير O ring</t>
  </si>
  <si>
    <t>ADJ4</t>
  </si>
  <si>
    <t>ضبط مكبس الغطاء</t>
  </si>
  <si>
    <t>ADJ5</t>
  </si>
  <si>
    <t>ضبط سلم الغطاء</t>
  </si>
  <si>
    <t>ADJ6</t>
  </si>
  <si>
    <t>ضبط مكبس الفويل</t>
  </si>
  <si>
    <t>ADJ7</t>
  </si>
  <si>
    <t>ضبط نزل العبوات</t>
  </si>
  <si>
    <t>MF15</t>
  </si>
  <si>
    <t>مشكلة فى المقص</t>
  </si>
  <si>
    <t>ADJ8</t>
  </si>
  <si>
    <t>مشكلة فى ربط الغطاء</t>
  </si>
  <si>
    <t>UT3</t>
  </si>
  <si>
    <t>مشكلة فى الشيلر</t>
  </si>
  <si>
    <t>اعطال الانتاج</t>
  </si>
  <si>
    <t>ADJ9</t>
  </si>
  <si>
    <t>Management loss</t>
  </si>
  <si>
    <t>MG1</t>
  </si>
  <si>
    <t>اعطال النقل من مكان لاخر</t>
  </si>
  <si>
    <t>MG2</t>
  </si>
  <si>
    <t>عمال غير مدربة</t>
  </si>
  <si>
    <t>MG3</t>
  </si>
  <si>
    <t>تنظيف الماكينة</t>
  </si>
  <si>
    <t>MG4</t>
  </si>
  <si>
    <t>تنظيف بستم الفويل</t>
  </si>
  <si>
    <t>MG5</t>
  </si>
  <si>
    <t>تنظيف سير نقل المنتج</t>
  </si>
  <si>
    <t>MG6</t>
  </si>
  <si>
    <t>الوقوف على العبوات المجهزة (بامب&amp;استيكر&amp;تعقيم)</t>
  </si>
  <si>
    <t>MG7</t>
  </si>
  <si>
    <t>تأخير صرف المستلزمات</t>
  </si>
  <si>
    <t>MG8</t>
  </si>
  <si>
    <t>عدم وجود عمالة كافية</t>
  </si>
  <si>
    <t>ADJ10</t>
  </si>
  <si>
    <t>تغيير التانك</t>
  </si>
  <si>
    <t>minor losses</t>
  </si>
  <si>
    <t>MIN1</t>
  </si>
  <si>
    <t>تعبئة</t>
  </si>
  <si>
    <t>MG9</t>
  </si>
  <si>
    <t>اعطال خط التغليف</t>
  </si>
  <si>
    <t>Start up loss</t>
  </si>
  <si>
    <t>SU1</t>
  </si>
  <si>
    <t>تغيير حجم المنتج على الماكينة</t>
  </si>
  <si>
    <t>MF16</t>
  </si>
  <si>
    <t>ADJ11</t>
  </si>
  <si>
    <t>AD12</t>
  </si>
  <si>
    <t>ADJ12</t>
  </si>
  <si>
    <t>ADJ13</t>
  </si>
  <si>
    <t>ADJ14</t>
  </si>
  <si>
    <t>Q3</t>
  </si>
  <si>
    <t>SU2</t>
  </si>
  <si>
    <t>مشكلة فى الطباعة</t>
  </si>
  <si>
    <t>ADJ15</t>
  </si>
  <si>
    <t>تغيير الرول</t>
  </si>
  <si>
    <t>SU3</t>
  </si>
  <si>
    <t>بداية التشغيل</t>
  </si>
  <si>
    <t>MIN2</t>
  </si>
  <si>
    <t>التشغيل بسرعة اقل</t>
  </si>
  <si>
    <t>أعطال التخطيط</t>
  </si>
  <si>
    <t>MG10</t>
  </si>
  <si>
    <t>الوقوف على المستلزمات (تخطيط)</t>
  </si>
  <si>
    <t>أعطال المخزن</t>
  </si>
  <si>
    <t>MG11</t>
  </si>
  <si>
    <t>الوقوف على المستلزمات (مخزن)</t>
  </si>
  <si>
    <t>أعطال الجودة</t>
  </si>
  <si>
    <t>Q4</t>
  </si>
  <si>
    <t>مشكلة فى العبوات</t>
  </si>
  <si>
    <t>Q5</t>
  </si>
  <si>
    <t>مشكلة فى الخامة</t>
  </si>
  <si>
    <t>Q6</t>
  </si>
  <si>
    <t>مشكلة فى السليف</t>
  </si>
  <si>
    <t>Q7</t>
  </si>
  <si>
    <t>مشكلة فى الاستيكر</t>
  </si>
  <si>
    <t>Q8</t>
  </si>
  <si>
    <t>تأخير محضر فحص</t>
  </si>
  <si>
    <t>MG12</t>
  </si>
  <si>
    <t>أعطال التصنيع</t>
  </si>
  <si>
    <t>MG13</t>
  </si>
  <si>
    <t>الوقوف على الخامة</t>
  </si>
  <si>
    <t>Q9</t>
  </si>
  <si>
    <t>Q10</t>
  </si>
  <si>
    <t>وجود فوم فى الخامة</t>
  </si>
  <si>
    <t>عدد العمال المطلوب</t>
  </si>
  <si>
    <t>عدد العمال الفعلى</t>
  </si>
  <si>
    <t>شيفت اول</t>
  </si>
  <si>
    <t xml:space="preserve">الوقت الاضافى </t>
  </si>
  <si>
    <t>اجمالى الورديات بالدقيقة</t>
  </si>
  <si>
    <t>Available Time</t>
  </si>
  <si>
    <t>اجمالى الاعطال المخططة</t>
  </si>
  <si>
    <t>الاعطال المخططة/بداية التشغيل</t>
  </si>
  <si>
    <t>SU4</t>
  </si>
  <si>
    <t>Changover</t>
  </si>
  <si>
    <t>انتهاء امر الانتاج</t>
  </si>
  <si>
    <t>Production Time</t>
  </si>
  <si>
    <t>Effective Time (Min.)</t>
  </si>
  <si>
    <t>Unaccounted Time Loss (Min.)</t>
  </si>
  <si>
    <t>السرعه الفعلية للماكينة</t>
  </si>
  <si>
    <t>Availability</t>
  </si>
  <si>
    <t xml:space="preserve">Performance </t>
  </si>
  <si>
    <t xml:space="preserve">Quality  </t>
  </si>
  <si>
    <t xml:space="preserve">OEE </t>
  </si>
  <si>
    <t>Para Cream Gold EN 140 ML</t>
  </si>
  <si>
    <t>Para Cream Gold EN 140 ML old desine</t>
  </si>
  <si>
    <t>Para Cream Gold EN 140 ML Twin</t>
  </si>
  <si>
    <t>Par Cream Gold EN 140 MLTriple</t>
  </si>
  <si>
    <t>Para Cream Gold EN 140+25% ML</t>
  </si>
  <si>
    <t>Para Cream Gold EN 140+25% ML morocco</t>
  </si>
  <si>
    <t>Para Cream Gold EN 210 ML</t>
  </si>
  <si>
    <t>Para Cream Gold EN 210 ML promo</t>
  </si>
  <si>
    <t>Para Cream Gold EN 210 ML Twin</t>
  </si>
  <si>
    <t>Para Cream Gold  AD 140 ML</t>
  </si>
  <si>
    <t>Para Cream Gold AD 140 ML Twin</t>
  </si>
  <si>
    <t>Par Cream Gold  AD 140 Tripl</t>
  </si>
  <si>
    <t>Para Cream Gold AD 140+25% ML</t>
  </si>
  <si>
    <t>Para Cream Gold  AD 210 ML</t>
  </si>
  <si>
    <t>Para Cream Gold AD 210 ML Twin</t>
  </si>
  <si>
    <t>Para Cream Gold  IC 140 ML</t>
  </si>
  <si>
    <t>Para Cream Gold IC 140 ML Twin</t>
  </si>
  <si>
    <t xml:space="preserve"> Para Cream Gold IC 140Ml Triple</t>
  </si>
  <si>
    <t>Para Cream Gold IC 140+25% ML</t>
  </si>
  <si>
    <t>Para Cream Gold IC 140+25% ML morocco</t>
  </si>
  <si>
    <t>Para Cream Gold IC 210 ML</t>
  </si>
  <si>
    <t>Para Cream Gold IC 210 ML twin</t>
  </si>
  <si>
    <t>Para Cream Gold EM 140 ML</t>
  </si>
  <si>
    <t>Para Cream Gold EM 140 ML twin</t>
  </si>
  <si>
    <t xml:space="preserve"> Para Cream Gold EM 140Ml Triple</t>
  </si>
  <si>
    <t>Para Cream Gold EM 140+25%</t>
  </si>
  <si>
    <t>Para Cream Gold EM 210 ML</t>
  </si>
  <si>
    <t>Para Cream Gold EM 210 ML twin</t>
  </si>
  <si>
    <t>Para Sec HZ dry hair 1000 ml</t>
  </si>
  <si>
    <t>Para Sec HZ dryhair 500 Ml</t>
  </si>
  <si>
    <t>Para Sec HF prevention 1000 ML</t>
  </si>
  <si>
    <t>Para Sec HF prevention 500 ML</t>
  </si>
  <si>
    <t>Para Sec Weak hair 1000 ML</t>
  </si>
  <si>
    <t>Para Sec Weak hair 500 ML</t>
  </si>
  <si>
    <t>Para Sec Damaged hair 1000 ML</t>
  </si>
  <si>
    <t>Para Sec Damaged hair 500 ML</t>
  </si>
  <si>
    <t>Para Gold Hair cream AD 140Ml KSA</t>
  </si>
  <si>
    <t>Para Gold H C AD 140Ml Twin KSA</t>
  </si>
  <si>
    <t>Para Gold H C AD 140Ml Triple KSA</t>
  </si>
  <si>
    <t>Para Gold H C AD 140+25% Ml KSA</t>
  </si>
  <si>
    <t>Para Gold Hair cream AD 210Ml KSA</t>
  </si>
  <si>
    <t>Para Gold HC AD 210Ml Twin KSA</t>
  </si>
  <si>
    <t>Para EN Cream 140 ML local</t>
  </si>
  <si>
    <t>Para Cream AD 140 ML local</t>
  </si>
  <si>
    <t>Para Cream EN 210 ML local</t>
  </si>
  <si>
    <t>Para Cream AD 210 ML local</t>
  </si>
  <si>
    <t>Offer 210 EN + 210 AD +100 Oil</t>
  </si>
  <si>
    <t>Offer 2*140 EN + 140 AD</t>
  </si>
  <si>
    <t>Para Cream EN 80 ML local new</t>
  </si>
  <si>
    <t>Para Cream AD 80 ML local new</t>
  </si>
  <si>
    <t>Para Cream Gold EM 140 ML local</t>
  </si>
  <si>
    <t>Para Cream Gold IC 140 ML local</t>
  </si>
  <si>
    <t>Para Cream EN 140 +25% ML local</t>
  </si>
  <si>
    <t>Para Cream AD 140+25% ML local</t>
  </si>
  <si>
    <t>Para Cream EM 140 ML local</t>
  </si>
  <si>
    <t>Para Cream IC 140 ML local</t>
  </si>
  <si>
    <t>كير اند مور كريم لليدين دارك كيس 50مل</t>
  </si>
  <si>
    <t>شيف كود كريم حلاقة حساس 90 مل شكل جديد 23</t>
  </si>
  <si>
    <t>Vebix Mystic T.25gm</t>
  </si>
  <si>
    <t>Vebix Classic T.25gm</t>
  </si>
  <si>
    <t>فيبكس مسك 25 مل تصدير اليمن</t>
  </si>
  <si>
    <t>فيبكس حريمي 25 مل تصدير اليمن</t>
  </si>
  <si>
    <t>فيبكس كلاسيك 15 مل تصدير اليمن</t>
  </si>
  <si>
    <t>فيبكس حريمي 15 مل تصدير اليمن</t>
  </si>
  <si>
    <t>Vebix Classic T.15gm</t>
  </si>
  <si>
    <t>Vebix Blue Active T.15gm</t>
  </si>
  <si>
    <t>Vebix Blue Active T.25 gm</t>
  </si>
  <si>
    <t xml:space="preserve">Vebix Blue active T.25gm Export </t>
  </si>
  <si>
    <t>فيبكس كلاسيك 25 مل تصدير اليمن</t>
  </si>
  <si>
    <t xml:space="preserve">Vebix Musk T.25gm Export </t>
  </si>
  <si>
    <t xml:space="preserve">Vebix Oud T.25gm Export </t>
  </si>
  <si>
    <t>Vebix MysticT.15gm</t>
  </si>
  <si>
    <t>كير اند مور سوفت كريم جلسرين وفراولة 75مل</t>
  </si>
  <si>
    <t>GLYSOLID Lotion- Classic 500ml</t>
  </si>
  <si>
    <t>GLYSOLID Lotion- Senstive 500ml</t>
  </si>
  <si>
    <t>الوقوف على العبوات المجهزة</t>
  </si>
  <si>
    <t>GLYSOLID Cream - 100 ml *</t>
  </si>
  <si>
    <t>GLYSOLID Cream - 200 ml *</t>
  </si>
  <si>
    <t>GLYSOLID Soft - 50 ml *</t>
  </si>
  <si>
    <t>كير اند مور سوفت كريم جلسرين بشره جافه 125مل</t>
  </si>
  <si>
    <t>كير اند مور سوفت كريم جلسرين بشره جافه 250مل</t>
  </si>
  <si>
    <t>كير اند مور سوفت كريم جلسرين و جوز هند 75مل</t>
  </si>
  <si>
    <t>GLYSOLID Cream - Alum-Tin 20gm</t>
  </si>
  <si>
    <t>GLYSOLID Cream - Alum-Tin 40gm</t>
  </si>
  <si>
    <t xml:space="preserve"> كير اند مور شاور جيل ميسلار بطيخ وصبار 500 مل  جديد</t>
  </si>
  <si>
    <t xml:space="preserve"> كير اند مور شاور جيل ميسلار لافندر 500 مل  جديد</t>
  </si>
  <si>
    <t xml:space="preserve"> كير اند مور هاند سوب ميسلار انتعاش التوت 520 مل  جديد</t>
  </si>
  <si>
    <t>شاور جيل نسيم استوائي  1 لتر ( مترو ماركت  )</t>
  </si>
  <si>
    <t>شاور جيل احلام ورديه  1 لتر ( مترو ماركت  )</t>
  </si>
  <si>
    <t>شاور جيل انتعاش التوت 1 لتر ( مترو ماركت  )</t>
  </si>
  <si>
    <t xml:space="preserve">VEBIX Roll-on Aspire New </t>
  </si>
  <si>
    <t>تريو رول اون حريمي سكريت 75 مل</t>
  </si>
  <si>
    <t>Trio Roll- on Pure</t>
  </si>
  <si>
    <t>تريو رول اون رجالي كوول 75 مل</t>
  </si>
  <si>
    <t>تريو رول اون رجالي فريش 75 مل</t>
  </si>
  <si>
    <t>نوت غسول للوجه 200 مل</t>
  </si>
  <si>
    <t>مان زون فايبر مط بيست 100مل</t>
  </si>
  <si>
    <t xml:space="preserve">الاحد </t>
  </si>
  <si>
    <t>الاتنين</t>
  </si>
  <si>
    <t>فيفلين بادي اسبلاش كب كيك جلازا 250 مل</t>
  </si>
  <si>
    <t>فيفلين بادي سبلاش صن كيسد هوني 250 مل</t>
  </si>
  <si>
    <t>مشكلة فى الكامة</t>
  </si>
  <si>
    <t>بلف هواء السخان</t>
  </si>
  <si>
    <t>مشكله في ضغط الهواء</t>
  </si>
  <si>
    <t>اعطال على خط التغليف</t>
  </si>
  <si>
    <t>مشكلة فى التغليف (الشرنك)</t>
  </si>
  <si>
    <t>التغيير من منتج لمنتج اخر</t>
  </si>
  <si>
    <t>فصل كهرباء الماكينة</t>
  </si>
  <si>
    <t>الوقوف على المستلزمات</t>
  </si>
  <si>
    <t>الراحة</t>
  </si>
  <si>
    <t>GLYSOLID Lotion- Classic 200ml</t>
  </si>
  <si>
    <t>GLYSOLID Lotion- Senstive 200ml</t>
  </si>
  <si>
    <t>كير اند مور تونر للوجه للبشره الجافة والعادية بماء الورد 150مل</t>
  </si>
  <si>
    <t>بابلز بدي سكراب كاب كيك 250مل</t>
  </si>
  <si>
    <t>coconutبابلز استيكر بدي سكرب</t>
  </si>
  <si>
    <t>بابلز بدي سكراب فانيليا 250مل</t>
  </si>
  <si>
    <t>مشكلة فى سكينة القطع</t>
  </si>
  <si>
    <t>ADJ17</t>
  </si>
  <si>
    <t>قطع فى خرطوم الشيلر</t>
  </si>
  <si>
    <t>MIN3</t>
  </si>
  <si>
    <t>ضبط حساس البلية</t>
  </si>
  <si>
    <t>ADJ16</t>
  </si>
  <si>
    <t>ضبط الصينية</t>
  </si>
  <si>
    <t>ADJ18</t>
  </si>
  <si>
    <t>تغيير شريط لحام</t>
  </si>
  <si>
    <t>MIN4</t>
  </si>
  <si>
    <t>تغيير رقم التشغيلة/التانك</t>
  </si>
  <si>
    <t>تغيير فى الـ BOM</t>
  </si>
  <si>
    <t>MG14</t>
  </si>
  <si>
    <t>Changeover</t>
  </si>
  <si>
    <t>Week-3</t>
  </si>
  <si>
    <t>Week-4</t>
  </si>
  <si>
    <t>OEE Dashboard</t>
  </si>
  <si>
    <t>s</t>
  </si>
  <si>
    <t>Machine name</t>
  </si>
  <si>
    <t>availability</t>
  </si>
  <si>
    <t>Performance</t>
  </si>
  <si>
    <t>Quality</t>
  </si>
  <si>
    <t>OEE</t>
  </si>
  <si>
    <t>Target</t>
  </si>
  <si>
    <t>Gap</t>
  </si>
  <si>
    <t>Nordon</t>
  </si>
  <si>
    <t>Kadico</t>
  </si>
  <si>
    <t>Kalix</t>
  </si>
  <si>
    <t>Cream 1</t>
  </si>
  <si>
    <t>4 Nozzole</t>
  </si>
  <si>
    <t xml:space="preserve">Cream 2 </t>
  </si>
  <si>
    <t>Rotary</t>
  </si>
  <si>
    <t xml:space="preserve">8 Nozzole </t>
  </si>
  <si>
    <t>6 Nozzole (Old)</t>
  </si>
  <si>
    <t>6 Nozzole (New)</t>
  </si>
  <si>
    <t>Roll-on</t>
  </si>
  <si>
    <t>Sachet (Old)</t>
  </si>
  <si>
    <t>Sachet (New)</t>
  </si>
  <si>
    <t>1 Nozzole</t>
  </si>
  <si>
    <t>Wax-line</t>
  </si>
  <si>
    <t>Lip Balm (Old)</t>
  </si>
  <si>
    <t>Lip Balm (New)</t>
  </si>
  <si>
    <t>Scrub</t>
  </si>
  <si>
    <t>Old Kalix</t>
  </si>
  <si>
    <t>Average</t>
  </si>
  <si>
    <t xml:space="preserve"> كير اند مور ديو ستيك كول ايسنشيال 50 مل</t>
  </si>
  <si>
    <t>Item Code</t>
  </si>
  <si>
    <t>Brand</t>
  </si>
  <si>
    <t xml:space="preserve">Family </t>
  </si>
  <si>
    <t xml:space="preserve">Item Description </t>
  </si>
  <si>
    <t>Size</t>
  </si>
  <si>
    <t>Line</t>
  </si>
  <si>
    <t>Priority</t>
  </si>
  <si>
    <t>Total Production plan</t>
  </si>
  <si>
    <t>Total Bulk ( KG )</t>
  </si>
  <si>
    <t>W-1</t>
  </si>
  <si>
    <t>HC</t>
  </si>
  <si>
    <t>Remarks</t>
  </si>
  <si>
    <t>Saturday</t>
  </si>
  <si>
    <t>Sunday</t>
  </si>
  <si>
    <t>Monday</t>
  </si>
  <si>
    <t>Tuesday</t>
  </si>
  <si>
    <t>Wednesday</t>
  </si>
  <si>
    <t>Thursday</t>
  </si>
  <si>
    <t>Sh-1</t>
  </si>
  <si>
    <t>Sh-2</t>
  </si>
  <si>
    <t>Filling</t>
  </si>
  <si>
    <t>Care &amp; More</t>
  </si>
  <si>
    <t>Cream</t>
  </si>
  <si>
    <t>Cream-1</t>
  </si>
  <si>
    <t>High</t>
  </si>
  <si>
    <t>Mid</t>
  </si>
  <si>
    <t>كير اند مور كريم جلسرين بشرة جافة 75مل</t>
  </si>
  <si>
    <t>Glysolid</t>
  </si>
  <si>
    <t>Soft</t>
  </si>
  <si>
    <t>GLYSOLID Soft - 100 ml *</t>
  </si>
  <si>
    <t>Cream-2</t>
  </si>
  <si>
    <t>GLYSOLID Soft - 200 ml *</t>
  </si>
  <si>
    <t>يتم التصنيع عند توريد الغطا</t>
  </si>
  <si>
    <t>Lotion</t>
  </si>
  <si>
    <t>GLYSOLID Lotion- Musk 500ml</t>
  </si>
  <si>
    <t>4- Nozzle</t>
  </si>
  <si>
    <t>GLYSOLID Lotion- Musk 200ml</t>
  </si>
  <si>
    <t>يتم التعبئه عند توريد العبوات</t>
  </si>
  <si>
    <t>Trio Pro</t>
  </si>
  <si>
    <t>Hair Mask</t>
  </si>
  <si>
    <t>تريو برو هير ماسك للشعر كريم مرطب عميق للشعر بزيت الثوم500مل</t>
  </si>
  <si>
    <t>Shower</t>
  </si>
  <si>
    <t>GLYSOLID Musk- 300 ml</t>
  </si>
  <si>
    <t>GLYSOLID Honey and Milk- 300 ml</t>
  </si>
  <si>
    <t>6-Nozzle</t>
  </si>
  <si>
    <t>Care Plus</t>
  </si>
  <si>
    <t>Shampoo</t>
  </si>
  <si>
    <t>كير بلاس شامبو كيراتين و بروتين 1 لتر</t>
  </si>
  <si>
    <t>كير بلس شامبو صبار وجوز هند 1 لتر</t>
  </si>
  <si>
    <t>كير بلاس شامبو رمان و بروتين 1 لتر</t>
  </si>
  <si>
    <t>تريو برو شاور چيل برائحة العود الملكى 800مل</t>
  </si>
  <si>
    <t>يتم التعبئه عند توريد البامب</t>
  </si>
  <si>
    <t>Hand Soap</t>
  </si>
  <si>
    <t>تريو برو هاند سوب برائحة العود الملكى 500مل</t>
  </si>
  <si>
    <t>تريو برو شاور چيل برائحة الكيوى 800مل</t>
  </si>
  <si>
    <t>تريو برو هاند سوب باليمون الاخضر 500 مل</t>
  </si>
  <si>
    <t>تريو برو شاور چيل برائحة الزهور البيضاء 800مل</t>
  </si>
  <si>
    <t>hand soap</t>
  </si>
  <si>
    <t>Trio</t>
  </si>
  <si>
    <t>Roll On</t>
  </si>
  <si>
    <t>تريو برو رول اون رجالي فريش 75 مل</t>
  </si>
  <si>
    <t>تريو برو رول اون رجالي كوول 75 مل</t>
  </si>
  <si>
    <t>Vebix</t>
  </si>
  <si>
    <t>فيبكس رول اون  فيرنس حريمى 50مل 72ساعة</t>
  </si>
  <si>
    <t>فيبكس رول اون ابيض و اسود حريمى 50مل 72ساعة</t>
  </si>
  <si>
    <t>Hand Cream</t>
  </si>
  <si>
    <t>كير اند مور كريم لليدين سول بيوتي 50مل</t>
  </si>
  <si>
    <t>EL-Kady</t>
  </si>
  <si>
    <t>كير اند مور كريم لليدين فيري تال 50مل</t>
  </si>
  <si>
    <t>Shave Code</t>
  </si>
  <si>
    <t>Shaving Cream</t>
  </si>
  <si>
    <t>شيف كود كريم حلاقة عادي 90 مل شكل جديد 23</t>
  </si>
  <si>
    <t>شيف كود كريم حلاقه بالفحم 40 مل</t>
  </si>
  <si>
    <t xml:space="preserve">Man-Zone </t>
  </si>
  <si>
    <t>Invisible Fiber Gel</t>
  </si>
  <si>
    <t>مان زون فايبر جل الشفاف – ماكس هولد - 175 مل</t>
  </si>
  <si>
    <t>مان زون فايبر جل الشفاف – سترونج هولد  - 175 مل</t>
  </si>
  <si>
    <t>كير اند مور بودي لوشن برائحة الفراولة 150مل</t>
  </si>
  <si>
    <t>Foot</t>
  </si>
  <si>
    <t>كير اند مور سكرب للقدمين 100مل</t>
  </si>
  <si>
    <t>Facial wash</t>
  </si>
  <si>
    <t>كير اند مور غسول الوجه للبشره الجافة والعادية 150مل</t>
  </si>
  <si>
    <t xml:space="preserve">Vebix Classic T.25gm Export </t>
  </si>
  <si>
    <t>طلبية عمان</t>
  </si>
  <si>
    <t>Vebix Blue active T.25gm</t>
  </si>
  <si>
    <t>فيبكس  حريمي 15 مل الشكل الجديد</t>
  </si>
  <si>
    <t>فيبكس  رجالي 15 مل الشكل الجديد</t>
  </si>
  <si>
    <t>GLYSOLID Soft - 20 ml *</t>
  </si>
  <si>
    <t>1 Nozzle Cream</t>
  </si>
  <si>
    <t>لا يتم التصنيع إلا عند توريد القاعده</t>
  </si>
  <si>
    <t>Facial Toner</t>
  </si>
  <si>
    <t>1 Nozzle Liq.</t>
  </si>
  <si>
    <t>Bubblzz</t>
  </si>
  <si>
    <t>Lip Scrub</t>
  </si>
  <si>
    <t>بابلز مقشر شفاة  خوخ 3.5 جرام</t>
  </si>
  <si>
    <t>Lip Balm</t>
  </si>
  <si>
    <t>بابلز مقشر شفاة جوز الهند 3.5 جرام</t>
  </si>
  <si>
    <t>Deo Cream</t>
  </si>
  <si>
    <t>فيبكس ديو كريم 72ساعه - ابيض و اسود (رجالى)  30 مل</t>
  </si>
  <si>
    <t>Old Kalex</t>
  </si>
  <si>
    <t>فيبكس ديو كريم 72ساعه - ابيض و اسود فيرنس  30 مل</t>
  </si>
  <si>
    <t>فيبكس ديو كريم 7 أيام -فريش ويف 30 مل</t>
  </si>
  <si>
    <t>Deo Stick</t>
  </si>
  <si>
    <t>كير اند مور ديو ستيك فلورال تاتش 50 مل</t>
  </si>
  <si>
    <t>Wax</t>
  </si>
  <si>
    <t xml:space="preserve"> كير اند مور ديو ستيك فريش ليللي 50 مل</t>
  </si>
  <si>
    <t>Man Zone</t>
  </si>
  <si>
    <t>Fiber Gel</t>
  </si>
  <si>
    <t>Wax - 2</t>
  </si>
  <si>
    <t>مان زون فايبر مولدينج بيست 100مل</t>
  </si>
  <si>
    <t>مان زون فايبر كلاسيك بوميد 100 مل</t>
  </si>
  <si>
    <t>مان زون فايبر كنترول بوميد 100 مل</t>
  </si>
  <si>
    <t>Body Scrub</t>
  </si>
  <si>
    <t>بابلز بدي سكراب جوز هند 250مل</t>
  </si>
  <si>
    <t>Vebix Classic Sachet S.4gm</t>
  </si>
  <si>
    <t>Sachet</t>
  </si>
  <si>
    <t>12 InkJet</t>
  </si>
  <si>
    <t>متوسط الحضور الفعلى</t>
  </si>
  <si>
    <t xml:space="preserve">المطلوب من العماله الخارجيه </t>
  </si>
  <si>
    <t>Discription</t>
  </si>
  <si>
    <t>Code</t>
  </si>
  <si>
    <t>بابلز مقشر شفاة  بابلي جم 3.5 جرام</t>
  </si>
  <si>
    <t>بابلز مقشر شفاة  اناناس 3.5 جرام</t>
  </si>
  <si>
    <t>بابلز مقشر شفاة  فراولة 3.5 جرام</t>
  </si>
  <si>
    <t>Care &amp; More LipBalm Strawberries 3.5 gm</t>
  </si>
  <si>
    <t>Care &amp; More LipBalm Roses 3.5 gm</t>
  </si>
  <si>
    <t>Care &amp; More LipBalm Coconut 3.5 gm</t>
  </si>
  <si>
    <t>سول اند مور بادي سكرب بابلي جم 250 مل</t>
  </si>
  <si>
    <t>Soul &amp; More</t>
  </si>
  <si>
    <t>سول اند مور بادي سكرب فانيليا 250 مل</t>
  </si>
  <si>
    <t>سول اند مور بادي سكرب كاكاو وجوز الهند 250 مل</t>
  </si>
  <si>
    <t>سول اند مور بادي سكرب فراولة 250 مل</t>
  </si>
  <si>
    <t>مازر ناكد مرطب شفاه بالشوكولاته 4 جم</t>
  </si>
  <si>
    <t>Mother Naked</t>
  </si>
  <si>
    <t>مازر ناكد مرطب شفاه توت 4 جم</t>
  </si>
  <si>
    <t>بابلز مرطب شفاة  بابلي جم 4 جرام</t>
  </si>
  <si>
    <t>بابلز مرطب شفاة  خوخ 4 جرام</t>
  </si>
  <si>
    <t>بابلز مرطب شفاة  اناناس 4 جرام</t>
  </si>
  <si>
    <t>بابلز مرطب شفاة جوز الهند 4 جرام</t>
  </si>
  <si>
    <t>بابلز مرطب شفاة  فراولة 4 جرام</t>
  </si>
  <si>
    <t xml:space="preserve"> كير اند مور مرطب شفاه جوز هند 4 جم</t>
  </si>
  <si>
    <t>كير اند مور مرطب شفاه فراولة 4 جم</t>
  </si>
  <si>
    <t xml:space="preserve"> كير اند مور مرطب شفاه روز 4 جم</t>
  </si>
  <si>
    <t xml:space="preserve"> كير اند مور مرطب شفاه اوريجينال 4 جم</t>
  </si>
  <si>
    <t>كير اند مور مرطب شفاه جوز هند 4 جرام تصدير</t>
  </si>
  <si>
    <t>كير اند مور مرطب شفاه اوريجينال 4 جرام تصدير</t>
  </si>
  <si>
    <t>كير اند مور مرطب شفاه روز 4 جرام تصدير</t>
  </si>
  <si>
    <t>كير اند مور مرطب شفاه فراولة 4 جرام تصدير</t>
  </si>
  <si>
    <t>كير اند مور سوفت كريم  فراولة 4 جرام</t>
  </si>
  <si>
    <t>كير اند مور سوفت كريم نسيم استوائى 4 جرام</t>
  </si>
  <si>
    <t>فيبكس فوشيا اكياس 4 جم</t>
  </si>
  <si>
    <t>فيبكس أزرق اكياس 4 جم</t>
  </si>
  <si>
    <t xml:space="preserve"> رو افريكا مرطب شفاة  5 مل كريز</t>
  </si>
  <si>
    <t xml:space="preserve"> Raw African</t>
  </si>
  <si>
    <t>رو افريكا مرطب شفاة  5 مل جوز هند</t>
  </si>
  <si>
    <t>رو افريكا مرطب شفاة  5 مل غزل البنات</t>
  </si>
  <si>
    <t>GLYSOLID Soft  - 5 ml *</t>
  </si>
  <si>
    <t>BLONDY Bleaching Powder 10gm *</t>
  </si>
  <si>
    <t>BLONDY</t>
  </si>
  <si>
    <t>Powder</t>
  </si>
  <si>
    <t>كير اند مور شامبو  رمان وبروتين 10 جرام تصدير</t>
  </si>
  <si>
    <t>كير اند مور شامبو  صبار وجوز هند 10 جرام تصدير</t>
  </si>
  <si>
    <t>كير اند مور شامبو كيراتين وبروتين 10 جرام تصدير</t>
  </si>
  <si>
    <t>Glory</t>
  </si>
  <si>
    <t>Henna</t>
  </si>
  <si>
    <t xml:space="preserve">حتة جلورى كستنائى </t>
  </si>
  <si>
    <t>جلورى حنة بورجاندى</t>
  </si>
  <si>
    <t>جلورى حنة اسود</t>
  </si>
  <si>
    <t>جلورى حنة بني فاتح</t>
  </si>
  <si>
    <t>جلورى حنة بني</t>
  </si>
  <si>
    <t>جلورى حنة ماهوجنى</t>
  </si>
  <si>
    <t>جلورى اسود مزرق</t>
  </si>
  <si>
    <t>جلورى احمر متوهج</t>
  </si>
  <si>
    <t>جلورى اسود رجالى</t>
  </si>
  <si>
    <t>جلورى بنى رجالى</t>
  </si>
  <si>
    <t>جلورى احمر</t>
  </si>
  <si>
    <t>Vebix Classic  T.10gm</t>
  </si>
  <si>
    <t>Vebix Blue active T.10gm</t>
  </si>
  <si>
    <t>Vebix Mystic T.10gm</t>
  </si>
  <si>
    <t xml:space="preserve"> شيف كود ازرق جيل حلاقه شفاف للبشره العاديه 10 مل</t>
  </si>
  <si>
    <t>Gel</t>
  </si>
  <si>
    <t>مان زون فايبر جيل ويت لوك  10 مل</t>
  </si>
  <si>
    <t>Man-Zone</t>
  </si>
  <si>
    <t>براس ليب جلوس كراميل 15 مل</t>
  </si>
  <si>
    <t>Braes</t>
  </si>
  <si>
    <t>Lip Gloss</t>
  </si>
  <si>
    <t>براس ليب جلوس فراولة 15 مل</t>
  </si>
  <si>
    <t>براس ليب جلوس كاكاو 15 مل</t>
  </si>
  <si>
    <t>براس ليب جلوس نعناع 15 مل</t>
  </si>
  <si>
    <t>تو جو جيل ويت لوك ازرق 15 مل  جديد</t>
  </si>
  <si>
    <t>مازر ناكد ليب جلوس ماتش منت 15 مل</t>
  </si>
  <si>
    <t>مازر ناكد ليب جلوس شيرس جوميز 15 مل</t>
  </si>
  <si>
    <t>ايلي بابلي شاور جيل مشمش وخوخ اكياس 15 مل</t>
  </si>
  <si>
    <t>Illy Bubbly</t>
  </si>
  <si>
    <t>ايلي بابلي شاور جيل فراشات الربيع اكياس 15 مل</t>
  </si>
  <si>
    <t xml:space="preserve">Vebix Feet MAX cream Tube 15 gm </t>
  </si>
  <si>
    <t>Vebix Deodorant cream - Men -Metal Tube</t>
  </si>
  <si>
    <t>Vebix Deodorant cream - Women - Metal Tube</t>
  </si>
  <si>
    <t>فيبكس كلاسيك أسدود  15 مل تصدير</t>
  </si>
  <si>
    <t>فيبكس كلاسيك أسدود  15 مل (تصدير متنوع)</t>
  </si>
  <si>
    <t>فيبكس ماكس كلاسيك  15 مل تصدير</t>
  </si>
  <si>
    <t>فيبكس ماكس ازرق 15 مل تصدير</t>
  </si>
  <si>
    <t>فيبكس ماكس حريمى 15 مل تصدير</t>
  </si>
  <si>
    <t>فيبكس رجالي 15 مل تصدير اليمن</t>
  </si>
  <si>
    <t>فيبكس كريم كلاسيك 15 مل تصدير سوريا</t>
  </si>
  <si>
    <t>فيبكس كريم رجالي 15 مل تصدير سوريا</t>
  </si>
  <si>
    <t>فيبكس كريم حريمي 15 مل تصدير سوريا</t>
  </si>
  <si>
    <t>فيبكس كريم كلاسيك 15 مل بدون علبة تصدير سوريا</t>
  </si>
  <si>
    <t>فيبكس كريم رجالي 15مل بدون علبة تصدير سوريا</t>
  </si>
  <si>
    <t>فيبكس كريم حريمي 15مل بدون علبة تصدير سوريا</t>
  </si>
  <si>
    <t>Bubblzz Strawberry 20ml</t>
  </si>
  <si>
    <t>Lip Butter</t>
  </si>
  <si>
    <t>Bubblzz Mango 20ml</t>
  </si>
  <si>
    <t>Bubblzz Peach 20ml</t>
  </si>
  <si>
    <t>Bubblzz Pineapple 20ml</t>
  </si>
  <si>
    <t>Bubblzz Coconut 20ml</t>
  </si>
  <si>
    <t>Bubblzz Bubblegum 20ml</t>
  </si>
  <si>
    <t>كير اند مور لوشن للجسم بالتوت 15 مل</t>
  </si>
  <si>
    <t>Body Lotion</t>
  </si>
  <si>
    <t>كير اند مور لوشن للجسم بالفراولة 15 مل</t>
  </si>
  <si>
    <t>كير اند مور كريم اليدين فيري تال 5مل</t>
  </si>
  <si>
    <t>hand cream</t>
  </si>
  <si>
    <t>كير اند مور كريم اليدين دارك كيس5 مل</t>
  </si>
  <si>
    <t xml:space="preserve"> كير اند مور زبدة شفاه جوز هند 20مل</t>
  </si>
  <si>
    <t>كير اند مور زبدة شفاه فراولة 20مل</t>
  </si>
  <si>
    <t xml:space="preserve"> كير اند مور زبدة شفاه روز 20مل</t>
  </si>
  <si>
    <t xml:space="preserve"> كير اند مور زبدة شفاه اوريجينال 20مل</t>
  </si>
  <si>
    <t>كير اند مور زبدة شفاه اوريجينال 20 جرام تصدير</t>
  </si>
  <si>
    <t>كير اند مور زبدة شفاه اوريجينال 20 جرام بدون استاند تصدير</t>
  </si>
  <si>
    <t>كير اند مور زبدة شفاه جوز هند 20 جرام تصدير</t>
  </si>
  <si>
    <t>كير اند مور زبدة شفاه جوز هند 20 جرام بدون استاند تصدير</t>
  </si>
  <si>
    <t>كير اند مور زبدة شفاه فراولة 20 جرام تصدير</t>
  </si>
  <si>
    <t>كير اند مور زبدة شفاه فراولة 20 جرام بدون استاند تصدير</t>
  </si>
  <si>
    <t>كير اند مور زبدة شفاه روز 20 جرام تصدير</t>
  </si>
  <si>
    <t>كير اند مور زبدة شفاه روز 20 جرام بدون استاند تصدير</t>
  </si>
  <si>
    <t xml:space="preserve"> Cream</t>
  </si>
  <si>
    <t xml:space="preserve">جليسوليد سوفت كريم 20مل </t>
  </si>
  <si>
    <t>مان زون فايبر جيل ويت لوك اكياس 20 مل</t>
  </si>
  <si>
    <t>Glycering - Pla-Tin25gr</t>
  </si>
  <si>
    <t>Kamill</t>
  </si>
  <si>
    <t>Chamomile Cream - Pla-Tin25gr</t>
  </si>
  <si>
    <t>راج 7 كريم حريمي 25 مل تصدير استراليا</t>
  </si>
  <si>
    <t>Raje 7</t>
  </si>
  <si>
    <t>راج 7كريم رجالي 25 مل تصدير استراليا</t>
  </si>
  <si>
    <t>Vebix Lemon &amp; Herb T.25gm</t>
  </si>
  <si>
    <t>Vebix Classic T.25gm Azal</t>
  </si>
  <si>
    <t>Vebix Mystic T.25gm Azal</t>
  </si>
  <si>
    <t>Vebix Blue active T.25gm Azal</t>
  </si>
  <si>
    <t>Vebix oud T.25gm Azal</t>
  </si>
  <si>
    <t>Vebix Musk T.25gm Azal</t>
  </si>
  <si>
    <t>Vebix Deodorant cream - Men - Metal Tube</t>
  </si>
  <si>
    <t>فيبكس كلاسيك أسدود  25 مل (تصدير متنوع)</t>
  </si>
  <si>
    <t>فيبكس كلاسيك أسدود  25 مل تصدير</t>
  </si>
  <si>
    <t>فيبكس كريم كلاسيك 25 مل سلطنة عمان</t>
  </si>
  <si>
    <t>فيبكس كريم رجالي 25 مل سلطنة عمان</t>
  </si>
  <si>
    <t>فيبكس كريم حريمي 25 مل سلطنة عمان</t>
  </si>
  <si>
    <t>فيبكس كريم مسك 25 مل سلطنة عمان</t>
  </si>
  <si>
    <t>فيبكس كريم عود 25 مل سلطنة عمان</t>
  </si>
  <si>
    <t>فيبكس 25 مل كلاسيك تصدير متنوع</t>
  </si>
  <si>
    <t>Vebix Deo Cream - Oud</t>
  </si>
  <si>
    <t>Vebix Deo Cream - Musk</t>
  </si>
  <si>
    <t>فيبكس رجالي 25 مل تصدير اليمن</t>
  </si>
  <si>
    <t>فيبكس 25مل عــود تصدير اليمن</t>
  </si>
  <si>
    <t>Vebix Classic T.25gm Jordan Export</t>
  </si>
  <si>
    <t>Vebix oud T.25gm Jordan Export</t>
  </si>
  <si>
    <t>Vebix Blue active T.25gm Jordan Export</t>
  </si>
  <si>
    <t>فيبكس كلاسيك 25 مل تصدير الاردن مقاس جديد</t>
  </si>
  <si>
    <t>Vebix Musk T.25gm Jordan Export</t>
  </si>
  <si>
    <t>Vebix Mystic T.25gm Jordan Export</t>
  </si>
  <si>
    <t xml:space="preserve"> رو افريكا سكراب شفاه 30 مل جوز هند</t>
  </si>
  <si>
    <t>رو افريكا سكراب شفاه 30 مل غزل البنات</t>
  </si>
  <si>
    <t xml:space="preserve"> رو افريكا سكراب شفاه 30 مل كريز</t>
  </si>
  <si>
    <t xml:space="preserve">فيبكس قدمين 30 مل </t>
  </si>
  <si>
    <t>BLONDY Bleaching Powder 40 gm *</t>
  </si>
  <si>
    <t>شيف كود كريم حلاقه عادى 40 مل شكل جديد 23</t>
  </si>
  <si>
    <t xml:space="preserve">Vibex Roll Male Lemon &amp; Herbs /Fresh Energy </t>
  </si>
  <si>
    <t>Roll on</t>
  </si>
  <si>
    <t xml:space="preserve">Vibex Roll Female Lemon &amp; Herbs </t>
  </si>
  <si>
    <t xml:space="preserve">Vibex Roll on Pink Mystic </t>
  </si>
  <si>
    <t xml:space="preserve">Vibex Roll on Blue/Active </t>
  </si>
  <si>
    <t xml:space="preserve">VEBIX Roll-on Powder Touch New </t>
  </si>
  <si>
    <t>كير اند مور كريم لليدين سيكرت تاتش 50مل</t>
  </si>
  <si>
    <t>Vaseline</t>
  </si>
  <si>
    <t>كير اند مور جلي عناية للبشرة اوريجينال 50مل جديد</t>
  </si>
  <si>
    <t>كير اند مور جلي عناية للبشرة جوز هند 50مل جديد</t>
  </si>
  <si>
    <t>كير اند مور جلي عناية للبشرة فراولة 50مل جديد</t>
  </si>
  <si>
    <t>فيبكس ديو ستيك 72ساعه - ابيض و اسود (رجالى)</t>
  </si>
  <si>
    <t>فيبكس ديو ستيك 72ساعه - ابيض و اسود (حرىمى)</t>
  </si>
  <si>
    <t>Glycering - Pla-Tin50gr</t>
  </si>
  <si>
    <t>كاميل كريم كلاسيك 50 مل جديد 23</t>
  </si>
  <si>
    <t>كاميل كريم حساس 50 مل جديد23</t>
  </si>
  <si>
    <t>Chamomile Cream - Pla-Tin50gr</t>
  </si>
  <si>
    <t xml:space="preserve">Trio Roll- on Power </t>
  </si>
  <si>
    <t xml:space="preserve">Trio Roll- on Fresh </t>
  </si>
  <si>
    <t>Trio Roll- on Cool</t>
  </si>
  <si>
    <t>Trio Roll- on Soft</t>
  </si>
  <si>
    <t>Trio Roll- on Secret</t>
  </si>
  <si>
    <t xml:space="preserve">تريو رول اون فريش 50مل تصدير </t>
  </si>
  <si>
    <t xml:space="preserve">تريو رول اون كوول 50مل تصدير </t>
  </si>
  <si>
    <t xml:space="preserve">تريو رول اون باور 50 مل تصدير </t>
  </si>
  <si>
    <t xml:space="preserve">تريو رول اون تركواز 50 مل  تصدير </t>
  </si>
  <si>
    <t xml:space="preserve">تريو رول اون موف 50 مل  تصدير </t>
  </si>
  <si>
    <t xml:space="preserve">تريو رول اون روز 50 مل  تصدير </t>
  </si>
  <si>
    <t>فيبكس رول اون باور سبورت رجالى 50مل 72ساعة</t>
  </si>
  <si>
    <t xml:space="preserve"> Roll-On 72hrs</t>
  </si>
  <si>
    <t>فيبكس رول اون فريش ويف رجالى 50مل 72ساعة</t>
  </si>
  <si>
    <t>فيبكس رول اون شي باور حريمى 50مل 72ساعة</t>
  </si>
  <si>
    <t>فيبكس رول اون ابيض و اسود رجالى 50 مل 72ساعة</t>
  </si>
  <si>
    <t>فيبكس رول اون ديليكات تاتش حريمى 50مل 72ساعة</t>
  </si>
  <si>
    <t>Vebix Roll On - Blue Active</t>
  </si>
  <si>
    <t>Vebix Roll On - Mystic</t>
  </si>
  <si>
    <t>Vebix Roll On - Aspire</t>
  </si>
  <si>
    <t>فيبكس رول اون فريش انيرجى 50 مل تصدير</t>
  </si>
  <si>
    <t>Vebix Roll On - Soft Powder</t>
  </si>
  <si>
    <t>Vebix Fresh Energy Roll On Jordan Export</t>
  </si>
  <si>
    <t>Vebix Blue active Roll On Jordan Export</t>
  </si>
  <si>
    <t>Vebix Mystic Roll On Jordan Export</t>
  </si>
  <si>
    <t>مازر ناكد ليب جلوس فراولة 20 مل</t>
  </si>
  <si>
    <t>مازر ناكد ليب جلوس بروكي 20مل</t>
  </si>
  <si>
    <t>مازر ناكد سيرم للشعر بالتوت هير جويس 60 مل بينك</t>
  </si>
  <si>
    <t>Serum</t>
  </si>
  <si>
    <t>مازر ناكد سيرم ميلك للوجة بجوز الهند 60 مل( اصفر)</t>
  </si>
  <si>
    <t>Facial  Serum</t>
  </si>
  <si>
    <t>مازر ناكد سوفليه كريم للايدي والجسم 60 مل</t>
  </si>
  <si>
    <t>راكسيرا صن سكرين كريم 60 مل</t>
  </si>
  <si>
    <t>Raxeira</t>
  </si>
  <si>
    <t>Sun Cream</t>
  </si>
  <si>
    <t>Conditioner</t>
  </si>
  <si>
    <t>كير اند مور سوفت كريم جلسرين وفانيليا وكوكيز 75مل</t>
  </si>
  <si>
    <t>كير اند مور سوفت كريم جلسرين بشرة جافة 75مل</t>
  </si>
  <si>
    <t>كير اند مور سوفت كريم جلسرين و توت 75مل</t>
  </si>
  <si>
    <t>كير اند مور سوفت كريم جلسرين و نسيم استوائي 75مل</t>
  </si>
  <si>
    <t>تريو برو رول اون حريمى تفتيح 75 مل</t>
  </si>
  <si>
    <t>تريو برو رول اون حريمى تفتيح بيرل 75 مل</t>
  </si>
  <si>
    <t>تريو رول اون حريمي سوفت روز 75 مل</t>
  </si>
  <si>
    <t>فيفلين سيرم للشعر 75 مل</t>
  </si>
  <si>
    <t>Favelin</t>
  </si>
  <si>
    <t>GLYSOLID Cream - Alum-Tin 80gm</t>
  </si>
  <si>
    <t xml:space="preserve"> Care and more Glycerin cream  50</t>
  </si>
  <si>
    <t>جيل معقم ومنظف الايدين شفاف  80 مل (مترو ماركت )</t>
  </si>
  <si>
    <t>Metro</t>
  </si>
  <si>
    <t>جيل معقم ومنظف الايدين ليمون  80 مل (مترو ماركت )</t>
  </si>
  <si>
    <t xml:space="preserve">شيف كود كريم حلاقة عادي 90 مل تصدير </t>
  </si>
  <si>
    <t xml:space="preserve">شيف كود كريم حلاقة حساس 90مل تصدير </t>
  </si>
  <si>
    <t>كير اند مور اسكراب للقدمين 100مل</t>
  </si>
  <si>
    <t>كير اند مور كريم جليسرين 100+25 مل تصدير</t>
  </si>
  <si>
    <t>كير اند مور جلي عناية للبشرة اوريجينال 100مل جديد</t>
  </si>
  <si>
    <t>كير اند مور جلي عناية للبشرة جوز هند 100مل جديد</t>
  </si>
  <si>
    <t>كير اند مور جلي عناية للبشرة فراولة 100مل جديد</t>
  </si>
  <si>
    <t>GLYSOLID Cream - Plastic 100gm</t>
  </si>
  <si>
    <t>كاميل  كريم كلاسيك 100 مل جديد23</t>
  </si>
  <si>
    <t>كاميل كريم  حساس 100 مل جديد23</t>
  </si>
  <si>
    <t>MAN-ZONE Fiber Classic Pomade</t>
  </si>
  <si>
    <t xml:space="preserve"> Fiber Pomade </t>
  </si>
  <si>
    <t>MAN-ZONE Fiber Control Pomade</t>
  </si>
  <si>
    <t xml:space="preserve">مان زون اويل واكس - لايت هولد - 100مل </t>
  </si>
  <si>
    <t>Oil Base Wax</t>
  </si>
  <si>
    <t xml:space="preserve">مان زون اويل واكس - ميديم هولد - 100مل </t>
  </si>
  <si>
    <t>كير اند مور اسيتون فراولة 100 مل</t>
  </si>
  <si>
    <t>Acetone</t>
  </si>
  <si>
    <t>كير اند مور اسيتون اوريجينال 100 مل</t>
  </si>
  <si>
    <t>كير اند مور اسيتون مشمش 100 مل</t>
  </si>
  <si>
    <t>فيفلين بادي اسبلاش كب كيك جلازا 120 مل</t>
  </si>
  <si>
    <t>Body Perfume</t>
  </si>
  <si>
    <t xml:space="preserve"> فيفلين بادي اسبلاش إن ذا وايلد 120 مل</t>
  </si>
  <si>
    <t>فيفلين بادي سبلاش صن كيسد هوني 120 مل</t>
  </si>
  <si>
    <t>فيفلين بادي سبلاش فيوليت تويست 120 مل</t>
  </si>
  <si>
    <t>فيفلين بادي لوشن كب كيك جلازا 120 مل</t>
  </si>
  <si>
    <t>فيفلين بادي لوشن إن ذا وايلد 120 مل</t>
  </si>
  <si>
    <t>فيفلين بادي لوشن صن كيسد هوني 120 مل</t>
  </si>
  <si>
    <t>C&amp;M Nail polish Remover Blue * 125 ml</t>
  </si>
  <si>
    <t>Remover</t>
  </si>
  <si>
    <t>C&amp;M Nail polish Remover apricot * 125 ml</t>
  </si>
  <si>
    <t>C&amp;M Nail polish Remover Strawberry * 125 ml</t>
  </si>
  <si>
    <t>كير اند مور سوفت كريم جلسرين و جوز هند 125مل</t>
  </si>
  <si>
    <t>كير اند مور سوفت كريم جلسرين وفراولة 125مل</t>
  </si>
  <si>
    <t>كير اند مور سوفت كريم جلسرين وفانيليا وكوكيز 125مل</t>
  </si>
  <si>
    <t>كير اند مور سوفت كريم(9فراوله+9جوزهند+9فانيليا+9بشره جافه)125مل</t>
  </si>
  <si>
    <t xml:space="preserve"> Care and more Glycerin cream  100</t>
  </si>
  <si>
    <t>GLYSOLID Cream - Alum-Tin 125gm</t>
  </si>
  <si>
    <t>جليسوليد كريم 125مل تصدير</t>
  </si>
  <si>
    <t>MAN-ZONE Sculpting Clay - Matte Effect</t>
  </si>
  <si>
    <t xml:space="preserve"> Clay </t>
  </si>
  <si>
    <t>Fiber Paste</t>
  </si>
  <si>
    <t>مان زون فايبر مولدينجج بيست - 125 مل</t>
  </si>
  <si>
    <t>مان زون جل واكس - سترونج هولد - 125 مل</t>
  </si>
  <si>
    <t>Gel Wax</t>
  </si>
  <si>
    <t>مان زون جل واكس - ميديم هولد - 125 مل</t>
  </si>
  <si>
    <t xml:space="preserve">مان زون كريم زياده كثافه و تصفيف الشعر - 125 مل </t>
  </si>
  <si>
    <t>Volumizing Styling</t>
  </si>
  <si>
    <t>Man-Zone Fiber gel Steel effect - 125ml Tube</t>
  </si>
  <si>
    <t>Man-Zone Fiber gel Wet effect - 125ml Tube</t>
  </si>
  <si>
    <t>shave code cologne sea breath</t>
  </si>
  <si>
    <t>cologne</t>
  </si>
  <si>
    <t xml:space="preserve">Shavecode Cologne Vintage </t>
  </si>
  <si>
    <t>shave code cologne forest breath</t>
  </si>
  <si>
    <t>Body lotion</t>
  </si>
  <si>
    <t>كير اند مور بودي لوشن برائحة جوز الهند 150مل</t>
  </si>
  <si>
    <t>كير اند مور بودي لوشن برائحة التوت 150مل</t>
  </si>
  <si>
    <t>كير اند مور بودي لوشن برائحة الفواكة الاستوائيه 150مل</t>
  </si>
  <si>
    <t>كير اند مور غسول الوجة للبشره الدهنيه بالصبار 150مل</t>
  </si>
  <si>
    <t>كير اند مور تونر للوجه للبشره الدهنيه بالصبار 150مل</t>
  </si>
  <si>
    <t>Glycering - Pla-Tin 150gr</t>
  </si>
  <si>
    <t>Chamomile Cream - Pla-Tin 150gr</t>
  </si>
  <si>
    <t>شيف كود جيل حلاقة حساس 150 مل شكل جديد 23</t>
  </si>
  <si>
    <t>شيف كود جيل حلاقة بالفحم 150 مل شكل جديد</t>
  </si>
  <si>
    <t xml:space="preserve"> Balm</t>
  </si>
  <si>
    <t>Man-Zone Fiber gel Steel effect - 175ml</t>
  </si>
  <si>
    <t>Man-Zone Fiber gel Wet effect - 175ml</t>
  </si>
  <si>
    <t>مان زون انفيزيبل فايبر جل  سترونج هولد 175مل</t>
  </si>
  <si>
    <t>Shave Code After Shave Gel 175ml</t>
  </si>
  <si>
    <t>Shave Code After Shave Balm 175ml</t>
  </si>
  <si>
    <t>شيف كود لوشن بعد الحلاقة 175مل</t>
  </si>
  <si>
    <t>فيفلين بادي باتر كب كيك جلازا 185 جرام</t>
  </si>
  <si>
    <t>Body Butter</t>
  </si>
  <si>
    <t>فيفلين بادي باتر إن ذا وايلد 185 جرام</t>
  </si>
  <si>
    <t>فيفلين بادي باتر كب كيك جلازا 200 جرام</t>
  </si>
  <si>
    <t>فيفلين بادي باتر إن ذا وايلد 200 جرام</t>
  </si>
  <si>
    <t>فيفلين بادي باتر صن كيسد هوني 200 جرام</t>
  </si>
  <si>
    <t>فيفلين بادي باتر فيوليت تويست 200 جرام</t>
  </si>
  <si>
    <t>فاست اوف طارد الناموس للجسم برائحة الليمون المنعش 200مل</t>
  </si>
  <si>
    <t>Fast Off</t>
  </si>
  <si>
    <t>Mosquito</t>
  </si>
  <si>
    <t>فاست اوف طارد الناموس للجسم برائحة اللافندر 200 مل</t>
  </si>
  <si>
    <t>Nut</t>
  </si>
  <si>
    <t>فيفلين شاور جيل كب كيك جلازا  200 مل</t>
  </si>
  <si>
    <t>فيفلين شاور جيل إن ذا وايلد 200 مل</t>
  </si>
  <si>
    <t>فيفلين شاور جيل صن كيسد هوني 200 مل</t>
  </si>
  <si>
    <t>شيف كود فوم حلاقة - بالصبار 200مل</t>
  </si>
  <si>
    <t>Shaving Foam</t>
  </si>
  <si>
    <t>شيف كود فوم حلاقة - بالفحم 200مل</t>
  </si>
  <si>
    <t>Shavecode Shaving Foam - Normal Skin</t>
  </si>
  <si>
    <t>Shave code</t>
  </si>
  <si>
    <t xml:space="preserve"> Foam </t>
  </si>
  <si>
    <t>PWR Deo Roll on - Rambo</t>
  </si>
  <si>
    <t>PWR</t>
  </si>
  <si>
    <t>PWR Deo Roll on - 212 club men</t>
  </si>
  <si>
    <t xml:space="preserve">PWR Deo Roll on - Aqua cool </t>
  </si>
  <si>
    <t>PWR Deo Roll on - Chantel 2</t>
  </si>
  <si>
    <t>PWR Deo Roll on - Savage</t>
  </si>
  <si>
    <t>PWR Deo Roll on - Zaaro</t>
  </si>
  <si>
    <t>PWR Deo Roll on - Given me</t>
  </si>
  <si>
    <t>PWR Deo Roll on - Dunham desert</t>
  </si>
  <si>
    <t>20 SPF</t>
  </si>
  <si>
    <t>30 SPF</t>
  </si>
  <si>
    <t>50 SPF</t>
  </si>
  <si>
    <t>50 SPF Kids</t>
  </si>
  <si>
    <t>After Sun Lotion</t>
  </si>
  <si>
    <t>فيبكس صن لوشن 200 مل ( SPF 50 ) جديد</t>
  </si>
  <si>
    <t>Sun</t>
  </si>
  <si>
    <t>فيبكس صن لوشن 200 مل ( SPF 50 Kids ) جديد</t>
  </si>
  <si>
    <t>فيبكس صن لوشن 200 مل ( After Sun ) جديد</t>
  </si>
  <si>
    <t>فيبكس صن اويل 200 مل ( Tanning Oil ) جديد</t>
  </si>
  <si>
    <t>تريو برو برفان للجسم حريمى سيداكتف 240 مل</t>
  </si>
  <si>
    <t>Boady Perfume</t>
  </si>
  <si>
    <t>تريو برو برفان للجسم حريمى فروستد كب كيك 240 مل</t>
  </si>
  <si>
    <t>تريو برو برفان للجسم حريمى اوليمبيا 240 مل</t>
  </si>
  <si>
    <t>تريو برو برفان للجسم حريمى بيلا فيتا 240 مل</t>
  </si>
  <si>
    <t xml:space="preserve"> فيفلين بادي اسبلاش إن ذا وايلد 250 مل</t>
  </si>
  <si>
    <t>Body Splash</t>
  </si>
  <si>
    <t>GLYSOLID Cream - Alum-Tin 250gm</t>
  </si>
  <si>
    <t>فيفلين بادي سبلاش فيوليت تويست 250 مل</t>
  </si>
  <si>
    <t>فيفلين بادي لوشن كب كيك جلازا 250 مل</t>
  </si>
  <si>
    <t>فيفلين بادي لوشن إن ذا وايلد 250 مل</t>
  </si>
  <si>
    <t>فيفلين بادي لوشن صن كيسد هوني 250 مل</t>
  </si>
  <si>
    <t>فيفلين بادي لوشن فيوليت تويست 250 مل</t>
  </si>
  <si>
    <t>رو أفريكان هير ماسك هايدرا نوريش 250 مل</t>
  </si>
  <si>
    <t>Body Scrab</t>
  </si>
  <si>
    <t>  Bubblegumبابلز استيكر بدي سكرب</t>
  </si>
  <si>
    <t>Berrylicious بابلز استيكر بدي سكرب</t>
  </si>
  <si>
    <t>بابلز بدي سكراب فراوله 250مل</t>
  </si>
  <si>
    <t xml:space="preserve">كير اند مور كريم جلسرين 250 مل تصدير </t>
  </si>
  <si>
    <t>كير اند مور سوفت كريم جلسرين جوز هند 250مل</t>
  </si>
  <si>
    <t>كير اند مور سوفت كريم جلسرين فانيليا 250مل</t>
  </si>
  <si>
    <t>كير اند مور سوفت كريم جلسرين فراوله 250مل</t>
  </si>
  <si>
    <t xml:space="preserve"> Care and more Glycerin cream  250 </t>
  </si>
  <si>
    <t>جليسوليد كريم 250 مل تصدير</t>
  </si>
  <si>
    <t>Chamomile Cream - Pla-Tin 250gr</t>
  </si>
  <si>
    <t>Shampoo - V1 - 250ml</t>
  </si>
  <si>
    <t>كير اند مور شاور جيل ميسلار التوت وماء الورد 280 مل</t>
  </si>
  <si>
    <t>كير اند مور شاور جيل ميسلار بطيخ والوفيرا  280 مل</t>
  </si>
  <si>
    <t>كير اند مور شاور جيل ميسلار زيت المشمش واللوز  280 مل</t>
  </si>
  <si>
    <t>كير اند مور شاور جيل ميسلار لافندر 280 مل</t>
  </si>
  <si>
    <t xml:space="preserve">فيفلين بلسم خالي من السلفات 300 مل </t>
  </si>
  <si>
    <t xml:space="preserve">فيفلين شامبو خالي من السلفات 300 مل </t>
  </si>
  <si>
    <t xml:space="preserve">فيفلين هير ماسك خالي من السلفات 300 مل </t>
  </si>
  <si>
    <t>رو افريكان بلسم فوليك بوستر 300 مل</t>
  </si>
  <si>
    <t>رو افريكان شامبو فوليك بوستر 300 مل</t>
  </si>
  <si>
    <t>GLYSOLID Classic- 300 ml</t>
  </si>
  <si>
    <t>GLYSOLID Olive Balm- 300 ml</t>
  </si>
  <si>
    <t>GLYSOLID Rose Milk- 300 ml</t>
  </si>
  <si>
    <t>كير اند مور رول اون فريش ليللي 50 مل</t>
  </si>
  <si>
    <t>كير اند مور رول اون كول ايسنشيال 50 مل</t>
  </si>
  <si>
    <t>كير اند مور رول اون فلورال تاتش 50 مل</t>
  </si>
  <si>
    <t xml:space="preserve"> كير اند مور هاند سوب ميسلار فانيليا 350 مل  جديد</t>
  </si>
  <si>
    <t xml:space="preserve"> كير اند مور هاند سوب ميسلار انتعاش التوت 350 مل  جديد</t>
  </si>
  <si>
    <t xml:space="preserve"> كير اند مور هاند سوب ميسلار ليمون ونعناع 350 مل  جديد</t>
  </si>
  <si>
    <t xml:space="preserve"> كير اند مور هاند سوب ميسلار جوز هند 350 مل  جديد</t>
  </si>
  <si>
    <t xml:space="preserve"> كير اند مور هاند سوب ميسلار عسل ولبن 350 مل  جديد</t>
  </si>
  <si>
    <t xml:space="preserve"> كير اند مور هاند سوب ميسلار عود 350 مل  جديد</t>
  </si>
  <si>
    <t>كير اند مور هاند سوب ميسلار عود 350 مل  جديد غطاء</t>
  </si>
  <si>
    <t>كير اند مور هاند سوب ميسلار جوز هند 350 مل  جديد غطاء</t>
  </si>
  <si>
    <t>كير اند مور هاند سوب ميسلار عسل ولبن 350 مل  جديد غطاء</t>
  </si>
  <si>
    <t>كير اند مور هاند سوب ميسلار انتعاش التوت 350 مل  جديد غطاء</t>
  </si>
  <si>
    <t>كير اند مور هاند سوب ميسلار فانيليا 350 مل  جديد غطاء</t>
  </si>
  <si>
    <t>كير اند مور هاند سوب ميسلار ليمون ونعناع 350 مل  جديد غطاء</t>
  </si>
  <si>
    <t>فيفلين شاور جل إن ذا وايلد 400 مل</t>
  </si>
  <si>
    <t>فيفلين شاور جل فيوليت تويست 400 مل</t>
  </si>
  <si>
    <t>كير اند مور بلسم كيراتين وبروتين 400 مل</t>
  </si>
  <si>
    <t>فيفلين شاور جل كب كيك جلازا 400 مل</t>
  </si>
  <si>
    <t>فيفلين شاور جل صن كيسد هوني 400 مل</t>
  </si>
  <si>
    <t>كير اند مور بلسم رمان وبروتين 400 مل</t>
  </si>
  <si>
    <t>كير اند مور بلسم بالصبار وجوز الهند 400 مل</t>
  </si>
  <si>
    <t xml:space="preserve">Kamill Hand Soap Fresh </t>
  </si>
  <si>
    <t xml:space="preserve">Kamill Hand Soap Sensitive </t>
  </si>
  <si>
    <t>بابلز هاند سوب فراوله 500 مل</t>
  </si>
  <si>
    <t>بابلز هاند سوب كيوي 500 مل</t>
  </si>
  <si>
    <t>رو افريكان شاور فيري بيري 500 مل</t>
  </si>
  <si>
    <t>رو افريكان شاور زهره أفريقيه 500 مل</t>
  </si>
  <si>
    <t>رو افريكان شاور عود عربي 500 مل</t>
  </si>
  <si>
    <t>رو افريكان شاور مسك ابيض 500 مل</t>
  </si>
  <si>
    <t>رو افريكان شاور بينا كولادا 500 مل</t>
  </si>
  <si>
    <t xml:space="preserve"> كير اند مور شاور جيل ميسلار فيلفيت تاتش 500 مل  جديد</t>
  </si>
  <si>
    <t xml:space="preserve"> كير اند مور شاور جيل ميسلار توت وماء ورد 500 مل  جديد</t>
  </si>
  <si>
    <t>Care &amp; more Hair mask Pomegranate &amp; Protein</t>
  </si>
  <si>
    <t>Hair mask</t>
  </si>
  <si>
    <t>Care &amp; more Hair mask Keratein &amp; Protein</t>
  </si>
  <si>
    <t xml:space="preserve">Care &amp; more Hair mask garlic &amp; Olive Oil </t>
  </si>
  <si>
    <t>Care &amp; more Hair mask Pomegranate &amp; Protein Export</t>
  </si>
  <si>
    <t>Care &amp; more Hair mask Keratein &amp; Protein Export</t>
  </si>
  <si>
    <t>كير اند مور شاور جيل احلام ورديه 500 مل</t>
  </si>
  <si>
    <t>كير اند مور شاور جيل نسيم استوائي 500 مل</t>
  </si>
  <si>
    <t>كير اند مور شاور جيل عسل ولبن  500 مل</t>
  </si>
  <si>
    <t>كير اند مور شاور جيل انتعاش التوت 500 مل</t>
  </si>
  <si>
    <t xml:space="preserve">عرض كير اند مور شاور جيل 500مل ميكس 12قطعه </t>
  </si>
  <si>
    <t>كير اند مور بلسم كيراتين وبروتين 500 مل تصدير</t>
  </si>
  <si>
    <t>كير اند مور بلسم رمان وبروتين 500 مل تصدير</t>
  </si>
  <si>
    <t xml:space="preserve"> كير اند مور شامبو كيراتين و بروتين 500 مل تصدير</t>
  </si>
  <si>
    <t xml:space="preserve"> كير اند مور شامبو رمان و بروتين 500 مل تصدير</t>
  </si>
  <si>
    <t xml:space="preserve"> كير اند مور شامبو صبار وجوز هند 500 مل تصدير</t>
  </si>
  <si>
    <t>كير اند مور شامبو ضد القشرة ليمون 500مل تصدير</t>
  </si>
  <si>
    <t>كير اند مور شامبو ضد القشرة نعناع  500مل تصدير</t>
  </si>
  <si>
    <t>ايلي بابلي شاور جل فراشات الربيع 500 مل</t>
  </si>
  <si>
    <t>ايلي بابلي شاور جل تين وكريمة 500 مل</t>
  </si>
  <si>
    <t>ايلي بابلي شاور جل مشمش وخوخ  500 مل</t>
  </si>
  <si>
    <t>ايلي بابلي شاور جل ميلكي بيرل 500 مل</t>
  </si>
  <si>
    <t>ايلي بابلي صابون للأيدي فراولة 500 مل</t>
  </si>
  <si>
    <t>ايلي بابلي صابون للأيدي نسيم البحر 500 مل</t>
  </si>
  <si>
    <t>ايلي بابلي صابون للأيدي فانيليا 500 مل</t>
  </si>
  <si>
    <t>ايلي بابلي صابون للأيدي مسك ابيض 500 مل</t>
  </si>
  <si>
    <t>Foaz hand wash Honey &amp; oats 500ml</t>
  </si>
  <si>
    <t>foamz</t>
  </si>
  <si>
    <t>Foaz hand wash Lavender&amp; violets 500ml</t>
  </si>
  <si>
    <t>Foaz hand wash Apricot &amp; peach 500ml</t>
  </si>
  <si>
    <t>فومز هاند سوب برائحة جوز الهند وخشب الصندل 500 مل</t>
  </si>
  <si>
    <t>فومز هاند سوب برائحة الليمون بالنعناع 500 مل</t>
  </si>
  <si>
    <t>Foaz hand wash vanilla &amp; berries 500ml</t>
  </si>
  <si>
    <t>Kamill Hand Soap Classic</t>
  </si>
  <si>
    <t>مترو ماركت صابون سائل للأيدي ليمون ونعناع 500مل</t>
  </si>
  <si>
    <t>سائل صابون لليد انتعاش التوت  500 مل  (مترو ماركت  )</t>
  </si>
  <si>
    <t>سائل صابون لليد العسل واللبن   500 مل  (مترو ماركت  )</t>
  </si>
  <si>
    <t>سائل صابون لليد جوز هند    500 مل  (مترو ماركت  )</t>
  </si>
  <si>
    <t>سائل صابون لليد انتى باكتريا 500 مل  (مترو ماركت  )</t>
  </si>
  <si>
    <t>مترو شاور جيل ميسلار لافندر 500 مل</t>
  </si>
  <si>
    <t>مترو شاور جيل ميسلار التوت وماء الورد 500 مل</t>
  </si>
  <si>
    <t>مترو شاور جيل ميسلار بطيخ و الوفيرا  500 مل</t>
  </si>
  <si>
    <t>مترو شاور جيل ميسلار زيت المشمش واللوز  500 مل</t>
  </si>
  <si>
    <t>جيل معقم ومنظف الايدين شفاف  500 مل (مترو ماركت )</t>
  </si>
  <si>
    <t>تريو حمام كريم الحبة السوداء 500 مل تصدير</t>
  </si>
  <si>
    <t>تريو شامبو الحبة السوداء 500 مل تصدير</t>
  </si>
  <si>
    <t>تريو بلسم الحبة السوداء 500 مل تصدير</t>
  </si>
  <si>
    <t>تريو برو هاند سوب باليمون الاخضر 500 مل (تصدير)</t>
  </si>
  <si>
    <t>تريو برو هاند سوب برائحة العود الملكى 500مل (تصدير)</t>
  </si>
  <si>
    <t>تريو برو هاند سوب برائحة الزهور البيضاء 500مل (تصدير)</t>
  </si>
  <si>
    <t>تريو برو هاند سوب برائحة الزهور البيضاء 500مل</t>
  </si>
  <si>
    <t>تريو برو شامبو خالى من السلفات بزيت الثوم 500مل</t>
  </si>
  <si>
    <t xml:space="preserve"> تريو برو شامبو خالى من السلفات بخليط الزيوت 500مل</t>
  </si>
  <si>
    <t>Trio Pro Shampoo Free Of Sulfates With Garlic Oil Export</t>
  </si>
  <si>
    <t>Trio Shampoo - Argan Oil</t>
  </si>
  <si>
    <t xml:space="preserve"> Trio shampoo - Rosemary &amp; Tea Tree 
 </t>
  </si>
  <si>
    <t>Trio Pro Shampoo Free Sulfates With Mixed Oil Export</t>
  </si>
  <si>
    <t>تريو برو بلسم للشعر بزيت الثوم  500مل</t>
  </si>
  <si>
    <t>تريو برو بلسم  بخليط الزيوت 500مل</t>
  </si>
  <si>
    <t>تريو برو هير ماسك الشعر بخليط الزيوت 500 مل</t>
  </si>
  <si>
    <t>تريو برو هير ماسك للشعر كريم مرطب عميق بزيت ثوم500مل(تصدير)</t>
  </si>
  <si>
    <t>تريو برو هير ماسك الشعر بخليط الزيوت 500 مل (تصدير)</t>
  </si>
  <si>
    <t>تريو برو هير جل ويت لوك 500 مل ( تصدير )</t>
  </si>
  <si>
    <t>Hair Gel</t>
  </si>
  <si>
    <t xml:space="preserve"> كير اند مور هاند سوب ميسلار عود 520 مل  جديد</t>
  </si>
  <si>
    <t xml:space="preserve"> كير اند مور هاند سوب ميسلار جوز هند 520 مل  جديد</t>
  </si>
  <si>
    <t>كير اند مور هاند سوب ميسلار انتعاش التوت 520 مل  جديد غطاء</t>
  </si>
  <si>
    <t>كير اند مور هاند سوب ميسلار جوز هند 520 مل  جديد غطاء</t>
  </si>
  <si>
    <t>كير اند مور هاند سوب ميسلار عود 520 مل  جديد غطاء</t>
  </si>
  <si>
    <t>ايلي بابلي شاور جل فراشات الربيع 800 مل</t>
  </si>
  <si>
    <t>ايلي بابلي شاور جل تين وكريمة 800 مل</t>
  </si>
  <si>
    <t>ايلي بابلي شاور جل ميلكي بيرل 800 مل</t>
  </si>
  <si>
    <t>ايلي بابلي شاور جل مشمش وخوخ  800 مل</t>
  </si>
  <si>
    <t>فومز شاور 300مل هارموني</t>
  </si>
  <si>
    <t>Foamz</t>
  </si>
  <si>
    <t xml:space="preserve">فومز شاور 300مل  جوي اصفر </t>
  </si>
  <si>
    <t>فومز شاور 300 مل سيرينتي</t>
  </si>
  <si>
    <t>فومز شاور 300مل باشون احمر</t>
  </si>
  <si>
    <t xml:space="preserve">  جيني بلوم هاند سوب انتعاش التوت 520 مل</t>
  </si>
  <si>
    <t>Genny Bloom</t>
  </si>
  <si>
    <t xml:space="preserve">  جيني بلوم هاند سوب فانيليا 520 مل</t>
  </si>
  <si>
    <t xml:space="preserve">  جيني بلوم هاند سوب خوخ 520 مل</t>
  </si>
  <si>
    <t xml:space="preserve">  جيني بلوم هاند سوب جوز هند 520 مل</t>
  </si>
  <si>
    <t xml:space="preserve">  جيني بلوم شاور جل  باباي 500 مل</t>
  </si>
  <si>
    <t xml:space="preserve">  جيني بلوم شاور جل توت 500 مل</t>
  </si>
  <si>
    <t xml:space="preserve">  جيني بلوم شاور جل فراوله 500 مل</t>
  </si>
  <si>
    <t>كير اند مور شامبو 1 لتر بالصبار وجوز الهند تصدير</t>
  </si>
  <si>
    <t>كير اند مور شامبو 1 لتر كيراتين وبروتين تصدير</t>
  </si>
  <si>
    <t>كير اند مور شامبو 1 لتر رمان وبروتين تصدير</t>
  </si>
  <si>
    <t>كير اند مور بلسم كيراتين وبروتين 1000 مل تصدير</t>
  </si>
  <si>
    <t>كير اند مور بلسم رمان وبروتين 1000 مل تصدير</t>
  </si>
  <si>
    <t>كير اند مور حمام كريم كيراتين و بروتين 1 لتر تصدير</t>
  </si>
  <si>
    <t>كير بلاس بلسم رمان وبروتين 1 لتر </t>
  </si>
  <si>
    <t>كير بلاس بلسم كيراتين وبروتين 1 لتر </t>
  </si>
  <si>
    <t>كير بلاس شامبو بالصبار وجوز الهند زجاجة سوداء 1 لتر</t>
  </si>
  <si>
    <t>كير بلاس حمام كريم رمان وبروتين 1000 مل</t>
  </si>
  <si>
    <t>كير بلاس حمام كريم كيراتين وبروتين 1000 مل</t>
  </si>
  <si>
    <t>ايلي بابلي شاور جل فراشات الربيع 1 لتر</t>
  </si>
  <si>
    <t>ايلي بابلي شاور جل تين وكريمة  1 لتر</t>
  </si>
  <si>
    <t>ايلي بابلي شاور جل ميلكي بيرل  1 لتر</t>
  </si>
  <si>
    <t>ايلي بابلي شاور جل مشمش وخوخ  1 لتر</t>
  </si>
  <si>
    <t>شاور جيل عسل ولبن  1 لتر ( مترو ماركت  )</t>
  </si>
  <si>
    <t xml:space="preserve">تريو حمام كريم زيتون 1 لتر تصدير </t>
  </si>
  <si>
    <t xml:space="preserve">تريو حمام كريم الحبة السوداء 1 لتر </t>
  </si>
  <si>
    <t xml:space="preserve">تريو حمام كريم الثوم 1 لتر تصدير </t>
  </si>
  <si>
    <t xml:space="preserve">تريو شامبو الحبة السوداء 1 لتر تصدير </t>
  </si>
  <si>
    <t>MC</t>
  </si>
  <si>
    <t>Total actual mins</t>
  </si>
  <si>
    <t>Bulk delay</t>
  </si>
  <si>
    <t>PM defect</t>
  </si>
  <si>
    <t>Bulk defect</t>
  </si>
  <si>
    <t>No stock
(Planning)</t>
  </si>
  <si>
    <t>WH delay</t>
  </si>
  <si>
    <t>MC Weight issue</t>
  </si>
  <si>
    <t>QC approve delay</t>
  </si>
  <si>
    <t>Pre-work delay</t>
  </si>
  <si>
    <t>Total</t>
  </si>
  <si>
    <t>Stoppages %</t>
  </si>
  <si>
    <t>Cream 2</t>
  </si>
  <si>
    <t>6 Nozzole</t>
  </si>
  <si>
    <t>عبوات (مورد)</t>
  </si>
  <si>
    <t>عبوات (تشغيل)</t>
  </si>
  <si>
    <t>اعطال التعقيم</t>
  </si>
  <si>
    <t>مشكلة فى صرف الاصناف</t>
  </si>
  <si>
    <t>مدة الوردية بالساعة</t>
  </si>
  <si>
    <t>سرعة الماكينة المحسوبة</t>
  </si>
  <si>
    <t>Vol</t>
  </si>
  <si>
    <t>regular</t>
  </si>
  <si>
    <t>Spire</t>
  </si>
  <si>
    <t>اسبير رول اون  الوفيرا 60 مل (استاند 2 قطعه)</t>
  </si>
  <si>
    <t>اسبير رول اون بابايا 60 مل (استاند 2 قطعه)</t>
  </si>
  <si>
    <t>اسبير رول اون  شيري 60 مل (استاند 2 قطعه)</t>
  </si>
  <si>
    <t>اسبير رول اون بابايا 60 مل</t>
  </si>
  <si>
    <t>اسبير رول اون  الوفيرا 60 مل</t>
  </si>
  <si>
    <t>اسبير رول اون  شيري 60 مل</t>
  </si>
  <si>
    <t>سول اند مور بادي باتر فراوله 150 مل</t>
  </si>
  <si>
    <t>سول اند مور بادي باتر بابلي جم 150 مل</t>
  </si>
  <si>
    <t>export</t>
  </si>
  <si>
    <t>كير اند مور مرطب شفاه فراولة 4 جم (فاكيوم)</t>
  </si>
  <si>
    <t>كير اند مور مرطب شفاه روز 4 جم (فاكيوم)</t>
  </si>
  <si>
    <t>كير اند مور مرطب شفاه جوز هند 4 جم (فاكيوم)</t>
  </si>
  <si>
    <t>كير اند مور مرطب شفاه اوريجينال 4 جم (فاكيوم)</t>
  </si>
  <si>
    <t>كير اند مور زبدة شفاه فراولة 20مل (فاكيوم)</t>
  </si>
  <si>
    <t>كير اند مور زبدة شفاه اوريجينال 20مل (فاكيوم)</t>
  </si>
  <si>
    <t>كير اند مور زبدة شفاه جوز هند 20مل (فاكيوم)</t>
  </si>
  <si>
    <t>كير اند مور زبدة شفاه روز 20مل (فاكيوم)</t>
  </si>
  <si>
    <t>فيبكس كلاسيك 10 جم الشكل الجديد</t>
  </si>
  <si>
    <t>فيبكس رجالي 10 جم الشكل الجديد</t>
  </si>
  <si>
    <t>فيبكس حريمي 10 جم الشكل الجديد</t>
  </si>
  <si>
    <t>Dry oil</t>
  </si>
  <si>
    <t>Braes Dry Oil Glazed Peach bottle+Dropper 50ml</t>
  </si>
  <si>
    <t>Braes Dry Oil Watermelon Sorbet bottle+Dropper 50ml</t>
  </si>
  <si>
    <t>Breas Dry Oil Tropical Mango&amp;Peach 50 ml</t>
  </si>
  <si>
    <t>Braes Dry Oil Glazed Peach bottle+Dropper 20ml</t>
  </si>
  <si>
    <t>Braes Dry Oil Watermelon Sorbet bottle+Dropper 20ml</t>
  </si>
  <si>
    <t>Breas Dry Oil Tropical Mango&amp;Peach 20 ml</t>
  </si>
  <si>
    <t>Hair Serum</t>
  </si>
  <si>
    <t>50مل E براس سيرم للشعر بفيتامين</t>
  </si>
  <si>
    <t>30مل E براس سيرم للشعر بفيتامين</t>
  </si>
  <si>
    <t>فيبكس كلاسيك 15 جم الشكل الجديد</t>
  </si>
  <si>
    <t>فيبكس  رجالي 15 جم الشكل الجديد</t>
  </si>
  <si>
    <t>فيبكس  حريمي 15 جم الشكل الجديد</t>
  </si>
  <si>
    <t>فيبكس كلاسيك 25 جم الشكل الجديد</t>
  </si>
  <si>
    <t>فيبكس رجالي 25 جم الشكل الجديد</t>
  </si>
  <si>
    <t>فيبكس حريمي 25 جم الشكل الجديد</t>
  </si>
  <si>
    <t>فيبكس 25 مل ماكس أزرق تصدير متنوع</t>
  </si>
  <si>
    <t xml:space="preserve">فيبكس ماكس فوشيا  25 مل تصدير متنوع </t>
  </si>
  <si>
    <t xml:space="preserve">مان زون رول أون اينيرجي بووست - حماية 72 ساعة 50 مل </t>
  </si>
  <si>
    <t xml:space="preserve">مان زون رول أون هيدرو بووست - حماية 72 ساعة 50 مل </t>
  </si>
  <si>
    <t xml:space="preserve">مان زون رول أون باور بووست - حماية 72 ساعة 50 مل </t>
  </si>
  <si>
    <t>نوت غسول للوجه بالهايلورنيك أسيد 200 مل</t>
  </si>
  <si>
    <t>Lip Mask</t>
  </si>
  <si>
    <t>بابلز ليب ماسك كراميل 20 جرام</t>
  </si>
  <si>
    <t xml:space="preserve">الوقوف على العبوات المجهزة </t>
  </si>
  <si>
    <t>مشكله في زراع الطبه</t>
  </si>
  <si>
    <t xml:space="preserve">مشكله في طلمبه السحب </t>
  </si>
  <si>
    <t>لم خامة من الهوبر</t>
  </si>
  <si>
    <t>لم الخامة من الهوبر</t>
  </si>
  <si>
    <t>حريق قلاب الهوبر</t>
  </si>
  <si>
    <t>TECHNO</t>
  </si>
  <si>
    <t>PERFUME</t>
  </si>
  <si>
    <t xml:space="preserve">السبت </t>
  </si>
  <si>
    <t>مشكلة فى المكبس/ذراع العبوات</t>
  </si>
  <si>
    <t>طبة</t>
  </si>
  <si>
    <t>تغيير التانك/باتشة</t>
  </si>
  <si>
    <t>shift</t>
  </si>
  <si>
    <t>زوريا  كريم مقشر للوجه 100مل</t>
  </si>
  <si>
    <t>زوريا  هاند كريم 100مل</t>
  </si>
  <si>
    <t xml:space="preserve">zuriya facial cleanser 150ml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</si>
</sst>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dddd"/>
    <numFmt numFmtId="168" formatCode="0.0"/>
    <numFmt numFmtId="169" formatCode="_-* #,##0_-;_-* #,##0\-;_-* &quot;-&quot;??_-;_-@_-"/>
    <numFmt numFmtId="170" formatCode="_-* #,##0.00_-;_-* #,##0.00\-;_-* &quot;-&quot;??_-;_-@_-"/>
  </numFmts>
  <fonts count="72" x14ac:knownFonts="1">
    <font>
      <sz val="11"/>
      <color theme="1"/>
      <name val="Calibri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Trebuchet MS"/>
      <family val="2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</font>
    <font>
      <b/>
      <sz val="14"/>
      <name val="Trebuchet MS"/>
      <family val="2"/>
    </font>
    <font>
      <sz val="16"/>
      <color theme="1"/>
      <name val="Calibri"/>
      <family val="2"/>
      <scheme val="minor"/>
    </font>
    <font>
      <b/>
      <sz val="16"/>
      <color theme="1" tint="4.9989318521683403E-2"/>
      <name val="Calibri"/>
      <family val="2"/>
    </font>
    <font>
      <b/>
      <sz val="16"/>
      <name val="Trebuchet MS"/>
      <family val="2"/>
    </font>
    <font>
      <b/>
      <i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 tint="4.9989318521683403E-2"/>
      <name val="Calibri"/>
      <family val="2"/>
    </font>
    <font>
      <b/>
      <sz val="18"/>
      <name val="Trebuchet MS"/>
      <family val="2"/>
    </font>
    <font>
      <b/>
      <sz val="15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theme="8" tint="0.59999389629810485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3" tint="0.39982299264503923"/>
        <bgColor theme="8" tint="0.59999389629810485"/>
      </patternFill>
    </fill>
    <fill>
      <patternFill patternType="solid">
        <fgColor theme="0"/>
        <bgColor theme="8" tint="0.59999389629810485"/>
      </patternFill>
    </fill>
  </fills>
  <borders count="6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8075">
    <xf numFmtId="0" fontId="0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7" fillId="3" borderId="0" applyNumberFormat="0" applyBorder="0" applyAlignment="0" applyProtection="0"/>
    <xf numFmtId="0" fontId="18" fillId="5" borderId="0" applyNumberFormat="0" applyBorder="0" applyAlignment="0" applyProtection="0"/>
    <xf numFmtId="0" fontId="18" fillId="4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4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1" fillId="0" borderId="0">
      <protection locked="0"/>
    </xf>
    <xf numFmtId="43" fontId="51" fillId="0" borderId="0">
      <protection locked="0"/>
    </xf>
    <xf numFmtId="43" fontId="51" fillId="0" borderId="0">
      <protection locked="0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1" fillId="0" borderId="0">
      <protection locked="0"/>
    </xf>
    <xf numFmtId="43" fontId="51" fillId="0" borderId="0">
      <protection locked="0"/>
    </xf>
    <xf numFmtId="43" fontId="51" fillId="0" borderId="0">
      <protection locked="0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1" fillId="0" borderId="0">
      <protection locked="0"/>
    </xf>
    <xf numFmtId="9" fontId="51" fillId="0" borderId="0">
      <protection locked="0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170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4" fillId="0" borderId="0">
      <protection locked="0"/>
    </xf>
    <xf numFmtId="43" fontId="54" fillId="0" borderId="0">
      <protection locked="0"/>
    </xf>
    <xf numFmtId="43" fontId="54" fillId="0" borderId="0">
      <protection locked="0"/>
    </xf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4" fillId="0" borderId="0">
      <protection locked="0"/>
    </xf>
    <xf numFmtId="43" fontId="54" fillId="0" borderId="0">
      <protection locked="0"/>
    </xf>
    <xf numFmtId="43" fontId="54" fillId="0" borderId="0">
      <protection locked="0"/>
    </xf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5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5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5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4" fillId="0" borderId="0">
      <protection locked="0"/>
    </xf>
    <xf numFmtId="9" fontId="54" fillId="0" borderId="0">
      <protection locked="0"/>
    </xf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/>
    <xf numFmtId="0" fontId="3" fillId="0" borderId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6">
    <xf numFmtId="0" fontId="0" fillId="0" borderId="0" xfId="0"/>
    <xf numFmtId="0" fontId="0" fillId="2" borderId="0" xfId="0" applyFill="1"/>
    <xf numFmtId="0" fontId="15" fillId="3" borderId="1" xfId="3" applyFont="1" applyBorder="1" applyAlignment="1"/>
    <xf numFmtId="0" fontId="15" fillId="3" borderId="2" xfId="3" applyFont="1" applyBorder="1" applyAlignment="1"/>
    <xf numFmtId="16" fontId="15" fillId="4" borderId="3" xfId="3" applyNumberFormat="1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 wrapText="1"/>
    </xf>
    <xf numFmtId="0" fontId="16" fillId="5" borderId="3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7" fillId="5" borderId="3" xfId="4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4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5" fillId="6" borderId="1" xfId="4" applyFont="1" applyFill="1" applyBorder="1" applyAlignment="1">
      <alignment wrapText="1"/>
    </xf>
    <xf numFmtId="0" fontId="18" fillId="4" borderId="3" xfId="4" applyFill="1" applyBorder="1" applyAlignment="1">
      <alignment horizontal="center"/>
    </xf>
    <xf numFmtId="0" fontId="18" fillId="6" borderId="3" xfId="4" applyFill="1" applyBorder="1" applyAlignment="1">
      <alignment horizontal="center"/>
    </xf>
    <xf numFmtId="0" fontId="15" fillId="0" borderId="1" xfId="0" applyFont="1" applyBorder="1"/>
    <xf numFmtId="0" fontId="19" fillId="6" borderId="1" xfId="4" applyFont="1" applyFill="1" applyBorder="1" applyAlignment="1">
      <alignment horizontal="center" vertical="center" wrapText="1"/>
    </xf>
    <xf numFmtId="0" fontId="20" fillId="0" borderId="1" xfId="0" applyFont="1" applyBorder="1" applyAlignment="1">
      <alignment wrapText="1"/>
    </xf>
    <xf numFmtId="0" fontId="21" fillId="7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15" fillId="8" borderId="3" xfId="0" applyFont="1" applyFill="1" applyBorder="1" applyAlignment="1">
      <alignment horizontal="right"/>
    </xf>
    <xf numFmtId="0" fontId="20" fillId="0" borderId="3" xfId="0" applyFont="1" applyBorder="1" applyAlignment="1">
      <alignment wrapText="1"/>
    </xf>
    <xf numFmtId="0" fontId="15" fillId="8" borderId="1" xfId="0" applyFont="1" applyFill="1" applyBorder="1" applyAlignment="1">
      <alignment horizontal="right"/>
    </xf>
    <xf numFmtId="1" fontId="0" fillId="0" borderId="0" xfId="0" applyNumberFormat="1"/>
    <xf numFmtId="0" fontId="0" fillId="0" borderId="3" xfId="0" applyBorder="1" applyAlignment="1">
      <alignment horizontal="center"/>
    </xf>
    <xf numFmtId="1" fontId="19" fillId="0" borderId="3" xfId="0" applyNumberFormat="1" applyFont="1" applyBorder="1" applyAlignment="1">
      <alignment horizontal="center"/>
    </xf>
    <xf numFmtId="0" fontId="19" fillId="0" borderId="0" xfId="0" applyFont="1"/>
    <xf numFmtId="0" fontId="19" fillId="0" borderId="3" xfId="0" applyFont="1" applyBorder="1" applyAlignment="1">
      <alignment horizontal="center"/>
    </xf>
    <xf numFmtId="0" fontId="15" fillId="0" borderId="3" xfId="0" applyFont="1" applyBorder="1"/>
    <xf numFmtId="0" fontId="15" fillId="9" borderId="1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19" fillId="0" borderId="3" xfId="0" applyFont="1" applyBorder="1" applyAlignment="1">
      <alignment horizontal="center" wrapText="1"/>
    </xf>
    <xf numFmtId="0" fontId="19" fillId="11" borderId="3" xfId="0" applyFont="1" applyFill="1" applyBorder="1" applyAlignment="1">
      <alignment horizontal="center" wrapText="1"/>
    </xf>
    <xf numFmtId="0" fontId="0" fillId="12" borderId="3" xfId="0" applyFill="1" applyBorder="1" applyAlignment="1">
      <alignment horizontal="center"/>
    </xf>
    <xf numFmtId="0" fontId="15" fillId="0" borderId="3" xfId="4" applyFont="1" applyFill="1" applyBorder="1" applyAlignment="1">
      <alignment horizontal="center" wrapText="1"/>
    </xf>
    <xf numFmtId="0" fontId="15" fillId="5" borderId="3" xfId="4" applyFont="1" applyBorder="1" applyAlignment="1">
      <alignment horizontal="center" wrapText="1"/>
    </xf>
    <xf numFmtId="0" fontId="18" fillId="5" borderId="3" xfId="4" applyBorder="1" applyAlignment="1">
      <alignment horizontal="center"/>
    </xf>
    <xf numFmtId="0" fontId="15" fillId="0" borderId="3" xfId="0" applyFont="1" applyBorder="1" applyAlignment="1">
      <alignment wrapText="1"/>
    </xf>
    <xf numFmtId="0" fontId="15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15" fillId="9" borderId="1" xfId="0" applyFont="1" applyFill="1" applyBorder="1" applyAlignment="1">
      <alignment horizontal="center" wrapText="1"/>
    </xf>
    <xf numFmtId="0" fontId="22" fillId="0" borderId="3" xfId="0" applyFont="1" applyBorder="1" applyAlignment="1">
      <alignment wrapText="1"/>
    </xf>
    <xf numFmtId="0" fontId="22" fillId="0" borderId="1" xfId="0" applyFont="1" applyBorder="1" applyAlignment="1">
      <alignment wrapText="1"/>
    </xf>
    <xf numFmtId="10" fontId="0" fillId="0" borderId="3" xfId="2" applyNumberFormat="1" applyFont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2" borderId="0" xfId="0" applyFont="1" applyFill="1"/>
    <xf numFmtId="164" fontId="19" fillId="13" borderId="3" xfId="2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 wrapText="1"/>
    </xf>
    <xf numFmtId="0" fontId="24" fillId="14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9" fillId="15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164" fontId="19" fillId="15" borderId="3" xfId="2" applyNumberFormat="1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164" fontId="21" fillId="1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1" xfId="3" applyFont="1" applyBorder="1" applyAlignment="1">
      <alignment horizontal="center" vertical="center"/>
    </xf>
    <xf numFmtId="16" fontId="15" fillId="4" borderId="7" xfId="3" applyNumberFormat="1" applyFont="1" applyFill="1" applyBorder="1" applyAlignment="1">
      <alignment horizontal="center"/>
    </xf>
    <xf numFmtId="16" fontId="15" fillId="4" borderId="1" xfId="3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4" borderId="7" xfId="4" applyFill="1" applyBorder="1" applyAlignment="1">
      <alignment horizontal="center"/>
    </xf>
    <xf numFmtId="0" fontId="18" fillId="4" borderId="1" xfId="4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20" fillId="0" borderId="1" xfId="0" applyNumberFormat="1" applyFont="1" applyBorder="1" applyAlignment="1">
      <alignment wrapText="1"/>
    </xf>
    <xf numFmtId="0" fontId="0" fillId="8" borderId="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6" fillId="16" borderId="4" xfId="11" applyFont="1" applyFill="1" applyBorder="1" applyAlignment="1">
      <alignment horizontal="center" vertical="center" wrapText="1" shrinkToFit="1"/>
    </xf>
    <xf numFmtId="16" fontId="15" fillId="4" borderId="10" xfId="3" applyNumberFormat="1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8" fillId="4" borderId="10" xfId="4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8" fillId="5" borderId="7" xfId="4" applyBorder="1" applyAlignment="1">
      <alignment horizontal="center"/>
    </xf>
    <xf numFmtId="0" fontId="18" fillId="5" borderId="1" xfId="4" applyBorder="1" applyAlignment="1">
      <alignment horizontal="center"/>
    </xf>
    <xf numFmtId="1" fontId="0" fillId="9" borderId="7" xfId="0" applyNumberForma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1" fontId="0" fillId="9" borderId="3" xfId="0" applyNumberFormat="1" applyFill="1" applyBorder="1" applyAlignment="1">
      <alignment horizontal="center"/>
    </xf>
    <xf numFmtId="164" fontId="0" fillId="0" borderId="7" xfId="2" applyNumberFormat="1" applyFont="1" applyBorder="1" applyAlignment="1">
      <alignment horizontal="center"/>
    </xf>
    <xf numFmtId="164" fontId="0" fillId="0" borderId="11" xfId="2" applyNumberFormat="1" applyFont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0" fontId="19" fillId="17" borderId="3" xfId="2" applyNumberFormat="1" applyFont="1" applyFill="1" applyBorder="1" applyAlignment="1">
      <alignment horizontal="center"/>
    </xf>
    <xf numFmtId="0" fontId="19" fillId="17" borderId="3" xfId="2" applyNumberFormat="1" applyFont="1" applyFill="1" applyBorder="1" applyAlignment="1">
      <alignment horizontal="center"/>
    </xf>
    <xf numFmtId="0" fontId="18" fillId="0" borderId="2" xfId="11" applyBorder="1" applyAlignment="1">
      <alignment horizontal="left" vertical="center"/>
    </xf>
    <xf numFmtId="0" fontId="0" fillId="12" borderId="2" xfId="0" applyFill="1" applyBorder="1" applyAlignment="1">
      <alignment horizontal="left"/>
    </xf>
    <xf numFmtId="0" fontId="0" fillId="0" borderId="17" xfId="0" applyBorder="1" applyAlignment="1">
      <alignment horizontal="left"/>
    </xf>
    <xf numFmtId="165" fontId="0" fillId="0" borderId="0" xfId="1" applyNumberFormat="1" applyFont="1" applyAlignment="1">
      <alignment horizontal="center"/>
    </xf>
    <xf numFmtId="0" fontId="31" fillId="20" borderId="5" xfId="1" applyNumberFormat="1" applyFont="1" applyFill="1" applyBorder="1" applyAlignment="1">
      <alignment horizontal="center" vertical="center"/>
    </xf>
    <xf numFmtId="1" fontId="32" fillId="2" borderId="23" xfId="0" applyNumberFormat="1" applyFont="1" applyFill="1" applyBorder="1" applyAlignment="1">
      <alignment horizontal="center" vertical="center"/>
    </xf>
    <xf numFmtId="1" fontId="33" fillId="2" borderId="23" xfId="0" applyNumberFormat="1" applyFont="1" applyFill="1" applyBorder="1" applyAlignment="1">
      <alignment horizontal="center" vertical="center"/>
    </xf>
    <xf numFmtId="0" fontId="34" fillId="12" borderId="23" xfId="0" applyFont="1" applyFill="1" applyBorder="1" applyAlignment="1">
      <alignment horizontal="left" vertical="center"/>
    </xf>
    <xf numFmtId="165" fontId="35" fillId="0" borderId="6" xfId="1" applyNumberFormat="1" applyFont="1" applyFill="1" applyBorder="1" applyAlignment="1">
      <alignment horizontal="center" vertical="center"/>
    </xf>
    <xf numFmtId="165" fontId="28" fillId="0" borderId="25" xfId="1" applyNumberFormat="1" applyFont="1" applyFill="1" applyBorder="1" applyAlignment="1">
      <alignment horizontal="center" vertical="center"/>
    </xf>
    <xf numFmtId="165" fontId="28" fillId="0" borderId="23" xfId="1" applyNumberFormat="1" applyFont="1" applyFill="1" applyBorder="1" applyAlignment="1">
      <alignment horizontal="center" vertical="center"/>
    </xf>
    <xf numFmtId="0" fontId="31" fillId="20" borderId="7" xfId="1" applyNumberFormat="1" applyFont="1" applyFill="1" applyBorder="1" applyAlignment="1">
      <alignment horizontal="center" vertical="center"/>
    </xf>
    <xf numFmtId="1" fontId="32" fillId="2" borderId="3" xfId="0" applyNumberFormat="1" applyFont="1" applyFill="1" applyBorder="1" applyAlignment="1">
      <alignment horizontal="center" vertical="center"/>
    </xf>
    <xf numFmtId="1" fontId="33" fillId="2" borderId="3" xfId="0" applyNumberFormat="1" applyFont="1" applyFill="1" applyBorder="1" applyAlignment="1">
      <alignment horizontal="center" vertical="center"/>
    </xf>
    <xf numFmtId="0" fontId="34" fillId="0" borderId="3" xfId="0" applyFont="1" applyBorder="1" applyAlignment="1">
      <alignment horizontal="left" vertical="center"/>
    </xf>
    <xf numFmtId="165" fontId="35" fillId="0" borderId="1" xfId="1" applyNumberFormat="1" applyFont="1" applyFill="1" applyBorder="1" applyAlignment="1">
      <alignment horizontal="center" vertical="center"/>
    </xf>
    <xf numFmtId="165" fontId="28" fillId="0" borderId="2" xfId="1" applyNumberFormat="1" applyFont="1" applyFill="1" applyBorder="1" applyAlignment="1">
      <alignment horizontal="center" vertical="center"/>
    </xf>
    <xf numFmtId="165" fontId="28" fillId="0" borderId="3" xfId="1" applyNumberFormat="1" applyFont="1" applyFill="1" applyBorder="1" applyAlignment="1">
      <alignment horizontal="center" vertical="center"/>
    </xf>
    <xf numFmtId="0" fontId="31" fillId="20" borderId="26" xfId="1" applyNumberFormat="1" applyFont="1" applyFill="1" applyBorder="1" applyAlignment="1">
      <alignment horizontal="center" vertical="center"/>
    </xf>
    <xf numFmtId="1" fontId="32" fillId="2" borderId="27" xfId="0" applyNumberFormat="1" applyFont="1" applyFill="1" applyBorder="1" applyAlignment="1">
      <alignment horizontal="center" vertical="center"/>
    </xf>
    <xf numFmtId="1" fontId="33" fillId="2" borderId="27" xfId="0" applyNumberFormat="1" applyFont="1" applyFill="1" applyBorder="1" applyAlignment="1">
      <alignment horizontal="center" vertical="center"/>
    </xf>
    <xf numFmtId="0" fontId="34" fillId="0" borderId="27" xfId="0" applyFont="1" applyBorder="1" applyAlignment="1">
      <alignment horizontal="left" vertical="center"/>
    </xf>
    <xf numFmtId="165" fontId="35" fillId="0" borderId="28" xfId="1" applyNumberFormat="1" applyFont="1" applyFill="1" applyBorder="1" applyAlignment="1">
      <alignment horizontal="center" vertical="center"/>
    </xf>
    <xf numFmtId="165" fontId="28" fillId="0" borderId="30" xfId="1" applyNumberFormat="1" applyFont="1" applyFill="1" applyBorder="1" applyAlignment="1">
      <alignment horizontal="center" vertical="center"/>
    </xf>
    <xf numFmtId="165" fontId="28" fillId="0" borderId="27" xfId="1" applyNumberFormat="1" applyFont="1" applyFill="1" applyBorder="1" applyAlignment="1">
      <alignment horizontal="center" vertical="center"/>
    </xf>
    <xf numFmtId="0" fontId="31" fillId="20" borderId="11" xfId="1" applyNumberFormat="1" applyFont="1" applyFill="1" applyBorder="1" applyAlignment="1">
      <alignment horizontal="center" vertical="center"/>
    </xf>
    <xf numFmtId="1" fontId="32" fillId="2" borderId="32" xfId="0" applyNumberFormat="1" applyFont="1" applyFill="1" applyBorder="1" applyAlignment="1">
      <alignment horizontal="center" vertical="center"/>
    </xf>
    <xf numFmtId="1" fontId="33" fillId="2" borderId="32" xfId="0" applyNumberFormat="1" applyFont="1" applyFill="1" applyBorder="1" applyAlignment="1">
      <alignment horizontal="center" vertical="center"/>
    </xf>
    <xf numFmtId="0" fontId="34" fillId="0" borderId="32" xfId="0" applyFont="1" applyBorder="1" applyAlignment="1">
      <alignment horizontal="left" vertical="center"/>
    </xf>
    <xf numFmtId="165" fontId="35" fillId="0" borderId="12" xfId="1" applyNumberFormat="1" applyFont="1" applyFill="1" applyBorder="1" applyAlignment="1">
      <alignment horizontal="center" vertical="center"/>
    </xf>
    <xf numFmtId="165" fontId="28" fillId="0" borderId="33" xfId="1" applyNumberFormat="1" applyFont="1" applyFill="1" applyBorder="1" applyAlignment="1">
      <alignment horizontal="center" vertical="center"/>
    </xf>
    <xf numFmtId="165" fontId="28" fillId="0" borderId="32" xfId="1" applyNumberFormat="1" applyFont="1" applyFill="1" applyBorder="1" applyAlignment="1">
      <alignment horizontal="center" vertical="center"/>
    </xf>
    <xf numFmtId="0" fontId="31" fillId="20" borderId="34" xfId="1" applyNumberFormat="1" applyFont="1" applyFill="1" applyBorder="1" applyAlignment="1">
      <alignment horizontal="center" vertical="center"/>
    </xf>
    <xf numFmtId="1" fontId="32" fillId="2" borderId="35" xfId="0" applyNumberFormat="1" applyFont="1" applyFill="1" applyBorder="1" applyAlignment="1">
      <alignment horizontal="center" vertical="center"/>
    </xf>
    <xf numFmtId="1" fontId="33" fillId="0" borderId="35" xfId="0" applyNumberFormat="1" applyFont="1" applyBorder="1" applyAlignment="1">
      <alignment horizontal="center" vertical="center"/>
    </xf>
    <xf numFmtId="0" fontId="34" fillId="12" borderId="35" xfId="0" applyFont="1" applyFill="1" applyBorder="1" applyAlignment="1">
      <alignment horizontal="left" vertical="center"/>
    </xf>
    <xf numFmtId="165" fontId="35" fillId="0" borderId="36" xfId="1" applyNumberFormat="1" applyFont="1" applyFill="1" applyBorder="1" applyAlignment="1">
      <alignment horizontal="center" vertical="center"/>
    </xf>
    <xf numFmtId="165" fontId="28" fillId="0" borderId="38" xfId="1" applyNumberFormat="1" applyFont="1" applyFill="1" applyBorder="1" applyAlignment="1">
      <alignment horizontal="center" vertical="center"/>
    </xf>
    <xf numFmtId="165" fontId="28" fillId="0" borderId="35" xfId="1" applyNumberFormat="1" applyFont="1" applyFill="1" applyBorder="1" applyAlignment="1">
      <alignment horizontal="center" vertical="center"/>
    </xf>
    <xf numFmtId="1" fontId="33" fillId="0" borderId="3" xfId="0" applyNumberFormat="1" applyFont="1" applyBorder="1" applyAlignment="1">
      <alignment horizontal="center" vertical="center"/>
    </xf>
    <xf numFmtId="0" fontId="34" fillId="12" borderId="3" xfId="0" applyFont="1" applyFill="1" applyBorder="1" applyAlignment="1">
      <alignment horizontal="left" vertical="center"/>
    </xf>
    <xf numFmtId="1" fontId="33" fillId="0" borderId="23" xfId="0" applyNumberFormat="1" applyFont="1" applyBorder="1" applyAlignment="1">
      <alignment horizontal="center" vertical="center"/>
    </xf>
    <xf numFmtId="0" fontId="36" fillId="12" borderId="23" xfId="0" applyFont="1" applyFill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1" fontId="33" fillId="0" borderId="27" xfId="0" applyNumberFormat="1" applyFont="1" applyBorder="1" applyAlignment="1">
      <alignment horizontal="center" vertical="center"/>
    </xf>
    <xf numFmtId="0" fontId="36" fillId="0" borderId="27" xfId="0" applyFont="1" applyBorder="1" applyAlignment="1">
      <alignment horizontal="left" vertical="center"/>
    </xf>
    <xf numFmtId="0" fontId="36" fillId="12" borderId="3" xfId="0" applyFont="1" applyFill="1" applyBorder="1" applyAlignment="1">
      <alignment horizontal="left" vertical="center"/>
    </xf>
    <xf numFmtId="1" fontId="33" fillId="0" borderId="32" xfId="0" applyNumberFormat="1" applyFon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4" fillId="12" borderId="32" xfId="0" applyFont="1" applyFill="1" applyBorder="1" applyAlignment="1">
      <alignment horizontal="left" vertical="center"/>
    </xf>
    <xf numFmtId="0" fontId="31" fillId="20" borderId="15" xfId="1" applyNumberFormat="1" applyFont="1" applyFill="1" applyBorder="1" applyAlignment="1">
      <alignment horizontal="center" vertical="center"/>
    </xf>
    <xf numFmtId="1" fontId="32" fillId="2" borderId="14" xfId="0" applyNumberFormat="1" applyFont="1" applyFill="1" applyBorder="1" applyAlignment="1">
      <alignment horizontal="center" vertical="center"/>
    </xf>
    <xf numFmtId="1" fontId="33" fillId="0" borderId="14" xfId="0" applyNumberFormat="1" applyFont="1" applyBorder="1" applyAlignment="1">
      <alignment horizontal="center" vertical="center"/>
    </xf>
    <xf numFmtId="0" fontId="34" fillId="11" borderId="14" xfId="0" applyFont="1" applyFill="1" applyBorder="1" applyAlignment="1">
      <alignment horizontal="left" vertical="center"/>
    </xf>
    <xf numFmtId="165" fontId="35" fillId="0" borderId="41" xfId="1" applyNumberFormat="1" applyFont="1" applyFill="1" applyBorder="1" applyAlignment="1">
      <alignment horizontal="center" vertical="center"/>
    </xf>
    <xf numFmtId="165" fontId="28" fillId="28" borderId="42" xfId="1" applyNumberFormat="1" applyFont="1" applyFill="1" applyBorder="1" applyAlignment="1">
      <alignment horizontal="center" vertical="center" wrapText="1"/>
    </xf>
    <xf numFmtId="165" fontId="28" fillId="0" borderId="43" xfId="1" applyNumberFormat="1" applyFont="1" applyFill="1" applyBorder="1" applyAlignment="1">
      <alignment horizontal="center" vertical="center"/>
    </xf>
    <xf numFmtId="165" fontId="28" fillId="0" borderId="14" xfId="1" applyNumberFormat="1" applyFont="1" applyFill="1" applyBorder="1" applyAlignment="1">
      <alignment horizontal="center" vertical="center"/>
    </xf>
    <xf numFmtId="0" fontId="34" fillId="0" borderId="14" xfId="0" applyFont="1" applyBorder="1" applyAlignment="1">
      <alignment horizontal="left" vertical="center"/>
    </xf>
    <xf numFmtId="165" fontId="34" fillId="29" borderId="42" xfId="1" applyNumberFormat="1" applyFont="1" applyFill="1" applyBorder="1" applyAlignment="1">
      <alignment vertical="center" wrapText="1"/>
    </xf>
    <xf numFmtId="166" fontId="35" fillId="0" borderId="36" xfId="1" applyNumberFormat="1" applyFont="1" applyFill="1" applyBorder="1" applyAlignment="1">
      <alignment horizontal="center" vertical="center"/>
    </xf>
    <xf numFmtId="166" fontId="35" fillId="0" borderId="12" xfId="1" applyNumberFormat="1" applyFont="1" applyFill="1" applyBorder="1" applyAlignment="1">
      <alignment horizontal="center" vertical="center"/>
    </xf>
    <xf numFmtId="0" fontId="0" fillId="12" borderId="0" xfId="0" applyFill="1"/>
    <xf numFmtId="0" fontId="37" fillId="32" borderId="25" xfId="0" applyFont="1" applyFill="1" applyBorder="1" applyAlignment="1">
      <alignment vertical="center"/>
    </xf>
    <xf numFmtId="167" fontId="31" fillId="12" borderId="3" xfId="0" applyNumberFormat="1" applyFont="1" applyFill="1" applyBorder="1" applyAlignment="1">
      <alignment horizontal="center"/>
    </xf>
    <xf numFmtId="167" fontId="31" fillId="32" borderId="3" xfId="0" applyNumberFormat="1" applyFont="1" applyFill="1" applyBorder="1" applyAlignment="1">
      <alignment horizontal="center"/>
    </xf>
    <xf numFmtId="16" fontId="38" fillId="12" borderId="3" xfId="0" applyNumberFormat="1" applyFont="1" applyFill="1" applyBorder="1" applyAlignment="1">
      <alignment horizontal="center" vertical="center"/>
    </xf>
    <xf numFmtId="16" fontId="38" fillId="32" borderId="3" xfId="0" applyNumberFormat="1" applyFont="1" applyFill="1" applyBorder="1" applyAlignment="1">
      <alignment horizontal="center" vertical="center"/>
    </xf>
    <xf numFmtId="16" fontId="38" fillId="12" borderId="27" xfId="0" applyNumberFormat="1" applyFont="1" applyFill="1" applyBorder="1" applyAlignment="1">
      <alignment horizontal="center" vertical="center"/>
    </xf>
    <xf numFmtId="16" fontId="38" fillId="32" borderId="27" xfId="0" applyNumberFormat="1" applyFont="1" applyFill="1" applyBorder="1" applyAlignment="1">
      <alignment horizontal="center" vertical="center"/>
    </xf>
    <xf numFmtId="165" fontId="39" fillId="0" borderId="23" xfId="1" applyNumberFormat="1" applyFont="1" applyFill="1" applyBorder="1" applyAlignment="1">
      <alignment horizontal="center" vertical="center"/>
    </xf>
    <xf numFmtId="165" fontId="28" fillId="12" borderId="23" xfId="1" applyNumberFormat="1" applyFont="1" applyFill="1" applyBorder="1" applyAlignment="1">
      <alignment horizontal="center" vertical="center"/>
    </xf>
    <xf numFmtId="165" fontId="28" fillId="21" borderId="23" xfId="1" applyNumberFormat="1" applyFont="1" applyFill="1" applyBorder="1" applyAlignment="1">
      <alignment horizontal="center" vertical="center"/>
    </xf>
    <xf numFmtId="165" fontId="39" fillId="0" borderId="3" xfId="1" applyNumberFormat="1" applyFont="1" applyFill="1" applyBorder="1" applyAlignment="1">
      <alignment horizontal="center" vertical="center"/>
    </xf>
    <xf numFmtId="165" fontId="28" fillId="12" borderId="3" xfId="1" applyNumberFormat="1" applyFont="1" applyFill="1" applyBorder="1" applyAlignment="1">
      <alignment horizontal="center" vertical="center"/>
    </xf>
    <xf numFmtId="165" fontId="28" fillId="21" borderId="3" xfId="1" applyNumberFormat="1" applyFont="1" applyFill="1" applyBorder="1" applyAlignment="1">
      <alignment horizontal="center" vertical="center"/>
    </xf>
    <xf numFmtId="165" fontId="39" fillId="0" borderId="27" xfId="1" applyNumberFormat="1" applyFont="1" applyFill="1" applyBorder="1" applyAlignment="1">
      <alignment horizontal="center" vertical="center"/>
    </xf>
    <xf numFmtId="165" fontId="28" fillId="12" borderId="27" xfId="1" applyNumberFormat="1" applyFont="1" applyFill="1" applyBorder="1" applyAlignment="1">
      <alignment horizontal="center" vertical="center"/>
    </xf>
    <xf numFmtId="165" fontId="28" fillId="21" borderId="27" xfId="1" applyNumberFormat="1" applyFont="1" applyFill="1" applyBorder="1" applyAlignment="1">
      <alignment horizontal="center" vertical="center"/>
    </xf>
    <xf numFmtId="165" fontId="28" fillId="22" borderId="23" xfId="1" applyNumberFormat="1" applyFont="1" applyFill="1" applyBorder="1" applyAlignment="1">
      <alignment horizontal="center" vertical="center"/>
    </xf>
    <xf numFmtId="165" fontId="28" fillId="22" borderId="27" xfId="1" applyNumberFormat="1" applyFont="1" applyFill="1" applyBorder="1" applyAlignment="1">
      <alignment horizontal="center" vertical="center"/>
    </xf>
    <xf numFmtId="165" fontId="28" fillId="23" borderId="23" xfId="1" applyNumberFormat="1" applyFont="1" applyFill="1" applyBorder="1" applyAlignment="1">
      <alignment horizontal="center" vertical="center"/>
    </xf>
    <xf numFmtId="165" fontId="28" fillId="0" borderId="6" xfId="1" applyNumberFormat="1" applyFont="1" applyFill="1" applyBorder="1" applyAlignment="1">
      <alignment horizontal="center" vertical="center"/>
    </xf>
    <xf numFmtId="165" fontId="28" fillId="23" borderId="3" xfId="1" applyNumberFormat="1" applyFont="1" applyFill="1" applyBorder="1"/>
    <xf numFmtId="165" fontId="28" fillId="0" borderId="1" xfId="1" applyNumberFormat="1" applyFont="1" applyFill="1" applyBorder="1" applyAlignment="1">
      <alignment horizontal="center" vertical="center"/>
    </xf>
    <xf numFmtId="165" fontId="39" fillId="0" borderId="32" xfId="1" applyNumberFormat="1" applyFont="1" applyFill="1" applyBorder="1" applyAlignment="1">
      <alignment horizontal="center" vertical="center"/>
    </xf>
    <xf numFmtId="165" fontId="28" fillId="12" borderId="32" xfId="1" applyNumberFormat="1" applyFont="1" applyFill="1" applyBorder="1" applyAlignment="1">
      <alignment horizontal="center" vertical="center"/>
    </xf>
    <xf numFmtId="165" fontId="28" fillId="23" borderId="32" xfId="1" applyNumberFormat="1" applyFont="1" applyFill="1" applyBorder="1" applyAlignment="1">
      <alignment horizontal="center" vertical="center"/>
    </xf>
    <xf numFmtId="165" fontId="28" fillId="0" borderId="12" xfId="1" applyNumberFormat="1" applyFont="1" applyFill="1" applyBorder="1" applyAlignment="1">
      <alignment horizontal="center" vertical="center"/>
    </xf>
    <xf numFmtId="165" fontId="39" fillId="0" borderId="35" xfId="1" applyNumberFormat="1" applyFont="1" applyFill="1" applyBorder="1" applyAlignment="1">
      <alignment horizontal="center" vertical="center"/>
    </xf>
    <xf numFmtId="165" fontId="28" fillId="12" borderId="35" xfId="1" applyNumberFormat="1" applyFont="1" applyFill="1" applyBorder="1"/>
    <xf numFmtId="165" fontId="28" fillId="21" borderId="35" xfId="1" applyNumberFormat="1" applyFont="1" applyFill="1" applyBorder="1"/>
    <xf numFmtId="165" fontId="28" fillId="0" borderId="35" xfId="1" applyNumberFormat="1" applyFont="1" applyFill="1" applyBorder="1"/>
    <xf numFmtId="165" fontId="28" fillId="0" borderId="36" xfId="1" applyNumberFormat="1" applyFont="1" applyFill="1" applyBorder="1"/>
    <xf numFmtId="165" fontId="28" fillId="12" borderId="3" xfId="1" applyNumberFormat="1" applyFont="1" applyFill="1" applyBorder="1"/>
    <xf numFmtId="165" fontId="28" fillId="0" borderId="3" xfId="1" applyNumberFormat="1" applyFont="1" applyFill="1" applyBorder="1"/>
    <xf numFmtId="165" fontId="28" fillId="21" borderId="3" xfId="1" applyNumberFormat="1" applyFont="1" applyFill="1" applyBorder="1"/>
    <xf numFmtId="165" fontId="28" fillId="0" borderId="1" xfId="1" applyNumberFormat="1" applyFont="1" applyFill="1" applyBorder="1"/>
    <xf numFmtId="165" fontId="28" fillId="2" borderId="3" xfId="1" applyNumberFormat="1" applyFont="1" applyFill="1" applyBorder="1" applyAlignment="1">
      <alignment vertical="center"/>
    </xf>
    <xf numFmtId="165" fontId="28" fillId="24" borderId="23" xfId="1" applyNumberFormat="1" applyFont="1" applyFill="1" applyBorder="1" applyAlignment="1">
      <alignment horizontal="center" vertical="center"/>
    </xf>
    <xf numFmtId="165" fontId="28" fillId="24" borderId="3" xfId="1" applyNumberFormat="1" applyFont="1" applyFill="1" applyBorder="1"/>
    <xf numFmtId="165" fontId="28" fillId="24" borderId="3" xfId="1" applyNumberFormat="1" applyFont="1" applyFill="1" applyBorder="1" applyAlignment="1">
      <alignment horizontal="center" vertical="center"/>
    </xf>
    <xf numFmtId="165" fontId="28" fillId="24" borderId="27" xfId="1" applyNumberFormat="1" applyFont="1" applyFill="1" applyBorder="1" applyAlignment="1">
      <alignment horizontal="center" vertical="center"/>
    </xf>
    <xf numFmtId="165" fontId="28" fillId="0" borderId="28" xfId="1" applyNumberFormat="1" applyFont="1" applyFill="1" applyBorder="1" applyAlignment="1">
      <alignment horizontal="center" vertical="center"/>
    </xf>
    <xf numFmtId="165" fontId="28" fillId="33" borderId="23" xfId="1" applyNumberFormat="1" applyFont="1" applyFill="1" applyBorder="1" applyAlignment="1">
      <alignment horizontal="center" vertical="center"/>
    </xf>
    <xf numFmtId="165" fontId="28" fillId="33" borderId="3" xfId="1" applyNumberFormat="1" applyFont="1" applyFill="1" applyBorder="1" applyAlignment="1">
      <alignment horizontal="center" vertical="center"/>
    </xf>
    <xf numFmtId="165" fontId="28" fillId="0" borderId="32" xfId="1" applyNumberFormat="1" applyFont="1" applyBorder="1" applyAlignment="1">
      <alignment horizontal="center" vertical="center"/>
    </xf>
    <xf numFmtId="165" fontId="28" fillId="12" borderId="23" xfId="1" applyNumberFormat="1" applyFont="1" applyFill="1" applyBorder="1"/>
    <xf numFmtId="165" fontId="28" fillId="0" borderId="23" xfId="1" applyNumberFormat="1" applyFont="1" applyFill="1" applyBorder="1"/>
    <xf numFmtId="165" fontId="28" fillId="0" borderId="6" xfId="1" applyNumberFormat="1" applyFont="1" applyFill="1" applyBorder="1"/>
    <xf numFmtId="165" fontId="28" fillId="0" borderId="27" xfId="1" applyNumberFormat="1" applyFont="1" applyFill="1" applyBorder="1"/>
    <xf numFmtId="165" fontId="28" fillId="12" borderId="27" xfId="1" applyNumberFormat="1" applyFont="1" applyFill="1" applyBorder="1"/>
    <xf numFmtId="165" fontId="28" fillId="0" borderId="28" xfId="1" applyNumberFormat="1" applyFont="1" applyFill="1" applyBorder="1"/>
    <xf numFmtId="165" fontId="28" fillId="12" borderId="32" xfId="1" applyNumberFormat="1" applyFont="1" applyFill="1" applyBorder="1"/>
    <xf numFmtId="165" fontId="28" fillId="0" borderId="32" xfId="1" applyNumberFormat="1" applyFont="1" applyFill="1" applyBorder="1"/>
    <xf numFmtId="165" fontId="28" fillId="21" borderId="32" xfId="1" applyNumberFormat="1" applyFont="1" applyFill="1" applyBorder="1" applyAlignment="1">
      <alignment horizontal="center" vertical="center"/>
    </xf>
    <xf numFmtId="165" fontId="28" fillId="0" borderId="12" xfId="1" applyNumberFormat="1" applyFont="1" applyFill="1" applyBorder="1"/>
    <xf numFmtId="165" fontId="28" fillId="34" borderId="23" xfId="1" applyNumberFormat="1" applyFont="1" applyFill="1" applyBorder="1"/>
    <xf numFmtId="165" fontId="28" fillId="34" borderId="3" xfId="1" applyNumberFormat="1" applyFont="1" applyFill="1" applyBorder="1"/>
    <xf numFmtId="165" fontId="28" fillId="34" borderId="32" xfId="1" applyNumberFormat="1" applyFont="1" applyFill="1" applyBorder="1"/>
    <xf numFmtId="165" fontId="28" fillId="27" borderId="3" xfId="1" applyNumberFormat="1" applyFont="1" applyFill="1" applyBorder="1"/>
    <xf numFmtId="165" fontId="39" fillId="0" borderId="14" xfId="1" applyNumberFormat="1" applyFont="1" applyFill="1" applyBorder="1" applyAlignment="1">
      <alignment horizontal="center" vertical="center"/>
    </xf>
    <xf numFmtId="165" fontId="28" fillId="12" borderId="14" xfId="1" applyNumberFormat="1" applyFont="1" applyFill="1" applyBorder="1" applyAlignment="1">
      <alignment horizontal="center" vertical="center"/>
    </xf>
    <xf numFmtId="165" fontId="28" fillId="28" borderId="14" xfId="1" applyNumberFormat="1" applyFont="1" applyFill="1" applyBorder="1" applyAlignment="1">
      <alignment horizontal="center" vertical="center"/>
    </xf>
    <xf numFmtId="165" fontId="28" fillId="0" borderId="41" xfId="1" applyNumberFormat="1" applyFont="1" applyFill="1" applyBorder="1" applyAlignment="1">
      <alignment horizontal="center" vertical="center"/>
    </xf>
    <xf numFmtId="165" fontId="28" fillId="0" borderId="14" xfId="1" applyNumberFormat="1" applyFont="1" applyFill="1" applyBorder="1"/>
    <xf numFmtId="165" fontId="28" fillId="29" borderId="14" xfId="1" applyNumberFormat="1" applyFont="1" applyFill="1" applyBorder="1" applyAlignment="1">
      <alignment horizontal="center" vertical="center"/>
    </xf>
    <xf numFmtId="165" fontId="39" fillId="12" borderId="35" xfId="1" applyNumberFormat="1" applyFont="1" applyFill="1" applyBorder="1" applyAlignment="1">
      <alignment horizontal="center" vertical="center"/>
    </xf>
    <xf numFmtId="165" fontId="28" fillId="30" borderId="35" xfId="1" applyNumberFormat="1" applyFont="1" applyFill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65" fontId="28" fillId="35" borderId="36" xfId="1" applyNumberFormat="1" applyFont="1" applyFill="1" applyBorder="1" applyAlignment="1">
      <alignment horizontal="center" vertical="center"/>
    </xf>
    <xf numFmtId="0" fontId="29" fillId="12" borderId="32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65" fontId="28" fillId="30" borderId="32" xfId="1" applyNumberFormat="1" applyFont="1" applyFill="1" applyBorder="1" applyAlignment="1">
      <alignment horizontal="center" vertical="center"/>
    </xf>
    <xf numFmtId="165" fontId="28" fillId="35" borderId="12" xfId="1" applyNumberFormat="1" applyFont="1" applyFill="1" applyBorder="1" applyAlignment="1">
      <alignment horizontal="center" vertical="center"/>
    </xf>
    <xf numFmtId="165" fontId="28" fillId="12" borderId="35" xfId="1" applyNumberFormat="1" applyFont="1" applyFill="1" applyBorder="1" applyAlignment="1">
      <alignment horizontal="center" vertical="center"/>
    </xf>
    <xf numFmtId="165" fontId="28" fillId="31" borderId="35" xfId="1" applyNumberFormat="1" applyFont="1" applyFill="1" applyBorder="1" applyAlignment="1">
      <alignment horizontal="center" vertical="center"/>
    </xf>
    <xf numFmtId="165" fontId="28" fillId="0" borderId="35" xfId="1" applyNumberFormat="1" applyFont="1" applyBorder="1" applyAlignment="1">
      <alignment horizontal="center" vertical="center"/>
    </xf>
    <xf numFmtId="0" fontId="28" fillId="0" borderId="35" xfId="0" applyFont="1" applyBorder="1"/>
    <xf numFmtId="165" fontId="40" fillId="12" borderId="23" xfId="1" applyNumberFormat="1" applyFont="1" applyFill="1" applyBorder="1" applyAlignment="1">
      <alignment vertical="center"/>
    </xf>
    <xf numFmtId="165" fontId="40" fillId="12" borderId="6" xfId="1" applyNumberFormat="1" applyFont="1" applyFill="1" applyBorder="1" applyAlignment="1">
      <alignment vertical="center"/>
    </xf>
    <xf numFmtId="0" fontId="31" fillId="32" borderId="24" xfId="0" applyFont="1" applyFill="1" applyBorder="1" applyAlignment="1">
      <alignment vertical="center"/>
    </xf>
    <xf numFmtId="165" fontId="40" fillId="12" borderId="3" xfId="1" applyNumberFormat="1" applyFont="1" applyFill="1" applyBorder="1" applyAlignment="1">
      <alignment vertical="center"/>
    </xf>
    <xf numFmtId="165" fontId="40" fillId="12" borderId="1" xfId="1" applyNumberFormat="1" applyFont="1" applyFill="1" applyBorder="1" applyAlignment="1">
      <alignment vertical="center"/>
    </xf>
    <xf numFmtId="0" fontId="31" fillId="32" borderId="16" xfId="0" applyFont="1" applyFill="1" applyBorder="1" applyAlignment="1">
      <alignment vertical="center"/>
    </xf>
    <xf numFmtId="165" fontId="40" fillId="12" borderId="27" xfId="1" applyNumberFormat="1" applyFont="1" applyFill="1" applyBorder="1" applyAlignment="1">
      <alignment vertical="center"/>
    </xf>
    <xf numFmtId="165" fontId="40" fillId="12" borderId="28" xfId="1" applyNumberFormat="1" applyFont="1" applyFill="1" applyBorder="1" applyAlignment="1">
      <alignment vertical="center"/>
    </xf>
    <xf numFmtId="0" fontId="31" fillId="32" borderId="29" xfId="0" applyFont="1" applyFill="1" applyBorder="1" applyAlignment="1">
      <alignment vertical="center"/>
    </xf>
    <xf numFmtId="165" fontId="41" fillId="2" borderId="45" xfId="1" applyNumberFormat="1" applyFont="1" applyFill="1" applyBorder="1" applyAlignment="1">
      <alignment horizontal="center" vertical="center" wrapText="1"/>
    </xf>
    <xf numFmtId="165" fontId="42" fillId="2" borderId="9" xfId="1" applyNumberFormat="1" applyFont="1" applyFill="1" applyBorder="1" applyAlignment="1">
      <alignment horizontal="center" vertical="center" wrapText="1"/>
    </xf>
    <xf numFmtId="165" fontId="42" fillId="2" borderId="46" xfId="1" applyNumberFormat="1" applyFont="1" applyFill="1" applyBorder="1" applyAlignment="1">
      <alignment horizontal="center" vertical="center" wrapText="1"/>
    </xf>
    <xf numFmtId="165" fontId="42" fillId="2" borderId="45" xfId="1" applyNumberFormat="1" applyFont="1" applyFill="1" applyBorder="1" applyAlignment="1">
      <alignment horizontal="center" vertical="center" wrapText="1"/>
    </xf>
    <xf numFmtId="165" fontId="42" fillId="2" borderId="47" xfId="1" applyNumberFormat="1" applyFont="1" applyFill="1" applyBorder="1" applyAlignment="1">
      <alignment horizontal="center" vertical="center" wrapText="1"/>
    </xf>
    <xf numFmtId="165" fontId="42" fillId="2" borderId="10" xfId="1" applyNumberFormat="1" applyFont="1" applyFill="1" applyBorder="1" applyAlignment="1">
      <alignment horizontal="center" vertical="center" wrapText="1"/>
    </xf>
    <xf numFmtId="165" fontId="42" fillId="2" borderId="13" xfId="1" applyNumberFormat="1" applyFont="1" applyFill="1" applyBorder="1" applyAlignment="1">
      <alignment horizontal="center" vertical="center" wrapText="1"/>
    </xf>
    <xf numFmtId="165" fontId="42" fillId="2" borderId="48" xfId="1" applyNumberFormat="1" applyFont="1" applyFill="1" applyBorder="1" applyAlignment="1">
      <alignment horizontal="center" vertical="center" wrapText="1"/>
    </xf>
    <xf numFmtId="165" fontId="41" fillId="2" borderId="10" xfId="1" applyNumberFormat="1" applyFont="1" applyFill="1" applyBorder="1" applyAlignment="1">
      <alignment horizontal="center" vertical="center" wrapText="1"/>
    </xf>
    <xf numFmtId="165" fontId="41" fillId="2" borderId="47" xfId="1" applyNumberFormat="1" applyFont="1" applyFill="1" applyBorder="1" applyAlignment="1">
      <alignment vertical="center"/>
    </xf>
    <xf numFmtId="165" fontId="41" fillId="2" borderId="10" xfId="1" applyNumberFormat="1" applyFont="1" applyFill="1" applyBorder="1" applyAlignment="1">
      <alignment vertical="center"/>
    </xf>
    <xf numFmtId="165" fontId="41" fillId="2" borderId="49" xfId="1" applyNumberFormat="1" applyFont="1" applyFill="1" applyBorder="1" applyAlignment="1">
      <alignment vertical="center"/>
    </xf>
    <xf numFmtId="165" fontId="41" fillId="2" borderId="45" xfId="1" applyNumberFormat="1" applyFont="1" applyFill="1" applyBorder="1" applyAlignment="1">
      <alignment vertical="center" wrapText="1"/>
    </xf>
    <xf numFmtId="165" fontId="41" fillId="2" borderId="9" xfId="1" applyNumberFormat="1" applyFont="1" applyFill="1" applyBorder="1" applyAlignment="1">
      <alignment vertical="center" wrapText="1"/>
    </xf>
    <xf numFmtId="165" fontId="41" fillId="2" borderId="50" xfId="1" applyNumberFormat="1" applyFont="1" applyFill="1" applyBorder="1" applyAlignment="1">
      <alignment vertical="center" wrapText="1"/>
    </xf>
    <xf numFmtId="165" fontId="28" fillId="2" borderId="39" xfId="1" applyNumberFormat="1" applyFont="1" applyFill="1" applyBorder="1" applyAlignment="1">
      <alignment vertical="center"/>
    </xf>
    <xf numFmtId="165" fontId="28" fillId="2" borderId="37" xfId="1" applyNumberFormat="1" applyFont="1" applyFill="1" applyBorder="1" applyAlignment="1">
      <alignment vertical="center"/>
    </xf>
    <xf numFmtId="165" fontId="28" fillId="2" borderId="40" xfId="1" applyNumberFormat="1" applyFont="1" applyFill="1" applyBorder="1" applyAlignment="1">
      <alignment vertical="center"/>
    </xf>
    <xf numFmtId="165" fontId="42" fillId="2" borderId="50" xfId="1" applyNumberFormat="1" applyFont="1" applyFill="1" applyBorder="1" applyAlignment="1">
      <alignment horizontal="center" vertical="center" wrapText="1"/>
    </xf>
    <xf numFmtId="165" fontId="28" fillId="2" borderId="42" xfId="1" applyNumberFormat="1" applyFont="1" applyFill="1" applyBorder="1" applyAlignment="1">
      <alignment vertical="center"/>
    </xf>
    <xf numFmtId="165" fontId="41" fillId="2" borderId="51" xfId="1" applyNumberFormat="1" applyFont="1" applyFill="1" applyBorder="1" applyAlignment="1">
      <alignment vertical="center" wrapText="1"/>
    </xf>
    <xf numFmtId="165" fontId="28" fillId="2" borderId="41" xfId="1" applyNumberFormat="1" applyFont="1" applyFill="1" applyBorder="1" applyAlignment="1">
      <alignment vertical="center"/>
    </xf>
    <xf numFmtId="165" fontId="42" fillId="2" borderId="51" xfId="1" applyNumberFormat="1" applyFont="1" applyFill="1" applyBorder="1" applyAlignment="1">
      <alignment horizontal="center" vertical="center" wrapText="1"/>
    </xf>
    <xf numFmtId="165" fontId="42" fillId="0" borderId="17" xfId="1" applyNumberFormat="1" applyFont="1" applyFill="1" applyBorder="1" applyAlignment="1">
      <alignment horizontal="center" vertical="center" wrapText="1"/>
    </xf>
    <xf numFmtId="165" fontId="42" fillId="0" borderId="50" xfId="1" applyNumberFormat="1" applyFont="1" applyFill="1" applyBorder="1" applyAlignment="1">
      <alignment horizontal="center" vertical="center" wrapText="1"/>
    </xf>
    <xf numFmtId="0" fontId="34" fillId="12" borderId="27" xfId="0" applyFont="1" applyFill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1" fillId="20" borderId="52" xfId="1" applyNumberFormat="1" applyFont="1" applyFill="1" applyBorder="1" applyAlignment="1">
      <alignment horizontal="center" vertical="center"/>
    </xf>
    <xf numFmtId="1" fontId="32" fillId="2" borderId="53" xfId="0" applyNumberFormat="1" applyFont="1" applyFill="1" applyBorder="1" applyAlignment="1">
      <alignment horizontal="center" vertical="center"/>
    </xf>
    <xf numFmtId="1" fontId="33" fillId="0" borderId="53" xfId="0" applyNumberFormat="1" applyFont="1" applyBorder="1" applyAlignment="1">
      <alignment horizontal="center" vertical="center"/>
    </xf>
    <xf numFmtId="0" fontId="34" fillId="0" borderId="53" xfId="0" applyFont="1" applyBorder="1" applyAlignment="1">
      <alignment horizontal="left" vertical="center"/>
    </xf>
    <xf numFmtId="165" fontId="35" fillId="0" borderId="54" xfId="1" applyNumberFormat="1" applyFont="1" applyFill="1" applyBorder="1" applyAlignment="1">
      <alignment horizontal="center" vertical="center"/>
    </xf>
    <xf numFmtId="165" fontId="34" fillId="21" borderId="40" xfId="1" applyNumberFormat="1" applyFont="1" applyFill="1" applyBorder="1" applyAlignment="1">
      <alignment vertical="center" wrapText="1"/>
    </xf>
    <xf numFmtId="165" fontId="28" fillId="0" borderId="55" xfId="1" applyNumberFormat="1" applyFont="1" applyFill="1" applyBorder="1" applyAlignment="1">
      <alignment horizontal="center" vertical="center"/>
    </xf>
    <xf numFmtId="165" fontId="28" fillId="0" borderId="53" xfId="1" applyNumberFormat="1" applyFont="1" applyFill="1" applyBorder="1" applyAlignment="1">
      <alignment horizontal="center" vertical="center"/>
    </xf>
    <xf numFmtId="0" fontId="37" fillId="37" borderId="35" xfId="0" applyFont="1" applyFill="1" applyBorder="1" applyAlignment="1">
      <alignment vertical="center"/>
    </xf>
    <xf numFmtId="165" fontId="28" fillId="32" borderId="36" xfId="0" applyNumberFormat="1" applyFont="1" applyFill="1" applyBorder="1" applyAlignment="1">
      <alignment horizontal="center" vertical="center"/>
    </xf>
    <xf numFmtId="165" fontId="38" fillId="32" borderId="40" xfId="0" applyNumberFormat="1" applyFont="1" applyFill="1" applyBorder="1" applyAlignment="1">
      <alignment horizontal="center" vertical="center"/>
    </xf>
    <xf numFmtId="165" fontId="28" fillId="32" borderId="38" xfId="0" applyNumberFormat="1" applyFont="1" applyFill="1" applyBorder="1" applyAlignment="1">
      <alignment horizontal="center" vertical="center"/>
    </xf>
    <xf numFmtId="165" fontId="28" fillId="38" borderId="35" xfId="0" applyNumberFormat="1" applyFont="1" applyFill="1" applyBorder="1" applyAlignment="1">
      <alignment horizontal="center" vertical="center"/>
    </xf>
    <xf numFmtId="0" fontId="29" fillId="0" borderId="0" xfId="0" applyFont="1"/>
    <xf numFmtId="165" fontId="43" fillId="12" borderId="35" xfId="0" applyNumberFormat="1" applyFont="1" applyFill="1" applyBorder="1" applyAlignment="1">
      <alignment horizontal="center" vertical="center"/>
    </xf>
    <xf numFmtId="165" fontId="32" fillId="0" borderId="0" xfId="0" applyNumberFormat="1" applyFont="1"/>
    <xf numFmtId="165" fontId="32" fillId="0" borderId="0" xfId="0" applyNumberFormat="1" applyFont="1" applyAlignment="1">
      <alignment horizontal="center" vertical="center"/>
    </xf>
    <xf numFmtId="165" fontId="44" fillId="0" borderId="0" xfId="0" applyNumberFormat="1" applyFont="1"/>
    <xf numFmtId="165" fontId="44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28" fillId="0" borderId="27" xfId="1" applyNumberFormat="1" applyFont="1" applyBorder="1" applyAlignment="1">
      <alignment horizontal="center" vertical="center"/>
    </xf>
    <xf numFmtId="165" fontId="28" fillId="31" borderId="3" xfId="1" applyNumberFormat="1" applyFont="1" applyFill="1" applyBorder="1" applyAlignment="1">
      <alignment horizontal="center" vertical="center"/>
    </xf>
    <xf numFmtId="165" fontId="28" fillId="0" borderId="3" xfId="1" applyNumberFormat="1" applyFont="1" applyBorder="1" applyAlignment="1">
      <alignment horizontal="center" vertical="center"/>
    </xf>
    <xf numFmtId="0" fontId="28" fillId="0" borderId="27" xfId="0" applyFont="1" applyBorder="1"/>
    <xf numFmtId="165" fontId="28" fillId="31" borderId="27" xfId="1" applyNumberFormat="1" applyFont="1" applyFill="1" applyBorder="1" applyAlignment="1">
      <alignment horizontal="center" vertical="center"/>
    </xf>
    <xf numFmtId="165" fontId="28" fillId="0" borderId="23" xfId="1" applyNumberFormat="1" applyFont="1" applyBorder="1" applyAlignment="1">
      <alignment horizontal="center" vertical="center"/>
    </xf>
    <xf numFmtId="165" fontId="28" fillId="36" borderId="23" xfId="1" applyNumberFormat="1" applyFont="1" applyFill="1" applyBorder="1" applyAlignment="1">
      <alignment horizontal="center" vertical="center"/>
    </xf>
    <xf numFmtId="0" fontId="28" fillId="0" borderId="6" xfId="0" applyFont="1" applyBorder="1"/>
    <xf numFmtId="165" fontId="28" fillId="36" borderId="3" xfId="1" applyNumberFormat="1" applyFont="1" applyFill="1" applyBorder="1" applyAlignment="1">
      <alignment horizontal="center" vertical="center"/>
    </xf>
    <xf numFmtId="0" fontId="28" fillId="0" borderId="1" xfId="0" applyFont="1" applyBorder="1"/>
    <xf numFmtId="165" fontId="28" fillId="36" borderId="32" xfId="1" applyNumberFormat="1" applyFont="1" applyFill="1" applyBorder="1" applyAlignment="1">
      <alignment horizontal="center" vertical="center"/>
    </xf>
    <xf numFmtId="0" fontId="28" fillId="0" borderId="12" xfId="0" applyFont="1" applyBorder="1"/>
    <xf numFmtId="165" fontId="28" fillId="22" borderId="35" xfId="1" applyNumberFormat="1" applyFont="1" applyFill="1" applyBorder="1" applyAlignment="1">
      <alignment horizontal="center" vertical="center"/>
    </xf>
    <xf numFmtId="165" fontId="28" fillId="22" borderId="3" xfId="1" applyNumberFormat="1" applyFont="1" applyFill="1" applyBorder="1" applyAlignment="1">
      <alignment horizontal="center" vertical="center"/>
    </xf>
    <xf numFmtId="0" fontId="28" fillId="0" borderId="3" xfId="0" applyFont="1" applyBorder="1"/>
    <xf numFmtId="165" fontId="39" fillId="0" borderId="53" xfId="1" applyNumberFormat="1" applyFont="1" applyFill="1" applyBorder="1" applyAlignment="1">
      <alignment horizontal="center" vertical="center"/>
    </xf>
    <xf numFmtId="165" fontId="28" fillId="12" borderId="53" xfId="1" applyNumberFormat="1" applyFont="1" applyFill="1" applyBorder="1" applyAlignment="1">
      <alignment horizontal="center" vertical="center"/>
    </xf>
    <xf numFmtId="165" fontId="28" fillId="0" borderId="53" xfId="1" applyNumberFormat="1" applyFont="1" applyBorder="1" applyAlignment="1">
      <alignment horizontal="center" vertical="center"/>
    </xf>
    <xf numFmtId="165" fontId="28" fillId="21" borderId="53" xfId="1" applyNumberFormat="1" applyFont="1" applyFill="1" applyBorder="1" applyAlignment="1">
      <alignment horizontal="center" vertical="center"/>
    </xf>
    <xf numFmtId="0" fontId="28" fillId="0" borderId="54" xfId="0" applyFont="1" applyBorder="1"/>
    <xf numFmtId="165" fontId="31" fillId="12" borderId="53" xfId="0" applyNumberFormat="1" applyFont="1" applyFill="1" applyBorder="1" applyAlignment="1">
      <alignment horizontal="center" vertical="center"/>
    </xf>
    <xf numFmtId="165" fontId="31" fillId="32" borderId="53" xfId="0" applyNumberFormat="1" applyFont="1" applyFill="1" applyBorder="1" applyAlignment="1">
      <alignment horizontal="center" vertical="center"/>
    </xf>
    <xf numFmtId="165" fontId="31" fillId="32" borderId="54" xfId="0" applyNumberFormat="1" applyFont="1" applyFill="1" applyBorder="1" applyAlignment="1">
      <alignment horizontal="center" vertical="center"/>
    </xf>
    <xf numFmtId="165" fontId="40" fillId="12" borderId="56" xfId="0" applyNumberFormat="1" applyFont="1" applyFill="1" applyBorder="1" applyAlignment="1">
      <alignment vertical="center"/>
    </xf>
    <xf numFmtId="165" fontId="45" fillId="12" borderId="2" xfId="0" applyNumberFormat="1" applyFont="1" applyFill="1" applyBorder="1" applyAlignment="1">
      <alignment vertical="center" wrapText="1"/>
    </xf>
    <xf numFmtId="165" fontId="42" fillId="2" borderId="49" xfId="1" applyNumberFormat="1" applyFont="1" applyFill="1" applyBorder="1" applyAlignment="1">
      <alignment horizontal="center" vertical="center" wrapText="1"/>
    </xf>
    <xf numFmtId="165" fontId="42" fillId="2" borderId="57" xfId="1" applyNumberFormat="1" applyFont="1" applyFill="1" applyBorder="1" applyAlignment="1">
      <alignment horizontal="center" vertical="center" wrapText="1"/>
    </xf>
    <xf numFmtId="165" fontId="40" fillId="12" borderId="40" xfId="1" applyNumberFormat="1" applyFont="1" applyFill="1" applyBorder="1" applyAlignment="1">
      <alignment horizontal="center" vertical="center"/>
    </xf>
    <xf numFmtId="165" fontId="38" fillId="32" borderId="58" xfId="0" applyNumberFormat="1" applyFont="1" applyFill="1" applyBorder="1" applyAlignment="1">
      <alignment horizontal="center" vertical="center"/>
    </xf>
    <xf numFmtId="165" fontId="40" fillId="12" borderId="59" xfId="1" applyNumberFormat="1" applyFont="1" applyFill="1" applyBorder="1" applyAlignment="1">
      <alignment vertical="center"/>
    </xf>
    <xf numFmtId="165" fontId="40" fillId="12" borderId="0" xfId="1" applyNumberFormat="1" applyFont="1" applyFill="1" applyBorder="1" applyAlignment="1">
      <alignment vertical="center"/>
    </xf>
    <xf numFmtId="0" fontId="32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3" xfId="0" applyNumberFormat="1" applyFont="1" applyBorder="1" applyAlignment="1">
      <alignment horizontal="center" vertical="center"/>
    </xf>
    <xf numFmtId="9" fontId="28" fillId="0" borderId="3" xfId="2" applyFont="1" applyBorder="1" applyAlignment="1">
      <alignment horizontal="center" vertical="center"/>
    </xf>
    <xf numFmtId="9" fontId="28" fillId="0" borderId="1" xfId="2" applyFont="1" applyBorder="1" applyAlignment="1">
      <alignment horizontal="center" vertical="center"/>
    </xf>
    <xf numFmtId="164" fontId="35" fillId="2" borderId="2" xfId="0" applyNumberFormat="1" applyFont="1" applyFill="1" applyBorder="1" applyAlignment="1">
      <alignment horizontal="center" vertical="center"/>
    </xf>
    <xf numFmtId="164" fontId="35" fillId="2" borderId="3" xfId="0" applyNumberFormat="1" applyFont="1" applyFill="1" applyBorder="1" applyAlignment="1">
      <alignment horizontal="center" vertical="center"/>
    </xf>
    <xf numFmtId="9" fontId="35" fillId="0" borderId="62" xfId="0" applyNumberFormat="1" applyFont="1" applyBorder="1" applyAlignment="1">
      <alignment horizontal="center" vertical="center"/>
    </xf>
    <xf numFmtId="9" fontId="35" fillId="0" borderId="33" xfId="0" applyNumberFormat="1" applyFont="1" applyBorder="1" applyAlignment="1">
      <alignment horizontal="center" vertical="center"/>
    </xf>
    <xf numFmtId="9" fontId="34" fillId="12" borderId="32" xfId="0" applyNumberFormat="1" applyFont="1" applyFill="1" applyBorder="1" applyAlignment="1">
      <alignment horizontal="center" vertical="center"/>
    </xf>
    <xf numFmtId="9" fontId="34" fillId="12" borderId="12" xfId="0" applyNumberFormat="1" applyFont="1" applyFill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164" fontId="35" fillId="0" borderId="10" xfId="0" applyNumberFormat="1" applyFont="1" applyBorder="1" applyAlignment="1">
      <alignment horizontal="center" vertical="center"/>
    </xf>
    <xf numFmtId="9" fontId="34" fillId="12" borderId="13" xfId="0" applyNumberFormat="1" applyFont="1" applyFill="1" applyBorder="1" applyAlignment="1">
      <alignment horizontal="center" vertical="center"/>
    </xf>
    <xf numFmtId="0" fontId="26" fillId="39" borderId="56" xfId="11" applyFont="1" applyFill="1" applyBorder="1" applyAlignment="1">
      <alignment horizontal="center" vertical="center" wrapText="1" shrinkToFit="1"/>
    </xf>
    <xf numFmtId="0" fontId="26" fillId="39" borderId="0" xfId="11" applyFont="1" applyFill="1" applyAlignment="1">
      <alignment horizontal="center" vertical="center" wrapText="1" shrinkToFit="1"/>
    </xf>
    <xf numFmtId="0" fontId="15" fillId="8" borderId="0" xfId="0" applyFont="1" applyFill="1" applyAlignment="1">
      <alignment horizontal="right"/>
    </xf>
    <xf numFmtId="0" fontId="26" fillId="39" borderId="38" xfId="11" applyFont="1" applyFill="1" applyBorder="1" applyAlignment="1">
      <alignment horizontal="center" vertical="center" wrapText="1" shrinkToFit="1"/>
    </xf>
    <xf numFmtId="0" fontId="16" fillId="5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8" fillId="5" borderId="10" xfId="4" applyBorder="1" applyAlignment="1">
      <alignment horizontal="center"/>
    </xf>
    <xf numFmtId="1" fontId="0" fillId="9" borderId="10" xfId="0" applyNumberFormat="1" applyFill="1" applyBorder="1" applyAlignment="1">
      <alignment horizontal="center"/>
    </xf>
    <xf numFmtId="168" fontId="0" fillId="9" borderId="3" xfId="0" applyNumberFormat="1" applyFill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0" fontId="0" fillId="0" borderId="11" xfId="2" applyNumberFormat="1" applyFont="1" applyBorder="1" applyAlignment="1">
      <alignment horizontal="center"/>
    </xf>
    <xf numFmtId="0" fontId="14" fillId="0" borderId="0" xfId="0" applyFont="1"/>
    <xf numFmtId="169" fontId="0" fillId="0" borderId="0" xfId="0" applyNumberFormat="1"/>
    <xf numFmtId="0" fontId="47" fillId="32" borderId="3" xfId="0" applyFont="1" applyFill="1" applyBorder="1" applyAlignment="1">
      <alignment horizontal="center" vertical="center"/>
    </xf>
    <xf numFmtId="0" fontId="47" fillId="32" borderId="2" xfId="0" applyFont="1" applyFill="1" applyBorder="1" applyAlignment="1">
      <alignment horizontal="center" vertical="center"/>
    </xf>
    <xf numFmtId="0" fontId="19" fillId="41" borderId="3" xfId="6" applyNumberFormat="1" applyFont="1" applyFill="1" applyBorder="1" applyAlignment="1">
      <alignment horizontal="center" vertical="center"/>
    </xf>
    <xf numFmtId="0" fontId="19" fillId="41" borderId="2" xfId="6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9" fillId="41" borderId="3" xfId="1" applyNumberFormat="1" applyFont="1" applyFill="1" applyBorder="1" applyAlignment="1">
      <alignment horizontal="center" vertical="center"/>
    </xf>
    <xf numFmtId="1" fontId="19" fillId="41" borderId="3" xfId="1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1" fontId="19" fillId="41" borderId="3" xfId="11" applyNumberFormat="1" applyFont="1" applyFill="1" applyBorder="1" applyAlignment="1">
      <alignment horizontal="center" vertical="center"/>
    </xf>
    <xf numFmtId="0" fontId="19" fillId="41" borderId="16" xfId="6" applyNumberFormat="1" applyFont="1" applyFill="1" applyBorder="1" applyAlignment="1">
      <alignment horizontal="center" vertical="center"/>
    </xf>
    <xf numFmtId="0" fontId="21" fillId="2" borderId="64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/>
    </xf>
    <xf numFmtId="0" fontId="8" fillId="0" borderId="2" xfId="6190" applyBorder="1" applyAlignment="1">
      <alignment horizontal="left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56" fillId="0" borderId="5" xfId="0" applyFont="1" applyBorder="1" applyAlignment="1">
      <alignment horizontal="center" vertical="center"/>
    </xf>
    <xf numFmtId="0" fontId="56" fillId="0" borderId="47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4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9" fontId="57" fillId="0" borderId="2" xfId="0" applyNumberFormat="1" applyFont="1" applyBorder="1" applyAlignment="1">
      <alignment horizontal="center" vertical="center"/>
    </xf>
    <xf numFmtId="9" fontId="57" fillId="0" borderId="3" xfId="0" applyNumberFormat="1" applyFont="1" applyBorder="1" applyAlignment="1">
      <alignment horizontal="center" vertical="center"/>
    </xf>
    <xf numFmtId="9" fontId="56" fillId="0" borderId="3" xfId="2" applyFont="1" applyBorder="1" applyAlignment="1">
      <alignment horizontal="center" vertical="center"/>
    </xf>
    <xf numFmtId="9" fontId="56" fillId="0" borderId="1" xfId="2" applyFont="1" applyBorder="1" applyAlignment="1">
      <alignment horizontal="center" vertical="center"/>
    </xf>
    <xf numFmtId="164" fontId="57" fillId="0" borderId="10" xfId="0" applyNumberFormat="1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9" fontId="57" fillId="2" borderId="2" xfId="0" applyNumberFormat="1" applyFont="1" applyFill="1" applyBorder="1" applyAlignment="1">
      <alignment horizontal="center" vertical="center"/>
    </xf>
    <xf numFmtId="9" fontId="57" fillId="2" borderId="3" xfId="0" applyNumberFormat="1" applyFont="1" applyFill="1" applyBorder="1" applyAlignment="1">
      <alignment horizontal="center" vertical="center"/>
    </xf>
    <xf numFmtId="9" fontId="57" fillId="0" borderId="62" xfId="0" applyNumberFormat="1" applyFont="1" applyBorder="1" applyAlignment="1">
      <alignment horizontal="center" vertical="center"/>
    </xf>
    <xf numFmtId="9" fontId="57" fillId="0" borderId="33" xfId="0" applyNumberFormat="1" applyFont="1" applyBorder="1" applyAlignment="1">
      <alignment horizontal="center" vertical="center"/>
    </xf>
    <xf numFmtId="9" fontId="56" fillId="12" borderId="32" xfId="0" applyNumberFormat="1" applyFont="1" applyFill="1" applyBorder="1" applyAlignment="1">
      <alignment horizontal="center" vertical="center"/>
    </xf>
    <xf numFmtId="9" fontId="56" fillId="12" borderId="12" xfId="0" applyNumberFormat="1" applyFont="1" applyFill="1" applyBorder="1" applyAlignment="1">
      <alignment horizontal="center" vertical="center"/>
    </xf>
    <xf numFmtId="9" fontId="56" fillId="12" borderId="13" xfId="0" applyNumberFormat="1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0" fontId="59" fillId="0" borderId="0" xfId="0" applyFont="1"/>
    <xf numFmtId="0" fontId="59" fillId="0" borderId="0" xfId="0" applyFont="1" applyAlignment="1">
      <alignment horizontal="center" vertical="center"/>
    </xf>
    <xf numFmtId="1" fontId="59" fillId="0" borderId="0" xfId="0" applyNumberFormat="1" applyFont="1"/>
    <xf numFmtId="0" fontId="21" fillId="3" borderId="1" xfId="3" applyFont="1" applyBorder="1" applyAlignment="1">
      <alignment horizontal="center" vertical="center"/>
    </xf>
    <xf numFmtId="0" fontId="59" fillId="0" borderId="3" xfId="0" applyFont="1" applyBorder="1" applyAlignment="1">
      <alignment horizontal="center"/>
    </xf>
    <xf numFmtId="16" fontId="21" fillId="4" borderId="7" xfId="3" applyNumberFormat="1" applyFont="1" applyFill="1" applyBorder="1" applyAlignment="1">
      <alignment horizontal="center"/>
    </xf>
    <xf numFmtId="16" fontId="21" fillId="4" borderId="1" xfId="3" applyNumberFormat="1" applyFont="1" applyFill="1" applyBorder="1" applyAlignment="1">
      <alignment horizontal="center"/>
    </xf>
    <xf numFmtId="16" fontId="21" fillId="4" borderId="10" xfId="3" applyNumberFormat="1" applyFont="1" applyFill="1" applyBorder="1" applyAlignment="1">
      <alignment horizontal="center"/>
    </xf>
    <xf numFmtId="0" fontId="60" fillId="5" borderId="3" xfId="0" applyFont="1" applyFill="1" applyBorder="1" applyAlignment="1">
      <alignment horizontal="center" wrapText="1"/>
    </xf>
    <xf numFmtId="0" fontId="60" fillId="5" borderId="3" xfId="0" applyFont="1" applyFill="1" applyBorder="1" applyAlignment="1">
      <alignment horizontal="center"/>
    </xf>
    <xf numFmtId="0" fontId="60" fillId="5" borderId="1" xfId="0" applyFont="1" applyFill="1" applyBorder="1" applyAlignment="1">
      <alignment horizontal="center" vertical="center"/>
    </xf>
    <xf numFmtId="0" fontId="59" fillId="4" borderId="8" xfId="0" applyFont="1" applyFill="1" applyBorder="1"/>
    <xf numFmtId="0" fontId="59" fillId="4" borderId="9" xfId="0" applyFont="1" applyFill="1" applyBorder="1"/>
    <xf numFmtId="0" fontId="59" fillId="0" borderId="3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59" fillId="4" borderId="7" xfId="0" applyFont="1" applyFill="1" applyBorder="1" applyAlignment="1">
      <alignment horizontal="center"/>
    </xf>
    <xf numFmtId="0" fontId="59" fillId="4" borderId="10" xfId="0" applyFont="1" applyFill="1" applyBorder="1" applyAlignment="1">
      <alignment horizontal="center"/>
    </xf>
    <xf numFmtId="1" fontId="21" fillId="0" borderId="3" xfId="0" applyNumberFormat="1" applyFont="1" applyBorder="1" applyAlignment="1">
      <alignment horizontal="center"/>
    </xf>
    <xf numFmtId="0" fontId="21" fillId="0" borderId="0" xfId="0" applyFont="1"/>
    <xf numFmtId="0" fontId="59" fillId="2" borderId="7" xfId="0" applyFont="1" applyFill="1" applyBorder="1" applyAlignment="1">
      <alignment horizontal="center"/>
    </xf>
    <xf numFmtId="0" fontId="59" fillId="2" borderId="1" xfId="0" applyFont="1" applyFill="1" applyBorder="1" applyAlignment="1">
      <alignment horizontal="center"/>
    </xf>
    <xf numFmtId="0" fontId="59" fillId="0" borderId="3" xfId="0" applyFont="1" applyBorder="1" applyAlignment="1">
      <alignment horizontal="center" vertical="center"/>
    </xf>
    <xf numFmtId="0" fontId="59" fillId="4" borderId="7" xfId="4" applyFont="1" applyFill="1" applyBorder="1" applyAlignment="1">
      <alignment horizontal="center"/>
    </xf>
    <xf numFmtId="0" fontId="59" fillId="4" borderId="1" xfId="4" applyFont="1" applyFill="1" applyBorder="1" applyAlignment="1">
      <alignment horizontal="center"/>
    </xf>
    <xf numFmtId="0" fontId="59" fillId="4" borderId="10" xfId="4" applyFont="1" applyFill="1" applyBorder="1" applyAlignment="1">
      <alignment horizontal="center"/>
    </xf>
    <xf numFmtId="0" fontId="21" fillId="0" borderId="1" xfId="0" applyFont="1" applyBorder="1"/>
    <xf numFmtId="0" fontId="59" fillId="4" borderId="1" xfId="0" applyFont="1" applyFill="1" applyBorder="1" applyAlignment="1">
      <alignment horizontal="center"/>
    </xf>
    <xf numFmtId="0" fontId="21" fillId="0" borderId="1" xfId="0" applyFont="1" applyBorder="1" applyAlignment="1">
      <alignment wrapText="1"/>
    </xf>
    <xf numFmtId="1" fontId="21" fillId="0" borderId="1" xfId="0" applyNumberFormat="1" applyFont="1" applyBorder="1" applyAlignment="1">
      <alignment wrapText="1"/>
    </xf>
    <xf numFmtId="0" fontId="59" fillId="8" borderId="7" xfId="0" applyFont="1" applyFill="1" applyBorder="1" applyAlignment="1">
      <alignment horizontal="center"/>
    </xf>
    <xf numFmtId="0" fontId="59" fillId="8" borderId="1" xfId="0" applyFont="1" applyFill="1" applyBorder="1" applyAlignment="1">
      <alignment horizontal="center"/>
    </xf>
    <xf numFmtId="0" fontId="61" fillId="16" borderId="4" xfId="11" applyFont="1" applyFill="1" applyBorder="1" applyAlignment="1">
      <alignment horizontal="center" vertical="center" wrapText="1" shrinkToFit="1"/>
    </xf>
    <xf numFmtId="0" fontId="21" fillId="0" borderId="3" xfId="0" applyFont="1" applyBorder="1" applyAlignment="1">
      <alignment wrapText="1"/>
    </xf>
    <xf numFmtId="0" fontId="21" fillId="0" borderId="3" xfId="0" applyFont="1" applyBorder="1"/>
    <xf numFmtId="0" fontId="59" fillId="9" borderId="7" xfId="0" applyFont="1" applyFill="1" applyBorder="1" applyAlignment="1">
      <alignment horizontal="center"/>
    </xf>
    <xf numFmtId="0" fontId="59" fillId="9" borderId="1" xfId="0" applyFont="1" applyFill="1" applyBorder="1" applyAlignment="1">
      <alignment horizontal="center"/>
    </xf>
    <xf numFmtId="0" fontId="59" fillId="10" borderId="7" xfId="0" applyFont="1" applyFill="1" applyBorder="1" applyAlignment="1">
      <alignment horizontal="center"/>
    </xf>
    <xf numFmtId="0" fontId="59" fillId="10" borderId="1" xfId="0" applyFont="1" applyFill="1" applyBorder="1" applyAlignment="1">
      <alignment horizontal="center"/>
    </xf>
    <xf numFmtId="0" fontId="21" fillId="2" borderId="0" xfId="0" applyFont="1" applyFill="1"/>
    <xf numFmtId="0" fontId="21" fillId="0" borderId="3" xfId="4" applyFont="1" applyFill="1" applyBorder="1" applyAlignment="1">
      <alignment horizontal="center" wrapText="1"/>
    </xf>
    <xf numFmtId="0" fontId="59" fillId="0" borderId="3" xfId="0" applyFont="1" applyBorder="1" applyAlignment="1">
      <alignment wrapText="1"/>
    </xf>
    <xf numFmtId="1" fontId="59" fillId="9" borderId="3" xfId="0" applyNumberFormat="1" applyFont="1" applyFill="1" applyBorder="1" applyAlignment="1">
      <alignment horizontal="center"/>
    </xf>
    <xf numFmtId="0" fontId="59" fillId="9" borderId="3" xfId="0" applyFont="1" applyFill="1" applyBorder="1" applyAlignment="1">
      <alignment horizontal="center"/>
    </xf>
    <xf numFmtId="0" fontId="27" fillId="0" borderId="3" xfId="0" applyFont="1" applyBorder="1" applyAlignment="1">
      <alignment wrapText="1"/>
    </xf>
    <xf numFmtId="10" fontId="21" fillId="17" borderId="3" xfId="2" applyNumberFormat="1" applyFont="1" applyFill="1" applyBorder="1" applyAlignment="1">
      <alignment horizontal="center"/>
    </xf>
    <xf numFmtId="9" fontId="21" fillId="17" borderId="3" xfId="2" applyFont="1" applyFill="1" applyBorder="1" applyAlignment="1">
      <alignment horizontal="center"/>
    </xf>
    <xf numFmtId="0" fontId="62" fillId="0" borderId="0" xfId="0" applyFont="1"/>
    <xf numFmtId="0" fontId="62" fillId="0" borderId="0" xfId="0" applyFont="1" applyAlignment="1">
      <alignment horizontal="center" vertical="center"/>
    </xf>
    <xf numFmtId="1" fontId="62" fillId="0" borderId="0" xfId="0" applyNumberFormat="1" applyFont="1"/>
    <xf numFmtId="0" fontId="20" fillId="3" borderId="1" xfId="3" applyFont="1" applyBorder="1" applyAlignment="1">
      <alignment horizontal="center" vertical="center"/>
    </xf>
    <xf numFmtId="0" fontId="62" fillId="0" borderId="3" xfId="0" applyFont="1" applyBorder="1" applyAlignment="1">
      <alignment horizontal="center"/>
    </xf>
    <xf numFmtId="0" fontId="63" fillId="5" borderId="3" xfId="0" applyFont="1" applyFill="1" applyBorder="1" applyAlignment="1">
      <alignment horizontal="center" wrapText="1"/>
    </xf>
    <xf numFmtId="0" fontId="63" fillId="5" borderId="3" xfId="0" applyFont="1" applyFill="1" applyBorder="1" applyAlignment="1">
      <alignment horizontal="center"/>
    </xf>
    <xf numFmtId="0" fontId="63" fillId="5" borderId="1" xfId="0" applyFont="1" applyFill="1" applyBorder="1" applyAlignment="1">
      <alignment horizontal="center" vertical="center"/>
    </xf>
    <xf numFmtId="0" fontId="62" fillId="0" borderId="3" xfId="0" applyFont="1" applyBorder="1" applyAlignment="1">
      <alignment horizontal="center" wrapText="1"/>
    </xf>
    <xf numFmtId="0" fontId="20" fillId="0" borderId="2" xfId="0" applyFont="1" applyBorder="1" applyAlignment="1">
      <alignment horizontal="left"/>
    </xf>
    <xf numFmtId="0" fontId="20" fillId="0" borderId="2" xfId="0" applyFont="1" applyBorder="1" applyAlignment="1">
      <alignment horizontal="center"/>
    </xf>
    <xf numFmtId="1" fontId="62" fillId="0" borderId="3" xfId="0" applyNumberFormat="1" applyFont="1" applyBorder="1" applyAlignment="1">
      <alignment horizontal="center" vertical="center"/>
    </xf>
    <xf numFmtId="1" fontId="62" fillId="0" borderId="1" xfId="0" applyNumberFormat="1" applyFont="1" applyBorder="1" applyAlignment="1">
      <alignment horizontal="center" vertical="center"/>
    </xf>
    <xf numFmtId="1" fontId="62" fillId="0" borderId="7" xfId="0" applyNumberFormat="1" applyFont="1" applyBorder="1" applyAlignment="1">
      <alignment horizontal="center" vertical="center"/>
    </xf>
    <xf numFmtId="0" fontId="62" fillId="4" borderId="7" xfId="0" applyFont="1" applyFill="1" applyBorder="1" applyAlignment="1">
      <alignment horizontal="center"/>
    </xf>
    <xf numFmtId="1" fontId="20" fillId="0" borderId="3" xfId="0" applyNumberFormat="1" applyFont="1" applyBorder="1" applyAlignment="1">
      <alignment horizontal="center"/>
    </xf>
    <xf numFmtId="0" fontId="20" fillId="0" borderId="0" xfId="0" applyFont="1"/>
    <xf numFmtId="0" fontId="62" fillId="2" borderId="7" xfId="0" applyFont="1" applyFill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2" fillId="4" borderId="10" xfId="0" applyFont="1" applyFill="1" applyBorder="1" applyAlignment="1">
      <alignment horizontal="center"/>
    </xf>
    <xf numFmtId="0" fontId="62" fillId="0" borderId="2" xfId="0" applyFont="1" applyBorder="1" applyAlignment="1">
      <alignment horizontal="left"/>
    </xf>
    <xf numFmtId="0" fontId="62" fillId="4" borderId="7" xfId="4" applyFont="1" applyFill="1" applyBorder="1" applyAlignment="1">
      <alignment horizontal="center"/>
    </xf>
    <xf numFmtId="0" fontId="62" fillId="4" borderId="1" xfId="4" applyFont="1" applyFill="1" applyBorder="1" applyAlignment="1">
      <alignment horizontal="center"/>
    </xf>
    <xf numFmtId="0" fontId="62" fillId="4" borderId="10" xfId="4" applyFont="1" applyFill="1" applyBorder="1" applyAlignment="1">
      <alignment horizontal="center"/>
    </xf>
    <xf numFmtId="0" fontId="20" fillId="0" borderId="1" xfId="0" applyFont="1" applyBorder="1"/>
    <xf numFmtId="0" fontId="62" fillId="4" borderId="1" xfId="0" applyFont="1" applyFill="1" applyBorder="1" applyAlignment="1">
      <alignment horizontal="center"/>
    </xf>
    <xf numFmtId="0" fontId="62" fillId="8" borderId="7" xfId="0" applyFont="1" applyFill="1" applyBorder="1" applyAlignment="1">
      <alignment horizontal="center"/>
    </xf>
    <xf numFmtId="0" fontId="62" fillId="8" borderId="1" xfId="0" applyFont="1" applyFill="1" applyBorder="1" applyAlignment="1">
      <alignment horizontal="center"/>
    </xf>
    <xf numFmtId="0" fontId="64" fillId="16" borderId="4" xfId="11" applyFont="1" applyFill="1" applyBorder="1" applyAlignment="1">
      <alignment horizontal="center" vertical="center" wrapText="1" shrinkToFit="1"/>
    </xf>
    <xf numFmtId="0" fontId="20" fillId="0" borderId="3" xfId="0" applyFont="1" applyBorder="1"/>
    <xf numFmtId="0" fontId="62" fillId="9" borderId="7" xfId="0" applyFont="1" applyFill="1" applyBorder="1" applyAlignment="1">
      <alignment horizontal="center"/>
    </xf>
    <xf numFmtId="0" fontId="62" fillId="9" borderId="1" xfId="0" applyFont="1" applyFill="1" applyBorder="1" applyAlignment="1">
      <alignment horizontal="center"/>
    </xf>
    <xf numFmtId="0" fontId="62" fillId="10" borderId="7" xfId="0" applyFont="1" applyFill="1" applyBorder="1" applyAlignment="1">
      <alignment horizontal="center"/>
    </xf>
    <xf numFmtId="0" fontId="62" fillId="10" borderId="1" xfId="0" applyFont="1" applyFill="1" applyBorder="1" applyAlignment="1">
      <alignment horizontal="center"/>
    </xf>
    <xf numFmtId="0" fontId="20" fillId="0" borderId="3" xfId="0" applyFont="1" applyBorder="1" applyAlignment="1">
      <alignment horizontal="center" wrapText="1"/>
    </xf>
    <xf numFmtId="0" fontId="62" fillId="12" borderId="7" xfId="0" applyFont="1" applyFill="1" applyBorder="1" applyAlignment="1">
      <alignment horizontal="center"/>
    </xf>
    <xf numFmtId="0" fontId="62" fillId="12" borderId="1" xfId="0" applyFont="1" applyFill="1" applyBorder="1" applyAlignment="1">
      <alignment horizontal="center"/>
    </xf>
    <xf numFmtId="0" fontId="20" fillId="2" borderId="0" xfId="0" applyFont="1" applyFill="1"/>
    <xf numFmtId="0" fontId="62" fillId="2" borderId="0" xfId="0" applyFont="1" applyFill="1"/>
    <xf numFmtId="0" fontId="62" fillId="10" borderId="10" xfId="0" applyFont="1" applyFill="1" applyBorder="1" applyAlignment="1">
      <alignment horizontal="center"/>
    </xf>
    <xf numFmtId="0" fontId="20" fillId="0" borderId="3" xfId="4" applyFont="1" applyFill="1" applyBorder="1" applyAlignment="1">
      <alignment horizontal="center" wrapText="1"/>
    </xf>
    <xf numFmtId="0" fontId="62" fillId="5" borderId="7" xfId="4" applyFont="1" applyBorder="1" applyAlignment="1">
      <alignment horizontal="center"/>
    </xf>
    <xf numFmtId="0" fontId="62" fillId="5" borderId="1" xfId="4" applyFont="1" applyBorder="1" applyAlignment="1">
      <alignment horizontal="center"/>
    </xf>
    <xf numFmtId="0" fontId="62" fillId="0" borderId="3" xfId="0" applyFont="1" applyBorder="1" applyAlignment="1">
      <alignment wrapText="1"/>
    </xf>
    <xf numFmtId="1" fontId="62" fillId="9" borderId="3" xfId="0" applyNumberFormat="1" applyFont="1" applyFill="1" applyBorder="1" applyAlignment="1">
      <alignment horizontal="center"/>
    </xf>
    <xf numFmtId="1" fontId="62" fillId="9" borderId="7" xfId="0" applyNumberFormat="1" applyFont="1" applyFill="1" applyBorder="1" applyAlignment="1">
      <alignment horizontal="center"/>
    </xf>
    <xf numFmtId="0" fontId="62" fillId="9" borderId="3" xfId="0" applyFont="1" applyFill="1" applyBorder="1" applyAlignment="1">
      <alignment horizontal="center"/>
    </xf>
    <xf numFmtId="0" fontId="65" fillId="0" borderId="3" xfId="0" applyFont="1" applyBorder="1" applyAlignment="1">
      <alignment wrapText="1"/>
    </xf>
    <xf numFmtId="164" fontId="62" fillId="0" borderId="7" xfId="2" applyNumberFormat="1" applyFont="1" applyBorder="1" applyAlignment="1">
      <alignment horizontal="center"/>
    </xf>
    <xf numFmtId="10" fontId="20" fillId="17" borderId="3" xfId="2" applyNumberFormat="1" applyFont="1" applyFill="1" applyBorder="1" applyAlignment="1">
      <alignment horizontal="center"/>
    </xf>
    <xf numFmtId="164" fontId="62" fillId="0" borderId="11" xfId="2" applyNumberFormat="1" applyFont="1" applyBorder="1" applyAlignment="1">
      <alignment horizontal="center"/>
    </xf>
    <xf numFmtId="0" fontId="66" fillId="0" borderId="3" xfId="0" applyFont="1" applyBorder="1" applyAlignment="1">
      <alignment horizontal="center" vertical="center"/>
    </xf>
    <xf numFmtId="0" fontId="66" fillId="0" borderId="0" xfId="0" applyFont="1"/>
    <xf numFmtId="0" fontId="21" fillId="0" borderId="3" xfId="0" applyFont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164" fontId="66" fillId="0" borderId="7" xfId="2" applyNumberFormat="1" applyFont="1" applyBorder="1" applyAlignment="1" applyProtection="1">
      <alignment horizontal="center"/>
    </xf>
    <xf numFmtId="1" fontId="66" fillId="9" borderId="3" xfId="0" applyNumberFormat="1" applyFont="1" applyFill="1" applyBorder="1" applyAlignment="1">
      <alignment horizontal="center"/>
    </xf>
    <xf numFmtId="164" fontId="66" fillId="0" borderId="12" xfId="2" applyNumberFormat="1" applyFont="1" applyBorder="1" applyAlignment="1">
      <alignment horizontal="center"/>
    </xf>
    <xf numFmtId="1" fontId="59" fillId="2" borderId="7" xfId="0" applyNumberFormat="1" applyFont="1" applyFill="1" applyBorder="1" applyAlignment="1">
      <alignment horizontal="center" vertical="center"/>
    </xf>
    <xf numFmtId="0" fontId="66" fillId="0" borderId="3" xfId="0" applyFont="1" applyBorder="1" applyAlignment="1">
      <alignment horizontal="center" wrapText="1"/>
    </xf>
    <xf numFmtId="0" fontId="66" fillId="12" borderId="7" xfId="0" applyFont="1" applyFill="1" applyBorder="1" applyAlignment="1">
      <alignment horizontal="center"/>
    </xf>
    <xf numFmtId="0" fontId="66" fillId="4" borderId="1" xfId="0" applyFont="1" applyFill="1" applyBorder="1" applyAlignment="1">
      <alignment horizontal="center"/>
    </xf>
    <xf numFmtId="0" fontId="66" fillId="4" borderId="1" xfId="4" applyFont="1" applyFill="1" applyBorder="1" applyAlignment="1">
      <alignment horizontal="center"/>
    </xf>
    <xf numFmtId="1" fontId="67" fillId="0" borderId="1" xfId="0" applyNumberFormat="1" applyFont="1" applyBorder="1" applyAlignment="1">
      <alignment horizontal="center" wrapText="1"/>
    </xf>
    <xf numFmtId="164" fontId="66" fillId="0" borderId="11" xfId="2" applyNumberFormat="1" applyFont="1" applyBorder="1" applyAlignment="1" applyProtection="1">
      <alignment horizontal="center"/>
    </xf>
    <xf numFmtId="0" fontId="66" fillId="0" borderId="3" xfId="0" applyFont="1" applyBorder="1" applyAlignment="1">
      <alignment wrapText="1"/>
    </xf>
    <xf numFmtId="0" fontId="67" fillId="0" borderId="4" xfId="0" applyFont="1" applyBorder="1" applyAlignment="1">
      <alignment horizontal="center" vertical="center"/>
    </xf>
    <xf numFmtId="0" fontId="67" fillId="42" borderId="3" xfId="2403" applyNumberFormat="1" applyFont="1" applyFill="1" applyBorder="1" applyAlignment="1">
      <alignment horizontal="center" vertical="center"/>
    </xf>
    <xf numFmtId="0" fontId="66" fillId="4" borderId="1" xfId="4" applyFont="1" applyFill="1" applyBorder="1" applyAlignment="1" applyProtection="1">
      <alignment horizontal="center"/>
    </xf>
    <xf numFmtId="1" fontId="59" fillId="2" borderId="1" xfId="0" applyNumberFormat="1" applyFont="1" applyFill="1" applyBorder="1" applyAlignment="1">
      <alignment horizontal="center" vertical="center"/>
    </xf>
    <xf numFmtId="0" fontId="69" fillId="5" borderId="3" xfId="0" applyFont="1" applyFill="1" applyBorder="1" applyAlignment="1">
      <alignment horizontal="center"/>
    </xf>
    <xf numFmtId="0" fontId="67" fillId="0" borderId="1" xfId="0" applyFont="1" applyBorder="1"/>
    <xf numFmtId="0" fontId="66" fillId="5" borderId="1" xfId="4" applyFont="1" applyBorder="1" applyAlignment="1" applyProtection="1">
      <alignment horizontal="center"/>
    </xf>
    <xf numFmtId="1" fontId="0" fillId="2" borderId="7" xfId="0" applyNumberFormat="1" applyFill="1" applyBorder="1" applyAlignment="1">
      <alignment horizontal="center" vertical="center"/>
    </xf>
    <xf numFmtId="0" fontId="66" fillId="0" borderId="3" xfId="0" applyFont="1" applyBorder="1" applyAlignment="1">
      <alignment horizontal="center"/>
    </xf>
    <xf numFmtId="10" fontId="67" fillId="17" borderId="3" xfId="2" applyNumberFormat="1" applyFont="1" applyFill="1" applyBorder="1" applyAlignment="1" applyProtection="1">
      <alignment horizontal="center"/>
    </xf>
    <xf numFmtId="0" fontId="67" fillId="0" borderId="3" xfId="4" applyFont="1" applyFill="1" applyBorder="1" applyAlignment="1">
      <alignment horizontal="center" wrapText="1"/>
    </xf>
    <xf numFmtId="0" fontId="66" fillId="2" borderId="7" xfId="0" applyFont="1" applyFill="1" applyBorder="1" applyAlignment="1">
      <alignment horizontal="center"/>
    </xf>
    <xf numFmtId="0" fontId="66" fillId="2" borderId="0" xfId="0" applyFont="1" applyFill="1"/>
    <xf numFmtId="1" fontId="66" fillId="9" borderId="1" xfId="0" applyNumberFormat="1" applyFont="1" applyFill="1" applyBorder="1" applyAlignment="1">
      <alignment horizontal="center"/>
    </xf>
    <xf numFmtId="0" fontId="67" fillId="0" borderId="2" xfId="0" applyFont="1" applyBorder="1" applyAlignment="1">
      <alignment horizontal="center"/>
    </xf>
    <xf numFmtId="164" fontId="66" fillId="4" borderId="11" xfId="2" applyNumberFormat="1" applyFont="1" applyFill="1" applyBorder="1" applyAlignment="1">
      <alignment horizontal="center"/>
    </xf>
    <xf numFmtId="1" fontId="67" fillId="0" borderId="3" xfId="0" applyNumberFormat="1" applyFont="1" applyBorder="1" applyAlignment="1">
      <alignment horizontal="center"/>
    </xf>
    <xf numFmtId="0" fontId="66" fillId="9" borderId="7" xfId="0" applyFont="1" applyFill="1" applyBorder="1" applyAlignment="1">
      <alignment horizontal="center"/>
    </xf>
    <xf numFmtId="0" fontId="66" fillId="2" borderId="1" xfId="0" applyFont="1" applyFill="1" applyBorder="1" applyAlignment="1">
      <alignment horizontal="center"/>
    </xf>
    <xf numFmtId="0" fontId="67" fillId="3" borderId="1" xfId="3" applyFont="1" applyBorder="1" applyAlignment="1">
      <alignment horizontal="center" vertical="center"/>
    </xf>
    <xf numFmtId="1" fontId="66" fillId="4" borderId="7" xfId="0" applyNumberFormat="1" applyFont="1" applyFill="1" applyBorder="1" applyAlignment="1">
      <alignment horizontal="center"/>
    </xf>
    <xf numFmtId="0" fontId="66" fillId="12" borderId="10" xfId="0" applyFont="1" applyFill="1" applyBorder="1" applyAlignment="1">
      <alignment horizontal="center"/>
    </xf>
    <xf numFmtId="164" fontId="66" fillId="0" borderId="11" xfId="2" applyNumberFormat="1" applyFont="1" applyBorder="1" applyAlignment="1">
      <alignment horizontal="center"/>
    </xf>
    <xf numFmtId="0" fontId="66" fillId="4" borderId="7" xfId="4" applyFont="1" applyFill="1" applyBorder="1" applyAlignment="1">
      <alignment horizontal="center"/>
    </xf>
    <xf numFmtId="0" fontId="67" fillId="3" borderId="1" xfId="3" applyFont="1" applyBorder="1" applyAlignment="1" applyProtection="1">
      <alignment horizontal="center" vertical="center"/>
    </xf>
    <xf numFmtId="1" fontId="66" fillId="0" borderId="0" xfId="0" applyNumberFormat="1" applyFont="1"/>
    <xf numFmtId="0" fontId="67" fillId="0" borderId="0" xfId="0" applyFont="1"/>
    <xf numFmtId="0" fontId="70" fillId="16" borderId="4" xfId="11" applyFont="1" applyFill="1" applyBorder="1" applyAlignment="1">
      <alignment horizontal="center" vertical="center" wrapText="1" shrinkToFit="1"/>
    </xf>
    <xf numFmtId="1" fontId="66" fillId="9" borderId="7" xfId="0" applyNumberFormat="1" applyFont="1" applyFill="1" applyBorder="1" applyAlignment="1">
      <alignment horizontal="center"/>
    </xf>
    <xf numFmtId="0" fontId="66" fillId="4" borderId="13" xfId="0" applyFont="1" applyFill="1" applyBorder="1" applyAlignment="1">
      <alignment horizontal="center"/>
    </xf>
    <xf numFmtId="16" fontId="67" fillId="4" borderId="10" xfId="3" applyNumberFormat="1" applyFont="1" applyFill="1" applyBorder="1" applyAlignment="1">
      <alignment horizontal="center"/>
    </xf>
    <xf numFmtId="164" fontId="66" fillId="4" borderId="7" xfId="2" applyNumberFormat="1" applyFont="1" applyFill="1" applyBorder="1" applyAlignment="1" applyProtection="1">
      <alignment horizontal="center"/>
    </xf>
    <xf numFmtId="0" fontId="67" fillId="0" borderId="3" xfId="0" applyFont="1" applyBorder="1" applyAlignment="1">
      <alignment horizontal="center" wrapText="1"/>
    </xf>
    <xf numFmtId="0" fontId="0" fillId="0" borderId="35" xfId="0" applyBorder="1" applyAlignment="1">
      <alignment horizontal="center" vertical="center"/>
    </xf>
    <xf numFmtId="0" fontId="66" fillId="5" borderId="7" xfId="4" applyFont="1" applyBorder="1" applyAlignment="1">
      <alignment horizontal="center"/>
    </xf>
    <xf numFmtId="0" fontId="66" fillId="0" borderId="1" xfId="0" applyFont="1" applyBorder="1" applyAlignment="1">
      <alignment horizontal="center" vertical="center"/>
    </xf>
    <xf numFmtId="0" fontId="66" fillId="0" borderId="2" xfId="0" applyFont="1" applyBorder="1" applyAlignment="1">
      <alignment horizontal="left"/>
    </xf>
    <xf numFmtId="1" fontId="67" fillId="0" borderId="1" xfId="0" applyNumberFormat="1" applyFont="1" applyBorder="1" applyAlignment="1">
      <alignment wrapText="1"/>
    </xf>
    <xf numFmtId="0" fontId="66" fillId="12" borderId="1" xfId="0" applyFont="1" applyFill="1" applyBorder="1" applyAlignment="1">
      <alignment horizontal="center"/>
    </xf>
    <xf numFmtId="164" fontId="66" fillId="4" borderId="7" xfId="2" applyNumberFormat="1" applyFont="1" applyFill="1" applyBorder="1" applyAlignment="1">
      <alignment horizontal="center"/>
    </xf>
    <xf numFmtId="164" fontId="66" fillId="4" borderId="11" xfId="2" applyNumberFormat="1" applyFont="1" applyFill="1" applyBorder="1" applyAlignment="1" applyProtection="1">
      <alignment horizontal="center"/>
    </xf>
    <xf numFmtId="0" fontId="66" fillId="5" borderId="1" xfId="4" applyFont="1" applyBorder="1" applyAlignment="1">
      <alignment horizontal="center"/>
    </xf>
    <xf numFmtId="0" fontId="69" fillId="5" borderId="3" xfId="0" applyFont="1" applyFill="1" applyBorder="1" applyAlignment="1">
      <alignment horizontal="center" wrapText="1"/>
    </xf>
    <xf numFmtId="0" fontId="66" fillId="8" borderId="1" xfId="0" applyFont="1" applyFill="1" applyBorder="1" applyAlignment="1">
      <alignment horizontal="center"/>
    </xf>
    <xf numFmtId="0" fontId="66" fillId="5" borderId="7" xfId="4" applyFont="1" applyBorder="1" applyAlignment="1" applyProtection="1">
      <alignment horizontal="center"/>
    </xf>
    <xf numFmtId="164" fontId="66" fillId="0" borderId="12" xfId="2" applyNumberFormat="1" applyFont="1" applyBorder="1" applyAlignment="1" applyProtection="1">
      <alignment horizontal="center"/>
    </xf>
    <xf numFmtId="16" fontId="67" fillId="4" borderId="7" xfId="3" applyNumberFormat="1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67" fillId="0" borderId="1" xfId="0" applyFont="1" applyBorder="1" applyAlignment="1">
      <alignment wrapText="1"/>
    </xf>
    <xf numFmtId="0" fontId="67" fillId="0" borderId="3" xfId="4" applyFont="1" applyFill="1" applyBorder="1" applyAlignment="1" applyProtection="1">
      <alignment horizontal="center" wrapText="1"/>
    </xf>
    <xf numFmtId="164" fontId="66" fillId="0" borderId="1" xfId="2" applyNumberFormat="1" applyFont="1" applyBorder="1" applyAlignment="1" applyProtection="1">
      <alignment horizontal="center"/>
    </xf>
    <xf numFmtId="0" fontId="66" fillId="4" borderId="10" xfId="4" applyFont="1" applyFill="1" applyBorder="1" applyAlignment="1" applyProtection="1">
      <alignment horizontal="center"/>
    </xf>
    <xf numFmtId="0" fontId="69" fillId="5" borderId="1" xfId="0" applyFont="1" applyFill="1" applyBorder="1" applyAlignment="1">
      <alignment horizontal="center" vertical="center"/>
    </xf>
    <xf numFmtId="0" fontId="66" fillId="4" borderId="7" xfId="0" applyFont="1" applyFill="1" applyBorder="1" applyAlignment="1">
      <alignment horizontal="center"/>
    </xf>
    <xf numFmtId="0" fontId="66" fillId="9" borderId="1" xfId="0" applyFont="1" applyFill="1" applyBorder="1" applyAlignment="1">
      <alignment horizontal="center"/>
    </xf>
    <xf numFmtId="0" fontId="66" fillId="10" borderId="1" xfId="0" applyFont="1" applyFill="1" applyBorder="1" applyAlignment="1">
      <alignment horizontal="center"/>
    </xf>
    <xf numFmtId="0" fontId="66" fillId="4" borderId="10" xfId="4" applyFont="1" applyFill="1" applyBorder="1" applyAlignment="1">
      <alignment horizontal="center"/>
    </xf>
    <xf numFmtId="0" fontId="66" fillId="0" borderId="0" xfId="0" applyFont="1" applyAlignment="1">
      <alignment horizontal="center" vertical="center"/>
    </xf>
    <xf numFmtId="16" fontId="67" fillId="4" borderId="1" xfId="3" applyNumberFormat="1" applyFont="1" applyFill="1" applyBorder="1" applyAlignment="1">
      <alignment horizontal="center"/>
    </xf>
    <xf numFmtId="0" fontId="66" fillId="4" borderId="7" xfId="4" applyFont="1" applyFill="1" applyBorder="1" applyAlignment="1" applyProtection="1">
      <alignment horizontal="center"/>
    </xf>
    <xf numFmtId="0" fontId="67" fillId="0" borderId="3" xfId="0" applyFont="1" applyBorder="1" applyAlignment="1">
      <alignment wrapText="1"/>
    </xf>
    <xf numFmtId="164" fontId="66" fillId="0" borderId="7" xfId="2" applyNumberFormat="1" applyFont="1" applyBorder="1" applyAlignment="1">
      <alignment horizontal="center"/>
    </xf>
    <xf numFmtId="0" fontId="68" fillId="0" borderId="3" xfId="0" applyFont="1" applyBorder="1" applyAlignment="1">
      <alignment wrapText="1"/>
    </xf>
    <xf numFmtId="0" fontId="66" fillId="9" borderId="3" xfId="0" applyFont="1" applyFill="1" applyBorder="1" applyAlignment="1">
      <alignment horizontal="center"/>
    </xf>
    <xf numFmtId="0" fontId="67" fillId="0" borderId="3" xfId="0" applyFont="1" applyBorder="1"/>
    <xf numFmtId="9" fontId="67" fillId="17" borderId="3" xfId="2" applyFont="1" applyFill="1" applyBorder="1" applyAlignment="1" applyProtection="1">
      <alignment horizontal="center"/>
    </xf>
    <xf numFmtId="0" fontId="59" fillId="0" borderId="1" xfId="0" applyFont="1" applyBorder="1" applyAlignment="1">
      <alignment horizontal="center" vertical="center"/>
    </xf>
    <xf numFmtId="0" fontId="66" fillId="10" borderId="10" xfId="0" applyFont="1" applyFill="1" applyBorder="1" applyAlignment="1">
      <alignment horizontal="center"/>
    </xf>
    <xf numFmtId="0" fontId="66" fillId="4" borderId="10" xfId="0" applyFont="1" applyFill="1" applyBorder="1" applyAlignment="1">
      <alignment horizontal="center"/>
    </xf>
    <xf numFmtId="0" fontId="66" fillId="10" borderId="7" xfId="0" applyFont="1" applyFill="1" applyBorder="1" applyAlignment="1">
      <alignment horizontal="center"/>
    </xf>
    <xf numFmtId="0" fontId="66" fillId="0" borderId="4" xfId="0" applyFont="1" applyBorder="1" applyAlignment="1">
      <alignment horizontal="center" vertical="center"/>
    </xf>
    <xf numFmtId="0" fontId="66" fillId="8" borderId="7" xfId="0" applyFont="1" applyFill="1" applyBorder="1" applyAlignment="1">
      <alignment horizontal="center"/>
    </xf>
    <xf numFmtId="0" fontId="67" fillId="2" borderId="0" xfId="0" applyFont="1" applyFill="1"/>
    <xf numFmtId="164" fontId="66" fillId="0" borderId="1" xfId="2" applyNumberFormat="1" applyFont="1" applyBorder="1" applyAlignment="1">
      <alignment horizontal="center"/>
    </xf>
    <xf numFmtId="10" fontId="67" fillId="17" borderId="3" xfId="2" applyNumberFormat="1" applyFont="1" applyFill="1" applyBorder="1" applyAlignment="1">
      <alignment horizontal="center"/>
    </xf>
    <xf numFmtId="9" fontId="67" fillId="17" borderId="3" xfId="2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1" fontId="15" fillId="0" borderId="3" xfId="0" applyNumberFormat="1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/>
    </xf>
    <xf numFmtId="0" fontId="67" fillId="2" borderId="7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71" fillId="12" borderId="7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10" borderId="7" xfId="0" applyFont="1" applyFill="1" applyBorder="1" applyAlignment="1">
      <alignment horizontal="center"/>
    </xf>
    <xf numFmtId="0" fontId="21" fillId="10" borderId="10" xfId="0" applyFont="1" applyFill="1" applyBorder="1" applyAlignment="1">
      <alignment horizontal="center"/>
    </xf>
    <xf numFmtId="0" fontId="21" fillId="5" borderId="7" xfId="4" applyFont="1" applyBorder="1" applyAlignment="1">
      <alignment horizontal="center"/>
    </xf>
    <xf numFmtId="0" fontId="21" fillId="5" borderId="1" xfId="4" applyFont="1" applyBorder="1" applyAlignment="1">
      <alignment horizontal="center"/>
    </xf>
    <xf numFmtId="0" fontId="21" fillId="9" borderId="7" xfId="0" applyFont="1" applyFill="1" applyBorder="1" applyAlignment="1">
      <alignment horizontal="center"/>
    </xf>
    <xf numFmtId="1" fontId="21" fillId="9" borderId="7" xfId="0" applyNumberFormat="1" applyFont="1" applyFill="1" applyBorder="1" applyAlignment="1">
      <alignment horizontal="center"/>
    </xf>
    <xf numFmtId="164" fontId="21" fillId="0" borderId="7" xfId="2" applyNumberFormat="1" applyFont="1" applyBorder="1" applyAlignment="1">
      <alignment horizontal="center"/>
    </xf>
    <xf numFmtId="164" fontId="21" fillId="0" borderId="11" xfId="2" applyNumberFormat="1" applyFont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15" fillId="8" borderId="7" xfId="0" applyFont="1" applyFill="1" applyBorder="1" applyAlignment="1">
      <alignment horizontal="center"/>
    </xf>
    <xf numFmtId="1" fontId="15" fillId="2" borderId="7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0" fontId="67" fillId="4" borderId="7" xfId="0" applyFont="1" applyFill="1" applyBorder="1" applyAlignment="1">
      <alignment horizontal="center"/>
    </xf>
    <xf numFmtId="0" fontId="67" fillId="4" borderId="10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67" fillId="2" borderId="1" xfId="0" applyFont="1" applyFill="1" applyBorder="1" applyAlignment="1">
      <alignment horizontal="center"/>
    </xf>
    <xf numFmtId="0" fontId="67" fillId="4" borderId="7" xfId="4" applyFont="1" applyFill="1" applyBorder="1" applyAlignment="1">
      <alignment horizontal="center"/>
    </xf>
    <xf numFmtId="0" fontId="67" fillId="4" borderId="1" xfId="4" applyFont="1" applyFill="1" applyBorder="1" applyAlignment="1">
      <alignment horizontal="center"/>
    </xf>
    <xf numFmtId="0" fontId="67" fillId="4" borderId="10" xfId="4" applyFont="1" applyFill="1" applyBorder="1" applyAlignment="1">
      <alignment horizontal="center"/>
    </xf>
    <xf numFmtId="0" fontId="66" fillId="0" borderId="2" xfId="0" applyFont="1" applyBorder="1" applyAlignment="1">
      <alignment horizontal="center"/>
    </xf>
    <xf numFmtId="0" fontId="66" fillId="0" borderId="2" xfId="11314" applyFont="1" applyBorder="1" applyAlignment="1">
      <alignment horizontal="center"/>
    </xf>
    <xf numFmtId="1" fontId="66" fillId="2" borderId="7" xfId="0" applyNumberFormat="1" applyFont="1" applyFill="1" applyBorder="1" applyAlignment="1">
      <alignment horizontal="center"/>
    </xf>
    <xf numFmtId="1" fontId="62" fillId="2" borderId="7" xfId="0" applyNumberFormat="1" applyFont="1" applyFill="1" applyBorder="1" applyAlignment="1">
      <alignment horizontal="center"/>
    </xf>
    <xf numFmtId="0" fontId="67" fillId="2" borderId="3" xfId="10187" applyFont="1" applyFill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20" fillId="12" borderId="1" xfId="0" applyFont="1" applyFill="1" applyBorder="1" applyAlignment="1">
      <alignment horizontal="center"/>
    </xf>
    <xf numFmtId="0" fontId="67" fillId="0" borderId="4" xfId="0" applyFont="1" applyBorder="1" applyAlignment="1">
      <alignment horizontal="center"/>
    </xf>
    <xf numFmtId="0" fontId="62" fillId="0" borderId="2" xfId="0" applyFont="1" applyBorder="1" applyAlignment="1">
      <alignment horizontal="center"/>
    </xf>
    <xf numFmtId="0" fontId="66" fillId="4" borderId="8" xfId="0" applyFont="1" applyFill="1" applyBorder="1" applyAlignment="1">
      <alignment horizontal="center"/>
    </xf>
    <xf numFmtId="0" fontId="66" fillId="4" borderId="9" xfId="0" applyFont="1" applyFill="1" applyBorder="1" applyAlignment="1">
      <alignment horizontal="center"/>
    </xf>
    <xf numFmtId="16" fontId="67" fillId="4" borderId="5" xfId="3" applyNumberFormat="1" applyFont="1" applyFill="1" applyBorder="1" applyAlignment="1">
      <alignment horizontal="center"/>
    </xf>
    <xf numFmtId="16" fontId="67" fillId="4" borderId="6" xfId="3" applyNumberFormat="1" applyFont="1" applyFill="1" applyBorder="1" applyAlignment="1">
      <alignment horizontal="center"/>
    </xf>
    <xf numFmtId="0" fontId="67" fillId="3" borderId="1" xfId="3" applyFont="1" applyBorder="1" applyAlignment="1">
      <alignment horizontal="center" vertical="center"/>
    </xf>
    <xf numFmtId="0" fontId="67" fillId="3" borderId="4" xfId="3" applyFont="1" applyBorder="1" applyAlignment="1">
      <alignment horizontal="center" vertical="center"/>
    </xf>
    <xf numFmtId="0" fontId="67" fillId="0" borderId="1" xfId="0" applyFont="1" applyBorder="1" applyAlignment="1">
      <alignment horizontal="right"/>
    </xf>
    <xf numFmtId="0" fontId="67" fillId="0" borderId="4" xfId="0" applyFont="1" applyBorder="1" applyAlignment="1">
      <alignment horizontal="right"/>
    </xf>
    <xf numFmtId="0" fontId="67" fillId="6" borderId="1" xfId="4" applyFont="1" applyFill="1" applyBorder="1" applyAlignment="1">
      <alignment horizontal="center" vertical="center" wrapText="1"/>
    </xf>
    <xf numFmtId="0" fontId="67" fillId="6" borderId="4" xfId="4" applyFont="1" applyFill="1" applyBorder="1" applyAlignment="1">
      <alignment horizontal="center" vertical="center" wrapText="1"/>
    </xf>
    <xf numFmtId="0" fontId="67" fillId="7" borderId="1" xfId="0" applyFont="1" applyFill="1" applyBorder="1" applyAlignment="1">
      <alignment horizontal="center" vertical="center"/>
    </xf>
    <xf numFmtId="0" fontId="67" fillId="7" borderId="4" xfId="0" applyFont="1" applyFill="1" applyBorder="1" applyAlignment="1">
      <alignment horizontal="center" vertical="center"/>
    </xf>
    <xf numFmtId="0" fontId="67" fillId="6" borderId="1" xfId="4" applyFont="1" applyFill="1" applyBorder="1" applyAlignment="1">
      <alignment horizontal="center" wrapText="1"/>
    </xf>
    <xf numFmtId="0" fontId="67" fillId="6" borderId="4" xfId="4" applyFont="1" applyFill="1" applyBorder="1" applyAlignment="1">
      <alignment horizontal="center" wrapText="1"/>
    </xf>
    <xf numFmtId="0" fontId="67" fillId="0" borderId="1" xfId="0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0" fontId="67" fillId="8" borderId="1" xfId="0" applyFont="1" applyFill="1" applyBorder="1" applyAlignment="1">
      <alignment horizontal="right"/>
    </xf>
    <xf numFmtId="0" fontId="67" fillId="8" borderId="4" xfId="0" applyFont="1" applyFill="1" applyBorder="1" applyAlignment="1">
      <alignment horizontal="right"/>
    </xf>
    <xf numFmtId="0" fontId="67" fillId="10" borderId="1" xfId="0" applyFont="1" applyFill="1" applyBorder="1" applyAlignment="1">
      <alignment horizontal="center" vertical="center"/>
    </xf>
    <xf numFmtId="0" fontId="67" fillId="10" borderId="4" xfId="0" applyFont="1" applyFill="1" applyBorder="1" applyAlignment="1">
      <alignment horizontal="center" vertical="center"/>
    </xf>
    <xf numFmtId="0" fontId="67" fillId="11" borderId="1" xfId="0" applyFont="1" applyFill="1" applyBorder="1" applyAlignment="1">
      <alignment horizontal="center" wrapText="1"/>
    </xf>
    <xf numFmtId="0" fontId="67" fillId="11" borderId="4" xfId="0" applyFont="1" applyFill="1" applyBorder="1" applyAlignment="1">
      <alignment horizontal="center" wrapText="1"/>
    </xf>
    <xf numFmtId="0" fontId="67" fillId="5" borderId="1" xfId="4" applyFont="1" applyBorder="1" applyAlignment="1">
      <alignment horizontal="center" wrapText="1"/>
    </xf>
    <xf numFmtId="0" fontId="67" fillId="5" borderId="4" xfId="4" applyFont="1" applyBorder="1" applyAlignment="1">
      <alignment horizontal="center" wrapText="1"/>
    </xf>
    <xf numFmtId="0" fontId="67" fillId="9" borderId="1" xfId="0" applyFont="1" applyFill="1" applyBorder="1" applyAlignment="1">
      <alignment horizontal="center" vertical="center"/>
    </xf>
    <xf numFmtId="0" fontId="67" fillId="9" borderId="4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wrapText="1"/>
    </xf>
    <xf numFmtId="0" fontId="68" fillId="0" borderId="4" xfId="0" applyFont="1" applyBorder="1" applyAlignment="1">
      <alignment horizontal="center" wrapText="1"/>
    </xf>
    <xf numFmtId="0" fontId="67" fillId="0" borderId="1" xfId="0" applyFont="1" applyBorder="1" applyAlignment="1">
      <alignment horizontal="center"/>
    </xf>
    <xf numFmtId="0" fontId="67" fillId="0" borderId="4" xfId="0" applyFont="1" applyBorder="1" applyAlignment="1">
      <alignment horizontal="center"/>
    </xf>
    <xf numFmtId="0" fontId="67" fillId="9" borderId="1" xfId="0" applyFont="1" applyFill="1" applyBorder="1" applyAlignment="1">
      <alignment horizontal="center" wrapText="1"/>
    </xf>
    <xf numFmtId="0" fontId="67" fillId="9" borderId="4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9" borderId="1" xfId="0" applyFont="1" applyFill="1" applyBorder="1" applyAlignment="1">
      <alignment horizontal="center" wrapText="1"/>
    </xf>
    <xf numFmtId="0" fontId="15" fillId="9" borderId="2" xfId="0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27" fillId="0" borderId="2" xfId="0" applyFont="1" applyBorder="1" applyAlignment="1">
      <alignment horizontal="center" wrapText="1"/>
    </xf>
    <xf numFmtId="0" fontId="15" fillId="9" borderId="1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wrapText="1"/>
    </xf>
    <xf numFmtId="0" fontId="19" fillId="11" borderId="2" xfId="0" applyFont="1" applyFill="1" applyBorder="1" applyAlignment="1">
      <alignment horizontal="center" wrapText="1"/>
    </xf>
    <xf numFmtId="0" fontId="15" fillId="5" borderId="1" xfId="4" applyFont="1" applyBorder="1" applyAlignment="1">
      <alignment horizontal="center" wrapText="1"/>
    </xf>
    <xf numFmtId="0" fontId="15" fillId="5" borderId="2" xfId="4" applyFont="1" applyBorder="1" applyAlignment="1">
      <alignment horizontal="center" wrapText="1"/>
    </xf>
    <xf numFmtId="0" fontId="15" fillId="8" borderId="1" xfId="0" applyFont="1" applyFill="1" applyBorder="1" applyAlignment="1">
      <alignment horizontal="right"/>
    </xf>
    <xf numFmtId="0" fontId="15" fillId="8" borderId="2" xfId="0" applyFont="1" applyFill="1" applyBorder="1" applyAlignment="1">
      <alignment horizontal="right"/>
    </xf>
    <xf numFmtId="0" fontId="21" fillId="7" borderId="1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9" fillId="6" borderId="1" xfId="4" applyFont="1" applyFill="1" applyBorder="1" applyAlignment="1">
      <alignment horizontal="center" vertical="center" wrapText="1"/>
    </xf>
    <xf numFmtId="0" fontId="19" fillId="6" borderId="2" xfId="4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5" fillId="6" borderId="1" xfId="4" applyFont="1" applyFill="1" applyBorder="1" applyAlignment="1">
      <alignment horizontal="center" wrapText="1"/>
    </xf>
    <xf numFmtId="0" fontId="15" fillId="6" borderId="2" xfId="4" applyFont="1" applyFill="1" applyBorder="1" applyAlignment="1">
      <alignment horizontal="center" wrapText="1"/>
    </xf>
    <xf numFmtId="16" fontId="15" fillId="4" borderId="63" xfId="3" applyNumberFormat="1" applyFont="1" applyFill="1" applyBorder="1" applyAlignment="1">
      <alignment horizontal="center"/>
    </xf>
    <xf numFmtId="16" fontId="15" fillId="4" borderId="45" xfId="3" applyNumberFormat="1" applyFont="1" applyFill="1" applyBorder="1" applyAlignment="1">
      <alignment horizontal="center"/>
    </xf>
    <xf numFmtId="0" fontId="15" fillId="3" borderId="1" xfId="3" applyFont="1" applyBorder="1" applyAlignment="1">
      <alignment horizontal="center" vertical="center"/>
    </xf>
    <xf numFmtId="0" fontId="15" fillId="3" borderId="4" xfId="3" applyFont="1" applyBorder="1" applyAlignment="1">
      <alignment horizontal="center" vertical="center"/>
    </xf>
    <xf numFmtId="0" fontId="15" fillId="3" borderId="2" xfId="3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46" fillId="0" borderId="60" xfId="0" applyFont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36" fillId="12" borderId="11" xfId="0" applyFont="1" applyFill="1" applyBorder="1" applyAlignment="1">
      <alignment horizontal="center" vertical="center"/>
    </xf>
    <xf numFmtId="0" fontId="36" fillId="12" borderId="13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wrapText="1"/>
    </xf>
    <xf numFmtId="0" fontId="20" fillId="11" borderId="4" xfId="0" applyFont="1" applyFill="1" applyBorder="1" applyAlignment="1">
      <alignment horizontal="center" wrapText="1"/>
    </xf>
    <xf numFmtId="0" fontId="20" fillId="5" borderId="1" xfId="4" applyFont="1" applyBorder="1" applyAlignment="1">
      <alignment horizontal="center" wrapText="1"/>
    </xf>
    <xf numFmtId="0" fontId="20" fillId="5" borderId="4" xfId="4" applyFont="1" applyBorder="1" applyAlignment="1">
      <alignment horizontal="center" wrapText="1"/>
    </xf>
    <xf numFmtId="0" fontId="20" fillId="8" borderId="1" xfId="0" applyFont="1" applyFill="1" applyBorder="1" applyAlignment="1">
      <alignment horizontal="right"/>
    </xf>
    <xf numFmtId="0" fontId="20" fillId="8" borderId="4" xfId="0" applyFont="1" applyFill="1" applyBorder="1" applyAlignment="1">
      <alignment horizontal="right"/>
    </xf>
    <xf numFmtId="0" fontId="20" fillId="9" borderId="1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 wrapText="1"/>
    </xf>
    <xf numFmtId="0" fontId="65" fillId="0" borderId="4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9" borderId="1" xfId="0" applyFont="1" applyFill="1" applyBorder="1" applyAlignment="1">
      <alignment horizontal="center" wrapText="1"/>
    </xf>
    <xf numFmtId="0" fontId="20" fillId="9" borderId="4" xfId="0" applyFont="1" applyFill="1" applyBorder="1" applyAlignment="1">
      <alignment horizontal="center" wrapText="1"/>
    </xf>
    <xf numFmtId="0" fontId="20" fillId="7" borderId="1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right"/>
    </xf>
    <xf numFmtId="0" fontId="20" fillId="0" borderId="4" xfId="0" applyFont="1" applyBorder="1" applyAlignment="1">
      <alignment horizontal="right"/>
    </xf>
    <xf numFmtId="0" fontId="20" fillId="6" borderId="1" xfId="4" applyFont="1" applyFill="1" applyBorder="1" applyAlignment="1">
      <alignment horizontal="center" vertical="center" wrapText="1"/>
    </xf>
    <xf numFmtId="0" fontId="20" fillId="6" borderId="4" xfId="4" applyFont="1" applyFill="1" applyBorder="1" applyAlignment="1">
      <alignment horizontal="center" vertical="center" wrapText="1"/>
    </xf>
    <xf numFmtId="0" fontId="20" fillId="6" borderId="1" xfId="4" applyFont="1" applyFill="1" applyBorder="1" applyAlignment="1">
      <alignment horizontal="center" wrapText="1"/>
    </xf>
    <xf numFmtId="0" fontId="20" fillId="6" borderId="4" xfId="4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right"/>
    </xf>
    <xf numFmtId="0" fontId="20" fillId="3" borderId="1" xfId="3" applyFont="1" applyBorder="1" applyAlignment="1">
      <alignment horizontal="center" vertical="center"/>
    </xf>
    <xf numFmtId="0" fontId="20" fillId="3" borderId="4" xfId="3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8" borderId="1" xfId="0" applyFont="1" applyFill="1" applyBorder="1" applyAlignment="1">
      <alignment horizontal="right"/>
    </xf>
    <xf numFmtId="0" fontId="21" fillId="8" borderId="9" xfId="0" applyFont="1" applyFill="1" applyBorder="1" applyAlignment="1">
      <alignment horizontal="right"/>
    </xf>
    <xf numFmtId="0" fontId="21" fillId="9" borderId="1" xfId="0" applyFont="1" applyFill="1" applyBorder="1" applyAlignment="1">
      <alignment horizontal="center" wrapText="1"/>
    </xf>
    <xf numFmtId="0" fontId="21" fillId="9" borderId="4" xfId="0" applyFont="1" applyFill="1" applyBorder="1" applyAlignment="1">
      <alignment horizontal="center" wrapText="1"/>
    </xf>
    <xf numFmtId="0" fontId="21" fillId="8" borderId="4" xfId="0" applyFont="1" applyFill="1" applyBorder="1" applyAlignment="1">
      <alignment horizontal="right"/>
    </xf>
    <xf numFmtId="0" fontId="21" fillId="9" borderId="1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wrapText="1"/>
    </xf>
    <xf numFmtId="0" fontId="21" fillId="11" borderId="4" xfId="0" applyFont="1" applyFill="1" applyBorder="1" applyAlignment="1">
      <alignment horizontal="center" wrapText="1"/>
    </xf>
    <xf numFmtId="0" fontId="21" fillId="5" borderId="1" xfId="4" applyFont="1" applyBorder="1" applyAlignment="1">
      <alignment horizontal="center" wrapText="1"/>
    </xf>
    <xf numFmtId="0" fontId="21" fillId="5" borderId="4" xfId="4" applyFont="1" applyBorder="1" applyAlignment="1">
      <alignment horizontal="center" wrapText="1"/>
    </xf>
    <xf numFmtId="0" fontId="21" fillId="7" borderId="4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right"/>
    </xf>
    <xf numFmtId="0" fontId="21" fillId="0" borderId="4" xfId="0" applyFont="1" applyBorder="1" applyAlignment="1">
      <alignment horizontal="right"/>
    </xf>
    <xf numFmtId="0" fontId="21" fillId="6" borderId="1" xfId="4" applyFont="1" applyFill="1" applyBorder="1" applyAlignment="1">
      <alignment horizontal="center" vertical="center" wrapText="1"/>
    </xf>
    <xf numFmtId="0" fontId="21" fillId="6" borderId="4" xfId="4" applyFont="1" applyFill="1" applyBorder="1" applyAlignment="1">
      <alignment horizontal="center" vertical="center" wrapText="1"/>
    </xf>
    <xf numFmtId="16" fontId="21" fillId="4" borderId="5" xfId="3" applyNumberFormat="1" applyFont="1" applyFill="1" applyBorder="1" applyAlignment="1">
      <alignment horizontal="center"/>
    </xf>
    <xf numFmtId="16" fontId="21" fillId="4" borderId="6" xfId="3" applyNumberFormat="1" applyFont="1" applyFill="1" applyBorder="1" applyAlignment="1">
      <alignment horizontal="center"/>
    </xf>
    <xf numFmtId="0" fontId="21" fillId="3" borderId="1" xfId="3" applyFont="1" applyBorder="1" applyAlignment="1">
      <alignment horizontal="center" vertical="center"/>
    </xf>
    <xf numFmtId="0" fontId="21" fillId="3" borderId="4" xfId="3" applyFont="1" applyBorder="1" applyAlignment="1">
      <alignment horizontal="center" vertical="center"/>
    </xf>
    <xf numFmtId="0" fontId="21" fillId="6" borderId="1" xfId="4" applyFont="1" applyFill="1" applyBorder="1" applyAlignment="1">
      <alignment horizontal="center" wrapText="1"/>
    </xf>
    <xf numFmtId="0" fontId="21" fillId="6" borderId="4" xfId="4" applyFont="1" applyFill="1" applyBorder="1" applyAlignment="1">
      <alignment horizontal="center" wrapText="1"/>
    </xf>
    <xf numFmtId="0" fontId="67" fillId="5" borderId="1" xfId="4" applyFont="1" applyBorder="1" applyAlignment="1" applyProtection="1">
      <alignment horizontal="center" wrapText="1"/>
    </xf>
    <xf numFmtId="0" fontId="67" fillId="5" borderId="4" xfId="4" applyFont="1" applyBorder="1" applyAlignment="1" applyProtection="1">
      <alignment horizontal="center" wrapText="1"/>
    </xf>
    <xf numFmtId="0" fontId="67" fillId="6" borderId="1" xfId="4" applyFont="1" applyFill="1" applyBorder="1" applyAlignment="1" applyProtection="1">
      <alignment horizontal="center" vertical="center" wrapText="1"/>
    </xf>
    <xf numFmtId="0" fontId="67" fillId="6" borderId="4" xfId="4" applyFont="1" applyFill="1" applyBorder="1" applyAlignment="1" applyProtection="1">
      <alignment horizontal="center" vertical="center" wrapText="1"/>
    </xf>
    <xf numFmtId="0" fontId="67" fillId="6" borderId="1" xfId="4" applyFont="1" applyFill="1" applyBorder="1" applyAlignment="1" applyProtection="1">
      <alignment horizontal="center" wrapText="1"/>
    </xf>
    <xf numFmtId="0" fontId="67" fillId="6" borderId="4" xfId="4" applyFont="1" applyFill="1" applyBorder="1" applyAlignment="1" applyProtection="1">
      <alignment horizontal="center" wrapText="1"/>
    </xf>
    <xf numFmtId="0" fontId="67" fillId="3" borderId="1" xfId="3" applyFont="1" applyBorder="1" applyAlignment="1" applyProtection="1">
      <alignment horizontal="center" vertical="center"/>
    </xf>
    <xf numFmtId="0" fontId="67" fillId="3" borderId="4" xfId="3" applyFont="1" applyBorder="1" applyAlignment="1" applyProtection="1">
      <alignment horizontal="center" vertical="center"/>
    </xf>
    <xf numFmtId="0" fontId="67" fillId="6" borderId="65" xfId="4" applyFont="1" applyFill="1" applyBorder="1" applyAlignment="1">
      <alignment horizontal="center" wrapText="1"/>
    </xf>
    <xf numFmtId="0" fontId="27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9" borderId="4" xfId="0" applyFont="1" applyFill="1" applyBorder="1" applyAlignment="1">
      <alignment horizontal="center" wrapText="1"/>
    </xf>
    <xf numFmtId="0" fontId="15" fillId="10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wrapText="1"/>
    </xf>
    <xf numFmtId="0" fontId="15" fillId="5" borderId="4" xfId="4" applyFont="1" applyBorder="1" applyAlignment="1">
      <alignment horizontal="center" wrapText="1"/>
    </xf>
    <xf numFmtId="0" fontId="15" fillId="8" borderId="4" xfId="0" applyFont="1" applyFill="1" applyBorder="1" applyAlignment="1">
      <alignment horizontal="right"/>
    </xf>
    <xf numFmtId="0" fontId="15" fillId="9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right"/>
    </xf>
    <xf numFmtId="0" fontId="19" fillId="6" borderId="4" xfId="4" applyFont="1" applyFill="1" applyBorder="1" applyAlignment="1">
      <alignment horizontal="center" vertical="center" wrapText="1"/>
    </xf>
    <xf numFmtId="0" fontId="15" fillId="6" borderId="4" xfId="4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 vertical="center"/>
    </xf>
    <xf numFmtId="16" fontId="15" fillId="4" borderId="5" xfId="3" applyNumberFormat="1" applyFont="1" applyFill="1" applyBorder="1" applyAlignment="1">
      <alignment horizontal="center"/>
    </xf>
    <xf numFmtId="16" fontId="15" fillId="4" borderId="6" xfId="3" applyNumberFormat="1" applyFont="1" applyFill="1" applyBorder="1" applyAlignment="1">
      <alignment horizontal="center"/>
    </xf>
    <xf numFmtId="0" fontId="58" fillId="0" borderId="60" xfId="0" applyFont="1" applyBorder="1" applyAlignment="1">
      <alignment horizontal="center" vertical="center"/>
    </xf>
    <xf numFmtId="0" fontId="58" fillId="0" borderId="61" xfId="0" applyFont="1" applyBorder="1" applyAlignment="1">
      <alignment horizontal="center" vertical="center"/>
    </xf>
    <xf numFmtId="0" fontId="58" fillId="0" borderId="51" xfId="0" applyFont="1" applyBorder="1" applyAlignment="1">
      <alignment horizontal="center" vertical="center"/>
    </xf>
    <xf numFmtId="0" fontId="56" fillId="12" borderId="66" xfId="0" applyFont="1" applyFill="1" applyBorder="1" applyAlignment="1">
      <alignment horizontal="center" vertical="center"/>
    </xf>
    <xf numFmtId="0" fontId="56" fillId="12" borderId="50" xfId="0" applyFont="1" applyFill="1" applyBorder="1" applyAlignment="1">
      <alignment horizontal="center" vertical="center"/>
    </xf>
    <xf numFmtId="165" fontId="28" fillId="2" borderId="39" xfId="1" applyNumberFormat="1" applyFont="1" applyFill="1" applyBorder="1" applyAlignment="1">
      <alignment horizontal="center" vertical="center"/>
    </xf>
    <xf numFmtId="165" fontId="28" fillId="2" borderId="37" xfId="1" applyNumberFormat="1" applyFont="1" applyFill="1" applyBorder="1" applyAlignment="1">
      <alignment horizontal="center" vertical="center"/>
    </xf>
    <xf numFmtId="165" fontId="28" fillId="2" borderId="40" xfId="1" applyNumberFormat="1" applyFont="1" applyFill="1" applyBorder="1" applyAlignment="1">
      <alignment horizontal="center" vertical="center"/>
    </xf>
    <xf numFmtId="165" fontId="28" fillId="0" borderId="39" xfId="1" applyNumberFormat="1" applyFont="1" applyFill="1" applyBorder="1" applyAlignment="1">
      <alignment horizontal="center" vertical="center"/>
    </xf>
    <xf numFmtId="165" fontId="28" fillId="0" borderId="37" xfId="1" applyNumberFormat="1" applyFont="1" applyFill="1" applyBorder="1" applyAlignment="1">
      <alignment horizontal="center" vertical="center"/>
    </xf>
    <xf numFmtId="165" fontId="28" fillId="0" borderId="40" xfId="1" applyNumberFormat="1" applyFont="1" applyFill="1" applyBorder="1" applyAlignment="1">
      <alignment horizontal="center" vertical="center"/>
    </xf>
    <xf numFmtId="165" fontId="34" fillId="22" borderId="37" xfId="1" applyNumberFormat="1" applyFont="1" applyFill="1" applyBorder="1" applyAlignment="1">
      <alignment horizontal="center" vertical="center" wrapText="1"/>
    </xf>
    <xf numFmtId="165" fontId="34" fillId="23" borderId="39" xfId="1" applyNumberFormat="1" applyFont="1" applyFill="1" applyBorder="1" applyAlignment="1">
      <alignment horizontal="center" vertical="center" wrapText="1"/>
    </xf>
    <xf numFmtId="165" fontId="34" fillId="23" borderId="40" xfId="1" applyNumberFormat="1" applyFont="1" applyFill="1" applyBorder="1" applyAlignment="1">
      <alignment horizontal="center" vertical="center" wrapText="1"/>
    </xf>
    <xf numFmtId="0" fontId="30" fillId="18" borderId="19" xfId="0" applyFont="1" applyFill="1" applyBorder="1" applyAlignment="1">
      <alignment horizontal="center" vertical="center" wrapText="1"/>
    </xf>
    <xf numFmtId="0" fontId="30" fillId="18" borderId="0" xfId="0" applyFont="1" applyFill="1" applyAlignment="1">
      <alignment horizontal="center" vertical="center" wrapText="1"/>
    </xf>
    <xf numFmtId="0" fontId="30" fillId="18" borderId="22" xfId="0" applyFont="1" applyFill="1" applyBorder="1" applyAlignment="1">
      <alignment horizontal="center" vertical="center" wrapText="1"/>
    </xf>
    <xf numFmtId="165" fontId="32" fillId="26" borderId="39" xfId="1" applyNumberFormat="1" applyFont="1" applyFill="1" applyBorder="1" applyAlignment="1">
      <alignment horizontal="center" vertical="center" wrapText="1"/>
    </xf>
    <xf numFmtId="165" fontId="32" fillId="26" borderId="37" xfId="1" applyNumberFormat="1" applyFont="1" applyFill="1" applyBorder="1" applyAlignment="1">
      <alignment horizontal="center" vertical="center" wrapText="1"/>
    </xf>
    <xf numFmtId="165" fontId="32" fillId="26" borderId="40" xfId="1" applyNumberFormat="1" applyFont="1" applyFill="1" applyBorder="1" applyAlignment="1">
      <alignment horizontal="center" vertical="center" wrapText="1"/>
    </xf>
    <xf numFmtId="165" fontId="28" fillId="27" borderId="39" xfId="1" applyNumberFormat="1" applyFont="1" applyFill="1" applyBorder="1" applyAlignment="1">
      <alignment horizontal="center" vertical="center" wrapText="1"/>
    </xf>
    <xf numFmtId="165" fontId="28" fillId="27" borderId="37" xfId="1" applyNumberFormat="1" applyFont="1" applyFill="1" applyBorder="1" applyAlignment="1">
      <alignment horizontal="center" vertical="center" wrapText="1"/>
    </xf>
    <xf numFmtId="165" fontId="28" fillId="27" borderId="40" xfId="1" applyNumberFormat="1" applyFont="1" applyFill="1" applyBorder="1" applyAlignment="1">
      <alignment horizontal="center" vertical="center" wrapText="1"/>
    </xf>
    <xf numFmtId="165" fontId="34" fillId="30" borderId="37" xfId="1" applyNumberFormat="1" applyFont="1" applyFill="1" applyBorder="1" applyAlignment="1">
      <alignment horizontal="center" vertical="center" wrapText="1"/>
    </xf>
    <xf numFmtId="165" fontId="34" fillId="30" borderId="40" xfId="1" applyNumberFormat="1" applyFont="1" applyFill="1" applyBorder="1" applyAlignment="1">
      <alignment horizontal="center" vertical="center" wrapText="1"/>
    </xf>
    <xf numFmtId="165" fontId="34" fillId="31" borderId="39" xfId="1" applyNumberFormat="1" applyFont="1" applyFill="1" applyBorder="1" applyAlignment="1">
      <alignment horizontal="center" vertical="center" wrapText="1"/>
    </xf>
    <xf numFmtId="165" fontId="34" fillId="31" borderId="37" xfId="1" applyNumberFormat="1" applyFont="1" applyFill="1" applyBorder="1" applyAlignment="1">
      <alignment horizontal="center" vertical="center" wrapText="1"/>
    </xf>
    <xf numFmtId="165" fontId="34" fillId="36" borderId="24" xfId="1" applyNumberFormat="1" applyFont="1" applyFill="1" applyBorder="1" applyAlignment="1">
      <alignment horizontal="center" vertical="center" wrapText="1"/>
    </xf>
    <xf numFmtId="165" fontId="34" fillId="36" borderId="16" xfId="1" applyNumberFormat="1" applyFont="1" applyFill="1" applyBorder="1" applyAlignment="1">
      <alignment horizontal="center" vertical="center" wrapText="1"/>
    </xf>
    <xf numFmtId="165" fontId="34" fillId="36" borderId="31" xfId="1" applyNumberFormat="1" applyFont="1" applyFill="1" applyBorder="1" applyAlignment="1">
      <alignment horizontal="center" vertical="center" wrapText="1"/>
    </xf>
    <xf numFmtId="0" fontId="37" fillId="32" borderId="44" xfId="0" applyFont="1" applyFill="1" applyBorder="1" applyAlignment="1">
      <alignment horizontal="center" vertical="center"/>
    </xf>
    <xf numFmtId="165" fontId="40" fillId="12" borderId="44" xfId="0" applyNumberFormat="1" applyFont="1" applyFill="1" applyBorder="1" applyAlignment="1">
      <alignment horizontal="center" vertical="center"/>
    </xf>
    <xf numFmtId="165" fontId="45" fillId="12" borderId="4" xfId="0" applyNumberFormat="1" applyFont="1" applyFill="1" applyBorder="1" applyAlignment="1">
      <alignment horizontal="center" vertical="center" wrapText="1"/>
    </xf>
    <xf numFmtId="0" fontId="30" fillId="18" borderId="18" xfId="0" applyFont="1" applyFill="1" applyBorder="1" applyAlignment="1">
      <alignment horizontal="center" vertical="center" wrapText="1"/>
    </xf>
    <xf numFmtId="0" fontId="30" fillId="18" borderId="20" xfId="0" applyFont="1" applyFill="1" applyBorder="1" applyAlignment="1">
      <alignment horizontal="center" vertical="center" wrapText="1"/>
    </xf>
    <xf numFmtId="0" fontId="30" fillId="18" borderId="21" xfId="0" applyFont="1" applyFill="1" applyBorder="1" applyAlignment="1">
      <alignment horizontal="center" vertical="center" wrapText="1"/>
    </xf>
    <xf numFmtId="0" fontId="31" fillId="19" borderId="19" xfId="0" applyFont="1" applyFill="1" applyBorder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0" fontId="31" fillId="19" borderId="22" xfId="0" applyFont="1" applyFill="1" applyBorder="1" applyAlignment="1">
      <alignment horizontal="center" vertical="center"/>
    </xf>
    <xf numFmtId="0" fontId="28" fillId="21" borderId="24" xfId="0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horizontal="center" vertical="center" wrapText="1"/>
    </xf>
    <xf numFmtId="0" fontId="28" fillId="21" borderId="29" xfId="0" applyFont="1" applyFill="1" applyBorder="1" applyAlignment="1">
      <alignment horizontal="center" vertical="center" wrapText="1"/>
    </xf>
    <xf numFmtId="0" fontId="28" fillId="22" borderId="24" xfId="0" applyFont="1" applyFill="1" applyBorder="1" applyAlignment="1">
      <alignment horizontal="center" vertical="center" wrapText="1"/>
    </xf>
    <xf numFmtId="0" fontId="28" fillId="22" borderId="31" xfId="0" applyFont="1" applyFill="1" applyBorder="1" applyAlignment="1">
      <alignment horizontal="center" vertical="center" wrapText="1"/>
    </xf>
    <xf numFmtId="165" fontId="32" fillId="23" borderId="24" xfId="1" applyNumberFormat="1" applyFont="1" applyFill="1" applyBorder="1" applyAlignment="1">
      <alignment horizontal="center" vertical="center"/>
    </xf>
    <xf numFmtId="165" fontId="32" fillId="23" borderId="16" xfId="1" applyNumberFormat="1" applyFont="1" applyFill="1" applyBorder="1" applyAlignment="1">
      <alignment horizontal="center" vertical="center"/>
    </xf>
    <xf numFmtId="165" fontId="32" fillId="23" borderId="31" xfId="1" applyNumberFormat="1" applyFont="1" applyFill="1" applyBorder="1" applyAlignment="1">
      <alignment horizontal="center" vertical="center"/>
    </xf>
    <xf numFmtId="165" fontId="28" fillId="21" borderId="37" xfId="1" applyNumberFormat="1" applyFont="1" applyFill="1" applyBorder="1" applyAlignment="1">
      <alignment horizontal="center" vertical="center" wrapText="1"/>
    </xf>
    <xf numFmtId="165" fontId="32" fillId="24" borderId="39" xfId="1" applyNumberFormat="1" applyFont="1" applyFill="1" applyBorder="1" applyAlignment="1">
      <alignment horizontal="center" vertical="center" wrapText="1"/>
    </xf>
    <xf numFmtId="165" fontId="32" fillId="24" borderId="37" xfId="1" applyNumberFormat="1" applyFont="1" applyFill="1" applyBorder="1" applyAlignment="1">
      <alignment horizontal="center" vertical="center" wrapText="1"/>
    </xf>
    <xf numFmtId="165" fontId="32" fillId="25" borderId="39" xfId="1" applyNumberFormat="1" applyFont="1" applyFill="1" applyBorder="1" applyAlignment="1">
      <alignment horizontal="center" vertical="center" wrapText="1"/>
    </xf>
    <xf numFmtId="165" fontId="32" fillId="25" borderId="37" xfId="1" applyNumberFormat="1" applyFont="1" applyFill="1" applyBorder="1" applyAlignment="1">
      <alignment horizontal="center" vertical="center" wrapText="1"/>
    </xf>
    <xf numFmtId="165" fontId="32" fillId="25" borderId="40" xfId="1" applyNumberFormat="1" applyFont="1" applyFill="1" applyBorder="1" applyAlignment="1">
      <alignment horizontal="center" vertical="center" wrapText="1"/>
    </xf>
    <xf numFmtId="165" fontId="32" fillId="21" borderId="39" xfId="1" applyNumberFormat="1" applyFont="1" applyFill="1" applyBorder="1" applyAlignment="1">
      <alignment horizontal="center" vertical="center" wrapText="1"/>
    </xf>
    <xf numFmtId="165" fontId="32" fillId="21" borderId="37" xfId="1" applyNumberFormat="1" applyFont="1" applyFill="1" applyBorder="1" applyAlignment="1">
      <alignment horizontal="center" vertical="center" wrapText="1"/>
    </xf>
    <xf numFmtId="165" fontId="32" fillId="21" borderId="40" xfId="1" applyNumberFormat="1" applyFont="1" applyFill="1" applyBorder="1" applyAlignment="1">
      <alignment horizontal="center" vertical="center" wrapText="1"/>
    </xf>
  </cellXfs>
  <cellStyles count="18075">
    <cellStyle name="20% - Accent5" xfId="4" builtinId="46"/>
    <cellStyle name="20% - Accent5 2" xfId="5" xr:uid="{00000000-0005-0000-0000-000031000000}"/>
    <cellStyle name="Accent5" xfId="3" builtinId="45"/>
    <cellStyle name="Comma" xfId="1" builtinId="3"/>
    <cellStyle name="Comma 10" xfId="24" xr:uid="{7824857A-29E7-485E-A36D-A58BEFC4E037}"/>
    <cellStyle name="Comma 10 10" xfId="4539" xr:uid="{464DDAE8-1D54-4812-AE21-88A5ABCA33DE}"/>
    <cellStyle name="Comma 10 11" xfId="5666" xr:uid="{6086B5E4-61C9-4B02-AC62-FB3B97B41049}"/>
    <cellStyle name="Comma 10 12" xfId="6793" xr:uid="{C96CD5E3-5058-4AFC-B60A-FD4827C0DA76}"/>
    <cellStyle name="Comma 10 13" xfId="9047" xr:uid="{20F44159-3ADB-4F30-8B08-DFB3CE511DD4}"/>
    <cellStyle name="Comma 10 14" xfId="9055" xr:uid="{FAA55614-DB43-4176-B808-CC705B649E0F}"/>
    <cellStyle name="Comma 10 15" xfId="10184" xr:uid="{43F983CC-F66A-41C5-B6EE-FB81A52FC322}"/>
    <cellStyle name="Comma 10 16" xfId="11311" xr:uid="{11DA362E-E369-4585-8B09-6AA921AF99A2}"/>
    <cellStyle name="Comma 10 17" xfId="11318" xr:uid="{0E31B2CC-097B-4942-A261-29B7447F28F2}"/>
    <cellStyle name="Comma 10 18" xfId="13571" xr:uid="{AA7879EA-17E5-4A64-B1E1-71857A855BF2}"/>
    <cellStyle name="Comma 10 19" xfId="15824" xr:uid="{BE0099CD-6FBF-4CE8-80B1-1202C16E6621}"/>
    <cellStyle name="Comma 10 2" xfId="25" xr:uid="{AECDC61E-9433-466F-A189-D021C3A9E552}"/>
    <cellStyle name="Comma 10 2 10" xfId="5667" xr:uid="{593A033C-CE08-4D59-AB7C-98D3CB8477C6}"/>
    <cellStyle name="Comma 10 2 11" xfId="6794" xr:uid="{3A4F68CF-8A2F-446A-9F58-718F983377B8}"/>
    <cellStyle name="Comma 10 2 12" xfId="9046" xr:uid="{022F4B9B-52C6-4886-9337-C16667878061}"/>
    <cellStyle name="Comma 10 2 13" xfId="10183" xr:uid="{E3A69FB5-B0BD-4E54-BAB5-FFB77A3CE26D}"/>
    <cellStyle name="Comma 10 2 14" xfId="11310" xr:uid="{15762689-5E71-46FA-BC95-F1BDC6813A37}"/>
    <cellStyle name="Comma 10 2 15" xfId="11319" xr:uid="{CA6C6ADB-6B47-4629-BACB-2920A29ECD18}"/>
    <cellStyle name="Comma 10 2 16" xfId="13572" xr:uid="{775D22B8-1C12-4EF6-A352-B830B59F71F9}"/>
    <cellStyle name="Comma 10 2 17" xfId="15825" xr:uid="{FF0FAF2F-5490-4239-898A-B1DE158AA14E}"/>
    <cellStyle name="Comma 10 2 2" xfId="26" xr:uid="{1CD212CA-5369-4F94-AFAF-2FBCFF0E927A}"/>
    <cellStyle name="Comma 10 2 2 10" xfId="6795" xr:uid="{EF7A744A-0203-424F-8A74-AE20E7C31CF2}"/>
    <cellStyle name="Comma 10 2 2 11" xfId="9045" xr:uid="{D801788F-E63E-463A-B240-FFFD9C61305E}"/>
    <cellStyle name="Comma 10 2 2 12" xfId="10182" xr:uid="{6EC4A7F4-BDD4-4428-B171-05B6F8DCF619}"/>
    <cellStyle name="Comma 10 2 2 13" xfId="11309" xr:uid="{6D7A4FE2-4272-4C42-AF9E-6BCDCE530DEA}"/>
    <cellStyle name="Comma 10 2 2 14" xfId="11320" xr:uid="{3063E099-01A7-4885-84E1-092BE70929B2}"/>
    <cellStyle name="Comma 10 2 2 15" xfId="13573" xr:uid="{01CCAF5B-253A-4278-92CF-6ED649830305}"/>
    <cellStyle name="Comma 10 2 2 16" xfId="15826" xr:uid="{D9FD6A5D-C4DD-43AD-9EF6-CA3602DCFD7B}"/>
    <cellStyle name="Comma 10 2 2 2" xfId="27" xr:uid="{545B9695-92CF-4DA3-9D14-9396852763AF}"/>
    <cellStyle name="Comma 10 2 2 2 10" xfId="9044" xr:uid="{94F45EA1-38FE-4233-97EE-39F6762D8412}"/>
    <cellStyle name="Comma 10 2 2 2 11" xfId="10181" xr:uid="{8ABBF6CF-F6A5-47C4-9CC1-F38D9C2DEA2E}"/>
    <cellStyle name="Comma 10 2 2 2 12" xfId="11308" xr:uid="{0F979ACC-8A8D-4E8A-87D8-74DBC5A6C895}"/>
    <cellStyle name="Comma 10 2 2 2 13" xfId="11321" xr:uid="{95F2A0BD-FB03-42D8-B26F-3D684AF985FC}"/>
    <cellStyle name="Comma 10 2 2 2 14" xfId="13574" xr:uid="{2780FFD2-8A72-449E-87C6-29D291C9A2AE}"/>
    <cellStyle name="Comma 10 2 2 2 15" xfId="15827" xr:uid="{CF4530FD-459A-43D9-8E3A-C62856BBEDBB}"/>
    <cellStyle name="Comma 10 2 2 2 2" xfId="28" xr:uid="{90414C87-FEF3-44CF-A4FC-80C2331EE6E3}"/>
    <cellStyle name="Comma 10 2 2 2 2 10" xfId="11307" xr:uid="{11AACF27-EE94-4175-BBC4-3B15208D461A}"/>
    <cellStyle name="Comma 10 2 2 2 2 11" xfId="11322" xr:uid="{45A467BA-1349-4E6F-8436-4063B15DD452}"/>
    <cellStyle name="Comma 10 2 2 2 2 12" xfId="13575" xr:uid="{3397C4E6-BF54-47E5-9D2C-EE6F4C066882}"/>
    <cellStyle name="Comma 10 2 2 2 2 13" xfId="15828" xr:uid="{F1597461-7206-4D0B-81C9-F77874D915DF}"/>
    <cellStyle name="Comma 10 2 2 2 2 2" xfId="1165" xr:uid="{76F7B221-9DD3-49D4-A503-6006AB5E2DF9}"/>
    <cellStyle name="Comma 10 2 2 2 2 2 2" xfId="12449" xr:uid="{F48BAA19-547A-4603-9EB2-704D0F57876E}"/>
    <cellStyle name="Comma 10 2 2 2 2 2 3" xfId="14702" xr:uid="{8F351EB5-9160-4ED1-879D-FBAB37777147}"/>
    <cellStyle name="Comma 10 2 2 2 2 2 4" xfId="16955" xr:uid="{B4407258-6B30-491E-B074-160A9D4F935C}"/>
    <cellStyle name="Comma 10 2 2 2 2 3" xfId="2291" xr:uid="{F80ADC89-0544-4497-9BD6-25CA25FCFFCF}"/>
    <cellStyle name="Comma 10 2 2 2 2 4" xfId="3417" xr:uid="{440E497C-F23A-4D0D-A2E5-1B1BC8AE66C2}"/>
    <cellStyle name="Comma 10 2 2 2 2 5" xfId="4543" xr:uid="{78C8499D-23CA-4D93-94F7-C0484B3A23FA}"/>
    <cellStyle name="Comma 10 2 2 2 2 6" xfId="5670" xr:uid="{06E9E0B5-EEE4-402C-B9C8-270A37FB2019}"/>
    <cellStyle name="Comma 10 2 2 2 2 7" xfId="6797" xr:uid="{A2001028-9AD5-4C3E-B87E-D39EA0CD4246}"/>
    <cellStyle name="Comma 10 2 2 2 2 8" xfId="9043" xr:uid="{14CA9555-82EC-4599-8E54-702549AA5D0E}"/>
    <cellStyle name="Comma 10 2 2 2 2 9" xfId="10180" xr:uid="{2A0EFA13-97D4-4933-A623-3711FABD1481}"/>
    <cellStyle name="Comma 10 2 2 2 3" xfId="29" xr:uid="{03BCDF08-16C5-48DD-8942-01054107AEF3}"/>
    <cellStyle name="Comma 10 2 2 2 3 10" xfId="11306" xr:uid="{2134F453-055C-437C-A1CE-1089D8FE9F7F}"/>
    <cellStyle name="Comma 10 2 2 2 3 11" xfId="11323" xr:uid="{2457FAEC-213F-439E-B6E2-65509A512C18}"/>
    <cellStyle name="Comma 10 2 2 2 3 12" xfId="13576" xr:uid="{F3978485-E2DE-4301-97AF-E8716893F957}"/>
    <cellStyle name="Comma 10 2 2 2 3 13" xfId="15829" xr:uid="{0027E5BE-783C-4DE5-9776-22683C6AF693}"/>
    <cellStyle name="Comma 10 2 2 2 3 2" xfId="1166" xr:uid="{5F75D484-8B17-47A7-8F71-F5D42B0E8F28}"/>
    <cellStyle name="Comma 10 2 2 2 3 2 2" xfId="12450" xr:uid="{33034956-22DB-41AE-BEED-0F185D571CE4}"/>
    <cellStyle name="Comma 10 2 2 2 3 2 3" xfId="14703" xr:uid="{C7004011-01A2-43B8-9DA5-C7AA4D6A86F7}"/>
    <cellStyle name="Comma 10 2 2 2 3 2 4" xfId="16956" xr:uid="{5F664A39-9EF7-4581-8F5A-289B2F3EA22F}"/>
    <cellStyle name="Comma 10 2 2 2 3 3" xfId="2292" xr:uid="{798FB8D1-E8A7-4191-9A35-C6628BB0FF28}"/>
    <cellStyle name="Comma 10 2 2 2 3 4" xfId="3418" xr:uid="{B21BEDD1-302B-452B-9BB0-B0FB572FF54F}"/>
    <cellStyle name="Comma 10 2 2 2 3 5" xfId="4544" xr:uid="{C7AE30B5-9EAF-4819-BF2E-00813788FCD7}"/>
    <cellStyle name="Comma 10 2 2 2 3 6" xfId="5671" xr:uid="{EB59FB90-E80F-4B7C-8718-E78F85BB0BA8}"/>
    <cellStyle name="Comma 10 2 2 2 3 7" xfId="6798" xr:uid="{62FC48F9-8794-45DC-8127-948BF2D18AAA}"/>
    <cellStyle name="Comma 10 2 2 2 3 8" xfId="9042" xr:uid="{2BC618B9-D2E5-4CCE-AB3D-C4DD7A7667CC}"/>
    <cellStyle name="Comma 10 2 2 2 3 9" xfId="10179" xr:uid="{26786970-9C73-4152-8851-0F5BD421EBE6}"/>
    <cellStyle name="Comma 10 2 2 2 4" xfId="1164" xr:uid="{16D8262E-E6D0-451F-B981-E9AABEDCC6BD}"/>
    <cellStyle name="Comma 10 2 2 2 4 2" xfId="12448" xr:uid="{F189ABAD-47D7-4ACC-A9DA-2F61BB182344}"/>
    <cellStyle name="Comma 10 2 2 2 4 3" xfId="14701" xr:uid="{F07E7745-B278-4C41-A272-A1F118B90E82}"/>
    <cellStyle name="Comma 10 2 2 2 4 4" xfId="16954" xr:uid="{7644FE49-876F-43D7-A1D4-F22BE3512C40}"/>
    <cellStyle name="Comma 10 2 2 2 5" xfId="2290" xr:uid="{8013C021-8DF8-4B3D-B4C3-40D5DE61DA4B}"/>
    <cellStyle name="Comma 10 2 2 2 6" xfId="3416" xr:uid="{E7FF6A26-164B-4558-86AD-ACF1B838D6C3}"/>
    <cellStyle name="Comma 10 2 2 2 7" xfId="4542" xr:uid="{4DDCBCD6-2438-42F4-BBE5-45CF970279D2}"/>
    <cellStyle name="Comma 10 2 2 2 8" xfId="5669" xr:uid="{FB0A887D-42CB-40B7-AAB2-3D866A428637}"/>
    <cellStyle name="Comma 10 2 2 2 9" xfId="6796" xr:uid="{EAB1CD04-7259-4FC4-8EB6-A67B267F5C90}"/>
    <cellStyle name="Comma 10 2 2 3" xfId="30" xr:uid="{7B026EF3-BBB2-4FD4-A2F2-2660A01F6B19}"/>
    <cellStyle name="Comma 10 2 2 3 10" xfId="11305" xr:uid="{CABA85FF-BD15-45C3-B5B4-BB978A90D00A}"/>
    <cellStyle name="Comma 10 2 2 3 11" xfId="11324" xr:uid="{7EDA5AD6-3B05-48F9-8D86-060B6BA103A7}"/>
    <cellStyle name="Comma 10 2 2 3 12" xfId="13577" xr:uid="{733B3B9A-F25E-4DFE-A681-8476A1F7914F}"/>
    <cellStyle name="Comma 10 2 2 3 13" xfId="15830" xr:uid="{5F85E4C6-77D6-483B-A827-E971891FF3B7}"/>
    <cellStyle name="Comma 10 2 2 3 2" xfId="1167" xr:uid="{712427E8-7322-4A02-87EA-3A04CEC07566}"/>
    <cellStyle name="Comma 10 2 2 3 2 2" xfId="12451" xr:uid="{1F3D252E-88A9-435A-B97E-1DE9A8B89DE8}"/>
    <cellStyle name="Comma 10 2 2 3 2 3" xfId="14704" xr:uid="{C4D3D4CF-E0B2-4BCA-958D-AFC5CD19D306}"/>
    <cellStyle name="Comma 10 2 2 3 2 4" xfId="16957" xr:uid="{DBA03513-CCB6-4E20-97CD-13BC894C4CFB}"/>
    <cellStyle name="Comma 10 2 2 3 3" xfId="2293" xr:uid="{5CEEDAAF-BA7A-4C56-8ACF-F4E51C65742D}"/>
    <cellStyle name="Comma 10 2 2 3 4" xfId="3419" xr:uid="{84E091A1-28A2-4E8D-B105-75A7F6B594E7}"/>
    <cellStyle name="Comma 10 2 2 3 5" xfId="4545" xr:uid="{98544E54-8981-49AF-8188-B28F1390F57F}"/>
    <cellStyle name="Comma 10 2 2 3 6" xfId="5672" xr:uid="{BC8B96CD-5CEE-4EDF-8CDF-BAC681A749FC}"/>
    <cellStyle name="Comma 10 2 2 3 7" xfId="6799" xr:uid="{79C61E4F-BAC7-4A93-91AB-B4E7DAC01B8F}"/>
    <cellStyle name="Comma 10 2 2 3 8" xfId="9041" xr:uid="{D5D255C2-B5BB-47BC-A8AE-8FDC79623BFC}"/>
    <cellStyle name="Comma 10 2 2 3 9" xfId="10178" xr:uid="{A5439626-5BF3-48CD-8915-3E5E2D7F1037}"/>
    <cellStyle name="Comma 10 2 2 4" xfId="31" xr:uid="{F47D78EB-EB63-4487-8B46-BB5903198788}"/>
    <cellStyle name="Comma 10 2 2 4 10" xfId="11304" xr:uid="{132FC87F-627F-4963-B3FA-98953F54FAC1}"/>
    <cellStyle name="Comma 10 2 2 4 11" xfId="11325" xr:uid="{877EE323-96D1-48BB-8529-FA98F87B0DDE}"/>
    <cellStyle name="Comma 10 2 2 4 12" xfId="13578" xr:uid="{EA1E4D36-7077-4830-813A-AB3DD9BF3D3D}"/>
    <cellStyle name="Comma 10 2 2 4 13" xfId="15831" xr:uid="{C45B0D68-76B2-4F3E-9945-1B3A1057B6F0}"/>
    <cellStyle name="Comma 10 2 2 4 2" xfId="1168" xr:uid="{CD7F3766-62B3-4B08-BB82-9B0CA4D37E29}"/>
    <cellStyle name="Comma 10 2 2 4 2 2" xfId="12452" xr:uid="{483312D6-288A-4652-BD89-D588D66FDC5F}"/>
    <cellStyle name="Comma 10 2 2 4 2 3" xfId="14705" xr:uid="{CDE1BCE7-0AFC-4E90-9190-4556607880E6}"/>
    <cellStyle name="Comma 10 2 2 4 2 4" xfId="16958" xr:uid="{93C0DE17-085F-4344-A7B7-CD86EA7A5E7F}"/>
    <cellStyle name="Comma 10 2 2 4 3" xfId="2294" xr:uid="{72D020D3-CFAB-46A2-99F1-663EC0AAA29F}"/>
    <cellStyle name="Comma 10 2 2 4 4" xfId="3420" xr:uid="{2E77AEBB-2E0D-4801-9AFF-E3692418CA58}"/>
    <cellStyle name="Comma 10 2 2 4 5" xfId="4546" xr:uid="{0C67A3C8-E936-47B6-9235-BDAF674606EE}"/>
    <cellStyle name="Comma 10 2 2 4 6" xfId="5673" xr:uid="{E03BEE1E-A534-47F6-86A5-1E48E6E00848}"/>
    <cellStyle name="Comma 10 2 2 4 7" xfId="6800" xr:uid="{BC5A0789-5D67-4B21-9E6D-D80E3F134EE0}"/>
    <cellStyle name="Comma 10 2 2 4 8" xfId="9040" xr:uid="{96F82268-8A98-4F6F-BD19-C65D1B0B2C77}"/>
    <cellStyle name="Comma 10 2 2 4 9" xfId="10177" xr:uid="{B44B2CCB-0014-4453-ABE7-64A246E488C1}"/>
    <cellStyle name="Comma 10 2 2 5" xfId="1163" xr:uid="{9168714B-C504-4EEC-9546-8D60058ADF5D}"/>
    <cellStyle name="Comma 10 2 2 5 2" xfId="12447" xr:uid="{9B35D22B-EAC8-47D3-8910-EC285791627D}"/>
    <cellStyle name="Comma 10 2 2 5 3" xfId="14700" xr:uid="{59AF5552-BA02-4E69-9915-F18D85EC4929}"/>
    <cellStyle name="Comma 10 2 2 5 4" xfId="16953" xr:uid="{C0ABE5DA-5478-4266-BF2E-F56270220E7E}"/>
    <cellStyle name="Comma 10 2 2 6" xfId="2289" xr:uid="{839FD11B-7B39-426B-91E3-624F4DDE8780}"/>
    <cellStyle name="Comma 10 2 2 7" xfId="3415" xr:uid="{5EED2C25-2B2B-435F-AEE4-7B9CAE430F04}"/>
    <cellStyle name="Comma 10 2 2 8" xfId="4541" xr:uid="{CA2DF2A7-BC96-4EF6-856F-A413095E9345}"/>
    <cellStyle name="Comma 10 2 2 9" xfId="5668" xr:uid="{36C221AE-C069-45F6-B5FB-12E17B718CB2}"/>
    <cellStyle name="Comma 10 2 3" xfId="32" xr:uid="{F9D7767F-CA78-4C64-978B-8107B0045C5A}"/>
    <cellStyle name="Comma 10 2 3 10" xfId="9039" xr:uid="{1F248863-159A-4C84-9210-190B49741552}"/>
    <cellStyle name="Comma 10 2 3 11" xfId="10176" xr:uid="{017B3001-E0B1-4CF5-B467-2A5E4F82780E}"/>
    <cellStyle name="Comma 10 2 3 12" xfId="11303" xr:uid="{723BFDC0-4182-4771-A202-78D52DE78A14}"/>
    <cellStyle name="Comma 10 2 3 13" xfId="11326" xr:uid="{1E0C6EAD-06C8-429A-8ACB-C816A9DFEC00}"/>
    <cellStyle name="Comma 10 2 3 14" xfId="13579" xr:uid="{5BC85882-EDF8-4238-BB94-E4DF6382A628}"/>
    <cellStyle name="Comma 10 2 3 15" xfId="15832" xr:uid="{90F51E20-EC91-4336-BEEF-8EC7A558EAFC}"/>
    <cellStyle name="Comma 10 2 3 2" xfId="33" xr:uid="{A34AEDE8-388A-480A-ADC4-727113A05151}"/>
    <cellStyle name="Comma 10 2 3 2 10" xfId="11302" xr:uid="{3C32629D-B3C1-4DB6-8414-E275B5C3A182}"/>
    <cellStyle name="Comma 10 2 3 2 11" xfId="11327" xr:uid="{023FE1B3-F3E8-4161-BCBB-763FFBAA4CAB}"/>
    <cellStyle name="Comma 10 2 3 2 12" xfId="13580" xr:uid="{A5DBB837-0ADB-4329-9BB8-6988BFFF1CE7}"/>
    <cellStyle name="Comma 10 2 3 2 13" xfId="15833" xr:uid="{B1295375-82AF-475E-81CB-FF67A01E9E82}"/>
    <cellStyle name="Comma 10 2 3 2 2" xfId="1170" xr:uid="{43D66800-1A6D-485F-A3FA-4C28D46C7001}"/>
    <cellStyle name="Comma 10 2 3 2 2 2" xfId="12454" xr:uid="{EDE5FC49-3397-445E-B478-156CAE6E6E84}"/>
    <cellStyle name="Comma 10 2 3 2 2 3" xfId="14707" xr:uid="{38154889-6EFD-444E-9E77-05F6275E7030}"/>
    <cellStyle name="Comma 10 2 3 2 2 4" xfId="16960" xr:uid="{5948F304-4DB4-4806-87AD-98A76DFE5B59}"/>
    <cellStyle name="Comma 10 2 3 2 3" xfId="2296" xr:uid="{82B34D4B-240D-45FC-864F-F5A2768BB620}"/>
    <cellStyle name="Comma 10 2 3 2 4" xfId="3422" xr:uid="{AB642DB5-BD17-4C5F-8F7B-B66A361283A2}"/>
    <cellStyle name="Comma 10 2 3 2 5" xfId="4548" xr:uid="{A0854A46-3D5C-40E9-8513-DA15245CC9E5}"/>
    <cellStyle name="Comma 10 2 3 2 6" xfId="5675" xr:uid="{1EF76C2C-2121-450E-8925-6A2217CC1D91}"/>
    <cellStyle name="Comma 10 2 3 2 7" xfId="6802" xr:uid="{D68EC0C6-EA76-4E81-A790-2D8E0D30D1D8}"/>
    <cellStyle name="Comma 10 2 3 2 8" xfId="9038" xr:uid="{F90B0E6C-D224-4DF7-B62C-C05553BB5B54}"/>
    <cellStyle name="Comma 10 2 3 2 9" xfId="10175" xr:uid="{34231661-E9B3-48F0-A332-3F91EC7B0303}"/>
    <cellStyle name="Comma 10 2 3 3" xfId="34" xr:uid="{8FB631D7-281F-4DD0-A1F1-045F4267723A}"/>
    <cellStyle name="Comma 10 2 3 3 10" xfId="11301" xr:uid="{64C6BA30-8C76-4C51-9802-E4DC6A75C5EF}"/>
    <cellStyle name="Comma 10 2 3 3 11" xfId="11328" xr:uid="{418FF3A6-DE2E-4F63-83C5-3E697C50CFCD}"/>
    <cellStyle name="Comma 10 2 3 3 12" xfId="13581" xr:uid="{C1DE3692-DAA7-41B8-80EE-B72A2E9A04AD}"/>
    <cellStyle name="Comma 10 2 3 3 13" xfId="15834" xr:uid="{17041296-6E4D-4BE4-8C51-402995D2480F}"/>
    <cellStyle name="Comma 10 2 3 3 2" xfId="1171" xr:uid="{D8ECF3D2-8ECD-4810-A8AF-F5060E7FAB37}"/>
    <cellStyle name="Comma 10 2 3 3 2 2" xfId="12455" xr:uid="{A778DB2D-81EB-4CA8-8789-1B18EEF27CF3}"/>
    <cellStyle name="Comma 10 2 3 3 2 3" xfId="14708" xr:uid="{B84B1B6A-F5C8-4BAD-B7E0-30A9A9B05498}"/>
    <cellStyle name="Comma 10 2 3 3 2 4" xfId="16961" xr:uid="{1D7F0253-94CB-4DA8-BC4D-8F6F51E4E366}"/>
    <cellStyle name="Comma 10 2 3 3 3" xfId="2297" xr:uid="{82560EE1-495F-4372-AF26-859E5AF1AB05}"/>
    <cellStyle name="Comma 10 2 3 3 4" xfId="3423" xr:uid="{42538AA2-9F48-4033-9E0D-B6CBEF3C58B2}"/>
    <cellStyle name="Comma 10 2 3 3 5" xfId="4549" xr:uid="{81D01A81-5D64-408B-89BE-5D3B92CD5724}"/>
    <cellStyle name="Comma 10 2 3 3 6" xfId="5676" xr:uid="{C7FB3F59-5C1F-40DF-BEA5-ECB6B37905F8}"/>
    <cellStyle name="Comma 10 2 3 3 7" xfId="6803" xr:uid="{1488AC75-7A7C-401A-A1DE-D1787E1CDACE}"/>
    <cellStyle name="Comma 10 2 3 3 8" xfId="9037" xr:uid="{25F2F234-7A18-42B7-9438-FA02265AECE9}"/>
    <cellStyle name="Comma 10 2 3 3 9" xfId="10174" xr:uid="{D402C8F5-B680-4CFF-A71E-3A0ECA150CFD}"/>
    <cellStyle name="Comma 10 2 3 4" xfId="1169" xr:uid="{8AF9FFF9-69A9-4204-9D72-A71859D08B22}"/>
    <cellStyle name="Comma 10 2 3 4 2" xfId="12453" xr:uid="{B32AB10D-330D-4A04-B3B6-A5EDC4DF3E30}"/>
    <cellStyle name="Comma 10 2 3 4 3" xfId="14706" xr:uid="{E876C374-8E4F-4269-A893-AE4BE35A1BF0}"/>
    <cellStyle name="Comma 10 2 3 4 4" xfId="16959" xr:uid="{8D7C7A18-307B-46CA-AFD4-55B5E8B26AC9}"/>
    <cellStyle name="Comma 10 2 3 5" xfId="2295" xr:uid="{EC2BA708-A5F1-4BE7-A1E2-921088435C0D}"/>
    <cellStyle name="Comma 10 2 3 6" xfId="3421" xr:uid="{0BE9C34C-BB95-496F-A680-FB3152E93663}"/>
    <cellStyle name="Comma 10 2 3 7" xfId="4547" xr:uid="{CDDE2CBE-4BEE-424D-86E8-D751AB3133AE}"/>
    <cellStyle name="Comma 10 2 3 8" xfId="5674" xr:uid="{E831F3C0-6A8C-427C-9AA4-167FB868172F}"/>
    <cellStyle name="Comma 10 2 3 9" xfId="6801" xr:uid="{EE8E4525-3546-449E-8B85-AB51AFDB2624}"/>
    <cellStyle name="Comma 10 2 4" xfId="35" xr:uid="{ED59B572-28FD-4317-B21A-FB8452A91F0B}"/>
    <cellStyle name="Comma 10 2 4 10" xfId="11300" xr:uid="{8B712D04-C74A-449B-8576-BBCD1A422611}"/>
    <cellStyle name="Comma 10 2 4 11" xfId="11329" xr:uid="{05C801AE-FE3B-4C7C-897D-A1CDAA1F60F7}"/>
    <cellStyle name="Comma 10 2 4 12" xfId="13582" xr:uid="{A29780CA-A39F-42E1-82D8-26A3F3209F76}"/>
    <cellStyle name="Comma 10 2 4 13" xfId="15835" xr:uid="{18262D4E-6166-4628-9725-28ED0FFA2FBE}"/>
    <cellStyle name="Comma 10 2 4 2" xfId="1172" xr:uid="{1EC10D74-98E8-49D0-A11C-E2AD38CCB6D9}"/>
    <cellStyle name="Comma 10 2 4 2 2" xfId="12456" xr:uid="{3AE3BB72-6994-4474-9748-2A8E7646A395}"/>
    <cellStyle name="Comma 10 2 4 2 3" xfId="14709" xr:uid="{391088E5-CB7E-40E6-8437-9005E01D3F30}"/>
    <cellStyle name="Comma 10 2 4 2 4" xfId="16962" xr:uid="{89AAB88B-E7E4-49A0-822A-B394A2285570}"/>
    <cellStyle name="Comma 10 2 4 3" xfId="2298" xr:uid="{EC60A146-6B2F-4CA5-9894-C94FCE0E9789}"/>
    <cellStyle name="Comma 10 2 4 4" xfId="3424" xr:uid="{1D316A93-9011-4D88-9CC6-2245B4704C63}"/>
    <cellStyle name="Comma 10 2 4 5" xfId="4550" xr:uid="{DD80D24F-D37C-4C36-96ED-AE1228E861B8}"/>
    <cellStyle name="Comma 10 2 4 6" xfId="5677" xr:uid="{E6B5EB17-CF3A-4E70-A204-449410DD88AB}"/>
    <cellStyle name="Comma 10 2 4 7" xfId="6804" xr:uid="{929816DC-EF34-47AA-B420-EBFEFF724FDC}"/>
    <cellStyle name="Comma 10 2 4 8" xfId="9036" xr:uid="{A9CE235B-B09F-4A1E-AD9D-40D9D7282759}"/>
    <cellStyle name="Comma 10 2 4 9" xfId="10173" xr:uid="{B36B172A-BC9E-4DFF-BE08-36C5A14D5ECB}"/>
    <cellStyle name="Comma 10 2 5" xfId="36" xr:uid="{3E1D262F-B861-4D53-A67D-7F59AAC50935}"/>
    <cellStyle name="Comma 10 2 5 10" xfId="11299" xr:uid="{FCAE852F-3A6A-4C30-9F21-5376FEC6C5B1}"/>
    <cellStyle name="Comma 10 2 5 11" xfId="11330" xr:uid="{A557FA3E-7BB3-49F8-80A0-B24285264B8D}"/>
    <cellStyle name="Comma 10 2 5 12" xfId="13583" xr:uid="{E211E3D4-2300-4598-9755-7ACFC869A7EF}"/>
    <cellStyle name="Comma 10 2 5 13" xfId="15836" xr:uid="{8C7C6D68-4B7D-4E11-8020-F3677080EAC7}"/>
    <cellStyle name="Comma 10 2 5 2" xfId="1173" xr:uid="{990121E4-0467-4027-98E2-3F9CFEA87D50}"/>
    <cellStyle name="Comma 10 2 5 2 2" xfId="12457" xr:uid="{9355F930-F464-4FD6-B4EA-6861C7BCD770}"/>
    <cellStyle name="Comma 10 2 5 2 3" xfId="14710" xr:uid="{2571B99E-E6EB-4F14-9192-C090C3B6FC74}"/>
    <cellStyle name="Comma 10 2 5 2 4" xfId="16963" xr:uid="{93B2507A-F7F6-44B1-84F1-18F1095FED8F}"/>
    <cellStyle name="Comma 10 2 5 3" xfId="2299" xr:uid="{CCD44339-20B7-460D-BE94-37023BE838F8}"/>
    <cellStyle name="Comma 10 2 5 4" xfId="3425" xr:uid="{2F917064-3A57-4197-A9B8-1406CE98C8BE}"/>
    <cellStyle name="Comma 10 2 5 5" xfId="4551" xr:uid="{5A9BBF90-44D0-4150-BFED-59D051FC0440}"/>
    <cellStyle name="Comma 10 2 5 6" xfId="5678" xr:uid="{217C8616-A6C8-4131-9802-27B14863289D}"/>
    <cellStyle name="Comma 10 2 5 7" xfId="6805" xr:uid="{055067DD-9357-476D-842C-933A1FF5E020}"/>
    <cellStyle name="Comma 10 2 5 8" xfId="9035" xr:uid="{4F38C284-BF60-4073-8FBF-725241B200E3}"/>
    <cellStyle name="Comma 10 2 5 9" xfId="10172" xr:uid="{4766EE6B-A206-4BCE-9B9F-B6DBA99B013F}"/>
    <cellStyle name="Comma 10 2 6" xfId="1162" xr:uid="{2DC31774-381E-4085-937F-BFDE66208D42}"/>
    <cellStyle name="Comma 10 2 6 2" xfId="12446" xr:uid="{9DC8ECFA-7D97-4A8D-B9B3-1D3ACAFED3E4}"/>
    <cellStyle name="Comma 10 2 6 3" xfId="14699" xr:uid="{F86E8696-C7EE-451D-9708-00C0D7F1A885}"/>
    <cellStyle name="Comma 10 2 6 4" xfId="16952" xr:uid="{F0A6C47E-2D60-4059-9F47-221721815F55}"/>
    <cellStyle name="Comma 10 2 7" xfId="2288" xr:uid="{37123621-796B-496A-99A9-70F297EEA867}"/>
    <cellStyle name="Comma 10 2 8" xfId="3414" xr:uid="{B9FCC234-8A54-4A45-A191-DF8A1A814F9E}"/>
    <cellStyle name="Comma 10 2 9" xfId="4540" xr:uid="{CE7EE33A-C7DB-4A43-89F2-4BD7B2BE40E7}"/>
    <cellStyle name="Comma 10 3" xfId="37" xr:uid="{C5204825-350A-4482-AE80-A1BF34AE7678}"/>
    <cellStyle name="Comma 10 3 10" xfId="6806" xr:uid="{8C901BDC-5DF9-4DB7-811E-D8FBCFAF9154}"/>
    <cellStyle name="Comma 10 3 11" xfId="9034" xr:uid="{D4691E6E-5077-40C6-A3CD-1F6206B0CA71}"/>
    <cellStyle name="Comma 10 3 12" xfId="10171" xr:uid="{8F18E2F3-8C01-413C-BFD7-A3510DBDD904}"/>
    <cellStyle name="Comma 10 3 13" xfId="11298" xr:uid="{6E370B4D-1E58-4C6F-98FF-67D144593336}"/>
    <cellStyle name="Comma 10 3 14" xfId="11331" xr:uid="{C37E5F22-118C-4CE1-91B7-AF2DCF2D0072}"/>
    <cellStyle name="Comma 10 3 15" xfId="13584" xr:uid="{3FEDF5D1-F2C4-4DE6-B69D-5CEF324C6C0D}"/>
    <cellStyle name="Comma 10 3 16" xfId="15837" xr:uid="{AF8E738A-14FF-4350-B7DC-BDD41BCD9492}"/>
    <cellStyle name="Comma 10 3 2" xfId="38" xr:uid="{2BAEC099-3DD6-4517-A765-108AB20477D3}"/>
    <cellStyle name="Comma 10 3 2 10" xfId="9033" xr:uid="{DB1F4BDF-F556-4FF8-80D5-6BB02C9B2219}"/>
    <cellStyle name="Comma 10 3 2 11" xfId="10170" xr:uid="{77B5E8B4-D564-4FE6-8CAD-9D5B9B389472}"/>
    <cellStyle name="Comma 10 3 2 12" xfId="11297" xr:uid="{EE734FE3-D57D-45AE-A329-EC814F67E161}"/>
    <cellStyle name="Comma 10 3 2 13" xfId="11332" xr:uid="{574E4B9E-B57B-4110-B85B-7CECDB55BC1D}"/>
    <cellStyle name="Comma 10 3 2 14" xfId="13585" xr:uid="{88C7A609-1F31-4675-B16B-B1578C44553A}"/>
    <cellStyle name="Comma 10 3 2 15" xfId="15838" xr:uid="{38249ADE-1496-4436-B177-FAB71728369F}"/>
    <cellStyle name="Comma 10 3 2 2" xfId="39" xr:uid="{CD36395C-3438-4CD5-8F43-694F5B0AA657}"/>
    <cellStyle name="Comma 10 3 2 2 10" xfId="11296" xr:uid="{D34F7252-F923-4FFD-917C-9A14AB7B02D2}"/>
    <cellStyle name="Comma 10 3 2 2 11" xfId="11333" xr:uid="{1F5160C5-37CA-4030-952A-F79F1C6563F2}"/>
    <cellStyle name="Comma 10 3 2 2 12" xfId="13586" xr:uid="{92D973DF-ED16-4128-9CE9-35ED781F9E95}"/>
    <cellStyle name="Comma 10 3 2 2 13" xfId="15839" xr:uid="{2901A371-6EF4-44F8-8948-57EAF241C8B3}"/>
    <cellStyle name="Comma 10 3 2 2 2" xfId="1176" xr:uid="{38F28DCD-AA85-4A19-ABB8-0EE10897E117}"/>
    <cellStyle name="Comma 10 3 2 2 2 2" xfId="12460" xr:uid="{C2D09FCB-EE77-486F-944C-ADA9BF937BE5}"/>
    <cellStyle name="Comma 10 3 2 2 2 3" xfId="14713" xr:uid="{9F1132A0-3017-42B2-9B61-8960172D1A2F}"/>
    <cellStyle name="Comma 10 3 2 2 2 4" xfId="16966" xr:uid="{9DF58B89-9153-4108-9FCB-8917C1F13EBD}"/>
    <cellStyle name="Comma 10 3 2 2 3" xfId="2302" xr:uid="{4872EA1D-EB76-45C9-B176-9CE97635E878}"/>
    <cellStyle name="Comma 10 3 2 2 4" xfId="3428" xr:uid="{B392669F-4575-4F5C-A96B-145F555198FE}"/>
    <cellStyle name="Comma 10 3 2 2 5" xfId="4554" xr:uid="{799E71C0-A3C8-407E-9859-4DE32595CAD2}"/>
    <cellStyle name="Comma 10 3 2 2 6" xfId="5681" xr:uid="{112344B5-04B6-493A-BE53-861A298D874F}"/>
    <cellStyle name="Comma 10 3 2 2 7" xfId="6808" xr:uid="{E72EB761-CB08-410C-9193-0D6AAE1D0B36}"/>
    <cellStyle name="Comma 10 3 2 2 8" xfId="9032" xr:uid="{A01F72D4-654A-42BE-B51E-72F43731742A}"/>
    <cellStyle name="Comma 10 3 2 2 9" xfId="10169" xr:uid="{65679AB7-59AD-4F1D-9C9A-400114104672}"/>
    <cellStyle name="Comma 10 3 2 3" xfId="40" xr:uid="{FCCF8073-1D1D-46F9-93B1-305C5BE7DF00}"/>
    <cellStyle name="Comma 10 3 2 3 10" xfId="11295" xr:uid="{7BBDCD3B-152F-4FFC-B27A-E6BA7D215A2E}"/>
    <cellStyle name="Comma 10 3 2 3 11" xfId="11334" xr:uid="{1F9BF621-2BA9-4D1E-B7C1-185C61CA82D7}"/>
    <cellStyle name="Comma 10 3 2 3 12" xfId="13587" xr:uid="{0D3769C3-C4E9-496F-852E-96BF450B17F6}"/>
    <cellStyle name="Comma 10 3 2 3 13" xfId="15840" xr:uid="{DAB90680-16FD-4495-8E21-6364C5BA8D32}"/>
    <cellStyle name="Comma 10 3 2 3 2" xfId="1177" xr:uid="{359AC154-EE53-4BFC-8F5C-ABC0F98E33A5}"/>
    <cellStyle name="Comma 10 3 2 3 2 2" xfId="12461" xr:uid="{A6EF093F-6277-41E1-B665-31B190F84DD4}"/>
    <cellStyle name="Comma 10 3 2 3 2 3" xfId="14714" xr:uid="{F87C11E8-5EF6-4625-8724-7EAC51BBDA41}"/>
    <cellStyle name="Comma 10 3 2 3 2 4" xfId="16967" xr:uid="{4540AC53-A84F-4564-8E36-FD1E4BE01A3E}"/>
    <cellStyle name="Comma 10 3 2 3 3" xfId="2303" xr:uid="{3A4FC0A8-771F-413B-9E27-57EF787FF1E4}"/>
    <cellStyle name="Comma 10 3 2 3 4" xfId="3429" xr:uid="{EE492508-CBB6-4C85-A89E-4049CFFFBA76}"/>
    <cellStyle name="Comma 10 3 2 3 5" xfId="4555" xr:uid="{3275F4DD-4C3F-434A-A018-490AD0FDD950}"/>
    <cellStyle name="Comma 10 3 2 3 6" xfId="5682" xr:uid="{93D6BB53-7DC5-4DA5-B953-65584117C643}"/>
    <cellStyle name="Comma 10 3 2 3 7" xfId="6809" xr:uid="{4D04F0EA-1FE3-4BD3-ABA1-ABB29ACB0D21}"/>
    <cellStyle name="Comma 10 3 2 3 8" xfId="9031" xr:uid="{68D19744-5D2F-45BA-A889-5C2BE864F815}"/>
    <cellStyle name="Comma 10 3 2 3 9" xfId="10168" xr:uid="{99AD66E3-7C34-44DC-8020-D0A8D6B5D325}"/>
    <cellStyle name="Comma 10 3 2 4" xfId="1175" xr:uid="{84400C97-942C-4A76-BF1A-A4D38B304C36}"/>
    <cellStyle name="Comma 10 3 2 4 2" xfId="12459" xr:uid="{99D6A334-D327-418F-9545-CC986FA96B16}"/>
    <cellStyle name="Comma 10 3 2 4 3" xfId="14712" xr:uid="{67BE0499-B97C-4EC0-9860-B5AC68FC5B80}"/>
    <cellStyle name="Comma 10 3 2 4 4" xfId="16965" xr:uid="{8C75BF16-782C-4097-BEB8-A533FD4A54A6}"/>
    <cellStyle name="Comma 10 3 2 5" xfId="2301" xr:uid="{EDD11E5A-A08F-434D-ABD1-42DCB5ED417F}"/>
    <cellStyle name="Comma 10 3 2 6" xfId="3427" xr:uid="{1DD84992-86C5-4A24-A92E-E2EA107144E4}"/>
    <cellStyle name="Comma 10 3 2 7" xfId="4553" xr:uid="{2088CC9E-39C7-472B-83FB-63111FC3A8C4}"/>
    <cellStyle name="Comma 10 3 2 8" xfId="5680" xr:uid="{01EA2882-B5C7-4EC7-A29D-C16D595FA914}"/>
    <cellStyle name="Comma 10 3 2 9" xfId="6807" xr:uid="{F91B01EE-2652-42E5-8C34-C20B8E68F63A}"/>
    <cellStyle name="Comma 10 3 3" xfId="41" xr:uid="{9CC0B809-7944-4A47-B4DF-E11A374B6C27}"/>
    <cellStyle name="Comma 10 3 3 10" xfId="11294" xr:uid="{4B0AA3D2-382A-4102-991A-4D379679E873}"/>
    <cellStyle name="Comma 10 3 3 11" xfId="11335" xr:uid="{A5B04714-42A5-468C-BEE0-27AFEE14E66D}"/>
    <cellStyle name="Comma 10 3 3 12" xfId="13588" xr:uid="{7854EA4B-B961-4527-8F11-3229B8B73112}"/>
    <cellStyle name="Comma 10 3 3 13" xfId="15841" xr:uid="{9FD1CDDD-59E3-4709-A62E-EF9FD982C51C}"/>
    <cellStyle name="Comma 10 3 3 2" xfId="1178" xr:uid="{C666EF95-BA9F-4C90-84AE-EB0FD6F53C35}"/>
    <cellStyle name="Comma 10 3 3 2 2" xfId="12462" xr:uid="{47E7E8BD-221C-4FDF-893D-F84BDF60F3B5}"/>
    <cellStyle name="Comma 10 3 3 2 3" xfId="14715" xr:uid="{C5B60C9A-AF1D-44B0-A9AD-960E351207EF}"/>
    <cellStyle name="Comma 10 3 3 2 4" xfId="16968" xr:uid="{96049852-D4F0-43C2-B5DC-E1C6E0ADA7AE}"/>
    <cellStyle name="Comma 10 3 3 3" xfId="2304" xr:uid="{EA70AE80-C699-4A4A-A73B-3912ADADE10A}"/>
    <cellStyle name="Comma 10 3 3 4" xfId="3430" xr:uid="{459606A8-FB81-4859-9BCA-9C5C4920C2CC}"/>
    <cellStyle name="Comma 10 3 3 5" xfId="4556" xr:uid="{57958724-055B-4BC8-801E-A4D885595BFE}"/>
    <cellStyle name="Comma 10 3 3 6" xfId="5683" xr:uid="{8BDE572C-C1F5-4538-8348-5EF15F049F56}"/>
    <cellStyle name="Comma 10 3 3 7" xfId="6810" xr:uid="{30611155-48DF-48C2-94AE-7B4570AE3A05}"/>
    <cellStyle name="Comma 10 3 3 8" xfId="9030" xr:uid="{729B2385-E833-4B8B-AC75-B0D7FC40F829}"/>
    <cellStyle name="Comma 10 3 3 9" xfId="10167" xr:uid="{D54298BA-F166-4C5A-979C-CDF646149DE2}"/>
    <cellStyle name="Comma 10 3 4" xfId="42" xr:uid="{1376A5A7-5330-40BB-BD8E-5DEE412B85BA}"/>
    <cellStyle name="Comma 10 3 4 10" xfId="11293" xr:uid="{62DC7865-CB03-43DF-AA3B-0E922900DC91}"/>
    <cellStyle name="Comma 10 3 4 11" xfId="11336" xr:uid="{98073504-CDB4-4DEE-8536-8C306D59CEEE}"/>
    <cellStyle name="Comma 10 3 4 12" xfId="13589" xr:uid="{450F5FAD-BDE4-48CC-9471-ADE701AFA765}"/>
    <cellStyle name="Comma 10 3 4 13" xfId="15842" xr:uid="{498A62F3-6AE3-46E3-BF7C-648797E5B04C}"/>
    <cellStyle name="Comma 10 3 4 2" xfId="1179" xr:uid="{5CB13F46-A617-430A-A93F-62711F7074D0}"/>
    <cellStyle name="Comma 10 3 4 2 2" xfId="12463" xr:uid="{EACF906C-18A6-4C12-82E1-3E115AB6D6DB}"/>
    <cellStyle name="Comma 10 3 4 2 3" xfId="14716" xr:uid="{1C59E5A9-CDB3-4D0B-9CA6-E03282672B5F}"/>
    <cellStyle name="Comma 10 3 4 2 4" xfId="16969" xr:uid="{EFA8F0C8-45D8-4953-8564-E34CC517F716}"/>
    <cellStyle name="Comma 10 3 4 3" xfId="2305" xr:uid="{E0B59086-0532-4455-B3D0-514211A865B8}"/>
    <cellStyle name="Comma 10 3 4 4" xfId="3431" xr:uid="{4C659A8E-A518-4B3C-990C-24417A343953}"/>
    <cellStyle name="Comma 10 3 4 5" xfId="4557" xr:uid="{AEDD67F5-695A-4C03-9C7F-0F9C784CD9EC}"/>
    <cellStyle name="Comma 10 3 4 6" xfId="5684" xr:uid="{C56EF2FC-17D2-4D04-81B4-DEDD1B129472}"/>
    <cellStyle name="Comma 10 3 4 7" xfId="6811" xr:uid="{90A01B3B-540C-4B4E-BD90-D32D87C9A358}"/>
    <cellStyle name="Comma 10 3 4 8" xfId="9029" xr:uid="{DE7CAAEB-73B1-4300-B6AB-3A8E084B986C}"/>
    <cellStyle name="Comma 10 3 4 9" xfId="10166" xr:uid="{416DAC63-7577-4DFA-A9EA-44466F8A21B8}"/>
    <cellStyle name="Comma 10 3 5" xfId="1174" xr:uid="{7C71CF1E-0036-43CD-B185-F4F598546E68}"/>
    <cellStyle name="Comma 10 3 5 2" xfId="12458" xr:uid="{FD32877E-A371-406C-991B-293674728355}"/>
    <cellStyle name="Comma 10 3 5 3" xfId="14711" xr:uid="{D991AF13-0E85-489E-9029-8BFE9F1CB9A7}"/>
    <cellStyle name="Comma 10 3 5 4" xfId="16964" xr:uid="{E7F6F516-54D3-4D34-93F7-22824DFE2880}"/>
    <cellStyle name="Comma 10 3 6" xfId="2300" xr:uid="{F4836DEC-B4C8-470A-854A-42066DB2E4DF}"/>
    <cellStyle name="Comma 10 3 7" xfId="3426" xr:uid="{E7A75874-5DF5-40D8-8633-1A01609AE207}"/>
    <cellStyle name="Comma 10 3 8" xfId="4552" xr:uid="{A089FA32-F030-4901-A7EA-DC31A224EF26}"/>
    <cellStyle name="Comma 10 3 9" xfId="5679" xr:uid="{3C458B72-91D4-4852-B1FC-7E5417E1E0AC}"/>
    <cellStyle name="Comma 10 4" xfId="43" xr:uid="{B18C9188-32C2-4696-9E8C-0AA1FAF65E24}"/>
    <cellStyle name="Comma 10 4 10" xfId="9028" xr:uid="{5D66E7D7-5E02-4FE6-9BDC-B0DF17B0420D}"/>
    <cellStyle name="Comma 10 4 11" xfId="10165" xr:uid="{1C894119-F4C8-4DB0-A525-B08637A238B9}"/>
    <cellStyle name="Comma 10 4 12" xfId="11292" xr:uid="{94329EF6-251D-4654-8E34-B1CE799A1F2D}"/>
    <cellStyle name="Comma 10 4 13" xfId="11337" xr:uid="{8B000774-017E-43E2-8403-172E472F55F2}"/>
    <cellStyle name="Comma 10 4 14" xfId="13590" xr:uid="{D5A24982-3223-4A72-9686-40EB311BE00E}"/>
    <cellStyle name="Comma 10 4 15" xfId="15843" xr:uid="{644C359F-15FB-475D-BF8F-0B305E7FA5B6}"/>
    <cellStyle name="Comma 10 4 2" xfId="44" xr:uid="{2AFCD8DB-7574-4CE7-91F9-ADD10E1065CB}"/>
    <cellStyle name="Comma 10 4 2 10" xfId="11291" xr:uid="{C578BB38-9E1B-4229-9426-74C830901A01}"/>
    <cellStyle name="Comma 10 4 2 11" xfId="11338" xr:uid="{D79B0E1A-F5B7-421F-82F1-7D2565CAA725}"/>
    <cellStyle name="Comma 10 4 2 12" xfId="13591" xr:uid="{20F034CA-A2E6-4CF2-A1DA-775FBF053EAF}"/>
    <cellStyle name="Comma 10 4 2 13" xfId="15844" xr:uid="{1CF78D1B-D95B-4556-8A1E-5FFA64DB6693}"/>
    <cellStyle name="Comma 10 4 2 2" xfId="1181" xr:uid="{AC2D79CC-6688-433E-9A13-87316433D2CC}"/>
    <cellStyle name="Comma 10 4 2 2 2" xfId="12465" xr:uid="{B0ECD4A5-E9DD-4256-B5E4-B49993DAEF23}"/>
    <cellStyle name="Comma 10 4 2 2 3" xfId="14718" xr:uid="{F53649C1-E77F-45BC-BB12-C9EDCD5A8182}"/>
    <cellStyle name="Comma 10 4 2 2 4" xfId="16971" xr:uid="{714981A9-7C77-4B7C-B79B-0B92C0BCF52A}"/>
    <cellStyle name="Comma 10 4 2 3" xfId="2307" xr:uid="{E61D3623-12B7-48D5-BEF6-98208127A6D4}"/>
    <cellStyle name="Comma 10 4 2 4" xfId="3433" xr:uid="{ABBAFFA9-ADAB-462C-8460-504720256334}"/>
    <cellStyle name="Comma 10 4 2 5" xfId="4559" xr:uid="{7BE310BB-37EC-4393-82DE-B5F7F40EE354}"/>
    <cellStyle name="Comma 10 4 2 6" xfId="5686" xr:uid="{45F7CFF4-C112-44D8-836A-E4FFA08B9339}"/>
    <cellStyle name="Comma 10 4 2 7" xfId="6813" xr:uid="{25BB0585-FBFF-47C7-9C40-92F0A6971260}"/>
    <cellStyle name="Comma 10 4 2 8" xfId="9027" xr:uid="{FD4A8FEF-B11E-4624-BC27-42BFA1BA029E}"/>
    <cellStyle name="Comma 10 4 2 9" xfId="10164" xr:uid="{04159663-75C5-4925-B460-11363B3D9F2A}"/>
    <cellStyle name="Comma 10 4 3" xfId="45" xr:uid="{3ED8CED0-60CE-4831-80D2-925ED4E5ADBC}"/>
    <cellStyle name="Comma 10 4 3 10" xfId="11290" xr:uid="{F3166023-E699-4761-B699-160886A6F7BA}"/>
    <cellStyle name="Comma 10 4 3 11" xfId="11339" xr:uid="{75622C70-D278-4C92-9766-B5D009448D5A}"/>
    <cellStyle name="Comma 10 4 3 12" xfId="13592" xr:uid="{8AC0C4FE-06CB-45CE-B0F1-CEC4C8EE4185}"/>
    <cellStyle name="Comma 10 4 3 13" xfId="15845" xr:uid="{E092CDA6-F2F7-4E5E-B679-F3FF27940187}"/>
    <cellStyle name="Comma 10 4 3 2" xfId="1182" xr:uid="{45069382-7335-47B5-A5AC-51234EC4FBB7}"/>
    <cellStyle name="Comma 10 4 3 2 2" xfId="12466" xr:uid="{9DE43779-47FA-4489-9BC8-31D8FD5B620D}"/>
    <cellStyle name="Comma 10 4 3 2 3" xfId="14719" xr:uid="{0BCE578E-A854-4E0E-BA76-2A41E9D24C17}"/>
    <cellStyle name="Comma 10 4 3 2 4" xfId="16972" xr:uid="{0D27FEB6-2AF3-4AC8-B90F-7F7FDF09A408}"/>
    <cellStyle name="Comma 10 4 3 3" xfId="2308" xr:uid="{90AF002E-A530-4291-8D0D-B0FD353EA6E4}"/>
    <cellStyle name="Comma 10 4 3 4" xfId="3434" xr:uid="{9304400A-A9A6-49DA-8CE0-6F1F608DF5CB}"/>
    <cellStyle name="Comma 10 4 3 5" xfId="4560" xr:uid="{1EE1E39E-5181-4975-AEC3-1B5F5C738F34}"/>
    <cellStyle name="Comma 10 4 3 6" xfId="5687" xr:uid="{195CAA26-BABE-4DA7-903D-F519314B16A8}"/>
    <cellStyle name="Comma 10 4 3 7" xfId="6814" xr:uid="{DC4593CC-E2F3-48AC-9F25-2523C666FE29}"/>
    <cellStyle name="Comma 10 4 3 8" xfId="9026" xr:uid="{76C07943-05CC-4F23-9D6C-CB1AB9C75ABC}"/>
    <cellStyle name="Comma 10 4 3 9" xfId="10163" xr:uid="{B4A99C19-A1FC-4610-80E8-99F72F8372AC}"/>
    <cellStyle name="Comma 10 4 4" xfId="1180" xr:uid="{A3F934FB-D515-4086-8354-7675844F3A27}"/>
    <cellStyle name="Comma 10 4 4 2" xfId="12464" xr:uid="{FB7E136D-12B2-414E-9AE7-AAF07824E85F}"/>
    <cellStyle name="Comma 10 4 4 3" xfId="14717" xr:uid="{2B4E3252-EFB4-435B-8691-48D8CE9AE9A9}"/>
    <cellStyle name="Comma 10 4 4 4" xfId="16970" xr:uid="{A82916A5-1520-42EC-A11E-C46B9718FBC1}"/>
    <cellStyle name="Comma 10 4 5" xfId="2306" xr:uid="{706738B7-62EF-4C2B-973D-527BEE532609}"/>
    <cellStyle name="Comma 10 4 6" xfId="3432" xr:uid="{40CD4EF6-EBD8-4DEB-9E1B-5D96CA11A645}"/>
    <cellStyle name="Comma 10 4 7" xfId="4558" xr:uid="{F6B652CE-625A-471B-87C3-51B683F42A70}"/>
    <cellStyle name="Comma 10 4 8" xfId="5685" xr:uid="{5BE4FFA7-EEAB-4E2B-A8F6-7CE617B9F502}"/>
    <cellStyle name="Comma 10 4 9" xfId="6812" xr:uid="{337A6EA7-A1F0-44B9-9110-82A931893EBD}"/>
    <cellStyle name="Comma 10 5" xfId="46" xr:uid="{FE979F0D-24DF-4103-BEBC-9DAE0716AAA6}"/>
    <cellStyle name="Comma 10 5 10" xfId="11289" xr:uid="{01CFD329-A3A8-474E-A6B9-3356304BCCD7}"/>
    <cellStyle name="Comma 10 5 11" xfId="11340" xr:uid="{20E4DE59-53D4-45AD-98C5-E94CCDC36B5D}"/>
    <cellStyle name="Comma 10 5 12" xfId="13593" xr:uid="{C2DD5102-3BC8-49D8-B7C8-D2B7FDB99EF9}"/>
    <cellStyle name="Comma 10 5 13" xfId="15846" xr:uid="{210EABC7-2FE6-47D8-9E2F-2C842CFC97BE}"/>
    <cellStyle name="Comma 10 5 2" xfId="1183" xr:uid="{516F0937-E971-4E7F-8DC2-1D25C1562CC0}"/>
    <cellStyle name="Comma 10 5 2 2" xfId="12467" xr:uid="{5C82B070-D220-486D-8412-FD8592EF23F0}"/>
    <cellStyle name="Comma 10 5 2 3" xfId="14720" xr:uid="{E7D0F385-FB4A-4730-BD59-7952D7513D21}"/>
    <cellStyle name="Comma 10 5 2 4" xfId="16973" xr:uid="{FB8FD069-4430-4F84-A99F-9280539BA31B}"/>
    <cellStyle name="Comma 10 5 3" xfId="2309" xr:uid="{B838CA37-16B5-48C4-8CC1-91013042C95E}"/>
    <cellStyle name="Comma 10 5 4" xfId="3435" xr:uid="{D7A64DA6-A31B-4BA3-9001-19BD39DD7DD6}"/>
    <cellStyle name="Comma 10 5 5" xfId="4561" xr:uid="{44D39912-12FA-419E-824A-D810FAC977F6}"/>
    <cellStyle name="Comma 10 5 6" xfId="5688" xr:uid="{D68A747A-04CE-48A7-AE32-887A4DE2B9F0}"/>
    <cellStyle name="Comma 10 5 7" xfId="6815" xr:uid="{5DF65E62-8ABE-416F-900B-11702060AF86}"/>
    <cellStyle name="Comma 10 5 8" xfId="9025" xr:uid="{B74094B8-F1DF-4F09-AEA1-E8B98F4F3471}"/>
    <cellStyle name="Comma 10 5 9" xfId="10162" xr:uid="{CBC956FA-94B2-417D-B123-03B62EF78620}"/>
    <cellStyle name="Comma 10 6" xfId="47" xr:uid="{A148C762-BA9F-4B17-9959-6B8E5E3DDD0B}"/>
    <cellStyle name="Comma 10 6 10" xfId="11288" xr:uid="{213E0A12-BDDC-40AA-AD97-C5150AF3E07D}"/>
    <cellStyle name="Comma 10 6 11" xfId="11341" xr:uid="{F78E4BD9-B4B2-43D6-94A9-45EED655C26F}"/>
    <cellStyle name="Comma 10 6 12" xfId="13594" xr:uid="{C26F2F93-DE00-493F-A494-ABB66CDEACA8}"/>
    <cellStyle name="Comma 10 6 13" xfId="15847" xr:uid="{E9CDA120-EA22-4625-AF4C-444CCD18EAF1}"/>
    <cellStyle name="Comma 10 6 2" xfId="1184" xr:uid="{A3D06716-D75F-4F65-8E83-DB6F8AAD4D90}"/>
    <cellStyle name="Comma 10 6 2 2" xfId="12468" xr:uid="{C3A92E67-C817-493B-BCE4-6CFD10DC01D8}"/>
    <cellStyle name="Comma 10 6 2 3" xfId="14721" xr:uid="{ED272E21-1A1F-44F6-B6DE-C33B36134AE0}"/>
    <cellStyle name="Comma 10 6 2 4" xfId="16974" xr:uid="{74CCF16C-03FB-4914-9F9D-17089ACDAFE7}"/>
    <cellStyle name="Comma 10 6 3" xfId="2310" xr:uid="{7C1ABD68-A5E7-4172-9309-5E4FD87E7BD3}"/>
    <cellStyle name="Comma 10 6 4" xfId="3436" xr:uid="{27E38985-C520-4C34-AB59-4AE629B4B415}"/>
    <cellStyle name="Comma 10 6 5" xfId="4562" xr:uid="{E0B8C757-92F8-43E6-A58C-DF9212AD0CDA}"/>
    <cellStyle name="Comma 10 6 6" xfId="5689" xr:uid="{25CBB791-C844-45FE-A8AB-1A8FA75BAB16}"/>
    <cellStyle name="Comma 10 6 7" xfId="6816" xr:uid="{4927E65E-7F1F-473A-844A-DCBD894DDBDA}"/>
    <cellStyle name="Comma 10 6 8" xfId="9024" xr:uid="{F570D9B8-A5D0-4722-994C-6A39898854F6}"/>
    <cellStyle name="Comma 10 6 9" xfId="10161" xr:uid="{0F41668F-8E86-444D-B9CB-079A54275C47}"/>
    <cellStyle name="Comma 10 7" xfId="1161" xr:uid="{501E989A-AAB4-44B7-8902-F3A20182EAF8}"/>
    <cellStyle name="Comma 10 7 2" xfId="12445" xr:uid="{DE2F62EC-5C9A-4A61-8386-E4BDDE09F21D}"/>
    <cellStyle name="Comma 10 7 3" xfId="14698" xr:uid="{0877D5BB-2DBD-40A8-BAEE-D7B93856A708}"/>
    <cellStyle name="Comma 10 7 4" xfId="16951" xr:uid="{28CED812-AA63-4625-8F86-D2B0CB3CA3C8}"/>
    <cellStyle name="Comma 10 8" xfId="2287" xr:uid="{BFBB344D-A64B-4B1C-8185-005D762244BC}"/>
    <cellStyle name="Comma 10 9" xfId="3413" xr:uid="{38B11E94-2576-411D-B5C7-C43DAEB2AB53}"/>
    <cellStyle name="Comma 11" xfId="48" xr:uid="{005455BE-5F88-4773-86DE-61D5E525C47B}"/>
    <cellStyle name="Comma 11 10" xfId="4563" xr:uid="{B050386A-A84A-4901-B7BB-7712A28C935E}"/>
    <cellStyle name="Comma 11 11" xfId="5690" xr:uid="{07ABB74D-CE67-4940-A859-F491365A0CE4}"/>
    <cellStyle name="Comma 11 12" xfId="6817" xr:uid="{77F86592-D275-4C76-BD41-BAE7107403B9}"/>
    <cellStyle name="Comma 11 13" xfId="9023" xr:uid="{94A8C602-5C3C-4C17-95A5-5B20386857EB}"/>
    <cellStyle name="Comma 11 14" xfId="10160" xr:uid="{D2560E05-AD62-44EF-AB7F-94C79B46FA80}"/>
    <cellStyle name="Comma 11 15" xfId="11287" xr:uid="{E051E876-A1CD-4E43-9651-1A6283A003DA}"/>
    <cellStyle name="Comma 11 16" xfId="11342" xr:uid="{0A8A917B-1664-476A-B09F-F50B60D12295}"/>
    <cellStyle name="Comma 11 17" xfId="13595" xr:uid="{6729CE58-5E43-48F4-9ACA-7A2BB3C1A1AD}"/>
    <cellStyle name="Comma 11 18" xfId="15848" xr:uid="{77F205E8-8E4A-4D8E-8792-163DA023F372}"/>
    <cellStyle name="Comma 11 2" xfId="49" xr:uid="{2F995C9E-2342-4C03-9BB0-B22A01F753DE}"/>
    <cellStyle name="Comma 11 2 10" xfId="5691" xr:uid="{1E12CF2D-9580-4CDD-A6C4-1FF17E059E68}"/>
    <cellStyle name="Comma 11 2 11" xfId="6818" xr:uid="{30629849-4E32-4629-9033-A5542AEA203D}"/>
    <cellStyle name="Comma 11 2 12" xfId="9022" xr:uid="{E879D605-E4F5-4C59-9C48-61C0E45B2E37}"/>
    <cellStyle name="Comma 11 2 13" xfId="10159" xr:uid="{7BB74595-D252-4CFD-993A-E3267C767CA8}"/>
    <cellStyle name="Comma 11 2 14" xfId="11286" xr:uid="{6841B1CC-FAE0-4ECB-B80F-FED5C6DE025F}"/>
    <cellStyle name="Comma 11 2 15" xfId="11343" xr:uid="{72864B4D-2F3F-4128-B40B-FB21807BEBD9}"/>
    <cellStyle name="Comma 11 2 16" xfId="13596" xr:uid="{B5E21B28-5F5D-4896-B38E-56CCF65EBEF1}"/>
    <cellStyle name="Comma 11 2 17" xfId="15849" xr:uid="{D64FF734-8341-4EA5-9F67-61E210BB98AA}"/>
    <cellStyle name="Comma 11 2 2" xfId="50" xr:uid="{77CE46C5-4419-4F15-8775-BE2F54E0E820}"/>
    <cellStyle name="Comma 11 2 2 10" xfId="6819" xr:uid="{2E5EF063-F94E-4FAE-9896-ED5025BAE33A}"/>
    <cellStyle name="Comma 11 2 2 11" xfId="9021" xr:uid="{332D59AD-51CD-4AE0-BEA7-C007D0712541}"/>
    <cellStyle name="Comma 11 2 2 12" xfId="10158" xr:uid="{F41D8213-C1CD-4FA5-AF1D-7FFC58BEF8E6}"/>
    <cellStyle name="Comma 11 2 2 13" xfId="11285" xr:uid="{5BF4489F-7DD1-4705-B9A9-B3B526661A00}"/>
    <cellStyle name="Comma 11 2 2 14" xfId="11344" xr:uid="{C8392480-9C14-4907-A820-8451BB37C14B}"/>
    <cellStyle name="Comma 11 2 2 15" xfId="13597" xr:uid="{C38DB64B-7EEA-4A6D-82E9-F32F5EB83C81}"/>
    <cellStyle name="Comma 11 2 2 16" xfId="15850" xr:uid="{A3F073EA-022E-4925-99C0-2292D1C10546}"/>
    <cellStyle name="Comma 11 2 2 2" xfId="51" xr:uid="{9FD68077-5157-4A76-B8CA-581966AEC2BD}"/>
    <cellStyle name="Comma 11 2 2 2 10" xfId="9020" xr:uid="{D4BEB8AB-CAA7-4E6E-BB04-C3218A6F285F}"/>
    <cellStyle name="Comma 11 2 2 2 11" xfId="10157" xr:uid="{BC04B21C-D5DC-41B2-A958-EAC85B7ECB15}"/>
    <cellStyle name="Comma 11 2 2 2 12" xfId="11284" xr:uid="{0E5B977A-B494-44ED-8AAF-DBBB2EA71847}"/>
    <cellStyle name="Comma 11 2 2 2 13" xfId="11345" xr:uid="{BD67278B-8F20-43F2-92C7-F58BE6C3A586}"/>
    <cellStyle name="Comma 11 2 2 2 14" xfId="13598" xr:uid="{4642DB78-FD90-49C1-9DCA-F91589C78FF5}"/>
    <cellStyle name="Comma 11 2 2 2 15" xfId="15851" xr:uid="{AD0ECBC7-B6BB-46EB-9C7C-DA3F7E5773A4}"/>
    <cellStyle name="Comma 11 2 2 2 2" xfId="52" xr:uid="{9859C914-8420-4926-BE09-813D0294A9A0}"/>
    <cellStyle name="Comma 11 2 2 2 2 10" xfId="11283" xr:uid="{C0CE85AB-0EB0-45FF-BC86-57C26ED5C26A}"/>
    <cellStyle name="Comma 11 2 2 2 2 11" xfId="11346" xr:uid="{CD092238-1562-4AE2-8DD9-918EE595FE96}"/>
    <cellStyle name="Comma 11 2 2 2 2 12" xfId="13599" xr:uid="{206A74A0-F069-48E8-A708-AAF466942471}"/>
    <cellStyle name="Comma 11 2 2 2 2 13" xfId="15852" xr:uid="{DE662BFD-ADAC-4A02-94F5-9A86BA1EEEDE}"/>
    <cellStyle name="Comma 11 2 2 2 2 2" xfId="1189" xr:uid="{E5F6494B-45A0-4175-AAF4-E9ED0AA75E6A}"/>
    <cellStyle name="Comma 11 2 2 2 2 2 2" xfId="12473" xr:uid="{A12DFBDE-1605-4FF3-8F5E-88C344195A9D}"/>
    <cellStyle name="Comma 11 2 2 2 2 2 3" xfId="14726" xr:uid="{8372AC99-BB0C-4A9E-BF0E-838E99FA0299}"/>
    <cellStyle name="Comma 11 2 2 2 2 2 4" xfId="16979" xr:uid="{C209CD2B-899F-44DF-9561-8D198BD7FD0C}"/>
    <cellStyle name="Comma 11 2 2 2 2 3" xfId="2315" xr:uid="{4B3AE60D-ACA3-4267-892D-86DBE5003DE8}"/>
    <cellStyle name="Comma 11 2 2 2 2 4" xfId="3441" xr:uid="{53D37651-2EF2-41E9-A8DB-023BA1358312}"/>
    <cellStyle name="Comma 11 2 2 2 2 5" xfId="4567" xr:uid="{3C89E51B-B4EB-43AA-854D-95372670C759}"/>
    <cellStyle name="Comma 11 2 2 2 2 6" xfId="5694" xr:uid="{A6BDD135-2257-467C-9EA8-735F8E631AD9}"/>
    <cellStyle name="Comma 11 2 2 2 2 7" xfId="6821" xr:uid="{809CA832-1604-4F73-A747-E78D87E7DEA5}"/>
    <cellStyle name="Comma 11 2 2 2 2 8" xfId="9019" xr:uid="{0909D6E8-21A9-4F03-84B2-34CC11365860}"/>
    <cellStyle name="Comma 11 2 2 2 2 9" xfId="10156" xr:uid="{EC28920F-C7DB-4951-9D61-4DF3579E8693}"/>
    <cellStyle name="Comma 11 2 2 2 3" xfId="53" xr:uid="{C44A5757-4103-468B-A32C-9D8744B4730D}"/>
    <cellStyle name="Comma 11 2 2 2 3 10" xfId="11282" xr:uid="{EA050583-0716-47AF-A139-069B340FC403}"/>
    <cellStyle name="Comma 11 2 2 2 3 11" xfId="11347" xr:uid="{D58C3AEE-45D6-4572-BAD3-FE14C245BDE4}"/>
    <cellStyle name="Comma 11 2 2 2 3 12" xfId="13600" xr:uid="{09E46F6E-F115-41D6-B851-BC752CB29E04}"/>
    <cellStyle name="Comma 11 2 2 2 3 13" xfId="15853" xr:uid="{9E45A959-4BE0-4B49-96CC-B80BECD8C77A}"/>
    <cellStyle name="Comma 11 2 2 2 3 2" xfId="1190" xr:uid="{8BDF09CA-6C43-451F-9F97-DF95E1D152C2}"/>
    <cellStyle name="Comma 11 2 2 2 3 2 2" xfId="12474" xr:uid="{44FC028F-8849-4DAE-946F-083CDB161676}"/>
    <cellStyle name="Comma 11 2 2 2 3 2 3" xfId="14727" xr:uid="{7A6539A3-A37E-4124-91E2-2212F9026828}"/>
    <cellStyle name="Comma 11 2 2 2 3 2 4" xfId="16980" xr:uid="{BDB2EA9F-4237-48A9-9B5C-60B610F1887D}"/>
    <cellStyle name="Comma 11 2 2 2 3 3" xfId="2316" xr:uid="{C023037E-4F24-484D-AE7D-51B1B84A2D80}"/>
    <cellStyle name="Comma 11 2 2 2 3 4" xfId="3442" xr:uid="{818AE5D2-4EBC-4F55-93E2-618761DE3894}"/>
    <cellStyle name="Comma 11 2 2 2 3 5" xfId="4568" xr:uid="{FCD98544-7C56-416D-B42E-623C61199C3D}"/>
    <cellStyle name="Comma 11 2 2 2 3 6" xfId="5695" xr:uid="{030E654D-DE12-46D2-A723-C03F28F8373A}"/>
    <cellStyle name="Comma 11 2 2 2 3 7" xfId="6822" xr:uid="{03B5DA82-38BD-4302-9450-A188982526DF}"/>
    <cellStyle name="Comma 11 2 2 2 3 8" xfId="9018" xr:uid="{D5ACB610-D2D8-4F0A-9AE8-8CCC9853198D}"/>
    <cellStyle name="Comma 11 2 2 2 3 9" xfId="10155" xr:uid="{E50A3676-038A-4AE1-8503-964EB2D807B4}"/>
    <cellStyle name="Comma 11 2 2 2 4" xfId="1188" xr:uid="{F8669B7E-6556-405A-BF95-B12518A02627}"/>
    <cellStyle name="Comma 11 2 2 2 4 2" xfId="12472" xr:uid="{89DDC38F-8F45-4871-8C1E-0071C1F1B260}"/>
    <cellStyle name="Comma 11 2 2 2 4 3" xfId="14725" xr:uid="{4D44064F-ABCF-4D72-919B-7F3DAABBA310}"/>
    <cellStyle name="Comma 11 2 2 2 4 4" xfId="16978" xr:uid="{2D36FC43-8C8E-4B86-B05E-5A06C32882C4}"/>
    <cellStyle name="Comma 11 2 2 2 5" xfId="2314" xr:uid="{5967B369-EC85-4BFF-95DA-26ACEB7BB246}"/>
    <cellStyle name="Comma 11 2 2 2 6" xfId="3440" xr:uid="{1095C076-8D28-429C-A7C0-2B57DCB7914C}"/>
    <cellStyle name="Comma 11 2 2 2 7" xfId="4566" xr:uid="{3861BB4A-70BD-4350-9ACB-03F0BC99A72E}"/>
    <cellStyle name="Comma 11 2 2 2 8" xfId="5693" xr:uid="{23C84263-8F03-4034-92EC-471EFBD57C37}"/>
    <cellStyle name="Comma 11 2 2 2 9" xfId="6820" xr:uid="{6FA07965-CDCE-4469-9E95-D0D0EC9A8E17}"/>
    <cellStyle name="Comma 11 2 2 3" xfId="54" xr:uid="{57633672-CBA0-4C46-9761-D7BA47DD6383}"/>
    <cellStyle name="Comma 11 2 2 3 10" xfId="11281" xr:uid="{84EB42B4-358E-4F67-BCE1-C002E3DD9DB6}"/>
    <cellStyle name="Comma 11 2 2 3 11" xfId="11348" xr:uid="{8B64A2C6-8F44-4E5D-9EA3-DAC38C4A399F}"/>
    <cellStyle name="Comma 11 2 2 3 12" xfId="13601" xr:uid="{52B2B698-59B7-4BD5-90CC-EA7A6FBF8DA3}"/>
    <cellStyle name="Comma 11 2 2 3 13" xfId="15854" xr:uid="{88B25297-E157-4DED-81AD-E327B43559EF}"/>
    <cellStyle name="Comma 11 2 2 3 2" xfId="1191" xr:uid="{D7ED2D60-8949-42EF-AC57-BBF6C9E3FB36}"/>
    <cellStyle name="Comma 11 2 2 3 2 2" xfId="12475" xr:uid="{A38533FC-D6C2-4C0B-A755-B3495D187734}"/>
    <cellStyle name="Comma 11 2 2 3 2 3" xfId="14728" xr:uid="{0BF9EAEA-A8A6-4048-870D-764D8B4EA795}"/>
    <cellStyle name="Comma 11 2 2 3 2 4" xfId="16981" xr:uid="{8A0E3B9D-E46A-4694-BDFD-6FEDB1B71978}"/>
    <cellStyle name="Comma 11 2 2 3 3" xfId="2317" xr:uid="{AB220507-E06D-411A-AA0E-AC5B067FDBF7}"/>
    <cellStyle name="Comma 11 2 2 3 4" xfId="3443" xr:uid="{693D7A50-4DD9-49EA-866B-45EC6EA4BCD1}"/>
    <cellStyle name="Comma 11 2 2 3 5" xfId="4569" xr:uid="{EF950297-407F-4377-88BD-892433901E96}"/>
    <cellStyle name="Comma 11 2 2 3 6" xfId="5696" xr:uid="{5C24FD6A-8A63-4A4B-A2D9-7F3BEFD6C560}"/>
    <cellStyle name="Comma 11 2 2 3 7" xfId="6823" xr:uid="{D3BDBA94-E30E-4918-BFA3-F93E1D0F6E2F}"/>
    <cellStyle name="Comma 11 2 2 3 8" xfId="9017" xr:uid="{A800C076-2AE7-462A-AEB0-CFB80DC72579}"/>
    <cellStyle name="Comma 11 2 2 3 9" xfId="10154" xr:uid="{78B9309D-85F3-481C-B0A4-6FF0D97B18BC}"/>
    <cellStyle name="Comma 11 2 2 4" xfId="55" xr:uid="{B557D742-AC13-42A4-88EA-3ED47D7D71A9}"/>
    <cellStyle name="Comma 11 2 2 4 10" xfId="11280" xr:uid="{1C8E590D-1A56-4D44-9917-5F606F7535D3}"/>
    <cellStyle name="Comma 11 2 2 4 11" xfId="11349" xr:uid="{F097EB46-19A9-4B2F-87C7-AAF672D3B227}"/>
    <cellStyle name="Comma 11 2 2 4 12" xfId="13602" xr:uid="{4BFCDE14-73EC-414C-AC28-B5F018C4CABE}"/>
    <cellStyle name="Comma 11 2 2 4 13" xfId="15855" xr:uid="{85291F9F-EA1B-4B0B-A58E-A3DF28EEE22E}"/>
    <cellStyle name="Comma 11 2 2 4 2" xfId="1192" xr:uid="{F2183571-09E2-482E-8ED7-82EB13F05B71}"/>
    <cellStyle name="Comma 11 2 2 4 2 2" xfId="12476" xr:uid="{A0000194-F482-4577-B68F-DADC0EC475F3}"/>
    <cellStyle name="Comma 11 2 2 4 2 3" xfId="14729" xr:uid="{E30A9073-7343-4CDD-AC26-73B489A0139D}"/>
    <cellStyle name="Comma 11 2 2 4 2 4" xfId="16982" xr:uid="{70DC4BD9-C8BD-4DDE-ACCE-1B8F14870F61}"/>
    <cellStyle name="Comma 11 2 2 4 3" xfId="2318" xr:uid="{B2CA44E0-24A8-415D-9A9A-0D9C129C8CBE}"/>
    <cellStyle name="Comma 11 2 2 4 4" xfId="3444" xr:uid="{BB05E009-698D-4439-9843-8166E0D5D3F6}"/>
    <cellStyle name="Comma 11 2 2 4 5" xfId="4570" xr:uid="{DFA578D8-9150-413A-BA05-2D797D22757F}"/>
    <cellStyle name="Comma 11 2 2 4 6" xfId="5697" xr:uid="{2745A871-219C-4A58-915A-4E5EBEF508C1}"/>
    <cellStyle name="Comma 11 2 2 4 7" xfId="6824" xr:uid="{3223DED9-D516-4B17-B784-04E7D552733B}"/>
    <cellStyle name="Comma 11 2 2 4 8" xfId="9016" xr:uid="{18055C9F-BF22-438E-8C2B-B7DCDAC46BB0}"/>
    <cellStyle name="Comma 11 2 2 4 9" xfId="10153" xr:uid="{8290E061-D20B-49FB-A465-A19DB8452CD7}"/>
    <cellStyle name="Comma 11 2 2 5" xfId="1187" xr:uid="{BA4EB379-60C7-4AE0-889C-A70A55DA6B68}"/>
    <cellStyle name="Comma 11 2 2 5 2" xfId="12471" xr:uid="{C2ED1B76-0BDC-4201-A544-C1DAD53F289D}"/>
    <cellStyle name="Comma 11 2 2 5 3" xfId="14724" xr:uid="{428E2BD5-1D08-416D-A9B7-B27E9930AE63}"/>
    <cellStyle name="Comma 11 2 2 5 4" xfId="16977" xr:uid="{4584DC04-F068-425F-A9A7-05C7BBF752D4}"/>
    <cellStyle name="Comma 11 2 2 6" xfId="2313" xr:uid="{C4A7F434-77AB-46DA-A82D-C4AECEF9F474}"/>
    <cellStyle name="Comma 11 2 2 7" xfId="3439" xr:uid="{B3311BB1-1FB6-46C5-8CAD-0F3ABEAA0276}"/>
    <cellStyle name="Comma 11 2 2 8" xfId="4565" xr:uid="{8B5D9E3E-8275-4622-A703-659D3DFF8338}"/>
    <cellStyle name="Comma 11 2 2 9" xfId="5692" xr:uid="{B556B00C-7464-4C34-941A-6474A57ED67B}"/>
    <cellStyle name="Comma 11 2 3" xfId="56" xr:uid="{00EE8DEB-943C-45C9-965D-837FFDC89F13}"/>
    <cellStyle name="Comma 11 2 3 10" xfId="9015" xr:uid="{23AA70F0-10F5-4EF1-8D4E-D4EA0B19E49B}"/>
    <cellStyle name="Comma 11 2 3 11" xfId="10152" xr:uid="{C5037176-2D56-4A6F-93C8-BF031CD8D6D3}"/>
    <cellStyle name="Comma 11 2 3 12" xfId="11279" xr:uid="{A32982B7-D9EF-40F6-AE84-4D5A8B302123}"/>
    <cellStyle name="Comma 11 2 3 13" xfId="11350" xr:uid="{34F7BABD-F1AA-49C2-8252-D9ED0509F47D}"/>
    <cellStyle name="Comma 11 2 3 14" xfId="13603" xr:uid="{A1848A3E-11A6-46A0-B7E0-013A84EA5509}"/>
    <cellStyle name="Comma 11 2 3 15" xfId="15856" xr:uid="{E0DF5740-4C6F-4FF9-AB73-9576D911A6FD}"/>
    <cellStyle name="Comma 11 2 3 2" xfId="57" xr:uid="{9EC4A48C-2BDB-4D0F-B5BD-F1FB1C52D9B7}"/>
    <cellStyle name="Comma 11 2 3 2 10" xfId="11278" xr:uid="{AE2C2341-4973-4560-A74E-C8EBF2D6C125}"/>
    <cellStyle name="Comma 11 2 3 2 11" xfId="11351" xr:uid="{C342A309-0E54-4871-8B3D-19725345AF02}"/>
    <cellStyle name="Comma 11 2 3 2 12" xfId="13604" xr:uid="{78679E34-5F59-44EA-A2F0-0427690D9CB0}"/>
    <cellStyle name="Comma 11 2 3 2 13" xfId="15857" xr:uid="{D5C329A4-2153-4C72-AC58-4FF4A0D1AA2F}"/>
    <cellStyle name="Comma 11 2 3 2 2" xfId="1194" xr:uid="{C0524420-062A-48BA-85EC-E7E6B38B5C5A}"/>
    <cellStyle name="Comma 11 2 3 2 2 2" xfId="12478" xr:uid="{6B8134FF-8609-40E1-82CF-F4C92296F31A}"/>
    <cellStyle name="Comma 11 2 3 2 2 3" xfId="14731" xr:uid="{CB54A5FB-6CB3-4EF6-B9C2-1D5F593D13E7}"/>
    <cellStyle name="Comma 11 2 3 2 2 4" xfId="16984" xr:uid="{EB124213-B641-44E8-AE84-FAB6873BFEBF}"/>
    <cellStyle name="Comma 11 2 3 2 3" xfId="2320" xr:uid="{07938B85-B6C3-4CDD-82E5-452661A137A5}"/>
    <cellStyle name="Comma 11 2 3 2 4" xfId="3446" xr:uid="{10707FC0-F0B9-4F12-8887-F1DF132BE505}"/>
    <cellStyle name="Comma 11 2 3 2 5" xfId="4572" xr:uid="{A00C5592-10C0-4994-9800-E21E5D0EAEA1}"/>
    <cellStyle name="Comma 11 2 3 2 6" xfId="5699" xr:uid="{88096E97-EBEA-47A9-AF25-822F95A54ED1}"/>
    <cellStyle name="Comma 11 2 3 2 7" xfId="6826" xr:uid="{7D0FC26B-17D6-47DA-ADD1-8870200670AD}"/>
    <cellStyle name="Comma 11 2 3 2 8" xfId="9014" xr:uid="{CC67C13A-010D-4591-B8EB-B476E2B2C23D}"/>
    <cellStyle name="Comma 11 2 3 2 9" xfId="10151" xr:uid="{750D9FD4-A3FD-48E8-AA70-BCD3FB676EF0}"/>
    <cellStyle name="Comma 11 2 3 3" xfId="58" xr:uid="{7CBBAA81-DDBB-4103-9787-862DAAB5BCC5}"/>
    <cellStyle name="Comma 11 2 3 3 10" xfId="11277" xr:uid="{61746225-4ABA-457A-97F7-8E087B09E8D5}"/>
    <cellStyle name="Comma 11 2 3 3 11" xfId="11352" xr:uid="{A6E8699C-E2FD-4527-9FCD-E06CC1770565}"/>
    <cellStyle name="Comma 11 2 3 3 12" xfId="13605" xr:uid="{31FCE1A5-2D00-4CE2-B5A9-73A2671995A4}"/>
    <cellStyle name="Comma 11 2 3 3 13" xfId="15858" xr:uid="{62A24AE2-7613-4D52-B578-74B0E0B53633}"/>
    <cellStyle name="Comma 11 2 3 3 2" xfId="1195" xr:uid="{82DB2769-A4EC-425C-9E6F-B6C989C8E09B}"/>
    <cellStyle name="Comma 11 2 3 3 2 2" xfId="12479" xr:uid="{CD7709B7-4913-49E5-ACA8-8BB08D1DFFBB}"/>
    <cellStyle name="Comma 11 2 3 3 2 3" xfId="14732" xr:uid="{AA9B8A2D-2566-4A30-8224-46744B19F6C1}"/>
    <cellStyle name="Comma 11 2 3 3 2 4" xfId="16985" xr:uid="{0104B8E6-E498-44DC-82A5-4D78B06974E0}"/>
    <cellStyle name="Comma 11 2 3 3 3" xfId="2321" xr:uid="{6226B2ED-D01C-425C-AABF-E5EE25F913AD}"/>
    <cellStyle name="Comma 11 2 3 3 4" xfId="3447" xr:uid="{24D7B907-0014-4957-87A9-99E232B9A4D4}"/>
    <cellStyle name="Comma 11 2 3 3 5" xfId="4573" xr:uid="{60BC1F36-8543-4DD1-AC33-DB8EE1CBA56C}"/>
    <cellStyle name="Comma 11 2 3 3 6" xfId="5700" xr:uid="{5A747CAA-36DA-4AE7-9666-BDF5E4E53C03}"/>
    <cellStyle name="Comma 11 2 3 3 7" xfId="6827" xr:uid="{DB499658-713E-43A0-96A8-11E38D78BE46}"/>
    <cellStyle name="Comma 11 2 3 3 8" xfId="9013" xr:uid="{E7F684A9-DBA7-4CE3-885D-DA8BDDD75672}"/>
    <cellStyle name="Comma 11 2 3 3 9" xfId="10150" xr:uid="{9A455673-10B4-4204-A2A2-B416487E48BD}"/>
    <cellStyle name="Comma 11 2 3 4" xfId="1193" xr:uid="{850062E9-31B2-4A7D-A349-496186FE663A}"/>
    <cellStyle name="Comma 11 2 3 4 2" xfId="12477" xr:uid="{FF7B1042-6CB6-4EAD-960D-3859EBD757F6}"/>
    <cellStyle name="Comma 11 2 3 4 3" xfId="14730" xr:uid="{78D3904D-C1EF-40C7-8864-392E63446117}"/>
    <cellStyle name="Comma 11 2 3 4 4" xfId="16983" xr:uid="{A89DF808-FD32-4715-B866-005DFDBE5473}"/>
    <cellStyle name="Comma 11 2 3 5" xfId="2319" xr:uid="{A7D209B3-B4CD-4C3E-B4DA-D373FF7936D9}"/>
    <cellStyle name="Comma 11 2 3 6" xfId="3445" xr:uid="{E2CD94E0-30BF-470A-8B93-D429DA68CB10}"/>
    <cellStyle name="Comma 11 2 3 7" xfId="4571" xr:uid="{D931A32C-B36F-4EF2-A204-B05D64809DC8}"/>
    <cellStyle name="Comma 11 2 3 8" xfId="5698" xr:uid="{F37FF02E-3733-4427-87E2-B510D71C9F13}"/>
    <cellStyle name="Comma 11 2 3 9" xfId="6825" xr:uid="{A2FD8F0D-E092-4AC9-81AE-FB52960668CE}"/>
    <cellStyle name="Comma 11 2 4" xfId="59" xr:uid="{91702F0B-549B-4556-8C30-11CB44C0961C}"/>
    <cellStyle name="Comma 11 2 4 10" xfId="11276" xr:uid="{D60CCC88-1154-48CB-A2CF-D3FAF8DE6E4E}"/>
    <cellStyle name="Comma 11 2 4 11" xfId="11353" xr:uid="{96316826-B4C4-4A70-8882-432BB738FA5C}"/>
    <cellStyle name="Comma 11 2 4 12" xfId="13606" xr:uid="{D8D72BC7-745B-4BA3-826E-82D5AF4ED970}"/>
    <cellStyle name="Comma 11 2 4 13" xfId="15859" xr:uid="{D3F86BEC-0FA5-4C8B-8FE0-C3E19ED1325C}"/>
    <cellStyle name="Comma 11 2 4 2" xfId="1196" xr:uid="{63DA6166-307E-4CCD-BAFD-9E36CC0DA858}"/>
    <cellStyle name="Comma 11 2 4 2 2" xfId="12480" xr:uid="{AD197BD6-DF41-48EE-8BB3-3A0AD2AA78C8}"/>
    <cellStyle name="Comma 11 2 4 2 3" xfId="14733" xr:uid="{C266BC63-2003-4252-8738-80E0230F3F18}"/>
    <cellStyle name="Comma 11 2 4 2 4" xfId="16986" xr:uid="{B705EBBC-C694-4985-80FA-4FF032333F79}"/>
    <cellStyle name="Comma 11 2 4 3" xfId="2322" xr:uid="{4EEF06FD-4240-4084-B3DC-889FCD502084}"/>
    <cellStyle name="Comma 11 2 4 4" xfId="3448" xr:uid="{91454B17-0D66-4DEC-86AD-85B01BD35657}"/>
    <cellStyle name="Comma 11 2 4 5" xfId="4574" xr:uid="{61A890CC-DF29-48C4-AE74-4BE60978B32A}"/>
    <cellStyle name="Comma 11 2 4 6" xfId="5701" xr:uid="{7C2B21E9-8B23-4AC2-8881-4A342D1977E0}"/>
    <cellStyle name="Comma 11 2 4 7" xfId="6828" xr:uid="{877BC8E0-BBF2-4469-BA17-75AF20536100}"/>
    <cellStyle name="Comma 11 2 4 8" xfId="9012" xr:uid="{2DF58BAA-268E-4902-ACC2-3E109AD65160}"/>
    <cellStyle name="Comma 11 2 4 9" xfId="10149" xr:uid="{C2008348-D40B-40F6-BD0B-615F2FF7D0D2}"/>
    <cellStyle name="Comma 11 2 5" xfId="60" xr:uid="{590D531D-ACBC-476D-989A-AC137A5D4158}"/>
    <cellStyle name="Comma 11 2 5 10" xfId="11275" xr:uid="{EB780B6D-78A1-4C8B-B460-8B49C96F95DC}"/>
    <cellStyle name="Comma 11 2 5 11" xfId="11354" xr:uid="{9B52B8E4-C44D-489B-8DEB-F0A1839598F5}"/>
    <cellStyle name="Comma 11 2 5 12" xfId="13607" xr:uid="{A0A7D12D-EA25-44C9-9D78-14BFFE46C99C}"/>
    <cellStyle name="Comma 11 2 5 13" xfId="15860" xr:uid="{2475BF55-E30D-47F7-8551-01CF6A9B6A66}"/>
    <cellStyle name="Comma 11 2 5 2" xfId="1197" xr:uid="{D2E92C9E-D85D-40F3-8F06-2E568DE1361E}"/>
    <cellStyle name="Comma 11 2 5 2 2" xfId="12481" xr:uid="{EF439C07-D03A-4A4A-B552-65C6664D7B8D}"/>
    <cellStyle name="Comma 11 2 5 2 3" xfId="14734" xr:uid="{2A617CD9-E8ED-4FFB-9046-015607D8BCA7}"/>
    <cellStyle name="Comma 11 2 5 2 4" xfId="16987" xr:uid="{3986B5AE-2B6B-4F26-8A52-15004138843B}"/>
    <cellStyle name="Comma 11 2 5 3" xfId="2323" xr:uid="{024853F1-EED8-4C16-AE34-A51BC63AF99B}"/>
    <cellStyle name="Comma 11 2 5 4" xfId="3449" xr:uid="{C36EB656-22A2-478E-9A1B-01E3AED0D4A7}"/>
    <cellStyle name="Comma 11 2 5 5" xfId="4575" xr:uid="{2A9D0456-E79E-494D-808E-5E6015E5E0F6}"/>
    <cellStyle name="Comma 11 2 5 6" xfId="5702" xr:uid="{E29116D2-425C-4D64-A777-5A83B9D5C71B}"/>
    <cellStyle name="Comma 11 2 5 7" xfId="6829" xr:uid="{468D1AF1-58AB-47BE-9AC7-79A7333B2A29}"/>
    <cellStyle name="Comma 11 2 5 8" xfId="9011" xr:uid="{08206D4D-89C0-4B9F-B2E8-629A2A3F299B}"/>
    <cellStyle name="Comma 11 2 5 9" xfId="10148" xr:uid="{01A37F37-F4B7-4CC9-ABDC-2681E5457315}"/>
    <cellStyle name="Comma 11 2 6" xfId="1186" xr:uid="{F951EF83-A57B-46E6-BE23-28E9D683DC40}"/>
    <cellStyle name="Comma 11 2 6 2" xfId="12470" xr:uid="{068AD42D-93E1-4203-98C0-F5BA76640D6B}"/>
    <cellStyle name="Comma 11 2 6 3" xfId="14723" xr:uid="{B9FAAD3C-D39E-45B1-8C58-BA3605BFEE77}"/>
    <cellStyle name="Comma 11 2 6 4" xfId="16976" xr:uid="{3B2C3EBF-3A1D-4E04-911D-058E734C4659}"/>
    <cellStyle name="Comma 11 2 7" xfId="2312" xr:uid="{888D2AE2-C938-44A7-AEB3-6C4FC45847B2}"/>
    <cellStyle name="Comma 11 2 8" xfId="3438" xr:uid="{B8DB0895-92A1-4F52-A452-ED86CA4788CE}"/>
    <cellStyle name="Comma 11 2 9" xfId="4564" xr:uid="{A2A89F6F-9449-4825-929D-0B8169BF5DAB}"/>
    <cellStyle name="Comma 11 3" xfId="61" xr:uid="{BFCC4080-27F5-45D9-8415-BEFC3878B593}"/>
    <cellStyle name="Comma 11 3 10" xfId="6830" xr:uid="{7F4D0983-F0CF-446A-BCAD-6F41F8C789DE}"/>
    <cellStyle name="Comma 11 3 11" xfId="9010" xr:uid="{1699456E-0324-4273-B78C-3F75F586BF2B}"/>
    <cellStyle name="Comma 11 3 12" xfId="10147" xr:uid="{6B1D6AC3-5A80-4345-810C-9BBA0249A17E}"/>
    <cellStyle name="Comma 11 3 13" xfId="11274" xr:uid="{E986F080-31A9-4B05-B5BE-4269A07BE86F}"/>
    <cellStyle name="Comma 11 3 14" xfId="11355" xr:uid="{8C4ABE18-D850-41EE-A773-4E5252F6E34B}"/>
    <cellStyle name="Comma 11 3 15" xfId="13608" xr:uid="{F8FBEA57-B444-4CEB-8677-61F3BC8B0413}"/>
    <cellStyle name="Comma 11 3 16" xfId="15861" xr:uid="{C06087D6-AB41-4A3D-8A5B-31761CC29616}"/>
    <cellStyle name="Comma 11 3 2" xfId="62" xr:uid="{91786EA7-0E70-4F27-B237-9B864644A3EB}"/>
    <cellStyle name="Comma 11 3 2 10" xfId="9009" xr:uid="{5642E417-1A7A-4921-9494-92BDC63619FA}"/>
    <cellStyle name="Comma 11 3 2 11" xfId="10146" xr:uid="{D74CB9B7-E5DC-43A4-A0CA-8E45CAC8F964}"/>
    <cellStyle name="Comma 11 3 2 12" xfId="11273" xr:uid="{B31CD5A7-3EE0-42A2-866A-3DC29CA28339}"/>
    <cellStyle name="Comma 11 3 2 13" xfId="11356" xr:uid="{6807D18A-A3FF-464A-8246-9A5056DDCF67}"/>
    <cellStyle name="Comma 11 3 2 14" xfId="13609" xr:uid="{843F6178-C966-4E12-9CEF-7A197A31AEC7}"/>
    <cellStyle name="Comma 11 3 2 15" xfId="15862" xr:uid="{838A63B6-DFF2-4C26-A5EF-7294AFC7B7C8}"/>
    <cellStyle name="Comma 11 3 2 2" xfId="63" xr:uid="{E52936C7-166C-4FD2-A82F-0C95EFB8FCA4}"/>
    <cellStyle name="Comma 11 3 2 2 10" xfId="11272" xr:uid="{66B5E91E-4AAB-480B-BEFD-221B1163BAD6}"/>
    <cellStyle name="Comma 11 3 2 2 11" xfId="11357" xr:uid="{6BE79C0D-0C22-4071-8386-EB9BA599731F}"/>
    <cellStyle name="Comma 11 3 2 2 12" xfId="13610" xr:uid="{269361A8-5347-4DBD-BD58-DBA35FD04827}"/>
    <cellStyle name="Comma 11 3 2 2 13" xfId="15863" xr:uid="{F3246DA5-A650-4673-902B-E2D4FC1E8A38}"/>
    <cellStyle name="Comma 11 3 2 2 2" xfId="1200" xr:uid="{53C1B7AD-B453-4BFE-BAA9-376F5C3BAE8C}"/>
    <cellStyle name="Comma 11 3 2 2 2 2" xfId="12484" xr:uid="{45FCDEAF-BB99-4427-8194-8BDADC71752C}"/>
    <cellStyle name="Comma 11 3 2 2 2 3" xfId="14737" xr:uid="{9912E7A5-5541-4168-B936-3CF63231CB16}"/>
    <cellStyle name="Comma 11 3 2 2 2 4" xfId="16990" xr:uid="{C6340018-8F18-4FB5-AED5-33C17621FF55}"/>
    <cellStyle name="Comma 11 3 2 2 3" xfId="2326" xr:uid="{778B5B05-2AA0-4214-BE97-BEE6121DA86C}"/>
    <cellStyle name="Comma 11 3 2 2 4" xfId="3452" xr:uid="{DEC7F85A-FF88-4528-B3FA-29B2EF261108}"/>
    <cellStyle name="Comma 11 3 2 2 5" xfId="4578" xr:uid="{8C962BDA-C6CB-4A96-AE0A-6D321C23EB41}"/>
    <cellStyle name="Comma 11 3 2 2 6" xfId="5705" xr:uid="{35CA4A03-1886-4A55-BA06-3842CDA6B431}"/>
    <cellStyle name="Comma 11 3 2 2 7" xfId="6832" xr:uid="{0434AF02-F612-4ED2-B93D-F6D61E335AA3}"/>
    <cellStyle name="Comma 11 3 2 2 8" xfId="9008" xr:uid="{0D1D6A3F-ACDC-461E-A8A2-5AA38891CD39}"/>
    <cellStyle name="Comma 11 3 2 2 9" xfId="10145" xr:uid="{041C7018-1D20-40AE-93E7-BCFD637284EE}"/>
    <cellStyle name="Comma 11 3 2 3" xfId="64" xr:uid="{CED62B00-644E-4F25-89AB-F3544BBAC3B8}"/>
    <cellStyle name="Comma 11 3 2 3 10" xfId="11271" xr:uid="{FF2FF860-528F-4D16-98C1-B07A1B7B6EC8}"/>
    <cellStyle name="Comma 11 3 2 3 11" xfId="11358" xr:uid="{8FCFECC7-AEC0-4813-9E7D-663EA69F4C18}"/>
    <cellStyle name="Comma 11 3 2 3 12" xfId="13611" xr:uid="{1860B669-83B0-4695-B7DC-3D59EF67419D}"/>
    <cellStyle name="Comma 11 3 2 3 13" xfId="15864" xr:uid="{5CCF55AE-2774-48E0-B3A9-87B5C31304D1}"/>
    <cellStyle name="Comma 11 3 2 3 2" xfId="1201" xr:uid="{6F730FEE-0965-42B6-BFF0-F9CCF8B7342B}"/>
    <cellStyle name="Comma 11 3 2 3 2 2" xfId="12485" xr:uid="{FB033391-22B5-4122-951F-75C14D25D112}"/>
    <cellStyle name="Comma 11 3 2 3 2 3" xfId="14738" xr:uid="{7FFC3AA5-D3A5-4E72-B5F7-9E7DC58958ED}"/>
    <cellStyle name="Comma 11 3 2 3 2 4" xfId="16991" xr:uid="{89AFD201-EC43-4D25-9A2B-BAE33F7F5C37}"/>
    <cellStyle name="Comma 11 3 2 3 3" xfId="2327" xr:uid="{0B751B61-5AE9-4922-9D28-DF5DA4A9AB46}"/>
    <cellStyle name="Comma 11 3 2 3 4" xfId="3453" xr:uid="{E62068F6-AD1E-4E22-B67D-BCB24BFF5945}"/>
    <cellStyle name="Comma 11 3 2 3 5" xfId="4579" xr:uid="{1B5A7C70-AE5D-45F3-8538-5CFA6FE9A838}"/>
    <cellStyle name="Comma 11 3 2 3 6" xfId="5706" xr:uid="{E67F6B89-1471-4790-AEB0-C38CB96A7354}"/>
    <cellStyle name="Comma 11 3 2 3 7" xfId="6833" xr:uid="{78C7EC31-6601-4ACA-878E-A3280976AA6A}"/>
    <cellStyle name="Comma 11 3 2 3 8" xfId="9007" xr:uid="{E4057713-6579-4B8D-A57B-FC88C64026AA}"/>
    <cellStyle name="Comma 11 3 2 3 9" xfId="10144" xr:uid="{D7A9EA05-BE63-4515-97A2-D03F9B380606}"/>
    <cellStyle name="Comma 11 3 2 4" xfId="1199" xr:uid="{50D26DB5-C0B3-4B32-BCEA-BE8C607664B7}"/>
    <cellStyle name="Comma 11 3 2 4 2" xfId="12483" xr:uid="{29A3BC1A-58E7-4293-A8BD-F738CA6A8BB6}"/>
    <cellStyle name="Comma 11 3 2 4 3" xfId="14736" xr:uid="{42F52072-FC7B-4145-AAC2-563AA57CC27C}"/>
    <cellStyle name="Comma 11 3 2 4 4" xfId="16989" xr:uid="{2A8688BC-2544-4679-AE8B-816748471CD8}"/>
    <cellStyle name="Comma 11 3 2 5" xfId="2325" xr:uid="{13BE11AA-983D-4DC8-A10F-FD8B227C3E7B}"/>
    <cellStyle name="Comma 11 3 2 6" xfId="3451" xr:uid="{39C1E646-3C86-45A8-AF1F-09EF7A019902}"/>
    <cellStyle name="Comma 11 3 2 7" xfId="4577" xr:uid="{9CA8C341-C41E-40C0-8ADD-E0610991DB28}"/>
    <cellStyle name="Comma 11 3 2 8" xfId="5704" xr:uid="{5A53D247-98EC-49B1-9894-BE4159824F92}"/>
    <cellStyle name="Comma 11 3 2 9" xfId="6831" xr:uid="{B899B775-C960-4A48-970A-34ED2A4EA2A5}"/>
    <cellStyle name="Comma 11 3 3" xfId="65" xr:uid="{1CC6177C-02EC-49D7-96D0-59C6F9DD9104}"/>
    <cellStyle name="Comma 11 3 3 10" xfId="11270" xr:uid="{1CA7049C-E192-4B4A-81AF-8D37C4108231}"/>
    <cellStyle name="Comma 11 3 3 11" xfId="11359" xr:uid="{96BCBE0C-37DB-403C-932A-8B905837A387}"/>
    <cellStyle name="Comma 11 3 3 12" xfId="13612" xr:uid="{FD448039-D0BD-415E-B55D-49038F1DA41B}"/>
    <cellStyle name="Comma 11 3 3 13" xfId="15865" xr:uid="{019CF7A6-0FA0-4517-BB63-906933B0B750}"/>
    <cellStyle name="Comma 11 3 3 2" xfId="1202" xr:uid="{FD72441E-5E17-480C-B713-1D05B0C4AE0E}"/>
    <cellStyle name="Comma 11 3 3 2 2" xfId="12486" xr:uid="{72E9218D-5780-460A-B34B-4242A448A9FA}"/>
    <cellStyle name="Comma 11 3 3 2 3" xfId="14739" xr:uid="{C053441C-1040-4555-AFCC-D63B12DAF514}"/>
    <cellStyle name="Comma 11 3 3 2 4" xfId="16992" xr:uid="{46D910C3-2A9A-4A04-8B63-49C7561CD6D0}"/>
    <cellStyle name="Comma 11 3 3 3" xfId="2328" xr:uid="{8D78CD0E-0A4A-4116-8D1A-29472EB3AC16}"/>
    <cellStyle name="Comma 11 3 3 4" xfId="3454" xr:uid="{56ED2381-E8AE-4356-B0FD-104FC7C91368}"/>
    <cellStyle name="Comma 11 3 3 5" xfId="4580" xr:uid="{B96447E3-081D-4390-9462-C35578FA2E06}"/>
    <cellStyle name="Comma 11 3 3 6" xfId="5707" xr:uid="{D9CA9F4C-1585-4E51-B2BC-42F763C281DD}"/>
    <cellStyle name="Comma 11 3 3 7" xfId="6834" xr:uid="{ED6C7930-5CF3-49DD-8099-1A4C9A8E5F24}"/>
    <cellStyle name="Comma 11 3 3 8" xfId="9006" xr:uid="{AAF54E2D-9ADD-4E8D-83FC-508AFD8D167B}"/>
    <cellStyle name="Comma 11 3 3 9" xfId="10143" xr:uid="{1691A31A-6A02-48D6-986D-88719E1404C5}"/>
    <cellStyle name="Comma 11 3 4" xfId="66" xr:uid="{753D7192-1519-40D8-8F4A-AC2B9329E24A}"/>
    <cellStyle name="Comma 11 3 4 10" xfId="11269" xr:uid="{F8C1858F-C377-486B-AF4D-45DCD0296DF5}"/>
    <cellStyle name="Comma 11 3 4 11" xfId="11360" xr:uid="{A3263CB4-379B-4E46-8322-D51AEA8BF64D}"/>
    <cellStyle name="Comma 11 3 4 12" xfId="13613" xr:uid="{EE520CD4-21B7-40BC-A25A-065CFD6F5325}"/>
    <cellStyle name="Comma 11 3 4 13" xfId="15866" xr:uid="{507EFAD0-6416-4FD7-81D7-3F1FBBA94788}"/>
    <cellStyle name="Comma 11 3 4 2" xfId="1203" xr:uid="{06252C3E-C2C4-4EEB-8236-68F19FD34FB8}"/>
    <cellStyle name="Comma 11 3 4 2 2" xfId="12487" xr:uid="{8638D94F-36B8-4BC9-86D3-765478883798}"/>
    <cellStyle name="Comma 11 3 4 2 3" xfId="14740" xr:uid="{7BF9A862-D41E-4B0F-8424-AA8DC7E02834}"/>
    <cellStyle name="Comma 11 3 4 2 4" xfId="16993" xr:uid="{4A22A032-9080-4EBE-9E41-B6AF06F73E21}"/>
    <cellStyle name="Comma 11 3 4 3" xfId="2329" xr:uid="{0418485D-8E53-4C57-A9E7-B3C743C8946F}"/>
    <cellStyle name="Comma 11 3 4 4" xfId="3455" xr:uid="{E9C7D1C3-6A62-48F4-98B6-76162E9CBD23}"/>
    <cellStyle name="Comma 11 3 4 5" xfId="4581" xr:uid="{EE2B484C-DEC5-446B-8974-7B78F435397B}"/>
    <cellStyle name="Comma 11 3 4 6" xfId="5708" xr:uid="{90B9A7E2-C979-4FDB-A3C4-C241AFC035A2}"/>
    <cellStyle name="Comma 11 3 4 7" xfId="6835" xr:uid="{AC06ADCB-485F-4CFB-ACF6-F73387E52371}"/>
    <cellStyle name="Comma 11 3 4 8" xfId="9005" xr:uid="{096A9DE7-B2A5-4AD2-87FA-0376B65C1E69}"/>
    <cellStyle name="Comma 11 3 4 9" xfId="10142" xr:uid="{7AFEFD71-E72D-40D8-B7B0-C54C392063E4}"/>
    <cellStyle name="Comma 11 3 5" xfId="1198" xr:uid="{88A1B9A2-4792-44CF-8161-B3DB7C7C98C2}"/>
    <cellStyle name="Comma 11 3 5 2" xfId="12482" xr:uid="{602FC3C4-BFBC-4B75-B9A3-F7752820E505}"/>
    <cellStyle name="Comma 11 3 5 3" xfId="14735" xr:uid="{12A3A932-8F23-4249-8ADF-1F14355302FB}"/>
    <cellStyle name="Comma 11 3 5 4" xfId="16988" xr:uid="{30EC60F4-160A-447C-98AD-9696AFAB35B9}"/>
    <cellStyle name="Comma 11 3 6" xfId="2324" xr:uid="{523EDC99-2430-4EFA-B9E9-95F963C4D448}"/>
    <cellStyle name="Comma 11 3 7" xfId="3450" xr:uid="{8CF1FA73-FD9D-4715-A2A1-A40FE94EEB1E}"/>
    <cellStyle name="Comma 11 3 8" xfId="4576" xr:uid="{15B97EBA-6EF7-417D-BEE7-12FED5B75DD1}"/>
    <cellStyle name="Comma 11 3 9" xfId="5703" xr:uid="{E9F33FA6-6165-42DD-9DD4-1CEFFE06574C}"/>
    <cellStyle name="Comma 11 4" xfId="67" xr:uid="{AA7AA15A-2C55-4E28-AC36-1893EB837557}"/>
    <cellStyle name="Comma 11 4 10" xfId="9004" xr:uid="{2056AC57-D635-4EAF-B02D-E622A6AA9927}"/>
    <cellStyle name="Comma 11 4 11" xfId="10141" xr:uid="{9F8F435D-C293-4ADD-B870-A672D40C9E32}"/>
    <cellStyle name="Comma 11 4 12" xfId="11268" xr:uid="{D1FEFA2D-0EC1-4D2F-9A9D-955863D3F22B}"/>
    <cellStyle name="Comma 11 4 13" xfId="11361" xr:uid="{C375DDD8-D450-44A4-A191-1C688020EB0B}"/>
    <cellStyle name="Comma 11 4 14" xfId="13614" xr:uid="{25002F92-1216-49A3-A302-EB83BC6A6F37}"/>
    <cellStyle name="Comma 11 4 15" xfId="15867" xr:uid="{51001C7A-5AD1-427B-859D-D6B37C4BF7A1}"/>
    <cellStyle name="Comma 11 4 2" xfId="68" xr:uid="{B517B764-58C2-4E31-9A28-9B8B2B52C2A9}"/>
    <cellStyle name="Comma 11 4 2 10" xfId="11267" xr:uid="{FF64C788-C630-4619-9229-5CB9FCB49D4F}"/>
    <cellStyle name="Comma 11 4 2 11" xfId="11362" xr:uid="{92949318-5569-4F98-9686-A4FBCC0A56B1}"/>
    <cellStyle name="Comma 11 4 2 12" xfId="13615" xr:uid="{D2A36AA6-92C8-46CE-8B07-7CFB2DC33490}"/>
    <cellStyle name="Comma 11 4 2 13" xfId="15868" xr:uid="{3915B1A1-4B22-4E39-BBA7-427C47530F3A}"/>
    <cellStyle name="Comma 11 4 2 2" xfId="1205" xr:uid="{D791CD88-0F1F-40C7-878F-45C6698D8D54}"/>
    <cellStyle name="Comma 11 4 2 2 2" xfId="12489" xr:uid="{12F5CE9E-F6F4-4629-8D81-6C34137A0D92}"/>
    <cellStyle name="Comma 11 4 2 2 3" xfId="14742" xr:uid="{D6439551-A509-406A-9D89-64A18BE6EAC0}"/>
    <cellStyle name="Comma 11 4 2 2 4" xfId="16995" xr:uid="{E245D83D-29F7-4E77-B028-C13C95858B94}"/>
    <cellStyle name="Comma 11 4 2 3" xfId="2331" xr:uid="{418C4462-BE0D-4DEF-887C-65981D1840A4}"/>
    <cellStyle name="Comma 11 4 2 4" xfId="3457" xr:uid="{4140C6AE-F0A3-4A8D-A904-42A5F0FAD600}"/>
    <cellStyle name="Comma 11 4 2 5" xfId="4583" xr:uid="{749E30DD-3F50-47E9-9647-6FA0E1126260}"/>
    <cellStyle name="Comma 11 4 2 6" xfId="5710" xr:uid="{2630E380-3CB8-439D-BFCA-30F0DDB08EA8}"/>
    <cellStyle name="Comma 11 4 2 7" xfId="6837" xr:uid="{D98305EE-6ED2-43B4-8C9D-3B298D4A11C5}"/>
    <cellStyle name="Comma 11 4 2 8" xfId="9003" xr:uid="{E285197A-FBBD-451C-87C8-CC7368597030}"/>
    <cellStyle name="Comma 11 4 2 9" xfId="10140" xr:uid="{7D65ACA1-14CD-4483-8F4B-3B9841C7D3D0}"/>
    <cellStyle name="Comma 11 4 3" xfId="69" xr:uid="{74884B32-D070-4F49-B325-4D7AD71E0691}"/>
    <cellStyle name="Comma 11 4 3 10" xfId="11266" xr:uid="{5B2E5AB0-2B1F-4C78-8369-C6DF8D70D4B9}"/>
    <cellStyle name="Comma 11 4 3 11" xfId="11363" xr:uid="{9D1C8E68-D492-48C3-8617-62C5F852E610}"/>
    <cellStyle name="Comma 11 4 3 12" xfId="13616" xr:uid="{BBBD02E8-2048-4DED-865F-FC38C96B9D0F}"/>
    <cellStyle name="Comma 11 4 3 13" xfId="15869" xr:uid="{58FDEB88-8ED4-4E4F-9702-A41B8B57E700}"/>
    <cellStyle name="Comma 11 4 3 2" xfId="1206" xr:uid="{1B2E6331-6C2C-442E-96F7-ED04C55A66CC}"/>
    <cellStyle name="Comma 11 4 3 2 2" xfId="12490" xr:uid="{1AD8C0E2-1C66-4320-ACA5-EBA3A7A95152}"/>
    <cellStyle name="Comma 11 4 3 2 3" xfId="14743" xr:uid="{AEAF1892-B3CC-4F06-86F9-18737238D427}"/>
    <cellStyle name="Comma 11 4 3 2 4" xfId="16996" xr:uid="{F4DC6D87-83EF-4E8C-BDA4-2DD2AA6FFB6F}"/>
    <cellStyle name="Comma 11 4 3 3" xfId="2332" xr:uid="{D7B8BEEE-D7D5-4A63-9386-FB3B87A49231}"/>
    <cellStyle name="Comma 11 4 3 4" xfId="3458" xr:uid="{914394A3-4E4B-49D3-896F-80D1E34EEE3A}"/>
    <cellStyle name="Comma 11 4 3 5" xfId="4584" xr:uid="{B9F0C6A6-3A9E-4E52-838C-7C5C42FA9F2E}"/>
    <cellStyle name="Comma 11 4 3 6" xfId="5711" xr:uid="{41F9953F-51DD-4E0C-BFBE-2E169789B1A4}"/>
    <cellStyle name="Comma 11 4 3 7" xfId="6838" xr:uid="{F2BBDEA6-8C98-4A73-9350-645C838C24AE}"/>
    <cellStyle name="Comma 11 4 3 8" xfId="9002" xr:uid="{15F724FE-6364-4D73-8456-54A7711D77EF}"/>
    <cellStyle name="Comma 11 4 3 9" xfId="10139" xr:uid="{DF24FECD-9DD3-48EE-866C-CE9E193DDB7A}"/>
    <cellStyle name="Comma 11 4 4" xfId="1204" xr:uid="{28C6DB41-7529-45E4-8852-49777239807A}"/>
    <cellStyle name="Comma 11 4 4 2" xfId="12488" xr:uid="{BE1A5A41-349C-4544-B0F1-15BDDD5ED8E4}"/>
    <cellStyle name="Comma 11 4 4 3" xfId="14741" xr:uid="{1E80D71F-AB3B-4D56-985E-77ECBFEAC8D4}"/>
    <cellStyle name="Comma 11 4 4 4" xfId="16994" xr:uid="{3ED3048A-EE50-434C-AD51-0ED0B2BE5449}"/>
    <cellStyle name="Comma 11 4 5" xfId="2330" xr:uid="{92C65217-0FB2-45B2-B1DB-9420262A9E56}"/>
    <cellStyle name="Comma 11 4 6" xfId="3456" xr:uid="{D2258C97-897D-4117-8B48-A6DE6E646381}"/>
    <cellStyle name="Comma 11 4 7" xfId="4582" xr:uid="{98C534CE-7EDF-458D-85FA-078DB951DBB4}"/>
    <cellStyle name="Comma 11 4 8" xfId="5709" xr:uid="{5012473C-E6B0-4470-B230-422FD84A8DA7}"/>
    <cellStyle name="Comma 11 4 9" xfId="6836" xr:uid="{AC8D6AA7-5DBF-45C7-94C2-44C9AE4EDABF}"/>
    <cellStyle name="Comma 11 5" xfId="70" xr:uid="{85A18F97-9E7F-461E-9C03-A9497D9A41CC}"/>
    <cellStyle name="Comma 11 5 10" xfId="11265" xr:uid="{8BAC42FD-877D-4151-BE3C-761E16C3F99A}"/>
    <cellStyle name="Comma 11 5 11" xfId="11364" xr:uid="{1B0AA3A0-2752-45DD-9CA2-3930DCFCBFF1}"/>
    <cellStyle name="Comma 11 5 12" xfId="13617" xr:uid="{663313B4-2B17-497E-8D9E-E5854B422ACD}"/>
    <cellStyle name="Comma 11 5 13" xfId="15870" xr:uid="{74DCE11A-A9B0-4836-85F8-892E204E8BAA}"/>
    <cellStyle name="Comma 11 5 2" xfId="1207" xr:uid="{508D3035-7320-451B-8C3A-782154C81C9B}"/>
    <cellStyle name="Comma 11 5 2 2" xfId="12491" xr:uid="{E8415810-2DF4-48CE-AD33-E91CC1ABF110}"/>
    <cellStyle name="Comma 11 5 2 3" xfId="14744" xr:uid="{3C5AB8EE-1C19-4840-A1E5-38AD6B4BFACE}"/>
    <cellStyle name="Comma 11 5 2 4" xfId="16997" xr:uid="{A361C23C-450D-4FC9-9053-A5A07E65F5CF}"/>
    <cellStyle name="Comma 11 5 3" xfId="2333" xr:uid="{75BAFFF2-DF5C-4E05-B667-E93F5E6A92F9}"/>
    <cellStyle name="Comma 11 5 4" xfId="3459" xr:uid="{BBFEB8CE-B4D0-42C2-AF21-0D97A93B2E69}"/>
    <cellStyle name="Comma 11 5 5" xfId="4585" xr:uid="{E989B659-3011-413A-8D7D-0C05CA74D447}"/>
    <cellStyle name="Comma 11 5 6" xfId="5712" xr:uid="{1B2CB2ED-E12B-4E03-904A-711595B4BD73}"/>
    <cellStyle name="Comma 11 5 7" xfId="6839" xr:uid="{99D05F75-47BC-4083-AA60-A29D083DD8A1}"/>
    <cellStyle name="Comma 11 5 8" xfId="9001" xr:uid="{93C24FCD-BABF-445D-B56D-67406AA3F877}"/>
    <cellStyle name="Comma 11 5 9" xfId="10138" xr:uid="{CAD2E54D-95BD-4186-9BB3-80CFB6EBD3D8}"/>
    <cellStyle name="Comma 11 6" xfId="71" xr:uid="{9B8EA285-E1E7-42C0-9AB4-E25D76F50A4A}"/>
    <cellStyle name="Comma 11 6 10" xfId="11264" xr:uid="{5CA1B1C5-2B67-4A37-951C-D6668B7742AE}"/>
    <cellStyle name="Comma 11 6 11" xfId="11365" xr:uid="{04F0BD20-2ECD-46B4-BDBD-798F08C4A17D}"/>
    <cellStyle name="Comma 11 6 12" xfId="13618" xr:uid="{D28643B7-12BE-4E1D-9874-CA17D73E6A92}"/>
    <cellStyle name="Comma 11 6 13" xfId="15871" xr:uid="{0A57B7CB-B9C2-4DCD-A621-3E10AE7FC225}"/>
    <cellStyle name="Comma 11 6 2" xfId="1208" xr:uid="{B704D156-6E8E-4FFF-8810-A09D44C524D7}"/>
    <cellStyle name="Comma 11 6 2 2" xfId="12492" xr:uid="{19AB6E3A-F120-4A12-891E-3F4EE9864059}"/>
    <cellStyle name="Comma 11 6 2 3" xfId="14745" xr:uid="{22AB0C2C-0FDD-4926-83C7-032AB9969DB7}"/>
    <cellStyle name="Comma 11 6 2 4" xfId="16998" xr:uid="{AE5DEA85-0B98-43A3-B542-8544A2F4542D}"/>
    <cellStyle name="Comma 11 6 3" xfId="2334" xr:uid="{DD1855DF-2064-4AF0-B28A-E52857894DE1}"/>
    <cellStyle name="Comma 11 6 4" xfId="3460" xr:uid="{8A6F5D68-7E0C-4F9D-9323-A94DE409C01F}"/>
    <cellStyle name="Comma 11 6 5" xfId="4586" xr:uid="{E7807E6D-5DB6-4C29-8DA2-38482810273D}"/>
    <cellStyle name="Comma 11 6 6" xfId="5713" xr:uid="{B9ED36A3-B8E2-4A98-8087-C2AC1B3A588D}"/>
    <cellStyle name="Comma 11 6 7" xfId="6840" xr:uid="{C1F226EC-ADED-4FC3-88A1-200D50477073}"/>
    <cellStyle name="Comma 11 6 8" xfId="9000" xr:uid="{BB8CE733-F024-49B4-8925-EBF4A22BF618}"/>
    <cellStyle name="Comma 11 6 9" xfId="10137" xr:uid="{93CE5900-BFF2-41A5-81A8-207CC1E277F3}"/>
    <cellStyle name="Comma 11 7" xfId="1185" xr:uid="{1A7A96D8-4C45-4FA8-8828-99B511822391}"/>
    <cellStyle name="Comma 11 7 2" xfId="12469" xr:uid="{36C9DECD-ABC7-4400-BD76-1F45284137CE}"/>
    <cellStyle name="Comma 11 7 3" xfId="14722" xr:uid="{0E3BBB78-2F87-4801-882C-EBD9998FC083}"/>
    <cellStyle name="Comma 11 7 4" xfId="16975" xr:uid="{DA96CF4F-373B-4820-8C4F-8D28E873F352}"/>
    <cellStyle name="Comma 11 8" xfId="2311" xr:uid="{7166F026-ADEC-41A3-BEF5-D75470268AB7}"/>
    <cellStyle name="Comma 11 9" xfId="3437" xr:uid="{6B9F23EE-914C-460B-A87A-0F7257DA6385}"/>
    <cellStyle name="Comma 12" xfId="72" xr:uid="{0D130B0C-B3CE-40C7-8B58-A94FC7236F20}"/>
    <cellStyle name="Comma 12 10" xfId="4587" xr:uid="{79350CF2-D2C2-4156-8DFD-7978A5EAD6D8}"/>
    <cellStyle name="Comma 12 11" xfId="5714" xr:uid="{5B6A81E0-9103-424D-8A52-0C869AC11B61}"/>
    <cellStyle name="Comma 12 12" xfId="6841" xr:uid="{646E3C65-2A60-49A0-B8E8-10336B641CF3}"/>
    <cellStyle name="Comma 12 13" xfId="8999" xr:uid="{2C23E536-9387-437F-BA69-FF0E42D6CD83}"/>
    <cellStyle name="Comma 12 14" xfId="10136" xr:uid="{DCB473BC-9FA5-47D5-8BD2-6E2B1B25434C}"/>
    <cellStyle name="Comma 12 15" xfId="11263" xr:uid="{CF692C64-D983-487F-826B-8399990F0F91}"/>
    <cellStyle name="Comma 12 16" xfId="11366" xr:uid="{FA8193C3-1802-4CD5-84B6-B58618A5B8C6}"/>
    <cellStyle name="Comma 12 17" xfId="13619" xr:uid="{8D3846A1-FF29-447F-83B1-B33F136D82D5}"/>
    <cellStyle name="Comma 12 18" xfId="15872" xr:uid="{7EE899FC-C15A-48A2-912D-0A3CF41F001E}"/>
    <cellStyle name="Comma 12 2" xfId="73" xr:uid="{8D245ABF-E720-40FC-A6F3-25A43EF27633}"/>
    <cellStyle name="Comma 12 2 10" xfId="5715" xr:uid="{20069956-8664-460C-A963-E087CA5BA72B}"/>
    <cellStyle name="Comma 12 2 11" xfId="6842" xr:uid="{BA32FDFB-8E93-43E0-AFF2-0B32E75CCA83}"/>
    <cellStyle name="Comma 12 2 12" xfId="8998" xr:uid="{190E8A32-4769-4B69-93C7-6A0189762F0F}"/>
    <cellStyle name="Comma 12 2 13" xfId="10135" xr:uid="{75CB3F99-1A7B-42C1-B579-A9FB0D43FEA6}"/>
    <cellStyle name="Comma 12 2 14" xfId="11262" xr:uid="{86FB475C-C5B2-4A70-85CC-E718EAB91198}"/>
    <cellStyle name="Comma 12 2 15" xfId="11367" xr:uid="{12D724D5-1DBD-427C-B82D-CBAF2EBD85A4}"/>
    <cellStyle name="Comma 12 2 16" xfId="13620" xr:uid="{F79B66C5-3AF8-4B6E-AD0F-EF426B978F61}"/>
    <cellStyle name="Comma 12 2 17" xfId="15873" xr:uid="{05B3C186-EF1B-4E56-8FCB-4B1D57EF346C}"/>
    <cellStyle name="Comma 12 2 2" xfId="74" xr:uid="{ED5A8A66-A816-4B28-941B-59FC1DA7B4B9}"/>
    <cellStyle name="Comma 12 2 2 10" xfId="6843" xr:uid="{AA813E7D-458B-4A5D-AE22-3A98F40674BE}"/>
    <cellStyle name="Comma 12 2 2 11" xfId="8997" xr:uid="{C2FE3308-F681-4E49-937D-0DBE1E0DDDDC}"/>
    <cellStyle name="Comma 12 2 2 12" xfId="10134" xr:uid="{56F93F58-A13F-47B3-A4AD-C91924427147}"/>
    <cellStyle name="Comma 12 2 2 13" xfId="11261" xr:uid="{DE5D7061-C01D-4C54-9A35-7A2DE128E1C0}"/>
    <cellStyle name="Comma 12 2 2 14" xfId="11368" xr:uid="{852D81E2-A07D-41B8-8FF9-59C8DEB986DD}"/>
    <cellStyle name="Comma 12 2 2 15" xfId="13621" xr:uid="{613A4DC6-56F3-4D29-9588-C189F92F5B3E}"/>
    <cellStyle name="Comma 12 2 2 16" xfId="15874" xr:uid="{1BCEF171-F067-401A-92B0-1F74A213B6B9}"/>
    <cellStyle name="Comma 12 2 2 2" xfId="75" xr:uid="{120A72A4-68CC-4F3B-8836-B7EF215BDE83}"/>
    <cellStyle name="Comma 12 2 2 2 10" xfId="8996" xr:uid="{6A867727-05B8-475A-8CB3-AB4D22769F49}"/>
    <cellStyle name="Comma 12 2 2 2 11" xfId="10133" xr:uid="{B8BAA489-FA9F-43E4-8F61-EFAC96A283D1}"/>
    <cellStyle name="Comma 12 2 2 2 12" xfId="11260" xr:uid="{990717F4-6771-4998-A562-E7D0AC70B610}"/>
    <cellStyle name="Comma 12 2 2 2 13" xfId="11369" xr:uid="{227C27FC-AFA0-4CC3-925A-F651BC2DFA66}"/>
    <cellStyle name="Comma 12 2 2 2 14" xfId="13622" xr:uid="{991F61FE-0E5F-4099-AF7F-44B56B1F0C52}"/>
    <cellStyle name="Comma 12 2 2 2 15" xfId="15875" xr:uid="{1048C7DC-5282-47F7-B2C5-DFA052ADA6B7}"/>
    <cellStyle name="Comma 12 2 2 2 2" xfId="76" xr:uid="{4388D021-4DFB-4439-ACB7-36D2E8F69439}"/>
    <cellStyle name="Comma 12 2 2 2 2 10" xfId="11259" xr:uid="{3FC5D259-648F-45C1-8F16-0A6A062E32A0}"/>
    <cellStyle name="Comma 12 2 2 2 2 11" xfId="11370" xr:uid="{F42B3822-6351-4FF6-B6C5-AF53B850F506}"/>
    <cellStyle name="Comma 12 2 2 2 2 12" xfId="13623" xr:uid="{C9DE75B8-0EFC-44A6-B7A1-F63594F58F33}"/>
    <cellStyle name="Comma 12 2 2 2 2 13" xfId="15876" xr:uid="{F116ADA4-6880-4580-9AE9-9431BCA9F601}"/>
    <cellStyle name="Comma 12 2 2 2 2 2" xfId="1213" xr:uid="{F657CCFF-A885-4A5E-A0CF-1E6FE71E9F06}"/>
    <cellStyle name="Comma 12 2 2 2 2 2 2" xfId="12497" xr:uid="{FB6016FB-3036-4DC9-B9EC-C3DCA114857C}"/>
    <cellStyle name="Comma 12 2 2 2 2 2 3" xfId="14750" xr:uid="{7DF3FDE0-F387-4187-A6C8-6E3899C11294}"/>
    <cellStyle name="Comma 12 2 2 2 2 2 4" xfId="17003" xr:uid="{B4FCFD78-BD8F-469F-A10C-C97E936D3D7E}"/>
    <cellStyle name="Comma 12 2 2 2 2 3" xfId="2339" xr:uid="{0F066328-A754-495A-A2F5-67FA56523978}"/>
    <cellStyle name="Comma 12 2 2 2 2 4" xfId="3465" xr:uid="{AC33B623-7B86-41A9-B8E6-8A2CCFBFB081}"/>
    <cellStyle name="Comma 12 2 2 2 2 5" xfId="4591" xr:uid="{A888B004-F8DB-4F0B-A745-6A5FF05F9199}"/>
    <cellStyle name="Comma 12 2 2 2 2 6" xfId="5718" xr:uid="{50805CEB-8152-45E1-95EE-33A27DD0641D}"/>
    <cellStyle name="Comma 12 2 2 2 2 7" xfId="6845" xr:uid="{F9422D78-203B-46AE-878F-FD5CC1A668D6}"/>
    <cellStyle name="Comma 12 2 2 2 2 8" xfId="8995" xr:uid="{A8741549-C2D7-452C-B9C9-2D6DC4E8110A}"/>
    <cellStyle name="Comma 12 2 2 2 2 9" xfId="10132" xr:uid="{562D4901-1759-42A9-BD91-E40E634675AB}"/>
    <cellStyle name="Comma 12 2 2 2 3" xfId="77" xr:uid="{8D46FF10-1BB8-420F-BF8F-102EC95A628A}"/>
    <cellStyle name="Comma 12 2 2 2 3 10" xfId="11258" xr:uid="{2FA23A91-F6EC-4A32-8CC4-81E614579A10}"/>
    <cellStyle name="Comma 12 2 2 2 3 11" xfId="11371" xr:uid="{839DAC76-EDCA-4C37-B466-1437B425CD45}"/>
    <cellStyle name="Comma 12 2 2 2 3 12" xfId="13624" xr:uid="{391432B9-B597-41FC-80FF-4E22F21B1622}"/>
    <cellStyle name="Comma 12 2 2 2 3 13" xfId="15877" xr:uid="{1AD13577-C22B-4539-A7E8-ADB6F1A32AEC}"/>
    <cellStyle name="Comma 12 2 2 2 3 2" xfId="1214" xr:uid="{7BFEF2E5-1A08-43DE-A307-D9C1D5B7AB97}"/>
    <cellStyle name="Comma 12 2 2 2 3 2 2" xfId="12498" xr:uid="{24A586E6-07E1-4050-8111-C7E9046EEC03}"/>
    <cellStyle name="Comma 12 2 2 2 3 2 3" xfId="14751" xr:uid="{2E80D868-F11D-4B0F-8165-A8D6BE01C713}"/>
    <cellStyle name="Comma 12 2 2 2 3 2 4" xfId="17004" xr:uid="{FF1757ED-E8FD-4819-A998-1A0681A9BA77}"/>
    <cellStyle name="Comma 12 2 2 2 3 3" xfId="2340" xr:uid="{1A851B63-1D02-4DB5-8DE4-DA8010F19D43}"/>
    <cellStyle name="Comma 12 2 2 2 3 4" xfId="3466" xr:uid="{AD74F205-06BD-4FEF-902D-09EBC346B32E}"/>
    <cellStyle name="Comma 12 2 2 2 3 5" xfId="4592" xr:uid="{385A3B65-9323-465E-AF3A-6CCEB0041781}"/>
    <cellStyle name="Comma 12 2 2 2 3 6" xfId="5719" xr:uid="{E21AFF30-0A79-4099-B22F-26411A5C33DC}"/>
    <cellStyle name="Comma 12 2 2 2 3 7" xfId="6846" xr:uid="{BA3BA4ED-88E2-40BA-8D04-36B6F7021643}"/>
    <cellStyle name="Comma 12 2 2 2 3 8" xfId="8994" xr:uid="{A9920ED5-DD11-4FBC-B000-29F7C3C3F00E}"/>
    <cellStyle name="Comma 12 2 2 2 3 9" xfId="10131" xr:uid="{91F5B743-1F91-48BE-9E5A-A0FC2D57A6AE}"/>
    <cellStyle name="Comma 12 2 2 2 4" xfId="1212" xr:uid="{0227B36F-97BD-41B8-BF64-E33DC6CDEB7F}"/>
    <cellStyle name="Comma 12 2 2 2 4 2" xfId="12496" xr:uid="{6479D26B-E219-4479-8CA1-3347CA050176}"/>
    <cellStyle name="Comma 12 2 2 2 4 3" xfId="14749" xr:uid="{F00934CA-83DB-4B39-8E5B-AB11B85934C6}"/>
    <cellStyle name="Comma 12 2 2 2 4 4" xfId="17002" xr:uid="{E36B30C3-B6E3-447D-B59E-86FB81C9BB27}"/>
    <cellStyle name="Comma 12 2 2 2 5" xfId="2338" xr:uid="{BF4BA01E-4101-4293-974E-D29800A24847}"/>
    <cellStyle name="Comma 12 2 2 2 6" xfId="3464" xr:uid="{85F1D70A-6580-45DC-9CC1-FFDAD2ADF169}"/>
    <cellStyle name="Comma 12 2 2 2 7" xfId="4590" xr:uid="{D79BCA10-7A7B-4D33-A130-EE76934935EB}"/>
    <cellStyle name="Comma 12 2 2 2 8" xfId="5717" xr:uid="{DC999FEE-B68A-4602-8DD0-6841489D96B2}"/>
    <cellStyle name="Comma 12 2 2 2 9" xfId="6844" xr:uid="{F46318C2-264D-4EA5-8960-5A6A7AB3DA2E}"/>
    <cellStyle name="Comma 12 2 2 3" xfId="78" xr:uid="{560F7DF1-F452-4756-A18C-86089DF4EAFD}"/>
    <cellStyle name="Comma 12 2 2 3 10" xfId="11257" xr:uid="{FF588154-4C59-47F3-AE99-400D03591BBE}"/>
    <cellStyle name="Comma 12 2 2 3 11" xfId="11372" xr:uid="{63E65CE4-BF66-49D6-89B2-13236FC13DA9}"/>
    <cellStyle name="Comma 12 2 2 3 12" xfId="13625" xr:uid="{B43259D8-5E33-4F73-A5A6-43AEFC93812B}"/>
    <cellStyle name="Comma 12 2 2 3 13" xfId="15878" xr:uid="{52CB41BD-B685-4295-9CFE-136265FAD609}"/>
    <cellStyle name="Comma 12 2 2 3 2" xfId="1215" xr:uid="{A0B3FAE9-91DA-4721-BFEC-E2349967D2E1}"/>
    <cellStyle name="Comma 12 2 2 3 2 2" xfId="12499" xr:uid="{26CCDCBE-6227-4A93-9AD6-E089DDF035CD}"/>
    <cellStyle name="Comma 12 2 2 3 2 3" xfId="14752" xr:uid="{603F9F01-48B3-435D-A995-1F3C001ED9D5}"/>
    <cellStyle name="Comma 12 2 2 3 2 4" xfId="17005" xr:uid="{F543485C-C87A-4C7A-8186-568AB6562492}"/>
    <cellStyle name="Comma 12 2 2 3 3" xfId="2341" xr:uid="{A3E7C990-EE88-4EA2-8B8E-DDD87759B85E}"/>
    <cellStyle name="Comma 12 2 2 3 4" xfId="3467" xr:uid="{F6C4AF7D-F42E-406C-B338-B782CA367A4F}"/>
    <cellStyle name="Comma 12 2 2 3 5" xfId="4593" xr:uid="{35D89890-F574-459A-9802-428FD2E3D006}"/>
    <cellStyle name="Comma 12 2 2 3 6" xfId="5720" xr:uid="{55B0C6D3-5518-4AA9-894A-BBE2CC92EA21}"/>
    <cellStyle name="Comma 12 2 2 3 7" xfId="6847" xr:uid="{DD65E5E4-AB31-4417-9000-B8623ED17947}"/>
    <cellStyle name="Comma 12 2 2 3 8" xfId="8993" xr:uid="{68994F48-0E45-4AD2-9341-A97183DA561A}"/>
    <cellStyle name="Comma 12 2 2 3 9" xfId="10130" xr:uid="{E2A04AF4-8D17-4394-9759-E52FB520B441}"/>
    <cellStyle name="Comma 12 2 2 4" xfId="79" xr:uid="{4CB4A71D-142B-4977-A255-B9E8F5F3C9A1}"/>
    <cellStyle name="Comma 12 2 2 4 10" xfId="11256" xr:uid="{89F5DEDF-A745-40F7-A9D9-EED1015FF45C}"/>
    <cellStyle name="Comma 12 2 2 4 11" xfId="11373" xr:uid="{3AC63303-8A96-47B5-81FA-47C0BAFC9C2C}"/>
    <cellStyle name="Comma 12 2 2 4 12" xfId="13626" xr:uid="{3A74F30E-8410-4B0D-9E38-9FE1277FFD6D}"/>
    <cellStyle name="Comma 12 2 2 4 13" xfId="15879" xr:uid="{42200EE0-967E-414C-AC34-52F24FBAA0D3}"/>
    <cellStyle name="Comma 12 2 2 4 2" xfId="1216" xr:uid="{D03E38F3-FC80-4E04-88F9-20AEEC5A78B5}"/>
    <cellStyle name="Comma 12 2 2 4 2 2" xfId="12500" xr:uid="{8E6D4C0D-CE8B-474E-B7BC-2BACFA8F5A2A}"/>
    <cellStyle name="Comma 12 2 2 4 2 3" xfId="14753" xr:uid="{3AB80AC0-C7F5-4D30-9B0A-1D10B41D5C80}"/>
    <cellStyle name="Comma 12 2 2 4 2 4" xfId="17006" xr:uid="{81484181-E16B-4A43-99A3-AE526C4D047A}"/>
    <cellStyle name="Comma 12 2 2 4 3" xfId="2342" xr:uid="{057979BC-8874-4EA3-A7E7-644ED8D49F33}"/>
    <cellStyle name="Comma 12 2 2 4 4" xfId="3468" xr:uid="{F9AF9261-2E11-46A8-9511-6DC516193B3C}"/>
    <cellStyle name="Comma 12 2 2 4 5" xfId="4594" xr:uid="{E2995FEF-DED7-4744-8033-0525B37EA444}"/>
    <cellStyle name="Comma 12 2 2 4 6" xfId="5721" xr:uid="{085ABCB1-7569-4E41-9693-656F4B2E9A8E}"/>
    <cellStyle name="Comma 12 2 2 4 7" xfId="6848" xr:uid="{07D0DC1F-4717-4BB7-81FE-10176262C950}"/>
    <cellStyle name="Comma 12 2 2 4 8" xfId="8992" xr:uid="{5246FEB6-FA37-4F2A-9B45-5C8EBC103189}"/>
    <cellStyle name="Comma 12 2 2 4 9" xfId="10129" xr:uid="{1C6605A2-4C50-4537-953B-EF4630372E19}"/>
    <cellStyle name="Comma 12 2 2 5" xfId="1211" xr:uid="{DE88A336-2931-4EED-9951-357E6C85BCC5}"/>
    <cellStyle name="Comma 12 2 2 5 2" xfId="12495" xr:uid="{C8827441-4637-42E5-A05C-CC418EBA5C5E}"/>
    <cellStyle name="Comma 12 2 2 5 3" xfId="14748" xr:uid="{9C165FCA-2542-4A88-9569-A36A2F61E861}"/>
    <cellStyle name="Comma 12 2 2 5 4" xfId="17001" xr:uid="{97DB27ED-B33A-4BDB-BADE-DE50AFC0DE36}"/>
    <cellStyle name="Comma 12 2 2 6" xfId="2337" xr:uid="{CEEB188B-3841-40AD-97D1-7A5BDE55BA8E}"/>
    <cellStyle name="Comma 12 2 2 7" xfId="3463" xr:uid="{A3A2491D-FEC5-476F-BAE8-AAB429951170}"/>
    <cellStyle name="Comma 12 2 2 8" xfId="4589" xr:uid="{8B61B628-1347-4D72-9C72-08DBB7B6A346}"/>
    <cellStyle name="Comma 12 2 2 9" xfId="5716" xr:uid="{89F6557C-386F-42EA-A317-9B3EBD1D7951}"/>
    <cellStyle name="Comma 12 2 3" xfId="80" xr:uid="{2FD942D7-3EEC-4D45-94C0-6EDA83DDEA5F}"/>
    <cellStyle name="Comma 12 2 3 10" xfId="8991" xr:uid="{E9D9DC8E-0171-4D1D-A016-DF4004A5AE08}"/>
    <cellStyle name="Comma 12 2 3 11" xfId="10128" xr:uid="{44CEF950-081B-4202-B0BB-03BCA224A3BB}"/>
    <cellStyle name="Comma 12 2 3 12" xfId="11255" xr:uid="{064EDADA-4079-4613-97E9-26F239606049}"/>
    <cellStyle name="Comma 12 2 3 13" xfId="11374" xr:uid="{BB684B08-00B5-48BE-8E1F-89D8D90C30E4}"/>
    <cellStyle name="Comma 12 2 3 14" xfId="13627" xr:uid="{ACED29DB-57FF-406F-BC29-1E5E0DB521C1}"/>
    <cellStyle name="Comma 12 2 3 15" xfId="15880" xr:uid="{4666E13C-B38B-491D-AB7A-F16A66D81D0C}"/>
    <cellStyle name="Comma 12 2 3 2" xfId="81" xr:uid="{50A09E43-6086-44C5-B053-25690E7FB517}"/>
    <cellStyle name="Comma 12 2 3 2 10" xfId="11254" xr:uid="{67389229-98AD-495A-A3D1-54C811E280AE}"/>
    <cellStyle name="Comma 12 2 3 2 11" xfId="11375" xr:uid="{22F547A9-09D9-4515-B0E0-5F62237456B5}"/>
    <cellStyle name="Comma 12 2 3 2 12" xfId="13628" xr:uid="{371F9C47-5BD4-4901-A2EA-9E74BB681751}"/>
    <cellStyle name="Comma 12 2 3 2 13" xfId="15881" xr:uid="{94C64CA6-3EAF-4F89-A4DD-2E0160C221A5}"/>
    <cellStyle name="Comma 12 2 3 2 2" xfId="1218" xr:uid="{2D2AED7C-138B-4269-B28C-F1CCDA8F9E96}"/>
    <cellStyle name="Comma 12 2 3 2 2 2" xfId="12502" xr:uid="{7C519377-FD2B-43A9-900A-F36718BD611B}"/>
    <cellStyle name="Comma 12 2 3 2 2 3" xfId="14755" xr:uid="{87D932D6-D681-4FDA-86F6-53334300DCC8}"/>
    <cellStyle name="Comma 12 2 3 2 2 4" xfId="17008" xr:uid="{54AD02CE-B255-4AD7-A36E-FAE4DEDA76CF}"/>
    <cellStyle name="Comma 12 2 3 2 3" xfId="2344" xr:uid="{E9603AC6-CD75-4585-8B85-F190619B2D27}"/>
    <cellStyle name="Comma 12 2 3 2 4" xfId="3470" xr:uid="{3955B3DB-76C5-4290-8C94-123235B6B766}"/>
    <cellStyle name="Comma 12 2 3 2 5" xfId="4596" xr:uid="{FE61177E-32A3-46BE-9F11-5212A18FC3DA}"/>
    <cellStyle name="Comma 12 2 3 2 6" xfId="5723" xr:uid="{E66B038C-757E-46D0-BD39-95D3FB53481B}"/>
    <cellStyle name="Comma 12 2 3 2 7" xfId="6850" xr:uid="{D2214D14-2C01-4E30-871F-775E76DE6B18}"/>
    <cellStyle name="Comma 12 2 3 2 8" xfId="8990" xr:uid="{BD955669-CCF7-4DC6-89F7-B40F68E5A924}"/>
    <cellStyle name="Comma 12 2 3 2 9" xfId="10127" xr:uid="{34D743EC-1DD7-484D-9033-82037EEA9C0A}"/>
    <cellStyle name="Comma 12 2 3 3" xfId="82" xr:uid="{7685E788-4CD4-4B15-B0DF-3B6C169EC764}"/>
    <cellStyle name="Comma 12 2 3 3 10" xfId="11253" xr:uid="{C24D9F87-CA86-494F-85A5-C5A56972A482}"/>
    <cellStyle name="Comma 12 2 3 3 11" xfId="11376" xr:uid="{E5494C7A-E47A-4C85-8C78-AA58D1A2185D}"/>
    <cellStyle name="Comma 12 2 3 3 12" xfId="13629" xr:uid="{D321E77C-0CC3-49BC-B3EC-1AE2AA630C70}"/>
    <cellStyle name="Comma 12 2 3 3 13" xfId="15882" xr:uid="{9083B7E6-C2AD-4485-890E-5855505B3FC5}"/>
    <cellStyle name="Comma 12 2 3 3 2" xfId="1219" xr:uid="{BEAB49BA-FB81-4AE6-A4B1-85D76FAB5FCB}"/>
    <cellStyle name="Comma 12 2 3 3 2 2" xfId="12503" xr:uid="{FD16112D-EEF4-4F1F-8822-D0B97743DD58}"/>
    <cellStyle name="Comma 12 2 3 3 2 3" xfId="14756" xr:uid="{A1722262-36CA-4F37-8B4A-7D33828FC2C8}"/>
    <cellStyle name="Comma 12 2 3 3 2 4" xfId="17009" xr:uid="{7642AC17-1BFF-46A9-B2F3-1752EC937DA9}"/>
    <cellStyle name="Comma 12 2 3 3 3" xfId="2345" xr:uid="{E1B2C9B2-49EF-4495-A843-9F5C6AAE28B2}"/>
    <cellStyle name="Comma 12 2 3 3 4" xfId="3471" xr:uid="{77BA8FF4-CAFB-4436-A051-F703ABF3D903}"/>
    <cellStyle name="Comma 12 2 3 3 5" xfId="4597" xr:uid="{3FFFDA8F-3A94-4940-B0E5-F00B7D88DA38}"/>
    <cellStyle name="Comma 12 2 3 3 6" xfId="5724" xr:uid="{72C087FB-9EB8-4259-AE9C-64BD87910D31}"/>
    <cellStyle name="Comma 12 2 3 3 7" xfId="6851" xr:uid="{100E915B-D1FD-4452-9D9E-94CF3DD63F0E}"/>
    <cellStyle name="Comma 12 2 3 3 8" xfId="8989" xr:uid="{655439C0-CCAB-41B0-AF45-94F85C9C58DC}"/>
    <cellStyle name="Comma 12 2 3 3 9" xfId="10126" xr:uid="{03402B94-9502-4375-8557-E82A169BF874}"/>
    <cellStyle name="Comma 12 2 3 4" xfId="1217" xr:uid="{3D6DD24A-973F-4093-B618-5B90F87FFA13}"/>
    <cellStyle name="Comma 12 2 3 4 2" xfId="12501" xr:uid="{D1376F85-37EF-4660-A514-F90F5C7F88BC}"/>
    <cellStyle name="Comma 12 2 3 4 3" xfId="14754" xr:uid="{ED80D0C3-1649-4354-B377-AA8952B688FC}"/>
    <cellStyle name="Comma 12 2 3 4 4" xfId="17007" xr:uid="{8760FD6F-1918-42C3-A30F-1786FE8E48C3}"/>
    <cellStyle name="Comma 12 2 3 5" xfId="2343" xr:uid="{E8938578-AD0C-4541-80A5-0E3D13F6EE65}"/>
    <cellStyle name="Comma 12 2 3 6" xfId="3469" xr:uid="{06242E6A-B602-48BD-A109-23F24AB54853}"/>
    <cellStyle name="Comma 12 2 3 7" xfId="4595" xr:uid="{7F0627E4-6ADA-4811-861D-A6F1AE904E03}"/>
    <cellStyle name="Comma 12 2 3 8" xfId="5722" xr:uid="{F42CEE2F-B5AC-40B1-810C-1EA011AB55F2}"/>
    <cellStyle name="Comma 12 2 3 9" xfId="6849" xr:uid="{DCF16580-0AD8-447B-880A-AD90BC4E5DF6}"/>
    <cellStyle name="Comma 12 2 4" xfId="83" xr:uid="{A46EB32A-3B99-4073-AF9D-CB66251AB540}"/>
    <cellStyle name="Comma 12 2 4 10" xfId="11252" xr:uid="{DA349BC6-189E-4927-80CC-F738C87DB615}"/>
    <cellStyle name="Comma 12 2 4 11" xfId="11377" xr:uid="{3C9EDC27-7C79-4EFE-B2A2-411A9106EB0A}"/>
    <cellStyle name="Comma 12 2 4 12" xfId="13630" xr:uid="{946B0406-9541-4882-B2E7-F2396F958FBA}"/>
    <cellStyle name="Comma 12 2 4 13" xfId="15883" xr:uid="{6BA7DCC1-EB92-4457-A444-93DABDF4A338}"/>
    <cellStyle name="Comma 12 2 4 2" xfId="1220" xr:uid="{8E7EAE03-BB71-48CB-9179-5259B9B34204}"/>
    <cellStyle name="Comma 12 2 4 2 2" xfId="12504" xr:uid="{7089E218-CD87-44D1-8497-414B8FB1240E}"/>
    <cellStyle name="Comma 12 2 4 2 3" xfId="14757" xr:uid="{954B19C2-58DD-42E2-9B99-500F913ABC2D}"/>
    <cellStyle name="Comma 12 2 4 2 4" xfId="17010" xr:uid="{AA05F7B4-B386-4A4C-ADA9-603A90F7FB73}"/>
    <cellStyle name="Comma 12 2 4 3" xfId="2346" xr:uid="{C9FDB005-7685-4E59-9690-944087153D32}"/>
    <cellStyle name="Comma 12 2 4 4" xfId="3472" xr:uid="{F5C08418-8B54-42F1-9A27-B7A62FB1CEC8}"/>
    <cellStyle name="Comma 12 2 4 5" xfId="4598" xr:uid="{ECF7DE0A-9477-47EB-BC9E-2ED96BEFE137}"/>
    <cellStyle name="Comma 12 2 4 6" xfId="5725" xr:uid="{7AB2453F-E0C5-4E77-B496-5CCBDA125D61}"/>
    <cellStyle name="Comma 12 2 4 7" xfId="6852" xr:uid="{1C53D8FC-E545-4F0F-BD0B-0EF96A2B760C}"/>
    <cellStyle name="Comma 12 2 4 8" xfId="8988" xr:uid="{9AC550EB-5312-4685-A66D-1DEE0521853C}"/>
    <cellStyle name="Comma 12 2 4 9" xfId="10125" xr:uid="{7AEC998F-714F-4886-883A-885220F8577C}"/>
    <cellStyle name="Comma 12 2 5" xfId="84" xr:uid="{8901B43E-6150-490A-8564-BA822E278BB5}"/>
    <cellStyle name="Comma 12 2 5 10" xfId="11251" xr:uid="{C6C5C0CB-672C-4F55-B52E-3F3B1292FB46}"/>
    <cellStyle name="Comma 12 2 5 11" xfId="11378" xr:uid="{9EF76921-00D7-46B7-AD13-E5AD0172458B}"/>
    <cellStyle name="Comma 12 2 5 12" xfId="13631" xr:uid="{DB357B86-51B6-4774-B78E-5465DDED8C8C}"/>
    <cellStyle name="Comma 12 2 5 13" xfId="15884" xr:uid="{C4B19FE0-9B19-4FCE-8CC1-0525C66F7F2B}"/>
    <cellStyle name="Comma 12 2 5 2" xfId="1221" xr:uid="{EA2FC770-153C-4950-ABD4-368B1BFB1730}"/>
    <cellStyle name="Comma 12 2 5 2 2" xfId="12505" xr:uid="{9B867B5C-8DAF-40F7-B380-2FBFBA709892}"/>
    <cellStyle name="Comma 12 2 5 2 3" xfId="14758" xr:uid="{574C0390-3A3A-47CB-B7C8-BBEC4044C043}"/>
    <cellStyle name="Comma 12 2 5 2 4" xfId="17011" xr:uid="{2ED06BD1-CB5A-4AED-A7AA-EEDFA7210E5D}"/>
    <cellStyle name="Comma 12 2 5 3" xfId="2347" xr:uid="{5EBBB681-EAEA-4CFA-9BC5-745CA07080A0}"/>
    <cellStyle name="Comma 12 2 5 4" xfId="3473" xr:uid="{227AB98E-A419-4AD0-A30A-67F26A608893}"/>
    <cellStyle name="Comma 12 2 5 5" xfId="4599" xr:uid="{EA24922A-98F4-4578-9C33-83BDB0D26BF0}"/>
    <cellStyle name="Comma 12 2 5 6" xfId="5726" xr:uid="{C6679F3C-7E51-437C-8465-A91260966B55}"/>
    <cellStyle name="Comma 12 2 5 7" xfId="6853" xr:uid="{6A049BB2-4BE2-4BDF-8C24-FD5F1E3A2A64}"/>
    <cellStyle name="Comma 12 2 5 8" xfId="8987" xr:uid="{1CBD4C9E-6378-45C8-A199-5F1DC3D5DE70}"/>
    <cellStyle name="Comma 12 2 5 9" xfId="10124" xr:uid="{B53C0182-D73F-4BE3-B37F-BDD733BAA620}"/>
    <cellStyle name="Comma 12 2 6" xfId="1210" xr:uid="{275D0987-0F9C-4476-A088-2D51EC375274}"/>
    <cellStyle name="Comma 12 2 6 2" xfId="12494" xr:uid="{3C3D22B5-90D7-48A2-BA45-23E33E85E9DA}"/>
    <cellStyle name="Comma 12 2 6 3" xfId="14747" xr:uid="{409E46C8-736D-49AE-A388-FB21079CC654}"/>
    <cellStyle name="Comma 12 2 6 4" xfId="17000" xr:uid="{81065638-0400-4FCC-B4C0-81230DAB7688}"/>
    <cellStyle name="Comma 12 2 7" xfId="2336" xr:uid="{29BA13DE-6D68-4FF7-82FE-252037EDE2F4}"/>
    <cellStyle name="Comma 12 2 8" xfId="3462" xr:uid="{82F4543E-1B30-4564-8BB2-DE64A3DEE2DA}"/>
    <cellStyle name="Comma 12 2 9" xfId="4588" xr:uid="{E7AF0CBA-213E-4414-9B31-F0B7E70748B6}"/>
    <cellStyle name="Comma 12 3" xfId="85" xr:uid="{D0803079-D358-4648-BC17-9D7D063A9A54}"/>
    <cellStyle name="Comma 12 3 10" xfId="6854" xr:uid="{32DF2E57-7F97-4EEB-8D90-94B07C50029B}"/>
    <cellStyle name="Comma 12 3 11" xfId="8986" xr:uid="{6D53851C-1710-49FD-8890-04699DDB80F6}"/>
    <cellStyle name="Comma 12 3 12" xfId="10123" xr:uid="{3117FCE1-AD3D-4321-8221-85B30B5B72E9}"/>
    <cellStyle name="Comma 12 3 13" xfId="11250" xr:uid="{D90B25F9-E146-4BC3-8397-567045C9E941}"/>
    <cellStyle name="Comma 12 3 14" xfId="11379" xr:uid="{1E1806FA-D18A-49FD-A649-0B4591C1C0D4}"/>
    <cellStyle name="Comma 12 3 15" xfId="13632" xr:uid="{402BE262-4206-4730-8111-70D9737D5962}"/>
    <cellStyle name="Comma 12 3 16" xfId="15885" xr:uid="{81D3A82D-B666-4887-BFDE-1FFA83246246}"/>
    <cellStyle name="Comma 12 3 2" xfId="86" xr:uid="{611CDCA1-06C0-4A2C-9926-301B3B13FDC4}"/>
    <cellStyle name="Comma 12 3 2 10" xfId="8985" xr:uid="{6B1C223B-5EE3-40A4-8FAA-D1163AE83EFA}"/>
    <cellStyle name="Comma 12 3 2 11" xfId="10122" xr:uid="{9A092860-E82E-4819-9D84-5122170DCB2C}"/>
    <cellStyle name="Comma 12 3 2 12" xfId="11249" xr:uid="{491BC4A3-84E3-45A3-9F51-FDEC85EA93D5}"/>
    <cellStyle name="Comma 12 3 2 13" xfId="11380" xr:uid="{667F5DC7-FCCF-4D4B-BD71-402AC079F70A}"/>
    <cellStyle name="Comma 12 3 2 14" xfId="13633" xr:uid="{3EC61BFA-C0A0-4BB8-A3D8-77BA23BAC8C0}"/>
    <cellStyle name="Comma 12 3 2 15" xfId="15886" xr:uid="{6DE0009E-5E27-48D7-A2F0-D429CC4F3C92}"/>
    <cellStyle name="Comma 12 3 2 2" xfId="87" xr:uid="{30F900A7-8929-44B0-B9E1-CB87845CF2AA}"/>
    <cellStyle name="Comma 12 3 2 2 10" xfId="11248" xr:uid="{DF2E6274-B558-4C41-8F5B-7B0311C95F5F}"/>
    <cellStyle name="Comma 12 3 2 2 11" xfId="11381" xr:uid="{2E6729A0-CC1D-4C5F-AF18-ED8BA7BDA77B}"/>
    <cellStyle name="Comma 12 3 2 2 12" xfId="13634" xr:uid="{0E18C040-95FF-4C45-A716-D271B8E3CF54}"/>
    <cellStyle name="Comma 12 3 2 2 13" xfId="15887" xr:uid="{21D28FE3-BA6A-40B9-A852-79F5FCB20B5E}"/>
    <cellStyle name="Comma 12 3 2 2 2" xfId="1224" xr:uid="{04592682-C737-4600-9D75-8CAEF17DF604}"/>
    <cellStyle name="Comma 12 3 2 2 2 2" xfId="12508" xr:uid="{ED816760-8F0F-44B4-9739-D40DF988F1C6}"/>
    <cellStyle name="Comma 12 3 2 2 2 3" xfId="14761" xr:uid="{839BD87F-73A3-4781-8084-1CEBCA5CDA42}"/>
    <cellStyle name="Comma 12 3 2 2 2 4" xfId="17014" xr:uid="{28CF1D8C-D260-491B-9659-470068D57678}"/>
    <cellStyle name="Comma 12 3 2 2 3" xfId="2350" xr:uid="{D3B042BD-BD33-4839-908E-6151A433B731}"/>
    <cellStyle name="Comma 12 3 2 2 4" xfId="3476" xr:uid="{0B0DDFC5-A961-4788-9561-1A6D988A54FD}"/>
    <cellStyle name="Comma 12 3 2 2 5" xfId="4602" xr:uid="{54CDE020-FC00-47FD-954C-14D6DACF220D}"/>
    <cellStyle name="Comma 12 3 2 2 6" xfId="5729" xr:uid="{C544844E-AF64-4D6F-9594-EB077192A2B1}"/>
    <cellStyle name="Comma 12 3 2 2 7" xfId="6856" xr:uid="{69F78D3D-EFFB-41EA-A2CA-B9356F37426E}"/>
    <cellStyle name="Comma 12 3 2 2 8" xfId="8984" xr:uid="{6EDC960F-688A-4D08-A526-097B020C8600}"/>
    <cellStyle name="Comma 12 3 2 2 9" xfId="10121" xr:uid="{C998D056-99DF-42F3-9DA8-275FF69CA755}"/>
    <cellStyle name="Comma 12 3 2 3" xfId="88" xr:uid="{96112F16-0CA6-48FD-813E-5068982DC3AE}"/>
    <cellStyle name="Comma 12 3 2 3 10" xfId="11247" xr:uid="{97BDA3C5-BA7C-4935-B28B-14EEBB99CEDE}"/>
    <cellStyle name="Comma 12 3 2 3 11" xfId="11382" xr:uid="{FCD3B08B-CEF6-4506-9213-23D80FFCA31D}"/>
    <cellStyle name="Comma 12 3 2 3 12" xfId="13635" xr:uid="{16697273-E5E4-475B-B4F8-75EEF3F18C35}"/>
    <cellStyle name="Comma 12 3 2 3 13" xfId="15888" xr:uid="{F4C397B6-3107-4389-801B-988E0997398F}"/>
    <cellStyle name="Comma 12 3 2 3 2" xfId="1225" xr:uid="{FC215127-17FB-4990-AAF8-2924845A8CBE}"/>
    <cellStyle name="Comma 12 3 2 3 2 2" xfId="12509" xr:uid="{744F1F13-6515-4798-A221-F3E09A5604A6}"/>
    <cellStyle name="Comma 12 3 2 3 2 3" xfId="14762" xr:uid="{E8E5F979-B251-48DC-9577-61E169DB5B3A}"/>
    <cellStyle name="Comma 12 3 2 3 2 4" xfId="17015" xr:uid="{C5BCC899-CE2A-458F-A4AA-61C6D9411D34}"/>
    <cellStyle name="Comma 12 3 2 3 3" xfId="2351" xr:uid="{48915BAC-2F94-496B-8009-7D34C6327475}"/>
    <cellStyle name="Comma 12 3 2 3 4" xfId="3477" xr:uid="{FF67E219-E789-42AD-A4E1-4B9D7F3093CC}"/>
    <cellStyle name="Comma 12 3 2 3 5" xfId="4603" xr:uid="{7E078453-4655-4BDB-AE5D-90D88EC8A1AC}"/>
    <cellStyle name="Comma 12 3 2 3 6" xfId="5730" xr:uid="{1948E4B2-B590-479D-AA18-F8B4389A9F57}"/>
    <cellStyle name="Comma 12 3 2 3 7" xfId="6857" xr:uid="{97FED284-8740-4DB5-B897-121314992AED}"/>
    <cellStyle name="Comma 12 3 2 3 8" xfId="8983" xr:uid="{CCC587D8-10FB-4CD5-A3A1-8C66D23529FF}"/>
    <cellStyle name="Comma 12 3 2 3 9" xfId="10120" xr:uid="{C0C69892-7D31-488D-9C06-1E4796567CFD}"/>
    <cellStyle name="Comma 12 3 2 4" xfId="1223" xr:uid="{22A30B97-F35B-449A-8534-0F7214007D82}"/>
    <cellStyle name="Comma 12 3 2 4 2" xfId="12507" xr:uid="{812D5B81-4EDC-4C35-BC57-8CA395CEFED8}"/>
    <cellStyle name="Comma 12 3 2 4 3" xfId="14760" xr:uid="{93A3B44C-31ED-4801-97F2-5F28ED53B5F6}"/>
    <cellStyle name="Comma 12 3 2 4 4" xfId="17013" xr:uid="{C16988AA-1985-4F40-91FE-1190950946D9}"/>
    <cellStyle name="Comma 12 3 2 5" xfId="2349" xr:uid="{229BA261-6788-4599-9975-B65CFFDF2A35}"/>
    <cellStyle name="Comma 12 3 2 6" xfId="3475" xr:uid="{2C62BCC5-2D91-44EC-A5C8-3C6ED5669343}"/>
    <cellStyle name="Comma 12 3 2 7" xfId="4601" xr:uid="{0EDCDA60-729F-4C6C-A9F0-D6B25C2B53AB}"/>
    <cellStyle name="Comma 12 3 2 8" xfId="5728" xr:uid="{1B38F26E-FEAB-4E11-AD80-F793A884599F}"/>
    <cellStyle name="Comma 12 3 2 9" xfId="6855" xr:uid="{3D1D213B-723E-4C50-8287-B38FA891E65E}"/>
    <cellStyle name="Comma 12 3 3" xfId="89" xr:uid="{57CBFE67-E8D2-4B80-9A07-7DA397EA926C}"/>
    <cellStyle name="Comma 12 3 3 10" xfId="11246" xr:uid="{2AD9684A-6AB6-49E5-BAD7-972DBB1E01F2}"/>
    <cellStyle name="Comma 12 3 3 11" xfId="11383" xr:uid="{DE61B0FB-E367-409D-9D25-D560C4235C6D}"/>
    <cellStyle name="Comma 12 3 3 12" xfId="13636" xr:uid="{8A86DEBE-E4C7-4D48-B15E-E4A81E4718F1}"/>
    <cellStyle name="Comma 12 3 3 13" xfId="15889" xr:uid="{32F31412-C29E-4D5B-9A0A-791FFD569C28}"/>
    <cellStyle name="Comma 12 3 3 2" xfId="1226" xr:uid="{88477FC0-CE50-40AD-B5D0-84982FDE274E}"/>
    <cellStyle name="Comma 12 3 3 2 2" xfId="12510" xr:uid="{7C731C76-EE44-496B-B2AC-65BF32AC2587}"/>
    <cellStyle name="Comma 12 3 3 2 3" xfId="14763" xr:uid="{93873B81-49A1-41C2-8DF0-6A1CCA8E27A4}"/>
    <cellStyle name="Comma 12 3 3 2 4" xfId="17016" xr:uid="{C9D1F066-414B-4E03-BF6C-18819ACA3C16}"/>
    <cellStyle name="Comma 12 3 3 3" xfId="2352" xr:uid="{9E3E9BA2-51ED-48FE-BE4A-BF0B8B0990A0}"/>
    <cellStyle name="Comma 12 3 3 4" xfId="3478" xr:uid="{6AC941B6-0506-4310-AE53-0CFC44B121C2}"/>
    <cellStyle name="Comma 12 3 3 5" xfId="4604" xr:uid="{BEC18D86-BB63-4B2F-87F5-9646307874C5}"/>
    <cellStyle name="Comma 12 3 3 6" xfId="5731" xr:uid="{AC77D358-D8A9-4CC8-B7B6-CF23691F311E}"/>
    <cellStyle name="Comma 12 3 3 7" xfId="6858" xr:uid="{047DCF0C-8E02-4ED1-B348-575A9C29FFC3}"/>
    <cellStyle name="Comma 12 3 3 8" xfId="8982" xr:uid="{1727E9B5-9B08-43CA-BFF7-7CC03263F2B2}"/>
    <cellStyle name="Comma 12 3 3 9" xfId="10119" xr:uid="{9E891682-EEBC-4152-B365-226920F46B19}"/>
    <cellStyle name="Comma 12 3 4" xfId="90" xr:uid="{00711ECC-C59E-4BA2-8E41-EBAD37C35C7B}"/>
    <cellStyle name="Comma 12 3 4 10" xfId="11245" xr:uid="{B3ADEC97-ECDD-4A7B-99BF-ED8C82D06CBC}"/>
    <cellStyle name="Comma 12 3 4 11" xfId="11384" xr:uid="{61FC870A-40E6-4872-9E80-C00AC8A22F04}"/>
    <cellStyle name="Comma 12 3 4 12" xfId="13637" xr:uid="{CAA51236-49F0-4BB5-9203-C3D5B9B0742C}"/>
    <cellStyle name="Comma 12 3 4 13" xfId="15890" xr:uid="{1F5C980B-43F1-4053-A827-D445A952F48F}"/>
    <cellStyle name="Comma 12 3 4 2" xfId="1227" xr:uid="{819FCB32-8316-412C-AACC-DA47D2A57B19}"/>
    <cellStyle name="Comma 12 3 4 2 2" xfId="12511" xr:uid="{5708B981-BD6C-4FA7-AEE1-70E0F7B90DF9}"/>
    <cellStyle name="Comma 12 3 4 2 3" xfId="14764" xr:uid="{A1669627-E3C9-4D60-889B-185502775F79}"/>
    <cellStyle name="Comma 12 3 4 2 4" xfId="17017" xr:uid="{15E69F6C-97E7-43F0-97DF-831A2790AD1C}"/>
    <cellStyle name="Comma 12 3 4 3" xfId="2353" xr:uid="{2487EAC7-0EA8-4E89-BF95-E75DB1102FC1}"/>
    <cellStyle name="Comma 12 3 4 4" xfId="3479" xr:uid="{E174C037-5FD6-4CA2-8E3D-867365D2D2CC}"/>
    <cellStyle name="Comma 12 3 4 5" xfId="4605" xr:uid="{E4C04E65-8A94-4D73-B1B0-93E6BC2FA64C}"/>
    <cellStyle name="Comma 12 3 4 6" xfId="5732" xr:uid="{ECB9772B-1048-420F-9DA5-E6879FCB6249}"/>
    <cellStyle name="Comma 12 3 4 7" xfId="6859" xr:uid="{55CFA1CB-DCE5-406D-9EB2-22B108F7646B}"/>
    <cellStyle name="Comma 12 3 4 8" xfId="8981" xr:uid="{F4A4746F-620C-434A-A7F7-03912E1F2957}"/>
    <cellStyle name="Comma 12 3 4 9" xfId="10118" xr:uid="{F2D7464A-90BC-4C27-A74E-906495343382}"/>
    <cellStyle name="Comma 12 3 5" xfId="1222" xr:uid="{8FC326BF-F9F6-4A6F-B307-25407C6F878F}"/>
    <cellStyle name="Comma 12 3 5 2" xfId="12506" xr:uid="{A7E4F8B0-2EF7-4193-8D32-8B5679E888F6}"/>
    <cellStyle name="Comma 12 3 5 3" xfId="14759" xr:uid="{F4B11B5F-CEC6-44EE-9430-FF5B3CDF781E}"/>
    <cellStyle name="Comma 12 3 5 4" xfId="17012" xr:uid="{0867818A-E610-4D0F-A796-1AB8FA91CDA9}"/>
    <cellStyle name="Comma 12 3 6" xfId="2348" xr:uid="{E24FD0C4-FAD0-4DA4-9375-AEA1065B4950}"/>
    <cellStyle name="Comma 12 3 7" xfId="3474" xr:uid="{1ED38A83-8DBD-470D-8172-A61F98628EE5}"/>
    <cellStyle name="Comma 12 3 8" xfId="4600" xr:uid="{58033A3D-605B-4A80-A422-458E84AACB85}"/>
    <cellStyle name="Comma 12 3 9" xfId="5727" xr:uid="{AC2FDCC8-70BC-4BCF-B022-57CDD4FA88CA}"/>
    <cellStyle name="Comma 12 4" xfId="91" xr:uid="{2C84C94F-44E2-47DF-90B9-F823722F2FFF}"/>
    <cellStyle name="Comma 12 4 10" xfId="8980" xr:uid="{D0A41178-8239-480B-A140-B69E5EB2B662}"/>
    <cellStyle name="Comma 12 4 11" xfId="10117" xr:uid="{0EB82C5E-048B-42C3-AE81-278E03E60B7F}"/>
    <cellStyle name="Comma 12 4 12" xfId="11244" xr:uid="{AD0FA7E2-D82D-46EE-84B2-72FD660627F2}"/>
    <cellStyle name="Comma 12 4 13" xfId="11385" xr:uid="{852091FA-1E08-42B2-9E41-1300FC85EA5D}"/>
    <cellStyle name="Comma 12 4 14" xfId="13638" xr:uid="{739CB293-7F4D-4372-8D32-8DC22706887E}"/>
    <cellStyle name="Comma 12 4 15" xfId="15891" xr:uid="{1FEF71FD-8A0D-4203-987F-F90AA7F9A706}"/>
    <cellStyle name="Comma 12 4 2" xfId="92" xr:uid="{F0DC942D-385E-4160-B70D-9E9655A96F07}"/>
    <cellStyle name="Comma 12 4 2 10" xfId="11243" xr:uid="{ED964B74-9397-4B47-870C-D4E7C22B8DED}"/>
    <cellStyle name="Comma 12 4 2 11" xfId="11386" xr:uid="{9860AA76-731B-4FBF-8DB6-C726A15AAC34}"/>
    <cellStyle name="Comma 12 4 2 12" xfId="13639" xr:uid="{6869E748-EF9D-4C33-AFA9-EEB3310D45C5}"/>
    <cellStyle name="Comma 12 4 2 13" xfId="15892" xr:uid="{643EE596-18D4-4BB8-8E71-E55E1E74C9E9}"/>
    <cellStyle name="Comma 12 4 2 2" xfId="1229" xr:uid="{ACC039B3-AA9B-4410-9C2F-1905150B7A80}"/>
    <cellStyle name="Comma 12 4 2 2 2" xfId="12513" xr:uid="{D928D64A-7AE7-425B-9723-B7A95D89BD04}"/>
    <cellStyle name="Comma 12 4 2 2 3" xfId="14766" xr:uid="{8D45CFCF-A05E-46E8-8E67-9CA9EC545E15}"/>
    <cellStyle name="Comma 12 4 2 2 4" xfId="17019" xr:uid="{4C0DBFBC-1EF6-41DD-9462-7185AD356FFA}"/>
    <cellStyle name="Comma 12 4 2 3" xfId="2355" xr:uid="{EC429789-042E-452A-BD89-17840A5D105D}"/>
    <cellStyle name="Comma 12 4 2 4" xfId="3481" xr:uid="{89D48F3F-1F65-41F1-98C2-17B58C8E7DAC}"/>
    <cellStyle name="Comma 12 4 2 5" xfId="4607" xr:uid="{4C046921-5E25-4841-BF3B-E927A5081F85}"/>
    <cellStyle name="Comma 12 4 2 6" xfId="5734" xr:uid="{6896FE84-B077-4ACD-BDC2-31346AF52700}"/>
    <cellStyle name="Comma 12 4 2 7" xfId="6861" xr:uid="{F7205B51-06B6-408F-A10D-C186E99E6B02}"/>
    <cellStyle name="Comma 12 4 2 8" xfId="8979" xr:uid="{A2475FC5-A8A4-47E7-9BE6-25587150E0D6}"/>
    <cellStyle name="Comma 12 4 2 9" xfId="10116" xr:uid="{F3335B54-2C9F-4614-99BA-11CE6DA7043E}"/>
    <cellStyle name="Comma 12 4 3" xfId="93" xr:uid="{352E1AFE-5FB2-44E7-BEBB-CCB239735E71}"/>
    <cellStyle name="Comma 12 4 3 10" xfId="11242" xr:uid="{4D55995F-1609-4DC6-A135-7438A6336351}"/>
    <cellStyle name="Comma 12 4 3 11" xfId="11387" xr:uid="{F8AEA592-F6A1-41EC-A096-FB32E989A4E5}"/>
    <cellStyle name="Comma 12 4 3 12" xfId="13640" xr:uid="{32B7357E-059A-49F0-9C07-E60E3FC06721}"/>
    <cellStyle name="Comma 12 4 3 13" xfId="15893" xr:uid="{46F21980-7241-4233-8633-585454A06A98}"/>
    <cellStyle name="Comma 12 4 3 2" xfId="1230" xr:uid="{12BC457B-7C7F-43CE-AE36-89AC22E7625E}"/>
    <cellStyle name="Comma 12 4 3 2 2" xfId="12514" xr:uid="{CC8CD8EA-3C7B-43D0-AEA5-1B0AF8BE1444}"/>
    <cellStyle name="Comma 12 4 3 2 3" xfId="14767" xr:uid="{AAD4ADBB-1324-4D6B-BBF9-06C5ADA310BD}"/>
    <cellStyle name="Comma 12 4 3 2 4" xfId="17020" xr:uid="{89B2713A-0450-4E82-B485-819C935C32FF}"/>
    <cellStyle name="Comma 12 4 3 3" xfId="2356" xr:uid="{A4EDF5DF-4B1B-425F-B5E1-5C4411CF2F02}"/>
    <cellStyle name="Comma 12 4 3 4" xfId="3482" xr:uid="{D6F64302-5259-4D6C-A408-EBE047B4C93F}"/>
    <cellStyle name="Comma 12 4 3 5" xfId="4608" xr:uid="{44D5FAA8-EEE8-4136-BE03-8BB0965FA5D2}"/>
    <cellStyle name="Comma 12 4 3 6" xfId="5735" xr:uid="{287035F5-157F-49C5-872F-223FEA944955}"/>
    <cellStyle name="Comma 12 4 3 7" xfId="6862" xr:uid="{FB8419EF-B668-4573-8C22-855BA6B6E901}"/>
    <cellStyle name="Comma 12 4 3 8" xfId="8978" xr:uid="{89583EA0-D910-491B-9EB1-D7E6D68D7A68}"/>
    <cellStyle name="Comma 12 4 3 9" xfId="10115" xr:uid="{7DE3CEA9-7AA2-4D98-8B03-30377919A2EA}"/>
    <cellStyle name="Comma 12 4 4" xfId="1228" xr:uid="{E4B4A247-9D39-49DC-A86F-F05B7CF8DB3C}"/>
    <cellStyle name="Comma 12 4 4 2" xfId="12512" xr:uid="{F44DE143-2D59-4498-9CE4-F4B5C9255E4A}"/>
    <cellStyle name="Comma 12 4 4 3" xfId="14765" xr:uid="{C58FBF05-1338-430D-A847-7E5F867F0396}"/>
    <cellStyle name="Comma 12 4 4 4" xfId="17018" xr:uid="{B3C88FBB-5CB9-4038-B17A-3705753DD8F2}"/>
    <cellStyle name="Comma 12 4 5" xfId="2354" xr:uid="{4CB44CF3-775D-4EC3-822B-B235278496BA}"/>
    <cellStyle name="Comma 12 4 6" xfId="3480" xr:uid="{6B990848-F973-4C34-A6A2-849AF0190D7E}"/>
    <cellStyle name="Comma 12 4 7" xfId="4606" xr:uid="{CE6E4B36-1554-4395-9681-14FFEB9BC6CD}"/>
    <cellStyle name="Comma 12 4 8" xfId="5733" xr:uid="{177573BF-47E0-4793-B6C5-CEDCE462EA00}"/>
    <cellStyle name="Comma 12 4 9" xfId="6860" xr:uid="{1EC3A3DA-47F9-4CA5-AA22-E1922269DE47}"/>
    <cellStyle name="Comma 12 5" xfId="94" xr:uid="{DD2B8D2B-D790-48E4-B92C-426BE260E08A}"/>
    <cellStyle name="Comma 12 5 10" xfId="11241" xr:uid="{979D0F56-8172-42FC-9031-90BC3CB722E7}"/>
    <cellStyle name="Comma 12 5 11" xfId="11388" xr:uid="{ABF78326-6EC7-4DB2-B785-668E4C482F4C}"/>
    <cellStyle name="Comma 12 5 12" xfId="13641" xr:uid="{BA105DCF-CD1B-4AC7-9169-2DCB518911D1}"/>
    <cellStyle name="Comma 12 5 13" xfId="15894" xr:uid="{0E9F5596-F980-4D65-A89D-71714CA167A6}"/>
    <cellStyle name="Comma 12 5 2" xfId="1231" xr:uid="{75D8A578-77F8-4E99-A2FF-00221CC1BF3C}"/>
    <cellStyle name="Comma 12 5 2 2" xfId="12515" xr:uid="{FC270B40-209E-49E7-8E65-EB77627A6B25}"/>
    <cellStyle name="Comma 12 5 2 3" xfId="14768" xr:uid="{A0CE1137-44AB-4556-B08D-0A8CFD340988}"/>
    <cellStyle name="Comma 12 5 2 4" xfId="17021" xr:uid="{7ACCFB52-1519-41F1-8191-1E9E2CABE8E9}"/>
    <cellStyle name="Comma 12 5 3" xfId="2357" xr:uid="{F1AB4AF9-7C50-432F-BC2B-47F6143EE349}"/>
    <cellStyle name="Comma 12 5 4" xfId="3483" xr:uid="{E43B7A86-935A-4CF7-A3B2-3DD1CDA68656}"/>
    <cellStyle name="Comma 12 5 5" xfId="4609" xr:uid="{EB34D33C-D433-4FB8-9D8A-B137A108AF48}"/>
    <cellStyle name="Comma 12 5 6" xfId="5736" xr:uid="{3263BD81-4A7E-413A-B0B8-312A0B09F2FC}"/>
    <cellStyle name="Comma 12 5 7" xfId="6863" xr:uid="{06325F68-2D38-40C2-980D-F6CEDE9B55E2}"/>
    <cellStyle name="Comma 12 5 8" xfId="8977" xr:uid="{59554435-C4C7-42AB-B022-DB50DAB2725A}"/>
    <cellStyle name="Comma 12 5 9" xfId="10114" xr:uid="{7F7C0F80-B2B3-4BD7-8491-EFDC4ADFD0DB}"/>
    <cellStyle name="Comma 12 6" xfId="95" xr:uid="{34C8F7D5-7B69-4428-8D98-D313DAB77008}"/>
    <cellStyle name="Comma 12 6 10" xfId="11240" xr:uid="{F905C072-FE56-4803-8F4F-63E26F84E1E6}"/>
    <cellStyle name="Comma 12 6 11" xfId="11389" xr:uid="{2250F557-9A27-4117-A6BD-4EF32AC17578}"/>
    <cellStyle name="Comma 12 6 12" xfId="13642" xr:uid="{662B45D9-3D0A-4C2B-A9E0-4BD53FE74CF6}"/>
    <cellStyle name="Comma 12 6 13" xfId="15895" xr:uid="{4B2B3CB0-81D8-461C-B184-ED98A3A7B522}"/>
    <cellStyle name="Comma 12 6 2" xfId="1232" xr:uid="{21763287-CDAA-4693-A1A8-54A6A00610C3}"/>
    <cellStyle name="Comma 12 6 2 2" xfId="12516" xr:uid="{3CFA7034-7DCD-45D5-9DEA-75E4BCEF68BF}"/>
    <cellStyle name="Comma 12 6 2 3" xfId="14769" xr:uid="{062F02C3-1801-411A-94FA-7CC593EE9F55}"/>
    <cellStyle name="Comma 12 6 2 4" xfId="17022" xr:uid="{758C7042-1844-4C08-B5FC-ECCC798D9E8F}"/>
    <cellStyle name="Comma 12 6 3" xfId="2358" xr:uid="{56845B03-24B9-4321-9EAB-984CFDBAC32F}"/>
    <cellStyle name="Comma 12 6 4" xfId="3484" xr:uid="{CB359CC7-2605-40B7-AB01-33151307009A}"/>
    <cellStyle name="Comma 12 6 5" xfId="4610" xr:uid="{936D496E-1DFF-4149-A83E-60CAC95A1A01}"/>
    <cellStyle name="Comma 12 6 6" xfId="5737" xr:uid="{C8E828A2-0BDE-456D-8409-90D8111B7390}"/>
    <cellStyle name="Comma 12 6 7" xfId="6864" xr:uid="{D4430F91-CB02-4354-8380-C3BF55AE30F2}"/>
    <cellStyle name="Comma 12 6 8" xfId="8976" xr:uid="{F8F53D81-4B60-42E1-8CCA-AEFF8CDBF763}"/>
    <cellStyle name="Comma 12 6 9" xfId="10113" xr:uid="{8D512526-A4B8-4791-871C-4C17D419D31C}"/>
    <cellStyle name="Comma 12 7" xfId="1209" xr:uid="{793027A8-6F63-4AC1-AA64-CE1D2040A367}"/>
    <cellStyle name="Comma 12 7 2" xfId="12493" xr:uid="{1D279F2F-EC3C-4844-A650-D6C0D96905F7}"/>
    <cellStyle name="Comma 12 7 3" xfId="14746" xr:uid="{712138E0-1DE6-435E-8C4B-E66B113BB84F}"/>
    <cellStyle name="Comma 12 7 4" xfId="16999" xr:uid="{68E984CD-E006-412F-8792-2C8B04EEECDD}"/>
    <cellStyle name="Comma 12 8" xfId="2335" xr:uid="{3D26562A-96FD-4EA8-ACCB-4A0D5BDFB2D6}"/>
    <cellStyle name="Comma 12 9" xfId="3461" xr:uid="{6E72106A-B2C8-4034-A397-EB11CED24C82}"/>
    <cellStyle name="Comma 13" xfId="96" xr:uid="{F51EDA44-219E-48A5-B040-6049229C0F11}"/>
    <cellStyle name="Comma 13 10" xfId="4611" xr:uid="{46A450E4-8868-4504-B9EF-184AC84FDD0E}"/>
    <cellStyle name="Comma 13 11" xfId="5738" xr:uid="{CB0D7041-36C9-45B8-9F9C-0207FAA04E66}"/>
    <cellStyle name="Comma 13 12" xfId="6865" xr:uid="{4CC52885-6924-4AA2-9B9A-13BF5EA340E2}"/>
    <cellStyle name="Comma 13 13" xfId="8975" xr:uid="{8A880CDF-12A8-43FE-9409-25EE6FE6819F}"/>
    <cellStyle name="Comma 13 14" xfId="10112" xr:uid="{2F72C806-B968-41EF-9E02-5C74072BE34B}"/>
    <cellStyle name="Comma 13 15" xfId="11239" xr:uid="{6FA2E277-D02F-42C8-924B-D7F0908C5968}"/>
    <cellStyle name="Comma 13 16" xfId="11390" xr:uid="{5B7FC452-0A1B-4876-ADC7-A67343DA7A10}"/>
    <cellStyle name="Comma 13 17" xfId="13643" xr:uid="{249DDE88-43DE-491F-984F-B19C622667BF}"/>
    <cellStyle name="Comma 13 18" xfId="15896" xr:uid="{E2D8AE6C-6BBC-4B7D-A19A-64382977835D}"/>
    <cellStyle name="Comma 13 2" xfId="97" xr:uid="{1D383806-05BF-47D0-A03D-1A67F2877C1C}"/>
    <cellStyle name="Comma 13 2 10" xfId="5739" xr:uid="{467615D6-70C7-4083-8657-F6AF2E9E8BF1}"/>
    <cellStyle name="Comma 13 2 11" xfId="6866" xr:uid="{2E161367-55A0-4238-8D77-FDA231748265}"/>
    <cellStyle name="Comma 13 2 12" xfId="8974" xr:uid="{819A75FF-B99F-49BE-9D04-4C3852A39DA4}"/>
    <cellStyle name="Comma 13 2 13" xfId="10111" xr:uid="{6784ADC5-ACD4-421B-9AF0-DDA097BBB8B5}"/>
    <cellStyle name="Comma 13 2 14" xfId="11238" xr:uid="{875D6280-BCA3-4E52-B796-92DDD062B1ED}"/>
    <cellStyle name="Comma 13 2 15" xfId="11391" xr:uid="{3388B9C2-7E30-4BC9-97C7-6CD870D800E7}"/>
    <cellStyle name="Comma 13 2 16" xfId="13644" xr:uid="{F9D86A44-6562-49A1-9D51-A60004B8D742}"/>
    <cellStyle name="Comma 13 2 17" xfId="15897" xr:uid="{5ED5FA15-5715-4FBB-AC3C-F2546DB5E7F9}"/>
    <cellStyle name="Comma 13 2 2" xfId="98" xr:uid="{E20E69E8-4FC6-486A-AC10-4EFD40385AC7}"/>
    <cellStyle name="Comma 13 2 2 10" xfId="6867" xr:uid="{3B334A2F-16D4-4FB4-B881-C6C842238616}"/>
    <cellStyle name="Comma 13 2 2 11" xfId="8973" xr:uid="{56D83268-E087-47F2-BEE7-3B5304D18547}"/>
    <cellStyle name="Comma 13 2 2 12" xfId="10110" xr:uid="{2491E448-7FBF-4E46-BFC5-0B100A0B0B1C}"/>
    <cellStyle name="Comma 13 2 2 13" xfId="11237" xr:uid="{5F033CDD-E67E-4C6F-BCAB-8C3B5E95A117}"/>
    <cellStyle name="Comma 13 2 2 14" xfId="11392" xr:uid="{3AF725C1-22D9-467F-AB14-ACAE5519E4EC}"/>
    <cellStyle name="Comma 13 2 2 15" xfId="13645" xr:uid="{EA711A41-65BA-4A24-AB6F-FBFBDF3138EE}"/>
    <cellStyle name="Comma 13 2 2 16" xfId="15898" xr:uid="{AEE0DACC-2D11-4298-97D9-E5315F737081}"/>
    <cellStyle name="Comma 13 2 2 2" xfId="99" xr:uid="{5508C903-D079-40BD-A3A8-3685A54377EF}"/>
    <cellStyle name="Comma 13 2 2 2 10" xfId="8972" xr:uid="{0686149D-21C9-40FA-92E3-3A16BD38C507}"/>
    <cellStyle name="Comma 13 2 2 2 11" xfId="10109" xr:uid="{C3483ABC-459B-4953-B51B-A895C774729E}"/>
    <cellStyle name="Comma 13 2 2 2 12" xfId="11236" xr:uid="{47EC894B-DE52-4DC1-AD28-0C71614AC468}"/>
    <cellStyle name="Comma 13 2 2 2 13" xfId="11393" xr:uid="{189E94ED-E308-407B-943B-958E4EF70116}"/>
    <cellStyle name="Comma 13 2 2 2 14" xfId="13646" xr:uid="{10C279E9-4E22-43D8-A31E-49171F8D9296}"/>
    <cellStyle name="Comma 13 2 2 2 15" xfId="15899" xr:uid="{D9061A2B-7F06-4CA1-8BAE-06C81880027B}"/>
    <cellStyle name="Comma 13 2 2 2 2" xfId="100" xr:uid="{FDE9405A-C73D-4E49-A164-97BA78FC4EC3}"/>
    <cellStyle name="Comma 13 2 2 2 2 10" xfId="11235" xr:uid="{AD8DF2FA-4B4C-4C96-A209-081B7A8093E3}"/>
    <cellStyle name="Comma 13 2 2 2 2 11" xfId="11394" xr:uid="{B3C4829A-EE8E-40A4-9795-C2E0E9C6F040}"/>
    <cellStyle name="Comma 13 2 2 2 2 12" xfId="13647" xr:uid="{D121851C-87D5-4841-B900-D7B97CBACD07}"/>
    <cellStyle name="Comma 13 2 2 2 2 13" xfId="15900" xr:uid="{E023CE2C-93AF-44E8-AD58-1610BB20657C}"/>
    <cellStyle name="Comma 13 2 2 2 2 2" xfId="1237" xr:uid="{B306925C-F122-44B3-BF7E-D1328C1E28E7}"/>
    <cellStyle name="Comma 13 2 2 2 2 2 2" xfId="12521" xr:uid="{7BD9AD2A-8C91-43AE-8DE3-08864E5FA3F4}"/>
    <cellStyle name="Comma 13 2 2 2 2 2 3" xfId="14774" xr:uid="{53E65C3C-013D-4B89-ACD0-5922D47027A2}"/>
    <cellStyle name="Comma 13 2 2 2 2 2 4" xfId="17027" xr:uid="{02B49660-94E7-46B2-BC30-F10BF9E5A851}"/>
    <cellStyle name="Comma 13 2 2 2 2 3" xfId="2363" xr:uid="{1C765692-4CA7-434E-9AE8-8015C33EA58E}"/>
    <cellStyle name="Comma 13 2 2 2 2 4" xfId="3489" xr:uid="{AE4D3070-1E84-4E64-BCA1-3D029E8C2CB4}"/>
    <cellStyle name="Comma 13 2 2 2 2 5" xfId="4615" xr:uid="{8B713F81-4B0A-40B6-8543-09A1311F16BD}"/>
    <cellStyle name="Comma 13 2 2 2 2 6" xfId="5742" xr:uid="{8059BBB0-D9A5-4057-A796-A512637B159C}"/>
    <cellStyle name="Comma 13 2 2 2 2 7" xfId="6869" xr:uid="{766CBCA3-5F94-46DD-BE06-4F572FD4A905}"/>
    <cellStyle name="Comma 13 2 2 2 2 8" xfId="8971" xr:uid="{476EDDD6-00B2-4968-BE82-230A978C7AA3}"/>
    <cellStyle name="Comma 13 2 2 2 2 9" xfId="10108" xr:uid="{873A6D2A-08E3-4960-9F73-3B9E5F6EA63B}"/>
    <cellStyle name="Comma 13 2 2 2 3" xfId="101" xr:uid="{464CE9E2-D626-4DF5-8BE9-BC2CAF5B0E2C}"/>
    <cellStyle name="Comma 13 2 2 2 3 10" xfId="11234" xr:uid="{2C89C120-4E29-40E8-885B-D987D9C4FA30}"/>
    <cellStyle name="Comma 13 2 2 2 3 11" xfId="11395" xr:uid="{2770D225-51ED-4C95-8432-4ECF3CA213A5}"/>
    <cellStyle name="Comma 13 2 2 2 3 12" xfId="13648" xr:uid="{0BE77775-A392-4CFA-A0A5-1F07723098BA}"/>
    <cellStyle name="Comma 13 2 2 2 3 13" xfId="15901" xr:uid="{0D8805A1-99E8-4B1A-8371-7EC361105C63}"/>
    <cellStyle name="Comma 13 2 2 2 3 2" xfId="1238" xr:uid="{23E8B84E-F4AC-4B9C-8976-8302F32E0E22}"/>
    <cellStyle name="Comma 13 2 2 2 3 2 2" xfId="12522" xr:uid="{8E19B4C4-163C-4D89-BF2D-E3F0E44D44BF}"/>
    <cellStyle name="Comma 13 2 2 2 3 2 3" xfId="14775" xr:uid="{543A29D5-76F4-45A0-A40A-E5E2C2DC4CFB}"/>
    <cellStyle name="Comma 13 2 2 2 3 2 4" xfId="17028" xr:uid="{D3D06448-67A8-4B39-AE3D-885E07841B46}"/>
    <cellStyle name="Comma 13 2 2 2 3 3" xfId="2364" xr:uid="{0095DBF4-D804-4540-890E-3737E2D40440}"/>
    <cellStyle name="Comma 13 2 2 2 3 4" xfId="3490" xr:uid="{33567854-8283-4B24-968D-B4A57FE9FE7B}"/>
    <cellStyle name="Comma 13 2 2 2 3 5" xfId="4616" xr:uid="{A9AE870E-1F9C-4C72-B47A-67FB1AAC2927}"/>
    <cellStyle name="Comma 13 2 2 2 3 6" xfId="5743" xr:uid="{988C3FE9-BC04-4C06-AFFC-205D768E474E}"/>
    <cellStyle name="Comma 13 2 2 2 3 7" xfId="6870" xr:uid="{38427107-F7C7-4314-842C-712ADBD94FD3}"/>
    <cellStyle name="Comma 13 2 2 2 3 8" xfId="8970" xr:uid="{7DA36374-F9AC-4A74-80AE-9F211456D1F3}"/>
    <cellStyle name="Comma 13 2 2 2 3 9" xfId="10107" xr:uid="{D7D7D3DE-D9A6-44DD-AF18-B08A430056BB}"/>
    <cellStyle name="Comma 13 2 2 2 4" xfId="1236" xr:uid="{FCBB4A52-B0E6-45F8-BF7B-7B5006691972}"/>
    <cellStyle name="Comma 13 2 2 2 4 2" xfId="12520" xr:uid="{A91781C6-1423-4847-A068-6722D6907A74}"/>
    <cellStyle name="Comma 13 2 2 2 4 3" xfId="14773" xr:uid="{51DC638C-29EF-4D94-B66D-DFCF99C70AAE}"/>
    <cellStyle name="Comma 13 2 2 2 4 4" xfId="17026" xr:uid="{BE21E5EE-57D5-4F7D-B31F-A5DC44A7A605}"/>
    <cellStyle name="Comma 13 2 2 2 5" xfId="2362" xr:uid="{780BC21B-3B0D-4F82-A286-35A213588032}"/>
    <cellStyle name="Comma 13 2 2 2 6" xfId="3488" xr:uid="{58B6DF44-26D4-4915-A794-110EAAEDBED1}"/>
    <cellStyle name="Comma 13 2 2 2 7" xfId="4614" xr:uid="{BA6DED5F-19FB-408C-B836-F10A848A8393}"/>
    <cellStyle name="Comma 13 2 2 2 8" xfId="5741" xr:uid="{4BC59B10-332C-4C6B-9635-0AECBCB7A9B5}"/>
    <cellStyle name="Comma 13 2 2 2 9" xfId="6868" xr:uid="{45BFAE46-78D3-463A-96E8-0F36E5E5204B}"/>
    <cellStyle name="Comma 13 2 2 3" xfId="102" xr:uid="{F4B334EF-83F9-458A-B65F-23F73CDF2FF8}"/>
    <cellStyle name="Comma 13 2 2 3 10" xfId="11233" xr:uid="{975F6A3B-2398-4C65-B324-3D4BF006C11D}"/>
    <cellStyle name="Comma 13 2 2 3 11" xfId="11396" xr:uid="{3421B5BE-5C01-48BF-8B42-A959C66D22E1}"/>
    <cellStyle name="Comma 13 2 2 3 12" xfId="13649" xr:uid="{3E040E1F-5962-4DA9-9349-DF6415580D65}"/>
    <cellStyle name="Comma 13 2 2 3 13" xfId="15902" xr:uid="{544EB0C8-33B7-4673-AA1D-2CB63E3456FD}"/>
    <cellStyle name="Comma 13 2 2 3 2" xfId="1239" xr:uid="{1388863F-FF53-40FE-8484-2771B6445F9C}"/>
    <cellStyle name="Comma 13 2 2 3 2 2" xfId="12523" xr:uid="{E1962C52-1696-48F6-B8D6-9F3250B2A00C}"/>
    <cellStyle name="Comma 13 2 2 3 2 3" xfId="14776" xr:uid="{69AF29E5-680B-440F-85AE-4E55E24BC552}"/>
    <cellStyle name="Comma 13 2 2 3 2 4" xfId="17029" xr:uid="{CCBDBA77-89D2-4D01-92C2-E3E1C285AE36}"/>
    <cellStyle name="Comma 13 2 2 3 3" xfId="2365" xr:uid="{9292825E-EAC6-451C-8F13-32BF8875DEFE}"/>
    <cellStyle name="Comma 13 2 2 3 4" xfId="3491" xr:uid="{48037662-2354-4494-8F8E-605302CA2BD2}"/>
    <cellStyle name="Comma 13 2 2 3 5" xfId="4617" xr:uid="{59E8DA56-8307-41A3-BBC4-62252DD3323C}"/>
    <cellStyle name="Comma 13 2 2 3 6" xfId="5744" xr:uid="{B81A052C-72FC-47CE-9DB0-64D028BEDC41}"/>
    <cellStyle name="Comma 13 2 2 3 7" xfId="6871" xr:uid="{CAA504F5-BA8E-4B12-A202-D3D84BA0D659}"/>
    <cellStyle name="Comma 13 2 2 3 8" xfId="8969" xr:uid="{A6652375-3ED0-499C-9867-B05BFEC5E67F}"/>
    <cellStyle name="Comma 13 2 2 3 9" xfId="10106" xr:uid="{CA9C181B-DD25-4653-8F19-8964756753ED}"/>
    <cellStyle name="Comma 13 2 2 4" xfId="103" xr:uid="{C9C5669A-1950-4C7E-BA22-7EC811A65439}"/>
    <cellStyle name="Comma 13 2 2 4 10" xfId="11232" xr:uid="{B2E8F584-F679-4C9D-A9B9-7CFCD6511ED3}"/>
    <cellStyle name="Comma 13 2 2 4 11" xfId="11397" xr:uid="{8D666E9D-823E-4CC5-AEA0-3CE31A8586E8}"/>
    <cellStyle name="Comma 13 2 2 4 12" xfId="13650" xr:uid="{F5FEF8BD-6577-4EFC-B2F0-0D8001F6B7B4}"/>
    <cellStyle name="Comma 13 2 2 4 13" xfId="15903" xr:uid="{088A1B54-8E8D-492B-AC05-1D27BE53D6CE}"/>
    <cellStyle name="Comma 13 2 2 4 2" xfId="1240" xr:uid="{1B968F6A-6EFD-445A-9656-A67242F8F9C1}"/>
    <cellStyle name="Comma 13 2 2 4 2 2" xfId="12524" xr:uid="{9B44B639-6983-4611-A7D1-14967DE9338B}"/>
    <cellStyle name="Comma 13 2 2 4 2 3" xfId="14777" xr:uid="{45CB7A0B-B778-4894-9241-F1C76A2D3602}"/>
    <cellStyle name="Comma 13 2 2 4 2 4" xfId="17030" xr:uid="{00E89D83-8152-4FFD-8FBF-349CEEE646DA}"/>
    <cellStyle name="Comma 13 2 2 4 3" xfId="2366" xr:uid="{E0FB4AAC-8E9B-4FFE-9712-5DAEF48D2A29}"/>
    <cellStyle name="Comma 13 2 2 4 4" xfId="3492" xr:uid="{7848BA37-0968-4CCA-A9D3-8CCB9E457C03}"/>
    <cellStyle name="Comma 13 2 2 4 5" xfId="4618" xr:uid="{3F3E6B9E-BA33-4B94-89F5-495C61260211}"/>
    <cellStyle name="Comma 13 2 2 4 6" xfId="5745" xr:uid="{C0F9771B-C91B-4427-ACED-E3A5C4556F5B}"/>
    <cellStyle name="Comma 13 2 2 4 7" xfId="6872" xr:uid="{8AEF1EA6-8BFE-4807-B626-805C94705623}"/>
    <cellStyle name="Comma 13 2 2 4 8" xfId="8968" xr:uid="{353D30FF-49C0-426C-B7D5-9BA141246FAC}"/>
    <cellStyle name="Comma 13 2 2 4 9" xfId="10105" xr:uid="{2DBA7B91-5C9F-4955-8D3F-0670E132FA42}"/>
    <cellStyle name="Comma 13 2 2 5" xfId="1235" xr:uid="{8041221E-AC25-4DD5-9A42-8F857A7D546F}"/>
    <cellStyle name="Comma 13 2 2 5 2" xfId="12519" xr:uid="{629D284F-E2C9-4E4D-9073-CF48304F27DB}"/>
    <cellStyle name="Comma 13 2 2 5 3" xfId="14772" xr:uid="{EE889184-2B6B-4A2E-89AB-79B325D18394}"/>
    <cellStyle name="Comma 13 2 2 5 4" xfId="17025" xr:uid="{648A92DD-532F-42C4-B7CD-0A682877ECBC}"/>
    <cellStyle name="Comma 13 2 2 6" xfId="2361" xr:uid="{BB5AE2A9-4942-4B84-AC0D-F1138AE35A2B}"/>
    <cellStyle name="Comma 13 2 2 7" xfId="3487" xr:uid="{6A3EDEE5-47AD-4554-B808-FDDEBA3128A7}"/>
    <cellStyle name="Comma 13 2 2 8" xfId="4613" xr:uid="{F5DA4CC0-C623-4B2C-AAD0-F972545EA16E}"/>
    <cellStyle name="Comma 13 2 2 9" xfId="5740" xr:uid="{9A3D80F7-CA67-483F-A866-112E59C03ACF}"/>
    <cellStyle name="Comma 13 2 3" xfId="104" xr:uid="{CE101FA9-8C11-4C5D-9B16-63074DC08489}"/>
    <cellStyle name="Comma 13 2 3 10" xfId="8967" xr:uid="{068EC2DD-32FD-4E42-BC3E-158FC7F0F32D}"/>
    <cellStyle name="Comma 13 2 3 11" xfId="10104" xr:uid="{B1118756-D664-452E-BB73-67174AD9F5FB}"/>
    <cellStyle name="Comma 13 2 3 12" xfId="11231" xr:uid="{0AAF61CD-98C1-4053-AF21-0B9A811792D5}"/>
    <cellStyle name="Comma 13 2 3 13" xfId="11398" xr:uid="{A58674DC-F554-4623-8748-7AE3DA884389}"/>
    <cellStyle name="Comma 13 2 3 14" xfId="13651" xr:uid="{D057CB7C-0BD4-4000-8E59-93330D56ABFC}"/>
    <cellStyle name="Comma 13 2 3 15" xfId="15904" xr:uid="{83703943-EBBF-4901-AE42-2B86132AEB73}"/>
    <cellStyle name="Comma 13 2 3 2" xfId="105" xr:uid="{47D1B868-C614-4CEA-8B5A-CA245E9694B9}"/>
    <cellStyle name="Comma 13 2 3 2 10" xfId="11230" xr:uid="{459D1E29-AC4E-4583-890E-E03327DB0078}"/>
    <cellStyle name="Comma 13 2 3 2 11" xfId="11399" xr:uid="{9289584D-CA6C-440A-A704-F554A24261B1}"/>
    <cellStyle name="Comma 13 2 3 2 12" xfId="13652" xr:uid="{57B62442-2905-4E64-B166-74E8CB79BD18}"/>
    <cellStyle name="Comma 13 2 3 2 13" xfId="15905" xr:uid="{8D5D27C6-A2C2-4879-A707-1EE95B4C5FE5}"/>
    <cellStyle name="Comma 13 2 3 2 2" xfId="1242" xr:uid="{3882811B-2B05-48A6-8C80-F3CA3633288A}"/>
    <cellStyle name="Comma 13 2 3 2 2 2" xfId="12526" xr:uid="{3CF30828-B043-46AF-B184-EBB44EEF5291}"/>
    <cellStyle name="Comma 13 2 3 2 2 3" xfId="14779" xr:uid="{AC05C077-96DF-4773-9141-2282451EF411}"/>
    <cellStyle name="Comma 13 2 3 2 2 4" xfId="17032" xr:uid="{F8CD6B8B-735A-4B80-ABB6-78EC2F777052}"/>
    <cellStyle name="Comma 13 2 3 2 3" xfId="2368" xr:uid="{ECF703D5-5640-49A9-BA31-73A63AB24A1D}"/>
    <cellStyle name="Comma 13 2 3 2 4" xfId="3494" xr:uid="{D1B8C489-CFB6-4D85-A02C-862790B957E9}"/>
    <cellStyle name="Comma 13 2 3 2 5" xfId="4620" xr:uid="{749E1ADF-B68F-4B3E-8352-1D3326C1B97A}"/>
    <cellStyle name="Comma 13 2 3 2 6" xfId="5747" xr:uid="{BB8015C8-9934-4A91-9C6C-C834B2144D03}"/>
    <cellStyle name="Comma 13 2 3 2 7" xfId="6874" xr:uid="{77F46A8C-D514-4FEE-B0CC-8B60307E0029}"/>
    <cellStyle name="Comma 13 2 3 2 8" xfId="8966" xr:uid="{8229091C-CFA5-40A8-AA38-B14047724A6C}"/>
    <cellStyle name="Comma 13 2 3 2 9" xfId="10103" xr:uid="{C39DD8D9-9095-4CC2-B30B-EAC7C2FEE6A3}"/>
    <cellStyle name="Comma 13 2 3 3" xfId="106" xr:uid="{34ACB853-0AB9-4222-ACDB-643F85D46AA2}"/>
    <cellStyle name="Comma 13 2 3 3 10" xfId="11229" xr:uid="{8BEDAF2F-E438-4A72-8646-9CC8776AFEDD}"/>
    <cellStyle name="Comma 13 2 3 3 11" xfId="11400" xr:uid="{B6EC2F50-043A-4BCF-85C9-F98275E6621B}"/>
    <cellStyle name="Comma 13 2 3 3 12" xfId="13653" xr:uid="{C4F4B1FE-721D-4AF2-975A-3D4FAF149163}"/>
    <cellStyle name="Comma 13 2 3 3 13" xfId="15906" xr:uid="{24BA7A82-6817-41BE-8C9D-1E8B616AE384}"/>
    <cellStyle name="Comma 13 2 3 3 2" xfId="1243" xr:uid="{F575817E-D705-491A-BECF-461E3A2F8A5F}"/>
    <cellStyle name="Comma 13 2 3 3 2 2" xfId="12527" xr:uid="{DA5F84AC-B289-443B-958F-B7D36396E6B2}"/>
    <cellStyle name="Comma 13 2 3 3 2 3" xfId="14780" xr:uid="{E0927FEC-4121-455D-8127-8746DA956C9F}"/>
    <cellStyle name="Comma 13 2 3 3 2 4" xfId="17033" xr:uid="{A6339463-35D8-42E4-B98B-9E66F5F4FAA0}"/>
    <cellStyle name="Comma 13 2 3 3 3" xfId="2369" xr:uid="{34752CAC-BF66-4557-8DA9-304D91723A90}"/>
    <cellStyle name="Comma 13 2 3 3 4" xfId="3495" xr:uid="{A966B1F8-3458-4492-AC7A-1ABD1E52FF78}"/>
    <cellStyle name="Comma 13 2 3 3 5" xfId="4621" xr:uid="{3F780B2C-93BA-4902-B7E9-281C9CE1A749}"/>
    <cellStyle name="Comma 13 2 3 3 6" xfId="5748" xr:uid="{7CFE6119-F960-4332-B4ED-81FA096C67A3}"/>
    <cellStyle name="Comma 13 2 3 3 7" xfId="6875" xr:uid="{85F85A35-F1F2-4668-8F75-AC0C8CD973F5}"/>
    <cellStyle name="Comma 13 2 3 3 8" xfId="8965" xr:uid="{B46D5501-0FC6-49CB-B3A0-4F66F487A2EB}"/>
    <cellStyle name="Comma 13 2 3 3 9" xfId="10102" xr:uid="{725C16A3-D58F-46C5-A932-C8EDD7643975}"/>
    <cellStyle name="Comma 13 2 3 4" xfId="1241" xr:uid="{D7B5C397-066A-499B-8087-40840DCBF72A}"/>
    <cellStyle name="Comma 13 2 3 4 2" xfId="12525" xr:uid="{26DDC806-4636-461A-AE00-684B12A35E5A}"/>
    <cellStyle name="Comma 13 2 3 4 3" xfId="14778" xr:uid="{1551B869-966A-4B14-940F-493D705B0785}"/>
    <cellStyle name="Comma 13 2 3 4 4" xfId="17031" xr:uid="{9EEE03BA-CA04-4EEF-B6D6-B5F433047A45}"/>
    <cellStyle name="Comma 13 2 3 5" xfId="2367" xr:uid="{8E34D11C-71E7-43C2-8863-3E632B427E07}"/>
    <cellStyle name="Comma 13 2 3 6" xfId="3493" xr:uid="{5DC1D01F-6BB4-4CEE-B913-D28BCE387F04}"/>
    <cellStyle name="Comma 13 2 3 7" xfId="4619" xr:uid="{139C9E25-D683-4884-B537-401453732087}"/>
    <cellStyle name="Comma 13 2 3 8" xfId="5746" xr:uid="{8D6C0F75-CA32-4A85-A287-8A61E8746D54}"/>
    <cellStyle name="Comma 13 2 3 9" xfId="6873" xr:uid="{6644D48E-EAC9-4C01-AD7A-8FD5CCFA88BD}"/>
    <cellStyle name="Comma 13 2 4" xfId="107" xr:uid="{49655536-E444-4D77-A713-1FA4CD12405F}"/>
    <cellStyle name="Comma 13 2 4 10" xfId="11228" xr:uid="{E84B63DA-A940-4735-8F8E-D4B8A6671736}"/>
    <cellStyle name="Comma 13 2 4 11" xfId="11401" xr:uid="{7006CA27-9A19-44B4-9629-B31A2E129499}"/>
    <cellStyle name="Comma 13 2 4 12" xfId="13654" xr:uid="{55D8EBEB-8E17-496E-B1C1-E212AE09044E}"/>
    <cellStyle name="Comma 13 2 4 13" xfId="15907" xr:uid="{581DFC72-0B6B-4830-8E33-307365015696}"/>
    <cellStyle name="Comma 13 2 4 2" xfId="1244" xr:uid="{A9AB2E7A-E3CE-4CE9-994D-DE82C09250EB}"/>
    <cellStyle name="Comma 13 2 4 2 2" xfId="12528" xr:uid="{9D5A3CD8-20CC-4747-993A-423525AE8FBF}"/>
    <cellStyle name="Comma 13 2 4 2 3" xfId="14781" xr:uid="{358EB9D9-F6F1-4FB0-B890-E510454463EE}"/>
    <cellStyle name="Comma 13 2 4 2 4" xfId="17034" xr:uid="{ADA57D52-D5AE-4A93-A743-EE5ED5161CF9}"/>
    <cellStyle name="Comma 13 2 4 3" xfId="2370" xr:uid="{C77BFC7D-F1F3-40EE-BEAF-0D0733D4C364}"/>
    <cellStyle name="Comma 13 2 4 4" xfId="3496" xr:uid="{B3ACCFB9-E118-4630-BA9B-6A875023F11D}"/>
    <cellStyle name="Comma 13 2 4 5" xfId="4622" xr:uid="{96C599A5-1547-41A8-B912-AB557E45F14D}"/>
    <cellStyle name="Comma 13 2 4 6" xfId="5749" xr:uid="{1D0DE92F-9E0A-41E7-9444-00DF300FF2BD}"/>
    <cellStyle name="Comma 13 2 4 7" xfId="6876" xr:uid="{6FF2759F-F97E-42A4-B20D-29AFE4CEF315}"/>
    <cellStyle name="Comma 13 2 4 8" xfId="8964" xr:uid="{A129D4BC-1E44-4542-BB34-C2656B043153}"/>
    <cellStyle name="Comma 13 2 4 9" xfId="10101" xr:uid="{E7CBAB2C-D959-4D2C-92FC-BB554D17E87B}"/>
    <cellStyle name="Comma 13 2 5" xfId="108" xr:uid="{DB6CBEEF-30A4-49B7-BA70-89E68EA7B465}"/>
    <cellStyle name="Comma 13 2 5 10" xfId="11227" xr:uid="{337613C6-2070-47CE-9104-29AE83B99229}"/>
    <cellStyle name="Comma 13 2 5 11" xfId="11402" xr:uid="{89B997C5-EE87-45A2-8505-A9FB08A73EF4}"/>
    <cellStyle name="Comma 13 2 5 12" xfId="13655" xr:uid="{D65DA292-01F8-470A-BE3B-B94B4B09A579}"/>
    <cellStyle name="Comma 13 2 5 13" xfId="15908" xr:uid="{83C90D38-775F-4E56-B955-DD3809EE1F80}"/>
    <cellStyle name="Comma 13 2 5 2" xfId="1245" xr:uid="{492D031E-2888-4290-AF25-9FB809C814E8}"/>
    <cellStyle name="Comma 13 2 5 2 2" xfId="12529" xr:uid="{531C8F57-8D7B-44DB-9737-E4A4C1A2DFC7}"/>
    <cellStyle name="Comma 13 2 5 2 3" xfId="14782" xr:uid="{20253314-7C70-4D96-BE75-05059ACA9E5A}"/>
    <cellStyle name="Comma 13 2 5 2 4" xfId="17035" xr:uid="{8A613865-38B5-45CB-8C45-6F8DB1CD0452}"/>
    <cellStyle name="Comma 13 2 5 3" xfId="2371" xr:uid="{10A1D50C-FB67-44BA-A414-52F9D0DEBB4D}"/>
    <cellStyle name="Comma 13 2 5 4" xfId="3497" xr:uid="{A2CFB2E9-29DF-4BF9-9895-E549DC6D1E87}"/>
    <cellStyle name="Comma 13 2 5 5" xfId="4623" xr:uid="{6CEE7A8D-B9D1-44FC-AB35-5435F1723FB4}"/>
    <cellStyle name="Comma 13 2 5 6" xfId="5750" xr:uid="{0246BD32-F80A-4191-9EB2-42E2D2416A04}"/>
    <cellStyle name="Comma 13 2 5 7" xfId="6877" xr:uid="{F04E7FDF-80C4-4C7C-98F4-2E4B63991061}"/>
    <cellStyle name="Comma 13 2 5 8" xfId="8963" xr:uid="{675409A9-A16B-402F-92BC-4C4EA4CCC5BC}"/>
    <cellStyle name="Comma 13 2 5 9" xfId="10100" xr:uid="{F230E88C-0421-4BD0-8B1C-65879A7325FA}"/>
    <cellStyle name="Comma 13 2 6" xfId="1234" xr:uid="{61F8CF22-3FC6-456D-AD64-A092963E9451}"/>
    <cellStyle name="Comma 13 2 6 2" xfId="12518" xr:uid="{15520E65-361E-4CC3-AF66-132582CB1336}"/>
    <cellStyle name="Comma 13 2 6 3" xfId="14771" xr:uid="{9BCD5DFF-A5D5-466E-A1F4-3754C2E8F076}"/>
    <cellStyle name="Comma 13 2 6 4" xfId="17024" xr:uid="{3C1AA4FF-AE36-4549-A9DE-333A55AB35BA}"/>
    <cellStyle name="Comma 13 2 7" xfId="2360" xr:uid="{71ABB24B-EF0B-4D0F-9048-7C3064AA5E8F}"/>
    <cellStyle name="Comma 13 2 8" xfId="3486" xr:uid="{9B0EB3A6-F5B6-4B0F-BCEE-AFFDC90FB79C}"/>
    <cellStyle name="Comma 13 2 9" xfId="4612" xr:uid="{A98FD4C8-8642-473F-8C19-C15856830B82}"/>
    <cellStyle name="Comma 13 3" xfId="109" xr:uid="{186DE916-1C93-41F4-A766-2A77723D9B60}"/>
    <cellStyle name="Comma 13 3 10" xfId="6878" xr:uid="{0594CABF-2596-40AD-8377-68E19D9ABCAA}"/>
    <cellStyle name="Comma 13 3 11" xfId="8962" xr:uid="{12B9F5BD-B977-4BD2-AD14-9B57D8095AE9}"/>
    <cellStyle name="Comma 13 3 12" xfId="10099" xr:uid="{B866985F-5530-42A6-9145-F4FD493A283C}"/>
    <cellStyle name="Comma 13 3 13" xfId="11226" xr:uid="{F9C03095-DDA9-44B3-B773-E35A1852CD2D}"/>
    <cellStyle name="Comma 13 3 14" xfId="11403" xr:uid="{2DE3D18A-5B64-4328-9CD4-E06021724697}"/>
    <cellStyle name="Comma 13 3 15" xfId="13656" xr:uid="{1D4CA0EB-67C2-43E8-BE3A-E5B44E4187B2}"/>
    <cellStyle name="Comma 13 3 16" xfId="15909" xr:uid="{1CC5F2A1-D635-4741-B372-0F3ED7769FEE}"/>
    <cellStyle name="Comma 13 3 2" xfId="110" xr:uid="{14D1CF83-A0CC-40D8-B4EF-019D6183EF24}"/>
    <cellStyle name="Comma 13 3 2 10" xfId="8961" xr:uid="{44A3DC20-3E13-4C00-B0A2-2B1A3B98A671}"/>
    <cellStyle name="Comma 13 3 2 11" xfId="10098" xr:uid="{9D598F5C-2EFE-45A2-8AEF-90102DAF582E}"/>
    <cellStyle name="Comma 13 3 2 12" xfId="11225" xr:uid="{556234F5-366D-4B23-A2F2-267EC2FDA482}"/>
    <cellStyle name="Comma 13 3 2 13" xfId="11404" xr:uid="{A33DDED0-8AF0-4314-A2F9-D5A061348FEA}"/>
    <cellStyle name="Comma 13 3 2 14" xfId="13657" xr:uid="{D68A9D93-8667-4282-8DC1-8545C5D72EC2}"/>
    <cellStyle name="Comma 13 3 2 15" xfId="15910" xr:uid="{D6D88E27-E4DF-4589-BA0A-C0A18F542167}"/>
    <cellStyle name="Comma 13 3 2 2" xfId="111" xr:uid="{75909600-8761-46F5-947C-CCDE920DEB34}"/>
    <cellStyle name="Comma 13 3 2 2 10" xfId="11224" xr:uid="{BA545FB4-A303-42E0-8342-AB45951876CD}"/>
    <cellStyle name="Comma 13 3 2 2 11" xfId="11405" xr:uid="{ACBF7A48-6F7F-4484-A300-8D860E9FF446}"/>
    <cellStyle name="Comma 13 3 2 2 12" xfId="13658" xr:uid="{27E45F17-BF99-4E63-888F-4903F4978E88}"/>
    <cellStyle name="Comma 13 3 2 2 13" xfId="15911" xr:uid="{D434B913-E4D1-4264-B0BA-913A3EB60FF4}"/>
    <cellStyle name="Comma 13 3 2 2 2" xfId="1248" xr:uid="{F50F6581-3BC5-4268-B926-DD3508951BEF}"/>
    <cellStyle name="Comma 13 3 2 2 2 2" xfId="12532" xr:uid="{9734AC91-8FD8-4714-A00B-22078EB9BBB2}"/>
    <cellStyle name="Comma 13 3 2 2 2 3" xfId="14785" xr:uid="{4C648BCE-57AF-4A0F-9CE6-1A65C29B803B}"/>
    <cellStyle name="Comma 13 3 2 2 2 4" xfId="17038" xr:uid="{77D5A9B0-876A-4F08-8CDD-334A4561EA9C}"/>
    <cellStyle name="Comma 13 3 2 2 3" xfId="2374" xr:uid="{884650A5-9F19-4997-A6E5-4140317F4D20}"/>
    <cellStyle name="Comma 13 3 2 2 4" xfId="3500" xr:uid="{B2178427-419F-44FF-AA54-1D827C20BE93}"/>
    <cellStyle name="Comma 13 3 2 2 5" xfId="4626" xr:uid="{538F9B2E-04E1-4BBF-A358-C34F3AA296BC}"/>
    <cellStyle name="Comma 13 3 2 2 6" xfId="5753" xr:uid="{2F7C891A-D05E-4241-828D-F2F934F92D9F}"/>
    <cellStyle name="Comma 13 3 2 2 7" xfId="6880" xr:uid="{1DB84F72-1A87-4BF8-B152-EE6A1E930DA7}"/>
    <cellStyle name="Comma 13 3 2 2 8" xfId="8960" xr:uid="{461DB6A1-E535-4464-963D-EC188DCE587B}"/>
    <cellStyle name="Comma 13 3 2 2 9" xfId="10097" xr:uid="{1C651578-7385-46D5-AD5E-9D7A7352B40F}"/>
    <cellStyle name="Comma 13 3 2 3" xfId="112" xr:uid="{B4CCAE3E-BE46-460C-B357-334B9D0D60AA}"/>
    <cellStyle name="Comma 13 3 2 3 10" xfId="11223" xr:uid="{4875BB6E-F6F0-418A-9FA3-44D3EBDBB423}"/>
    <cellStyle name="Comma 13 3 2 3 11" xfId="11406" xr:uid="{412D6F50-6749-4D16-BB49-C9BE0F121024}"/>
    <cellStyle name="Comma 13 3 2 3 12" xfId="13659" xr:uid="{6B69861A-E46D-4209-8DBA-A364386D3374}"/>
    <cellStyle name="Comma 13 3 2 3 13" xfId="15912" xr:uid="{BA7E54A4-5226-4A28-824B-0A75040136E4}"/>
    <cellStyle name="Comma 13 3 2 3 2" xfId="1249" xr:uid="{071C2B21-5933-4C4B-83B5-49AF64E81705}"/>
    <cellStyle name="Comma 13 3 2 3 2 2" xfId="12533" xr:uid="{536AA3D4-4CC1-44C7-921D-5323D837585B}"/>
    <cellStyle name="Comma 13 3 2 3 2 3" xfId="14786" xr:uid="{25F3B10E-A8E1-4642-B7AA-24511C5A67C8}"/>
    <cellStyle name="Comma 13 3 2 3 2 4" xfId="17039" xr:uid="{82F1D305-76B8-4C05-A7F2-950D048E7302}"/>
    <cellStyle name="Comma 13 3 2 3 3" xfId="2375" xr:uid="{F5EA1138-2051-4ECB-BC25-78D052BA17C9}"/>
    <cellStyle name="Comma 13 3 2 3 4" xfId="3501" xr:uid="{2F1D8637-EF97-4176-88FE-1D6F8915E59C}"/>
    <cellStyle name="Comma 13 3 2 3 5" xfId="4627" xr:uid="{75744DE1-CFBD-462B-80F5-81B03FFE44AC}"/>
    <cellStyle name="Comma 13 3 2 3 6" xfId="5754" xr:uid="{F719F161-229E-4430-B439-E14D8EB849D9}"/>
    <cellStyle name="Comma 13 3 2 3 7" xfId="6881" xr:uid="{7A9B6F5E-A3EE-4C49-A0A9-D04D9E0F775E}"/>
    <cellStyle name="Comma 13 3 2 3 8" xfId="8959" xr:uid="{1874CFC2-8664-4543-AA3F-925E80E02558}"/>
    <cellStyle name="Comma 13 3 2 3 9" xfId="10096" xr:uid="{1FBE5945-602B-4C0F-AC93-56F66D84124E}"/>
    <cellStyle name="Comma 13 3 2 4" xfId="1247" xr:uid="{2E21233D-7BF7-4B1C-9544-61A4C8E5317E}"/>
    <cellStyle name="Comma 13 3 2 4 2" xfId="12531" xr:uid="{D7F0FF5A-6F42-45DA-9F26-647CE2DA4A40}"/>
    <cellStyle name="Comma 13 3 2 4 3" xfId="14784" xr:uid="{1A61D4E5-0145-4D2B-8F27-0B1E4C30EF58}"/>
    <cellStyle name="Comma 13 3 2 4 4" xfId="17037" xr:uid="{038F1A26-9133-46F4-A7FA-69F5A088D53B}"/>
    <cellStyle name="Comma 13 3 2 5" xfId="2373" xr:uid="{926FE826-B856-4186-88FC-8DAE6665269A}"/>
    <cellStyle name="Comma 13 3 2 6" xfId="3499" xr:uid="{4727A928-EB8F-4619-B44C-CD1601BC5FCA}"/>
    <cellStyle name="Comma 13 3 2 7" xfId="4625" xr:uid="{F0E533E6-5C23-4A40-A751-CA3723C4F99A}"/>
    <cellStyle name="Comma 13 3 2 8" xfId="5752" xr:uid="{71BFA3E2-7E46-49A4-8F21-AA57ED706B94}"/>
    <cellStyle name="Comma 13 3 2 9" xfId="6879" xr:uid="{E549413F-5158-4555-BBD6-453FCFBBCE6F}"/>
    <cellStyle name="Comma 13 3 3" xfId="113" xr:uid="{E6B37F94-E68A-4A80-B8FE-E0DBE41D7DEE}"/>
    <cellStyle name="Comma 13 3 3 10" xfId="11222" xr:uid="{E9604B1F-E471-494E-9C23-6F6C3C9E3160}"/>
    <cellStyle name="Comma 13 3 3 11" xfId="11407" xr:uid="{AC41E4DA-95AF-4FC3-BE30-E914CB79B7E8}"/>
    <cellStyle name="Comma 13 3 3 12" xfId="13660" xr:uid="{E5CDE6F5-2954-43D3-A919-BF1896A71A65}"/>
    <cellStyle name="Comma 13 3 3 13" xfId="15913" xr:uid="{A80A8C12-ABB7-4F11-95F4-B7E518B35C5C}"/>
    <cellStyle name="Comma 13 3 3 2" xfId="1250" xr:uid="{7FA8A6D0-0CF9-4BA9-B42B-3ADAA3473EEC}"/>
    <cellStyle name="Comma 13 3 3 2 2" xfId="12534" xr:uid="{BEA381ED-FE4B-4D29-ABCD-43E7412DD83C}"/>
    <cellStyle name="Comma 13 3 3 2 3" xfId="14787" xr:uid="{A393D77F-C514-434A-BDD7-8CA52B8A8A88}"/>
    <cellStyle name="Comma 13 3 3 2 4" xfId="17040" xr:uid="{06651B85-F45F-4CF0-9613-E405680573A0}"/>
    <cellStyle name="Comma 13 3 3 3" xfId="2376" xr:uid="{77072847-5ED0-4BAD-86B9-43032AAF6A91}"/>
    <cellStyle name="Comma 13 3 3 4" xfId="3502" xr:uid="{9DBCD1DB-BBFB-4B32-A7F8-BED934C85C22}"/>
    <cellStyle name="Comma 13 3 3 5" xfId="4628" xr:uid="{1845A83C-AA2A-434D-A158-AC10C80F5FD8}"/>
    <cellStyle name="Comma 13 3 3 6" xfId="5755" xr:uid="{9159D358-F9B9-47B4-9ACA-796F87C371B7}"/>
    <cellStyle name="Comma 13 3 3 7" xfId="6882" xr:uid="{38D7456E-FAED-4444-BF1C-47972FA9CC7E}"/>
    <cellStyle name="Comma 13 3 3 8" xfId="8958" xr:uid="{37430700-15D4-4757-9ED8-D6A6B2EA4A4C}"/>
    <cellStyle name="Comma 13 3 3 9" xfId="10095" xr:uid="{3D33352D-8D21-41A5-A026-F11352DB5FFE}"/>
    <cellStyle name="Comma 13 3 4" xfId="114" xr:uid="{A5F3CCA1-C03F-43DB-9A17-E802DA62342D}"/>
    <cellStyle name="Comma 13 3 4 10" xfId="11221" xr:uid="{85B5473B-1B02-4FDE-B660-C16BE13CCD14}"/>
    <cellStyle name="Comma 13 3 4 11" xfId="11408" xr:uid="{59E039E3-D77E-499C-A51E-06205E85D8D4}"/>
    <cellStyle name="Comma 13 3 4 12" xfId="13661" xr:uid="{3CD243EF-2B86-4F9B-AA62-F746422735AA}"/>
    <cellStyle name="Comma 13 3 4 13" xfId="15914" xr:uid="{7FB84450-B414-4894-B2ED-EB448EC3FEA9}"/>
    <cellStyle name="Comma 13 3 4 2" xfId="1251" xr:uid="{23160F8D-FA3A-46FE-8B4F-B800FD175107}"/>
    <cellStyle name="Comma 13 3 4 2 2" xfId="12535" xr:uid="{BB91F315-B69D-40CC-8F25-14490E576BD7}"/>
    <cellStyle name="Comma 13 3 4 2 3" xfId="14788" xr:uid="{3F84C02A-6105-480C-9C1F-63B5AF3E840B}"/>
    <cellStyle name="Comma 13 3 4 2 4" xfId="17041" xr:uid="{452B0620-7A0C-4EC3-B818-C7CD3FF010C9}"/>
    <cellStyle name="Comma 13 3 4 3" xfId="2377" xr:uid="{166D0FE4-A424-4208-96E7-26EB46A7909E}"/>
    <cellStyle name="Comma 13 3 4 4" xfId="3503" xr:uid="{32D9CB80-F100-4EC0-BC9C-A46B4DE1B00C}"/>
    <cellStyle name="Comma 13 3 4 5" xfId="4629" xr:uid="{3D437D8A-9758-410A-B0B8-E3DEC17DC03C}"/>
    <cellStyle name="Comma 13 3 4 6" xfId="5756" xr:uid="{E41D4D39-182D-4CE1-8EF8-ACABC8F5793C}"/>
    <cellStyle name="Comma 13 3 4 7" xfId="6883" xr:uid="{884633FB-EAB1-483E-B3AA-20EA49C0FB03}"/>
    <cellStyle name="Comma 13 3 4 8" xfId="8957" xr:uid="{06BCABF7-A71A-4AE3-AB0D-E86338282E45}"/>
    <cellStyle name="Comma 13 3 4 9" xfId="10094" xr:uid="{C42A474A-6E60-4F40-BDB3-5802499F1B6C}"/>
    <cellStyle name="Comma 13 3 5" xfId="1246" xr:uid="{AA74D758-359D-48D9-BFFB-8CD15E51DDCC}"/>
    <cellStyle name="Comma 13 3 5 2" xfId="12530" xr:uid="{FBEC2700-7B1E-48A1-A66B-D23277AEF6AA}"/>
    <cellStyle name="Comma 13 3 5 3" xfId="14783" xr:uid="{25C4B711-6FAD-4416-8E2B-91E6AAE39FFB}"/>
    <cellStyle name="Comma 13 3 5 4" xfId="17036" xr:uid="{13601F6D-380F-4D4B-81D1-37B457DADD04}"/>
    <cellStyle name="Comma 13 3 6" xfId="2372" xr:uid="{644E14F3-E96B-474B-B645-9DAAECEB0D68}"/>
    <cellStyle name="Comma 13 3 7" xfId="3498" xr:uid="{58893ABC-79B0-4D20-80D8-55E177658A90}"/>
    <cellStyle name="Comma 13 3 8" xfId="4624" xr:uid="{182D673A-E542-40C7-85CC-5607D0475154}"/>
    <cellStyle name="Comma 13 3 9" xfId="5751" xr:uid="{09B09313-3D88-479E-BEBC-58556F53D9DF}"/>
    <cellStyle name="Comma 13 4" xfId="115" xr:uid="{44BB9988-DF71-42CA-A7FE-0485ABF1B48A}"/>
    <cellStyle name="Comma 13 4 10" xfId="8956" xr:uid="{8EA66158-9200-41CF-9717-E2B24A44253B}"/>
    <cellStyle name="Comma 13 4 11" xfId="10093" xr:uid="{3B55AB0A-C087-4043-9D17-FD2A8C973410}"/>
    <cellStyle name="Comma 13 4 12" xfId="11220" xr:uid="{6C557EB5-63CF-4681-9624-AB813982D9B9}"/>
    <cellStyle name="Comma 13 4 13" xfId="11409" xr:uid="{726D831F-F8BC-4202-B7A5-366CF63FFCB2}"/>
    <cellStyle name="Comma 13 4 14" xfId="13662" xr:uid="{00F88880-9F09-4D85-B371-9B0D6BD3BDEF}"/>
    <cellStyle name="Comma 13 4 15" xfId="15915" xr:uid="{F2C2081F-A68B-4919-9133-1B9E130BEE81}"/>
    <cellStyle name="Comma 13 4 2" xfId="116" xr:uid="{CFEC39BB-989D-41AB-B8A1-1FE9123E2C1C}"/>
    <cellStyle name="Comma 13 4 2 10" xfId="11219" xr:uid="{9E670AFE-57B0-4BAE-934A-5209335CFF22}"/>
    <cellStyle name="Comma 13 4 2 11" xfId="11410" xr:uid="{F5F00B42-8267-4E6D-9E7D-84F2F407F115}"/>
    <cellStyle name="Comma 13 4 2 12" xfId="13663" xr:uid="{22D158A6-4DB1-4DBE-8BB3-C583B6E7BFE5}"/>
    <cellStyle name="Comma 13 4 2 13" xfId="15916" xr:uid="{707CE4C4-07D3-4A9E-8270-5C92B6D01D9F}"/>
    <cellStyle name="Comma 13 4 2 2" xfId="1253" xr:uid="{928A4CEC-6907-42DA-8DA7-7CCD3898AC88}"/>
    <cellStyle name="Comma 13 4 2 2 2" xfId="12537" xr:uid="{91970707-0F6A-4EA0-8EF0-6BF35FAD864A}"/>
    <cellStyle name="Comma 13 4 2 2 3" xfId="14790" xr:uid="{16056452-1B0F-4536-8BF9-688D522AA886}"/>
    <cellStyle name="Comma 13 4 2 2 4" xfId="17043" xr:uid="{2CEF1405-54C8-4A8A-B39A-29F0CB84DC45}"/>
    <cellStyle name="Comma 13 4 2 3" xfId="2379" xr:uid="{812E1BF5-FA33-4784-A875-BFEDA929E45A}"/>
    <cellStyle name="Comma 13 4 2 4" xfId="3505" xr:uid="{5960D2F0-F15C-4AA8-8AF7-47A20E4CF4C3}"/>
    <cellStyle name="Comma 13 4 2 5" xfId="4631" xr:uid="{62EDDC4F-ADCC-4F1B-A266-2D7F7C312B96}"/>
    <cellStyle name="Comma 13 4 2 6" xfId="5758" xr:uid="{DED96269-0B22-4069-A0D6-E08E723F5A0A}"/>
    <cellStyle name="Comma 13 4 2 7" xfId="6885" xr:uid="{CF2BB392-C79D-4EBC-8B0E-D934E784642E}"/>
    <cellStyle name="Comma 13 4 2 8" xfId="8955" xr:uid="{DFD9DE7C-5837-4272-95B9-806B257A45D7}"/>
    <cellStyle name="Comma 13 4 2 9" xfId="10092" xr:uid="{39D49312-AE31-4A88-9738-AC88CBC3F184}"/>
    <cellStyle name="Comma 13 4 3" xfId="117" xr:uid="{08D6ED8E-463A-4F3D-B3D0-A6F90F2FE0EA}"/>
    <cellStyle name="Comma 13 4 3 10" xfId="11218" xr:uid="{B843AE02-B9EB-486A-B9C9-C6D6000F4435}"/>
    <cellStyle name="Comma 13 4 3 11" xfId="11411" xr:uid="{A98DC8C0-8136-4BCD-83CC-A5F63E9FCE66}"/>
    <cellStyle name="Comma 13 4 3 12" xfId="13664" xr:uid="{B20F1A39-A240-4DEE-9082-AC2CC01FF65E}"/>
    <cellStyle name="Comma 13 4 3 13" xfId="15917" xr:uid="{F6E47E1C-02ED-4C51-9363-0433CF2089B0}"/>
    <cellStyle name="Comma 13 4 3 2" xfId="1254" xr:uid="{7E0100B1-3988-433A-85EB-E48D8D6A4A7E}"/>
    <cellStyle name="Comma 13 4 3 2 2" xfId="12538" xr:uid="{8397CECF-E1E5-465C-A364-6FADFC5D9E0F}"/>
    <cellStyle name="Comma 13 4 3 2 3" xfId="14791" xr:uid="{C6B7825A-64D9-45E7-9BEA-D514E5D59E2F}"/>
    <cellStyle name="Comma 13 4 3 2 4" xfId="17044" xr:uid="{49417EB1-E8A6-421D-B249-57EF702C69D3}"/>
    <cellStyle name="Comma 13 4 3 3" xfId="2380" xr:uid="{7653F3AD-0F0C-4975-9705-8395AF2E851C}"/>
    <cellStyle name="Comma 13 4 3 4" xfId="3506" xr:uid="{58916E61-2243-439E-871F-C87181646281}"/>
    <cellStyle name="Comma 13 4 3 5" xfId="4632" xr:uid="{91E0A0DD-C671-4162-A823-F37B7F831CC7}"/>
    <cellStyle name="Comma 13 4 3 6" xfId="5759" xr:uid="{FB77EE1A-67E5-471F-9DCA-9BEACFE9533C}"/>
    <cellStyle name="Comma 13 4 3 7" xfId="6886" xr:uid="{C8A44641-7C25-4435-949B-96209C5245E2}"/>
    <cellStyle name="Comma 13 4 3 8" xfId="8954" xr:uid="{DB8427F5-48EF-497D-B93C-D5C7F8B422D1}"/>
    <cellStyle name="Comma 13 4 3 9" xfId="10091" xr:uid="{96AC7F4A-C5DC-41E1-8BA8-0C7546C28527}"/>
    <cellStyle name="Comma 13 4 4" xfId="1252" xr:uid="{B3402C8E-51CE-4E9E-AEFA-182592664315}"/>
    <cellStyle name="Comma 13 4 4 2" xfId="12536" xr:uid="{4C66A05C-E221-4C7C-8939-31D7A6A2C18F}"/>
    <cellStyle name="Comma 13 4 4 3" xfId="14789" xr:uid="{FD9568C9-BE82-44E8-A249-D2861F650EA7}"/>
    <cellStyle name="Comma 13 4 4 4" xfId="17042" xr:uid="{2BA6986F-DFD7-43C0-A750-785E869506FA}"/>
    <cellStyle name="Comma 13 4 5" xfId="2378" xr:uid="{7F7CD6FB-AF81-4EC6-9115-C1AB0436B665}"/>
    <cellStyle name="Comma 13 4 6" xfId="3504" xr:uid="{274CC4A4-721B-49C9-B223-0B8D7000D862}"/>
    <cellStyle name="Comma 13 4 7" xfId="4630" xr:uid="{5D83DFD6-9B3F-4034-BAD6-3C9A4D5E95BE}"/>
    <cellStyle name="Comma 13 4 8" xfId="5757" xr:uid="{7F59D2BE-78DD-42C5-9FB5-717C81FFB19A}"/>
    <cellStyle name="Comma 13 4 9" xfId="6884" xr:uid="{EFE40399-B285-41CB-B008-3CBD8B25F7C1}"/>
    <cellStyle name="Comma 13 5" xfId="118" xr:uid="{B9C1B479-B2C0-4445-AEC9-AF7D671808E8}"/>
    <cellStyle name="Comma 13 5 10" xfId="11217" xr:uid="{32F82B0C-DFEE-4D6E-9AB8-6AC830742D72}"/>
    <cellStyle name="Comma 13 5 11" xfId="11412" xr:uid="{898DFFE4-85D0-4FDE-8225-7A4E0F54F782}"/>
    <cellStyle name="Comma 13 5 12" xfId="13665" xr:uid="{54689BEC-F3B9-4AC6-A97F-E570532DDE5A}"/>
    <cellStyle name="Comma 13 5 13" xfId="15918" xr:uid="{1D596408-AA68-4A44-971B-49143D5A3B1C}"/>
    <cellStyle name="Comma 13 5 2" xfId="1255" xr:uid="{955931B0-5412-4020-99D0-386506F0BA6C}"/>
    <cellStyle name="Comma 13 5 2 2" xfId="12539" xr:uid="{D2CF36F4-19F9-4685-B34A-85E487E80B7D}"/>
    <cellStyle name="Comma 13 5 2 3" xfId="14792" xr:uid="{95AAA8E9-EF30-4513-8C1D-A39989734F23}"/>
    <cellStyle name="Comma 13 5 2 4" xfId="17045" xr:uid="{4F062974-55E5-481F-A25A-101E80706605}"/>
    <cellStyle name="Comma 13 5 3" xfId="2381" xr:uid="{7AEDC1E7-0210-431E-B17B-ED0D288079AB}"/>
    <cellStyle name="Comma 13 5 4" xfId="3507" xr:uid="{8B22B6F7-886C-4D66-B264-5617D8993CAB}"/>
    <cellStyle name="Comma 13 5 5" xfId="4633" xr:uid="{DD7270F8-5211-4C1C-92FD-16A080E92F1D}"/>
    <cellStyle name="Comma 13 5 6" xfId="5760" xr:uid="{6E56B691-8490-4BF4-8664-ABDB9E515EF6}"/>
    <cellStyle name="Comma 13 5 7" xfId="6887" xr:uid="{3FBEE906-5AF9-4A12-B76F-921A2A7DA061}"/>
    <cellStyle name="Comma 13 5 8" xfId="8953" xr:uid="{1371C8C3-9043-4783-BC6D-DD295A0DFB4D}"/>
    <cellStyle name="Comma 13 5 9" xfId="10090" xr:uid="{2B11761B-BCE6-4B96-A1AB-B293985C5652}"/>
    <cellStyle name="Comma 13 6" xfId="119" xr:uid="{205CBFEB-F04C-45DD-8BB4-FF26E8E83A0D}"/>
    <cellStyle name="Comma 13 6 10" xfId="11216" xr:uid="{5C7737F3-1916-4A5D-9925-460D7BCBC8D3}"/>
    <cellStyle name="Comma 13 6 11" xfId="11413" xr:uid="{4EC31B75-6A7D-4361-AA8B-7FAC580AAF64}"/>
    <cellStyle name="Comma 13 6 12" xfId="13666" xr:uid="{62EBD462-5A8C-41C2-9E87-BE0A0FDBDF24}"/>
    <cellStyle name="Comma 13 6 13" xfId="15919" xr:uid="{34B5BE12-90FA-4D43-A600-D4A06621A1F8}"/>
    <cellStyle name="Comma 13 6 2" xfId="1256" xr:uid="{F2BCD307-7450-4CE0-B87A-8B4DCA948CDC}"/>
    <cellStyle name="Comma 13 6 2 2" xfId="12540" xr:uid="{0FC122EF-319C-4A0C-8119-0021888C4D3F}"/>
    <cellStyle name="Comma 13 6 2 3" xfId="14793" xr:uid="{7E040E36-4F13-4665-85CA-0862F0009082}"/>
    <cellStyle name="Comma 13 6 2 4" xfId="17046" xr:uid="{DED6B2BC-75DD-4D40-9978-12F18DA7168D}"/>
    <cellStyle name="Comma 13 6 3" xfId="2382" xr:uid="{CB6F05A0-7B53-4D9B-8B43-F90514FD8B17}"/>
    <cellStyle name="Comma 13 6 4" xfId="3508" xr:uid="{48EC55AF-8965-4D12-8AD6-DD65E1294BF8}"/>
    <cellStyle name="Comma 13 6 5" xfId="4634" xr:uid="{0931DB2F-DCFD-4DE4-BE70-8ED6B28C50BF}"/>
    <cellStyle name="Comma 13 6 6" xfId="5761" xr:uid="{F3A6FC07-6442-45AC-8CEC-B6C8F4EB5407}"/>
    <cellStyle name="Comma 13 6 7" xfId="6888" xr:uid="{4A18AD26-7B91-457F-9299-0C3EF3AE347A}"/>
    <cellStyle name="Comma 13 6 8" xfId="8952" xr:uid="{20D06A30-07A8-4F2B-A43C-CF73718DD244}"/>
    <cellStyle name="Comma 13 6 9" xfId="10089" xr:uid="{9C39BAE3-7D59-4547-901A-B5709161BDD5}"/>
    <cellStyle name="Comma 13 7" xfId="1233" xr:uid="{CD803EC4-B4B2-47C6-8FB5-E80CE45836FD}"/>
    <cellStyle name="Comma 13 7 2" xfId="12517" xr:uid="{B8FBD233-2AF0-4201-879B-2007FFA1790B}"/>
    <cellStyle name="Comma 13 7 3" xfId="14770" xr:uid="{F5E11170-390C-4D5E-9904-110AC1037778}"/>
    <cellStyle name="Comma 13 7 4" xfId="17023" xr:uid="{9EA37FAE-318D-4CE0-B29D-1AE6625CEC1D}"/>
    <cellStyle name="Comma 13 8" xfId="2359" xr:uid="{35502361-290C-4D36-B49B-6A7AD436D116}"/>
    <cellStyle name="Comma 13 9" xfId="3485" xr:uid="{3E528A23-3A7F-4654-A327-C38D9450661D}"/>
    <cellStyle name="Comma 14" xfId="120" xr:uid="{F7D7C6EA-D799-4E8B-96B2-3EF8065F9F9E}"/>
    <cellStyle name="Comma 14 10" xfId="6889" xr:uid="{33A30453-70B0-4216-8062-2ABB64514D6A}"/>
    <cellStyle name="Comma 14 11" xfId="8951" xr:uid="{28856404-39F1-4A1F-814C-54C383730907}"/>
    <cellStyle name="Comma 14 12" xfId="10088" xr:uid="{E950FA30-999F-4102-B47A-27A5A88193F2}"/>
    <cellStyle name="Comma 14 13" xfId="11215" xr:uid="{F14C00BF-B72B-4FCB-B6B9-E946E6F66B38}"/>
    <cellStyle name="Comma 14 14" xfId="11414" xr:uid="{E1BC7C7E-E4BC-4178-9957-DC55CC37B4E5}"/>
    <cellStyle name="Comma 14 15" xfId="13667" xr:uid="{1AD0722C-BD6D-4CD2-96FA-92C47F2B4AB3}"/>
    <cellStyle name="Comma 14 16" xfId="15920" xr:uid="{29073C3C-BB2F-4C36-85FF-46FC6FDC70BD}"/>
    <cellStyle name="Comma 14 2" xfId="121" xr:uid="{D6A1304E-685F-4942-827D-33724EB2FBAE}"/>
    <cellStyle name="Comma 14 2 10" xfId="8950" xr:uid="{9B24C45C-0AC6-48DC-A9D2-13C9DFA0C505}"/>
    <cellStyle name="Comma 14 2 11" xfId="10087" xr:uid="{DADE51E4-8BA3-48FE-B481-14646DBE441B}"/>
    <cellStyle name="Comma 14 2 12" xfId="11214" xr:uid="{ACCDC010-E401-4FF5-A32A-00C9BFB72018}"/>
    <cellStyle name="Comma 14 2 13" xfId="11415" xr:uid="{F5D1726C-8316-4E34-96CB-65AC643B8231}"/>
    <cellStyle name="Comma 14 2 14" xfId="13668" xr:uid="{23C65016-76FF-46F6-A54A-137A3622855F}"/>
    <cellStyle name="Comma 14 2 15" xfId="15921" xr:uid="{11CB5705-F2F7-4611-8E60-DE1172CF825E}"/>
    <cellStyle name="Comma 14 2 2" xfId="122" xr:uid="{4CF50F9E-9518-456E-9761-CEB9BEEDF501}"/>
    <cellStyle name="Comma 14 2 2 10" xfId="11213" xr:uid="{B1B68A0E-2D64-45FB-88D6-F1E17FDC0279}"/>
    <cellStyle name="Comma 14 2 2 11" xfId="11416" xr:uid="{18304EDD-6E40-4AAE-8581-2E65210B2FF2}"/>
    <cellStyle name="Comma 14 2 2 12" xfId="13669" xr:uid="{AEF09A58-D6A6-495E-B1E8-623E2098A6B7}"/>
    <cellStyle name="Comma 14 2 2 13" xfId="15922" xr:uid="{1ACBF65C-DD58-419B-8458-57678B76A51C}"/>
    <cellStyle name="Comma 14 2 2 2" xfId="1259" xr:uid="{3AFE4F59-175E-42B7-A865-98138157A4B6}"/>
    <cellStyle name="Comma 14 2 2 2 2" xfId="12543" xr:uid="{24FB32C2-9EBB-45FE-B5C6-21AA5DF871BA}"/>
    <cellStyle name="Comma 14 2 2 2 3" xfId="14796" xr:uid="{58C573CC-FFC2-4215-BC9F-2FFC90F6BB79}"/>
    <cellStyle name="Comma 14 2 2 2 4" xfId="17049" xr:uid="{984406B9-FD02-4CE9-85A4-A48C7E28AB47}"/>
    <cellStyle name="Comma 14 2 2 3" xfId="2385" xr:uid="{44B04C5C-40E4-43A3-B2F8-AE549C74CD7C}"/>
    <cellStyle name="Comma 14 2 2 4" xfId="3511" xr:uid="{9A4CFA86-DEE7-4446-8D27-EF908281A90D}"/>
    <cellStyle name="Comma 14 2 2 5" xfId="4637" xr:uid="{3618E5E0-37E4-401C-B137-B9454731EBD5}"/>
    <cellStyle name="Comma 14 2 2 6" xfId="5764" xr:uid="{07E77437-EE55-4366-96ED-113012C9A9C3}"/>
    <cellStyle name="Comma 14 2 2 7" xfId="6891" xr:uid="{13E84254-759B-4A25-9DDE-101F9BC1B6D1}"/>
    <cellStyle name="Comma 14 2 2 8" xfId="8949" xr:uid="{29DEBBF0-F412-469F-9D43-C931B3B2ADDA}"/>
    <cellStyle name="Comma 14 2 2 9" xfId="10086" xr:uid="{1C30870C-9764-4E2C-A20D-BB5467C699D3}"/>
    <cellStyle name="Comma 14 2 3" xfId="123" xr:uid="{9FD27ECC-3E6A-4F1E-8F45-346698CB67B2}"/>
    <cellStyle name="Comma 14 2 3 10" xfId="11212" xr:uid="{7DBEF88F-E5D5-449C-A703-3C8754DC3E07}"/>
    <cellStyle name="Comma 14 2 3 11" xfId="11417" xr:uid="{2D4444DC-CB4B-4690-855C-9322DA8A7FB3}"/>
    <cellStyle name="Comma 14 2 3 12" xfId="13670" xr:uid="{B2C9D32C-255B-47B1-AFD6-C44F3BE13A14}"/>
    <cellStyle name="Comma 14 2 3 13" xfId="15923" xr:uid="{4F349CB0-88F1-42A9-98F2-868FAC90272F}"/>
    <cellStyle name="Comma 14 2 3 2" xfId="1260" xr:uid="{6715E32B-B57B-4840-BCEF-9D406EEFA932}"/>
    <cellStyle name="Comma 14 2 3 2 2" xfId="12544" xr:uid="{791B1FA8-5261-4B68-8BBA-445134ACDB98}"/>
    <cellStyle name="Comma 14 2 3 2 3" xfId="14797" xr:uid="{E4C7AC4C-13AB-40B6-AE91-48AB83890F84}"/>
    <cellStyle name="Comma 14 2 3 2 4" xfId="17050" xr:uid="{EDC7549F-994E-4BCB-9825-59623F3A25E0}"/>
    <cellStyle name="Comma 14 2 3 3" xfId="2386" xr:uid="{008B51F5-22AE-4D87-9DA8-48B111690D27}"/>
    <cellStyle name="Comma 14 2 3 4" xfId="3512" xr:uid="{62DA2A63-7CD8-49D7-B799-238E14DF9B57}"/>
    <cellStyle name="Comma 14 2 3 5" xfId="4638" xr:uid="{D4580D54-C899-40CB-852E-BFE4C789FDD2}"/>
    <cellStyle name="Comma 14 2 3 6" xfId="5765" xr:uid="{414E1D3B-32C2-4CBE-B24B-5E3EA6343B5C}"/>
    <cellStyle name="Comma 14 2 3 7" xfId="6892" xr:uid="{583B483C-4859-4A08-BE0D-490288B041F8}"/>
    <cellStyle name="Comma 14 2 3 8" xfId="8948" xr:uid="{F39C4A04-B4E8-4440-B844-A6AE51336776}"/>
    <cellStyle name="Comma 14 2 3 9" xfId="10085" xr:uid="{DB33EBC6-6A0A-4DCA-9FA6-A87E1F77BC47}"/>
    <cellStyle name="Comma 14 2 4" xfId="1258" xr:uid="{3408DDFF-FCD9-4564-9303-589751BD83CB}"/>
    <cellStyle name="Comma 14 2 4 2" xfId="12542" xr:uid="{295FF921-CE6D-4B94-AD0D-4BDF345A0C74}"/>
    <cellStyle name="Comma 14 2 4 3" xfId="14795" xr:uid="{7E9E9CA6-326F-47FF-954B-0CCC92CD6697}"/>
    <cellStyle name="Comma 14 2 4 4" xfId="17048" xr:uid="{C1306607-B15D-493E-A5AB-F22F1119C5BC}"/>
    <cellStyle name="Comma 14 2 5" xfId="2384" xr:uid="{B1FEC9DB-9122-40A2-B453-A6F72D2EA104}"/>
    <cellStyle name="Comma 14 2 6" xfId="3510" xr:uid="{7E2B4CEC-87BD-41D9-A69D-16BA9A700CC6}"/>
    <cellStyle name="Comma 14 2 7" xfId="4636" xr:uid="{85D3576D-C873-4B85-AFE1-80345F490D00}"/>
    <cellStyle name="Comma 14 2 8" xfId="5763" xr:uid="{BBFC058A-4226-409F-8300-29F22940B9A7}"/>
    <cellStyle name="Comma 14 2 9" xfId="6890" xr:uid="{D6CE88B8-DC20-4DA2-8C78-8DC7EE1CC0AD}"/>
    <cellStyle name="Comma 14 3" xfId="124" xr:uid="{9D8D7B75-A2D1-4FDF-B111-55919051D26F}"/>
    <cellStyle name="Comma 14 3 10" xfId="11211" xr:uid="{A7061139-4886-4199-A8F5-600975D3329B}"/>
    <cellStyle name="Comma 14 3 11" xfId="11418" xr:uid="{271D8CB5-FF60-494B-8CF0-650178B1B3B0}"/>
    <cellStyle name="Comma 14 3 12" xfId="13671" xr:uid="{CE95BE8D-3C33-4D9D-8609-5017344EAD2D}"/>
    <cellStyle name="Comma 14 3 13" xfId="15924" xr:uid="{CF968FBD-843C-4AC8-9EEF-6F1B2D5EA889}"/>
    <cellStyle name="Comma 14 3 2" xfId="1261" xr:uid="{36AE6EBB-785C-4661-A0F7-096630BE7461}"/>
    <cellStyle name="Comma 14 3 2 2" xfId="12545" xr:uid="{0BAED126-9F24-422A-B956-BA3A4FD4CD6A}"/>
    <cellStyle name="Comma 14 3 2 3" xfId="14798" xr:uid="{1AB3802F-832F-4C4D-B65D-9DB2E5171BD7}"/>
    <cellStyle name="Comma 14 3 2 4" xfId="17051" xr:uid="{2534210C-4C80-4025-82FC-5D8BC62C954C}"/>
    <cellStyle name="Comma 14 3 3" xfId="2387" xr:uid="{0533E43C-6E73-4FAF-9F55-95C730F4E489}"/>
    <cellStyle name="Comma 14 3 4" xfId="3513" xr:uid="{7001861D-7B5A-42EF-9881-17E56CC1AC59}"/>
    <cellStyle name="Comma 14 3 5" xfId="4639" xr:uid="{ED5B7062-19DD-4ECD-80A9-00867EB6F9B1}"/>
    <cellStyle name="Comma 14 3 6" xfId="5766" xr:uid="{22000CCB-E845-4729-9202-7803681F151E}"/>
    <cellStyle name="Comma 14 3 7" xfId="6893" xr:uid="{674004A6-8F2D-46E7-8182-9085E4AC0157}"/>
    <cellStyle name="Comma 14 3 8" xfId="8947" xr:uid="{CF5943E0-37D2-492F-BB5E-9112DF2CDBD2}"/>
    <cellStyle name="Comma 14 3 9" xfId="10084" xr:uid="{F8A98568-A98E-4C76-B499-000804F3AA7C}"/>
    <cellStyle name="Comma 14 4" xfId="125" xr:uid="{5D481A90-18AB-461A-BB3E-2CF8BE2C3C7E}"/>
    <cellStyle name="Comma 14 4 10" xfId="11210" xr:uid="{323DC00A-CD3C-42C6-BD48-761A6917A798}"/>
    <cellStyle name="Comma 14 4 11" xfId="11419" xr:uid="{5302607F-A638-4E15-AD89-A05BFA22A6A2}"/>
    <cellStyle name="Comma 14 4 12" xfId="13672" xr:uid="{22524C09-3403-4D41-84E4-4A357515E158}"/>
    <cellStyle name="Comma 14 4 13" xfId="15925" xr:uid="{F1A5BDD6-1E18-446D-938C-27B9494F321E}"/>
    <cellStyle name="Comma 14 4 2" xfId="1262" xr:uid="{EA6FF17C-3999-45C0-BD87-F5D46DD2CE2A}"/>
    <cellStyle name="Comma 14 4 2 2" xfId="12546" xr:uid="{34804987-609C-4D91-8DD3-7802BFB28164}"/>
    <cellStyle name="Comma 14 4 2 3" xfId="14799" xr:uid="{5BB80D8F-55C7-48D4-B9EA-2ED6E9219100}"/>
    <cellStyle name="Comma 14 4 2 4" xfId="17052" xr:uid="{8719AC58-F372-47D2-A501-E159E6EE7225}"/>
    <cellStyle name="Comma 14 4 3" xfId="2388" xr:uid="{2826C741-0CBD-444A-B77E-16C1D00FD576}"/>
    <cellStyle name="Comma 14 4 4" xfId="3514" xr:uid="{A8B354E4-1737-4741-A869-D4FC14EF7E00}"/>
    <cellStyle name="Comma 14 4 5" xfId="4640" xr:uid="{B688CB4D-8F3D-482F-A0B2-01E6E6FC923B}"/>
    <cellStyle name="Comma 14 4 6" xfId="5767" xr:uid="{88725010-2228-4F69-AFC0-55CF3689C635}"/>
    <cellStyle name="Comma 14 4 7" xfId="6894" xr:uid="{BB4B074A-2F91-46B1-A032-CC9890B297E9}"/>
    <cellStyle name="Comma 14 4 8" xfId="8946" xr:uid="{90FB96F6-EB1E-47AA-893B-17F5D76400F3}"/>
    <cellStyle name="Comma 14 4 9" xfId="10083" xr:uid="{A815B17D-0E59-462D-82D8-CA74A413E857}"/>
    <cellStyle name="Comma 14 5" xfId="1257" xr:uid="{285694CB-37D9-4626-B406-5F55B066FF21}"/>
    <cellStyle name="Comma 14 5 2" xfId="12541" xr:uid="{1D799934-F4AD-4209-9FEA-0C21AF293EE9}"/>
    <cellStyle name="Comma 14 5 3" xfId="14794" xr:uid="{0E8B81E1-4519-4FE1-AE5D-9BA63DBAB6B8}"/>
    <cellStyle name="Comma 14 5 4" xfId="17047" xr:uid="{A830F78E-3A2B-4C27-A951-99D9FBA9F275}"/>
    <cellStyle name="Comma 14 6" xfId="2383" xr:uid="{23C34ECD-F824-4772-8ECC-35FEA21439CF}"/>
    <cellStyle name="Comma 14 7" xfId="3509" xr:uid="{66E45832-C1ED-47A1-9210-A23EC88265F7}"/>
    <cellStyle name="Comma 14 8" xfId="4635" xr:uid="{CC2B7A33-6985-4F14-B58E-A098A0761AFF}"/>
    <cellStyle name="Comma 14 9" xfId="5762" xr:uid="{BB092A10-8745-412E-9AD2-1B88545CC66E}"/>
    <cellStyle name="Comma 15" xfId="126" xr:uid="{89368807-246D-4A31-8E54-9F4F6AF2414A}"/>
    <cellStyle name="Comma 15 10" xfId="6895" xr:uid="{81CDED51-09F8-4704-873F-8DDEC9202DC3}"/>
    <cellStyle name="Comma 15 11" xfId="8945" xr:uid="{37D28310-C155-45E4-94EC-C32557E66F64}"/>
    <cellStyle name="Comma 15 12" xfId="10082" xr:uid="{3400A08B-549C-40E6-AD82-D071573982B8}"/>
    <cellStyle name="Comma 15 13" xfId="11209" xr:uid="{A8D60B4F-3652-4B6B-846C-582EBDB83604}"/>
    <cellStyle name="Comma 15 14" xfId="11420" xr:uid="{BDB42722-E1F0-4981-87C7-1D2ED82A4674}"/>
    <cellStyle name="Comma 15 15" xfId="13673" xr:uid="{3EB332E0-A35D-4765-9109-29D35442072A}"/>
    <cellStyle name="Comma 15 16" xfId="15926" xr:uid="{9E874E8E-6A82-4505-AC7B-D4E4C11E6D72}"/>
    <cellStyle name="Comma 15 2" xfId="127" xr:uid="{FF0C9569-C912-4644-97F8-156CFA0977D6}"/>
    <cellStyle name="Comma 15 2 10" xfId="8944" xr:uid="{12537F8B-3630-4F28-97D6-EE3761DB1403}"/>
    <cellStyle name="Comma 15 2 11" xfId="10081" xr:uid="{D6F02C80-0A6D-4858-8591-485338E8A7F8}"/>
    <cellStyle name="Comma 15 2 12" xfId="11208" xr:uid="{3DED5AF4-0E0A-4699-BC86-6070D3A50C36}"/>
    <cellStyle name="Comma 15 2 13" xfId="11421" xr:uid="{B8308601-5A47-4719-8BC0-2A9D38DDF1B5}"/>
    <cellStyle name="Comma 15 2 14" xfId="13674" xr:uid="{71472F04-8AAA-4D90-8ABA-049774D73DD1}"/>
    <cellStyle name="Comma 15 2 15" xfId="15927" xr:uid="{D4996879-97FA-4D52-B27C-DA350054C40A}"/>
    <cellStyle name="Comma 15 2 2" xfId="128" xr:uid="{8BECD28B-C9D8-4119-B5FC-1FE0F1115D71}"/>
    <cellStyle name="Comma 15 2 2 10" xfId="11207" xr:uid="{557C87CD-66B8-46C0-89F6-4DE2D8B19EF1}"/>
    <cellStyle name="Comma 15 2 2 11" xfId="11422" xr:uid="{0BB59DBD-D4F2-4FAD-9E17-CB9B2944E0BA}"/>
    <cellStyle name="Comma 15 2 2 12" xfId="13675" xr:uid="{5A812EDE-3DA4-4BB3-B9C0-A9C055130859}"/>
    <cellStyle name="Comma 15 2 2 13" xfId="15928" xr:uid="{773312C8-E197-4A77-9D38-CF262C98C6DC}"/>
    <cellStyle name="Comma 15 2 2 2" xfId="1265" xr:uid="{1985DDEA-A764-404C-98E8-EC229F7E50DB}"/>
    <cellStyle name="Comma 15 2 2 2 2" xfId="12549" xr:uid="{4E86E05C-9C66-4474-810D-A400C5C4E805}"/>
    <cellStyle name="Comma 15 2 2 2 3" xfId="14802" xr:uid="{0603D217-1054-4CFC-991C-41E68F9D9782}"/>
    <cellStyle name="Comma 15 2 2 2 4" xfId="17055" xr:uid="{CCBE72A0-F16A-4197-B423-D8B9F0288D1F}"/>
    <cellStyle name="Comma 15 2 2 3" xfId="2391" xr:uid="{E4FA4E62-CBAF-4471-8EB0-1D083D2CD9D3}"/>
    <cellStyle name="Comma 15 2 2 4" xfId="3517" xr:uid="{E5141247-F158-4E9D-A5B2-997EE411ABA9}"/>
    <cellStyle name="Comma 15 2 2 5" xfId="4643" xr:uid="{2FFE4E66-BEBC-4CC1-A0DF-2987E0C2909C}"/>
    <cellStyle name="Comma 15 2 2 6" xfId="5770" xr:uid="{B8FDB31C-1111-420C-AE6E-15C726ECC179}"/>
    <cellStyle name="Comma 15 2 2 7" xfId="6897" xr:uid="{0E46229A-B96E-4C6D-901F-BE5A6799D1DA}"/>
    <cellStyle name="Comma 15 2 2 8" xfId="8943" xr:uid="{F0D7082A-8101-40FA-B372-8DBFBA2C003E}"/>
    <cellStyle name="Comma 15 2 2 9" xfId="10080" xr:uid="{3DD86FF3-7A5E-4EC1-864C-E4CD3059E743}"/>
    <cellStyle name="Comma 15 2 3" xfId="129" xr:uid="{DBCF06C4-C6DA-41C5-A88B-1F6FAEBE473E}"/>
    <cellStyle name="Comma 15 2 3 10" xfId="11206" xr:uid="{AFE1DED2-22F5-40ED-9940-15B04400B043}"/>
    <cellStyle name="Comma 15 2 3 11" xfId="11423" xr:uid="{376F35A3-3196-46A9-A612-FB6AEC09C283}"/>
    <cellStyle name="Comma 15 2 3 12" xfId="13676" xr:uid="{5EC779F2-5B58-4734-8B00-3F2675B08637}"/>
    <cellStyle name="Comma 15 2 3 13" xfId="15929" xr:uid="{88C3BBD1-5CE2-41AF-AB10-FD7A5D33AB89}"/>
    <cellStyle name="Comma 15 2 3 2" xfId="1266" xr:uid="{A83D459C-E94B-4C5F-9F5F-8115AA39E31A}"/>
    <cellStyle name="Comma 15 2 3 2 2" xfId="12550" xr:uid="{DFBB80E3-78E7-4D3E-BA8E-1816E06F2274}"/>
    <cellStyle name="Comma 15 2 3 2 3" xfId="14803" xr:uid="{3E97DAB2-7227-445C-AD92-B7FA45A60132}"/>
    <cellStyle name="Comma 15 2 3 2 4" xfId="17056" xr:uid="{AD8C65B5-14C3-4E96-8846-BDBC8BC5EEB7}"/>
    <cellStyle name="Comma 15 2 3 3" xfId="2392" xr:uid="{EC21FD09-E0C0-431C-885A-57157A9735F2}"/>
    <cellStyle name="Comma 15 2 3 4" xfId="3518" xr:uid="{F87D5986-0B3E-446A-91D5-E10B55659ACB}"/>
    <cellStyle name="Comma 15 2 3 5" xfId="4644" xr:uid="{9AEB7016-EF5A-4CA6-BD2D-6E5AE4A121C4}"/>
    <cellStyle name="Comma 15 2 3 6" xfId="5771" xr:uid="{EBFEF387-296B-425B-BF57-93F4138D982F}"/>
    <cellStyle name="Comma 15 2 3 7" xfId="6898" xr:uid="{A37FC835-F3E2-4398-A3C5-E419328DD054}"/>
    <cellStyle name="Comma 15 2 3 8" xfId="8942" xr:uid="{928331B5-36AE-460F-BECD-5F55EA685D95}"/>
    <cellStyle name="Comma 15 2 3 9" xfId="10079" xr:uid="{CB0C89C4-ED7F-4937-99ED-B3EA95A6C6F7}"/>
    <cellStyle name="Comma 15 2 4" xfId="1264" xr:uid="{00EF0EDA-D581-4971-89ED-38C9B8303275}"/>
    <cellStyle name="Comma 15 2 4 2" xfId="12548" xr:uid="{BDA627AE-D64E-4B80-B888-8490A29E979E}"/>
    <cellStyle name="Comma 15 2 4 3" xfId="14801" xr:uid="{09FEE73F-F24E-41B6-8222-A5076A8E0789}"/>
    <cellStyle name="Comma 15 2 4 4" xfId="17054" xr:uid="{4949005D-6AAC-4F6A-BCDE-879409D7F154}"/>
    <cellStyle name="Comma 15 2 5" xfId="2390" xr:uid="{E81F0278-FF87-431F-AF68-CAC9EE914028}"/>
    <cellStyle name="Comma 15 2 6" xfId="3516" xr:uid="{C63D68D8-25A0-4854-A279-FBA65096E762}"/>
    <cellStyle name="Comma 15 2 7" xfId="4642" xr:uid="{6D962C77-2499-4BEE-958D-3AD4B6A23229}"/>
    <cellStyle name="Comma 15 2 8" xfId="5769" xr:uid="{FBF6AAA0-CEA6-40B4-990D-660A23997817}"/>
    <cellStyle name="Comma 15 2 9" xfId="6896" xr:uid="{4B898C5A-84B4-47D5-BC08-FFD9D23666EE}"/>
    <cellStyle name="Comma 15 3" xfId="130" xr:uid="{AE85DB2C-BFDF-4D5C-AA65-B2A38BA32470}"/>
    <cellStyle name="Comma 15 3 10" xfId="11205" xr:uid="{8EEA746D-6270-43AA-B351-DB656C14181B}"/>
    <cellStyle name="Comma 15 3 11" xfId="11424" xr:uid="{F73163BC-713C-44FF-8365-028CEC92EB21}"/>
    <cellStyle name="Comma 15 3 12" xfId="13677" xr:uid="{150DA8F8-6053-44CD-BEAF-061885472242}"/>
    <cellStyle name="Comma 15 3 13" xfId="15930" xr:uid="{919F493D-6390-4865-8707-8C734660704B}"/>
    <cellStyle name="Comma 15 3 2" xfId="1267" xr:uid="{DBCF552D-9BAD-4168-BB20-40C40ED4DEAF}"/>
    <cellStyle name="Comma 15 3 2 2" xfId="12551" xr:uid="{A4A31B43-CF16-43A5-8551-52F470143F5D}"/>
    <cellStyle name="Comma 15 3 2 3" xfId="14804" xr:uid="{A5E0F96A-48CF-4904-A1D9-D28CFA1248A8}"/>
    <cellStyle name="Comma 15 3 2 4" xfId="17057" xr:uid="{04375367-AFE1-4C2A-A182-EC75C18783A5}"/>
    <cellStyle name="Comma 15 3 3" xfId="2393" xr:uid="{C4DB398C-0F71-4AC1-A452-72CC840706E2}"/>
    <cellStyle name="Comma 15 3 4" xfId="3519" xr:uid="{2F11B6F8-868C-456D-B0F3-26CF5EB17EE2}"/>
    <cellStyle name="Comma 15 3 5" xfId="4645" xr:uid="{1DBFFB07-1F00-4F9A-BABB-9B34F8FEE4E2}"/>
    <cellStyle name="Comma 15 3 6" xfId="5772" xr:uid="{5F0314C4-ED23-4094-8E46-97D291FC4B16}"/>
    <cellStyle name="Comma 15 3 7" xfId="6899" xr:uid="{82BF5557-126C-4D58-994A-D53ADBA8ACD1}"/>
    <cellStyle name="Comma 15 3 8" xfId="8941" xr:uid="{03F1A886-F2C2-42EF-B42E-F398C60AF6F0}"/>
    <cellStyle name="Comma 15 3 9" xfId="10078" xr:uid="{8ADB120A-E9F6-4BA4-B5D0-31D3FE7F5A43}"/>
    <cellStyle name="Comma 15 4" xfId="131" xr:uid="{BCE2C61F-BD9A-4A21-9381-825D8FE505CE}"/>
    <cellStyle name="Comma 15 4 10" xfId="11204" xr:uid="{77FCBF2D-F7D0-4C78-B6A0-FF35C0C2746F}"/>
    <cellStyle name="Comma 15 4 11" xfId="11425" xr:uid="{0CDE128D-ADF2-4CC0-8EEF-E477D9505BA8}"/>
    <cellStyle name="Comma 15 4 12" xfId="13678" xr:uid="{6439C21F-9274-4460-803C-73DACF7C3B39}"/>
    <cellStyle name="Comma 15 4 13" xfId="15931" xr:uid="{61B09B56-8278-4C82-BCD7-B9B33B59A04F}"/>
    <cellStyle name="Comma 15 4 2" xfId="1268" xr:uid="{5DF75FC8-49F1-462A-ACB3-5BEA05DEE3F3}"/>
    <cellStyle name="Comma 15 4 2 2" xfId="12552" xr:uid="{9C671B82-3BB8-43F1-8A2A-726F3887AEF7}"/>
    <cellStyle name="Comma 15 4 2 3" xfId="14805" xr:uid="{E3806542-65C5-4057-A6B2-2EABB8224C35}"/>
    <cellStyle name="Comma 15 4 2 4" xfId="17058" xr:uid="{0AF0AF88-FC93-405E-AC4C-C8557DC9FCDF}"/>
    <cellStyle name="Comma 15 4 3" xfId="2394" xr:uid="{CF4D6B4C-828B-4964-A9CC-228BAA4C4E74}"/>
    <cellStyle name="Comma 15 4 4" xfId="3520" xr:uid="{A1BA3CDB-6DE4-4917-AC4E-1326846C2EB4}"/>
    <cellStyle name="Comma 15 4 5" xfId="4646" xr:uid="{F2524FCB-067B-4975-94BD-43AA7BD5A937}"/>
    <cellStyle name="Comma 15 4 6" xfId="5773" xr:uid="{1EDE54C6-1182-4DB4-8C50-8D76CC68E196}"/>
    <cellStyle name="Comma 15 4 7" xfId="6900" xr:uid="{93D42303-2AC9-41D8-8CD6-3E0A8043EBA0}"/>
    <cellStyle name="Comma 15 4 8" xfId="8940" xr:uid="{EF06C75B-8C00-48DB-B799-8B4502FF835D}"/>
    <cellStyle name="Comma 15 4 9" xfId="10077" xr:uid="{4480099A-A75D-444B-BB0E-30E5784B9B92}"/>
    <cellStyle name="Comma 15 5" xfId="1263" xr:uid="{5A4BB6D8-8D73-4FBC-B814-5E857ED43BED}"/>
    <cellStyle name="Comma 15 5 2" xfId="12547" xr:uid="{9D819126-D7E4-4544-9304-C1AD4064DFBE}"/>
    <cellStyle name="Comma 15 5 3" xfId="14800" xr:uid="{9574B46B-B675-45EC-98DE-1170155ECD96}"/>
    <cellStyle name="Comma 15 5 4" xfId="17053" xr:uid="{00C30898-3A4A-4AC0-AAE9-A04611AD21F6}"/>
    <cellStyle name="Comma 15 6" xfId="2389" xr:uid="{D7383346-00D8-4B24-A43E-8167B4D0B3B3}"/>
    <cellStyle name="Comma 15 7" xfId="3515" xr:uid="{21ADCAB4-F360-427E-9177-4BD5444647E0}"/>
    <cellStyle name="Comma 15 8" xfId="4641" xr:uid="{986F8216-CF20-4B5C-8258-AB39807752BA}"/>
    <cellStyle name="Comma 15 9" xfId="5768" xr:uid="{82A2A678-4B69-4E8D-822B-C9DFA45CC797}"/>
    <cellStyle name="Comma 16" xfId="132" xr:uid="{65E0D473-B924-4EB9-8156-9DEA423489AC}"/>
    <cellStyle name="Comma 16 10" xfId="8939" xr:uid="{665090D3-D965-4469-8E13-267CD671D3E2}"/>
    <cellStyle name="Comma 16 11" xfId="10076" xr:uid="{4D9D4D0C-1EF1-44E2-B84C-3DDA204D27A2}"/>
    <cellStyle name="Comma 16 12" xfId="11203" xr:uid="{DDE6D3CA-860A-40CB-9213-448120518201}"/>
    <cellStyle name="Comma 16 13" xfId="11426" xr:uid="{50DADBDE-2E8B-4262-986B-F48358B937AE}"/>
    <cellStyle name="Comma 16 14" xfId="13679" xr:uid="{45E1DBF1-6CCD-431A-8AA8-C10001691398}"/>
    <cellStyle name="Comma 16 15" xfId="15932" xr:uid="{7B539657-451A-4768-BE38-47BDDD7DCCF3}"/>
    <cellStyle name="Comma 16 2" xfId="133" xr:uid="{23D3B7E1-D472-4213-8D47-5C7C68DFE20D}"/>
    <cellStyle name="Comma 16 2 10" xfId="11202" xr:uid="{C122AD68-B7AA-47E9-99B9-BBFE6B1DEED2}"/>
    <cellStyle name="Comma 16 2 11" xfId="11427" xr:uid="{8DDCCA06-9AA9-4314-A301-C158431E192C}"/>
    <cellStyle name="Comma 16 2 12" xfId="13680" xr:uid="{0787185A-A414-4264-AC8C-AC6BFF6A1ED5}"/>
    <cellStyle name="Comma 16 2 13" xfId="15933" xr:uid="{170E1893-3023-49B4-A36E-430E2266D33A}"/>
    <cellStyle name="Comma 16 2 2" xfId="1270" xr:uid="{1B0ECEBE-FF0C-418D-A921-6CEA0151F260}"/>
    <cellStyle name="Comma 16 2 2 2" xfId="12554" xr:uid="{D3657485-EB91-46A8-A4CC-4A277A963202}"/>
    <cellStyle name="Comma 16 2 2 3" xfId="14807" xr:uid="{A27399CD-C1FC-4834-AB1B-DE4A3969FEFB}"/>
    <cellStyle name="Comma 16 2 2 4" xfId="17060" xr:uid="{82C71B2A-9DA6-4869-82C0-9144DB5759C1}"/>
    <cellStyle name="Comma 16 2 3" xfId="2396" xr:uid="{810B7197-08E3-4C91-ADD4-0AA9F257D075}"/>
    <cellStyle name="Comma 16 2 4" xfId="3522" xr:uid="{AE99C5E1-D3D9-4DDB-ABC5-6C771C0BD69B}"/>
    <cellStyle name="Comma 16 2 5" xfId="4648" xr:uid="{CE11B39B-666C-4DF4-864F-55D2A4B9BBBA}"/>
    <cellStyle name="Comma 16 2 6" xfId="5775" xr:uid="{F61713DA-1DBF-4C91-8F65-C4EAC94AD143}"/>
    <cellStyle name="Comma 16 2 7" xfId="6902" xr:uid="{853DCBE0-3008-45EE-BBD2-AAF4784D03BB}"/>
    <cellStyle name="Comma 16 2 8" xfId="8938" xr:uid="{B811C80C-9B36-444A-BCFC-47CE0EAB777B}"/>
    <cellStyle name="Comma 16 2 9" xfId="10075" xr:uid="{96F62C08-2375-4D08-B6E4-BA7BB8DBBEFC}"/>
    <cellStyle name="Comma 16 3" xfId="134" xr:uid="{6FBF8C7F-8338-4155-B725-1B4691F67B20}"/>
    <cellStyle name="Comma 16 3 10" xfId="11201" xr:uid="{72A2B76F-048B-4C25-8051-689A43D5B655}"/>
    <cellStyle name="Comma 16 3 11" xfId="11428" xr:uid="{09BB9BA5-A999-46E5-94D3-881A7B4D83EB}"/>
    <cellStyle name="Comma 16 3 12" xfId="13681" xr:uid="{397CFA0F-6F49-4B1B-8EFD-0DEFE6E28D57}"/>
    <cellStyle name="Comma 16 3 13" xfId="15934" xr:uid="{344E7A66-6C41-48B8-9B01-9B1BBA57B9C2}"/>
    <cellStyle name="Comma 16 3 2" xfId="1271" xr:uid="{D6939C43-9BBC-4344-814D-A3F6B5F8DB69}"/>
    <cellStyle name="Comma 16 3 2 2" xfId="12555" xr:uid="{DF582EDA-6A71-43B5-81A6-F6F837A188A3}"/>
    <cellStyle name="Comma 16 3 2 3" xfId="14808" xr:uid="{A5009FA6-F26C-4AF5-9EF8-05703FB2F0B5}"/>
    <cellStyle name="Comma 16 3 2 4" xfId="17061" xr:uid="{8BB844F7-04E5-4E03-91B7-5EFB3718851A}"/>
    <cellStyle name="Comma 16 3 3" xfId="2397" xr:uid="{0F7CD3F0-485F-401E-BD07-24901A561563}"/>
    <cellStyle name="Comma 16 3 4" xfId="3523" xr:uid="{31F423F4-B1C9-4474-8EEA-B82E5D6053C3}"/>
    <cellStyle name="Comma 16 3 5" xfId="4649" xr:uid="{47358FF5-BB33-45A1-BCF8-D16002B29D43}"/>
    <cellStyle name="Comma 16 3 6" xfId="5776" xr:uid="{4CF99337-BB62-4FD9-B7C8-EF9C49ECB3C3}"/>
    <cellStyle name="Comma 16 3 7" xfId="6903" xr:uid="{9961FC12-0C21-42FD-ABCF-5C0BE3579359}"/>
    <cellStyle name="Comma 16 3 8" xfId="8937" xr:uid="{7C2A48A3-A91C-4BAC-B324-C328C0E555E1}"/>
    <cellStyle name="Comma 16 3 9" xfId="10074" xr:uid="{842BA6DE-D8FD-422B-86D7-869C7168626B}"/>
    <cellStyle name="Comma 16 4" xfId="1269" xr:uid="{4E69D7ED-0450-4A2E-9C69-52FA6C6FF57F}"/>
    <cellStyle name="Comma 16 4 2" xfId="12553" xr:uid="{89A1BB07-7E6F-4320-A6CA-CFE1508ABDBD}"/>
    <cellStyle name="Comma 16 4 3" xfId="14806" xr:uid="{D46DBA4E-0730-4D8C-841B-2E9EBA343987}"/>
    <cellStyle name="Comma 16 4 4" xfId="17059" xr:uid="{B2CE4AED-CC54-4292-9FE6-949FEDAF7823}"/>
    <cellStyle name="Comma 16 5" xfId="2395" xr:uid="{D4F0E8C3-C339-456D-BA00-0052B9C2CA85}"/>
    <cellStyle name="Comma 16 6" xfId="3521" xr:uid="{6184E332-CFA9-4A27-99FD-ED3B70443F14}"/>
    <cellStyle name="Comma 16 7" xfId="4647" xr:uid="{AE76BFFE-69C8-419B-BB35-08EB06FDB7A5}"/>
    <cellStyle name="Comma 16 8" xfId="5774" xr:uid="{1E83E239-C8F6-4DDA-A2E9-39FD3C83CE30}"/>
    <cellStyle name="Comma 16 9" xfId="6901" xr:uid="{87754EF1-C824-4E8C-BF58-30CBDEC47E7C}"/>
    <cellStyle name="Comma 17" xfId="135" xr:uid="{E1FBA9FD-1B5C-49C3-B45C-E56EA6288CE7}"/>
    <cellStyle name="Comma 17 10" xfId="8936" xr:uid="{4B8DECAC-1784-4BB4-A572-F19B84D8DF84}"/>
    <cellStyle name="Comma 17 11" xfId="10073" xr:uid="{F69007DD-32BF-4651-B759-3C0372CD05C3}"/>
    <cellStyle name="Comma 17 12" xfId="11200" xr:uid="{0CC23B0C-7A2B-4548-B3FE-F50D77BCB1BA}"/>
    <cellStyle name="Comma 17 13" xfId="11429" xr:uid="{AD6872BE-CCD9-409D-B153-9FC907F92F3D}"/>
    <cellStyle name="Comma 17 14" xfId="13682" xr:uid="{88326AE0-7A0D-4BF6-842F-243E5F068235}"/>
    <cellStyle name="Comma 17 15" xfId="15935" xr:uid="{1F242726-2446-4A39-8545-324B298C2464}"/>
    <cellStyle name="Comma 17 2" xfId="136" xr:uid="{EFEA4404-23FB-4194-BFCB-277234C399E8}"/>
    <cellStyle name="Comma 17 2 10" xfId="11199" xr:uid="{DD9E5A4F-ECA3-4E4D-A409-FE4112C21007}"/>
    <cellStyle name="Comma 17 2 11" xfId="11430" xr:uid="{2E5694CA-A512-4371-8C0C-2AAE10D5ADD1}"/>
    <cellStyle name="Comma 17 2 12" xfId="13683" xr:uid="{2FA02551-FA20-4F08-8767-C13B5B4ACA0C}"/>
    <cellStyle name="Comma 17 2 13" xfId="15936" xr:uid="{AB4C1DEC-AD59-4E68-ACDF-9424356728A1}"/>
    <cellStyle name="Comma 17 2 2" xfId="1273" xr:uid="{62C7437E-EB29-412C-A568-6380849AC6BF}"/>
    <cellStyle name="Comma 17 2 2 2" xfId="12557" xr:uid="{7008B7AA-C075-42EC-8F60-E80FEB0B5A2B}"/>
    <cellStyle name="Comma 17 2 2 3" xfId="14810" xr:uid="{312B7F19-CF3F-4D5D-B2A1-7A2E7947E9A0}"/>
    <cellStyle name="Comma 17 2 2 4" xfId="17063" xr:uid="{A51DAB14-D787-4B74-B82E-1624B2B0E98A}"/>
    <cellStyle name="Comma 17 2 3" xfId="2399" xr:uid="{46B87C1F-C0BB-4E44-A0FE-6A068BBCD60E}"/>
    <cellStyle name="Comma 17 2 4" xfId="3525" xr:uid="{D1F9EEF1-29C0-465A-94F3-F14839373FB2}"/>
    <cellStyle name="Comma 17 2 5" xfId="4651" xr:uid="{D9063BA7-D1C0-4EBD-84B2-55AA5D136F0C}"/>
    <cellStyle name="Comma 17 2 6" xfId="5778" xr:uid="{EEC44CBB-1284-40B3-98B0-6AA61EDBBFE2}"/>
    <cellStyle name="Comma 17 2 7" xfId="6905" xr:uid="{1098460F-1839-44DE-9DC7-68BC5A0F68EE}"/>
    <cellStyle name="Comma 17 2 8" xfId="8935" xr:uid="{BD97B879-E971-4B21-BFB1-0C8A278FCA13}"/>
    <cellStyle name="Comma 17 2 9" xfId="10072" xr:uid="{AD947A2F-233A-43F3-930D-7DB2BB84CD1F}"/>
    <cellStyle name="Comma 17 3" xfId="137" xr:uid="{9A4F72B0-25C5-40F1-90EA-68374465760C}"/>
    <cellStyle name="Comma 17 3 10" xfId="11198" xr:uid="{32C43099-C58C-43F7-A588-5A52087A343C}"/>
    <cellStyle name="Comma 17 3 11" xfId="11431" xr:uid="{19641965-3485-4E32-8000-59CBFB3E88BF}"/>
    <cellStyle name="Comma 17 3 12" xfId="13684" xr:uid="{41D1F22F-BB74-45F8-AA5E-86AF19BE80E6}"/>
    <cellStyle name="Comma 17 3 13" xfId="15937" xr:uid="{55E7E89C-C26D-4AEC-8137-8A844D7BC80A}"/>
    <cellStyle name="Comma 17 3 2" xfId="1274" xr:uid="{BCE9F14F-689B-4EB6-9AB2-C4382CFC4C07}"/>
    <cellStyle name="Comma 17 3 2 2" xfId="12558" xr:uid="{66633B67-7DA3-43CE-8042-30DA0051541E}"/>
    <cellStyle name="Comma 17 3 2 3" xfId="14811" xr:uid="{97A082E1-9C20-4B7E-9ACE-80CB1B116ECB}"/>
    <cellStyle name="Comma 17 3 2 4" xfId="17064" xr:uid="{F08462AA-F758-407E-B46D-7D15A0AEA3B7}"/>
    <cellStyle name="Comma 17 3 3" xfId="2400" xr:uid="{F6769B4F-0239-42E4-876D-D389C572C16F}"/>
    <cellStyle name="Comma 17 3 4" xfId="3526" xr:uid="{80D79702-55ED-4366-BEF0-1D0CB7C160BE}"/>
    <cellStyle name="Comma 17 3 5" xfId="4652" xr:uid="{9099CE03-2143-4B0B-B5D1-865398A82707}"/>
    <cellStyle name="Comma 17 3 6" xfId="5779" xr:uid="{9A1D0BA1-A4B2-4DE5-8F62-0B7AE74EC587}"/>
    <cellStyle name="Comma 17 3 7" xfId="6906" xr:uid="{D8C61A70-86D0-4E3F-B56B-988E8A51354C}"/>
    <cellStyle name="Comma 17 3 8" xfId="8934" xr:uid="{66ACA4E4-068C-4068-9828-ACADEB243550}"/>
    <cellStyle name="Comma 17 3 9" xfId="10071" xr:uid="{982C74E1-2E2D-42DE-8BC6-AD3DF21D44E5}"/>
    <cellStyle name="Comma 17 4" xfId="1272" xr:uid="{D34B1BA0-3237-4B03-AB46-BB4AC6D7733F}"/>
    <cellStyle name="Comma 17 4 2" xfId="12556" xr:uid="{B57B6E42-313B-4248-B19A-1C3DAF18DF5F}"/>
    <cellStyle name="Comma 17 4 3" xfId="14809" xr:uid="{05BF1236-EDB4-4323-B2DD-CB6B3EF3BF9F}"/>
    <cellStyle name="Comma 17 4 4" xfId="17062" xr:uid="{EB84FCD7-3219-4D75-9E77-BDDFD7EC58AE}"/>
    <cellStyle name="Comma 17 5" xfId="2398" xr:uid="{6D4A9B46-54ED-44C3-B4BC-63739AC7ACB0}"/>
    <cellStyle name="Comma 17 6" xfId="3524" xr:uid="{8BCA789B-4459-490B-A94B-EBBBA939009E}"/>
    <cellStyle name="Comma 17 7" xfId="4650" xr:uid="{D143650C-3210-437D-B35E-9E45CACC62E8}"/>
    <cellStyle name="Comma 17 8" xfId="5777" xr:uid="{783C45AD-8FC8-45F6-AE50-CDEA1896CEFE}"/>
    <cellStyle name="Comma 17 9" xfId="6904" xr:uid="{0BCDC9A1-69C7-45EF-886B-F16843DCAE7F}"/>
    <cellStyle name="Comma 18" xfId="138" xr:uid="{AFE4CA0E-FDC8-4E40-855F-63A75A7B37DC}"/>
    <cellStyle name="Comma 18 10" xfId="11197" xr:uid="{DBAA6439-8B69-4B9F-9EB5-108C0104D8B5}"/>
    <cellStyle name="Comma 18 11" xfId="11432" xr:uid="{4F1F60AC-029C-4775-8337-4970B37762C2}"/>
    <cellStyle name="Comma 18 12" xfId="13685" xr:uid="{6AD0FEFA-C574-49B6-BAE9-572B12D9196B}"/>
    <cellStyle name="Comma 18 13" xfId="15938" xr:uid="{C8FE16B2-7C9C-487E-81F9-A61E75992524}"/>
    <cellStyle name="Comma 18 2" xfId="1275" xr:uid="{F2075B8E-5A9F-45C2-BC94-3045F5BD14BF}"/>
    <cellStyle name="Comma 18 2 2" xfId="12559" xr:uid="{0D20E146-D53A-4D71-9E43-A39022CB197F}"/>
    <cellStyle name="Comma 18 2 3" xfId="14812" xr:uid="{134BCB2A-F65C-481E-B036-CACB0348B6EB}"/>
    <cellStyle name="Comma 18 2 4" xfId="17065" xr:uid="{8CF2BF53-41B0-4BA5-BC3A-2A5B4FD50206}"/>
    <cellStyle name="Comma 18 3" xfId="2401" xr:uid="{4A9C9AB8-97E1-4DFE-85E3-EEC50349940F}"/>
    <cellStyle name="Comma 18 4" xfId="3527" xr:uid="{26D2AE85-121F-42E9-901E-045409E5D5DE}"/>
    <cellStyle name="Comma 18 5" xfId="4653" xr:uid="{D33A4053-1B76-4BCB-A540-C3F6B3C73C8F}"/>
    <cellStyle name="Comma 18 6" xfId="5780" xr:uid="{3B09BC69-5999-4A78-B52E-2911A1FF16F7}"/>
    <cellStyle name="Comma 18 7" xfId="6907" xr:uid="{EB65DD8D-51EC-4C76-81D1-D3DE849D3BBA}"/>
    <cellStyle name="Comma 18 8" xfId="8933" xr:uid="{19187A14-B4C4-4B79-9A24-C2703DE97881}"/>
    <cellStyle name="Comma 18 9" xfId="10070" xr:uid="{FA1A0672-5885-4AB5-9CCB-06C86BFD284F}"/>
    <cellStyle name="Comma 19" xfId="139" xr:uid="{689AB70F-22A0-40D1-A155-F04A19288333}"/>
    <cellStyle name="Comma 19 10" xfId="11196" xr:uid="{34851F95-1D2E-4266-B7FA-22DCC3296C14}"/>
    <cellStyle name="Comma 19 11" xfId="11433" xr:uid="{377B9EAF-91E7-4A06-806E-95EFBDFE4938}"/>
    <cellStyle name="Comma 19 12" xfId="13686" xr:uid="{95D5DC14-9352-4CFC-B05F-C2539BCA3F03}"/>
    <cellStyle name="Comma 19 13" xfId="15939" xr:uid="{4017FFEC-567B-473B-A7FF-759361F8024A}"/>
    <cellStyle name="Comma 19 2" xfId="1276" xr:uid="{CCF3838C-503A-4FC8-BCB8-28C502E4C451}"/>
    <cellStyle name="Comma 19 2 2" xfId="12560" xr:uid="{E6F38E85-C7FA-43D9-B7A7-EC15D7548903}"/>
    <cellStyle name="Comma 19 2 3" xfId="14813" xr:uid="{D2CB64CF-61AE-4087-B802-03CD5D8220D6}"/>
    <cellStyle name="Comma 19 2 4" xfId="17066" xr:uid="{F76CD578-71B7-4EA0-9860-898FEF7AC9C1}"/>
    <cellStyle name="Comma 19 3" xfId="2402" xr:uid="{5916C564-3A6E-4786-9E31-FF20399A06B2}"/>
    <cellStyle name="Comma 19 4" xfId="3528" xr:uid="{12D6FF54-A243-4AEA-96FD-56B4B04CCFDA}"/>
    <cellStyle name="Comma 19 5" xfId="4654" xr:uid="{37D7C009-6BBE-438C-9119-CBB8EA828638}"/>
    <cellStyle name="Comma 19 6" xfId="5781" xr:uid="{A99DBB28-037F-46B3-A475-C8D98E76691B}"/>
    <cellStyle name="Comma 19 7" xfId="6908" xr:uid="{F7738A63-AD5F-4224-985C-186281AA0E1A}"/>
    <cellStyle name="Comma 19 8" xfId="8932" xr:uid="{03F7EE8C-8392-4E11-A287-3F90053C98BB}"/>
    <cellStyle name="Comma 19 9" xfId="10069" xr:uid="{202248AD-1917-4E28-AC1C-A98A54F5A9A7}"/>
    <cellStyle name="Comma 2" xfId="6" xr:uid="{00000000-0005-0000-0000-000032000000}"/>
    <cellStyle name="Comma 2 10" xfId="141" xr:uid="{75B30838-424C-4D2D-B0CF-A3947D924A7A}"/>
    <cellStyle name="Comma 2 10 10" xfId="5783" xr:uid="{437AE7DC-5AE0-4769-BD77-363622D5F2E1}"/>
    <cellStyle name="Comma 2 10 11" xfId="6910" xr:uid="{C4244955-40EB-49E4-B674-76116BD940E0}"/>
    <cellStyle name="Comma 2 10 12" xfId="8930" xr:uid="{3042D8EB-3DA2-4F06-B0A2-D278E9577653}"/>
    <cellStyle name="Comma 2 10 13" xfId="10067" xr:uid="{C4AFB9D7-186E-40AC-B455-E3C935742809}"/>
    <cellStyle name="Comma 2 10 14" xfId="11194" xr:uid="{92026832-6428-499A-A6DE-679850FB7923}"/>
    <cellStyle name="Comma 2 10 15" xfId="11435" xr:uid="{C214DAC3-9DCF-41A2-93BC-77BCD0EFE529}"/>
    <cellStyle name="Comma 2 10 16" xfId="13688" xr:uid="{8D72920C-25D2-427D-9502-CE96962A2A9D}"/>
    <cellStyle name="Comma 2 10 17" xfId="15941" xr:uid="{0F44D2D9-EEAD-43A1-81F4-7E473E072672}"/>
    <cellStyle name="Comma 2 10 2" xfId="142" xr:uid="{AAE3941A-4461-4FB1-8BF0-4A74B480DF63}"/>
    <cellStyle name="Comma 2 10 2 10" xfId="6911" xr:uid="{1D012F83-7C7D-42DD-A7BE-AFD4A1A4FAE5}"/>
    <cellStyle name="Comma 2 10 2 11" xfId="8929" xr:uid="{1AB640B0-2816-47D4-99CF-6FBC38C87A8D}"/>
    <cellStyle name="Comma 2 10 2 12" xfId="10066" xr:uid="{A8588AFA-70AB-4514-85D3-42D0C6D6E615}"/>
    <cellStyle name="Comma 2 10 2 13" xfId="11193" xr:uid="{0077427B-E0D3-4EAB-862E-8DD05EE3E193}"/>
    <cellStyle name="Comma 2 10 2 14" xfId="11436" xr:uid="{78C7234B-E66D-4518-9C63-6E61364B1888}"/>
    <cellStyle name="Comma 2 10 2 15" xfId="13689" xr:uid="{6912D1C8-654D-403E-B8F0-CF4251BE4348}"/>
    <cellStyle name="Comma 2 10 2 16" xfId="15942" xr:uid="{966AA550-D380-47BD-9172-CD3DB523A876}"/>
    <cellStyle name="Comma 2 10 2 2" xfId="143" xr:uid="{A314752C-469E-44E7-A64F-BEE715DA7AC6}"/>
    <cellStyle name="Comma 2 10 2 2 10" xfId="8928" xr:uid="{1772BF24-43CD-4DAC-9916-90654B359C2B}"/>
    <cellStyle name="Comma 2 10 2 2 11" xfId="10065" xr:uid="{BF4F20D6-6B94-405A-A6F8-914670764248}"/>
    <cellStyle name="Comma 2 10 2 2 12" xfId="11192" xr:uid="{06AC92FC-ED92-42BE-A10A-2BEC3AC2875A}"/>
    <cellStyle name="Comma 2 10 2 2 13" xfId="11437" xr:uid="{EA791906-C9DA-4435-8744-7B0683E04492}"/>
    <cellStyle name="Comma 2 10 2 2 14" xfId="13690" xr:uid="{D4376793-54BE-43E5-B26C-825AA69B00AF}"/>
    <cellStyle name="Comma 2 10 2 2 15" xfId="15943" xr:uid="{ADEB9357-AA9F-4E97-A4FD-E5D8C15A28D8}"/>
    <cellStyle name="Comma 2 10 2 2 2" xfId="144" xr:uid="{CFBD74C7-934F-4937-8E20-CEC74145E397}"/>
    <cellStyle name="Comma 2 10 2 2 2 10" xfId="11191" xr:uid="{CA9CC988-D7F9-404F-BC52-7CD9C0CB3CB0}"/>
    <cellStyle name="Comma 2 10 2 2 2 11" xfId="11438" xr:uid="{62A50D7E-C865-4DC6-9B0C-968A62F9EB5D}"/>
    <cellStyle name="Comma 2 10 2 2 2 12" xfId="13691" xr:uid="{03E09665-F2E4-4D99-A4FD-37A17C0BB83E}"/>
    <cellStyle name="Comma 2 10 2 2 2 13" xfId="15944" xr:uid="{19809474-DDC9-43B1-97DE-C40C4CFA944E}"/>
    <cellStyle name="Comma 2 10 2 2 2 2" xfId="1281" xr:uid="{68FACEC5-26C3-4A70-A911-718B5C83CEAD}"/>
    <cellStyle name="Comma 2 10 2 2 2 2 2" xfId="12565" xr:uid="{FCE06DB0-D179-4586-B48F-D74F2482CC12}"/>
    <cellStyle name="Comma 2 10 2 2 2 2 3" xfId="14818" xr:uid="{92DFE0A9-3B92-4C07-85F6-5208AB958D38}"/>
    <cellStyle name="Comma 2 10 2 2 2 2 4" xfId="17071" xr:uid="{55100B7E-D305-406F-9F38-BB518CBB943D}"/>
    <cellStyle name="Comma 2 10 2 2 2 3" xfId="2407" xr:uid="{ED2DC9E3-8ED4-4766-95A8-5CE5CAFE7F22}"/>
    <cellStyle name="Comma 2 10 2 2 2 4" xfId="3533" xr:uid="{A7255F79-5405-4F71-A4AB-27E653D4E6E4}"/>
    <cellStyle name="Comma 2 10 2 2 2 5" xfId="4659" xr:uid="{E4E2F903-64B3-4470-81BA-3F22810FB488}"/>
    <cellStyle name="Comma 2 10 2 2 2 6" xfId="5786" xr:uid="{8F88F87C-6AE0-46F0-8EF0-09602A547101}"/>
    <cellStyle name="Comma 2 10 2 2 2 7" xfId="6913" xr:uid="{9A42F4C6-E0B6-4447-96F3-838DB5C13704}"/>
    <cellStyle name="Comma 2 10 2 2 2 8" xfId="8927" xr:uid="{924B6F74-B60C-42C1-8CB8-AD59CAFE0BFE}"/>
    <cellStyle name="Comma 2 10 2 2 2 9" xfId="10064" xr:uid="{8B330CEC-4592-4247-B4FB-DCEF539BE8A5}"/>
    <cellStyle name="Comma 2 10 2 2 3" xfId="145" xr:uid="{0C539F89-E2A6-4484-B798-F251641848E9}"/>
    <cellStyle name="Comma 2 10 2 2 3 10" xfId="11190" xr:uid="{E778603E-C80C-4627-9FEB-C2386AE839DE}"/>
    <cellStyle name="Comma 2 10 2 2 3 11" xfId="11439" xr:uid="{D6336BA1-2EB8-4159-BF55-92677B500E6E}"/>
    <cellStyle name="Comma 2 10 2 2 3 12" xfId="13692" xr:uid="{C87C1E75-80DB-4898-93A7-0B7756DE098F}"/>
    <cellStyle name="Comma 2 10 2 2 3 13" xfId="15945" xr:uid="{8EAEC012-20BF-47D3-8E99-ABA68D53D3FE}"/>
    <cellStyle name="Comma 2 10 2 2 3 2" xfId="1282" xr:uid="{28944362-FE0E-4365-86D5-8FFAA78D6872}"/>
    <cellStyle name="Comma 2 10 2 2 3 2 2" xfId="12566" xr:uid="{248D3AC4-460E-4D1F-A810-4D9C90ABA984}"/>
    <cellStyle name="Comma 2 10 2 2 3 2 3" xfId="14819" xr:uid="{4C9AD89C-6896-4B40-A311-78DF2F43E615}"/>
    <cellStyle name="Comma 2 10 2 2 3 2 4" xfId="17072" xr:uid="{7F00F231-A6B9-4279-9C9B-D4E45CC302B5}"/>
    <cellStyle name="Comma 2 10 2 2 3 3" xfId="2408" xr:uid="{18A3ABF9-4B6F-409E-8C59-0883D766711D}"/>
    <cellStyle name="Comma 2 10 2 2 3 4" xfId="3534" xr:uid="{0642E265-D1D0-495A-8790-473888F644D8}"/>
    <cellStyle name="Comma 2 10 2 2 3 5" xfId="4660" xr:uid="{4849DEBA-FA12-423E-B27A-BA1FCFD47DC0}"/>
    <cellStyle name="Comma 2 10 2 2 3 6" xfId="5787" xr:uid="{747006AC-9F2D-4832-AF92-454763EE8ACF}"/>
    <cellStyle name="Comma 2 10 2 2 3 7" xfId="6914" xr:uid="{89C73088-1A59-43B5-AB15-88E2839B387F}"/>
    <cellStyle name="Comma 2 10 2 2 3 8" xfId="8926" xr:uid="{430AD3DA-2A4A-4B0C-9ED8-577F7D4B9C5D}"/>
    <cellStyle name="Comma 2 10 2 2 3 9" xfId="10063" xr:uid="{4C490D0C-0AF8-483E-9F7C-6EFB53CF219B}"/>
    <cellStyle name="Comma 2 10 2 2 4" xfId="1280" xr:uid="{7873FA4E-3D3D-4B77-BCE6-7683C940511F}"/>
    <cellStyle name="Comma 2 10 2 2 4 2" xfId="12564" xr:uid="{240DFF59-E44E-45CD-99F4-39B995751B95}"/>
    <cellStyle name="Comma 2 10 2 2 4 3" xfId="14817" xr:uid="{061A4737-6BA0-4B57-9DF8-21E7237988CC}"/>
    <cellStyle name="Comma 2 10 2 2 4 4" xfId="17070" xr:uid="{14410332-57F9-41B3-B109-FCA3142A8A9F}"/>
    <cellStyle name="Comma 2 10 2 2 5" xfId="2406" xr:uid="{20EA9710-50DE-4262-BA7D-83950496044B}"/>
    <cellStyle name="Comma 2 10 2 2 6" xfId="3532" xr:uid="{1A398AC2-C1A3-4BE9-B8A9-71F86F382D8E}"/>
    <cellStyle name="Comma 2 10 2 2 7" xfId="4658" xr:uid="{6CE2316C-7B1C-424C-87ED-59A5B071580D}"/>
    <cellStyle name="Comma 2 10 2 2 8" xfId="5785" xr:uid="{A62FD45B-6D67-4AEB-A031-A6AD8B446290}"/>
    <cellStyle name="Comma 2 10 2 2 9" xfId="6912" xr:uid="{B348B0C2-F5F5-4D66-9662-51D6C6E8882B}"/>
    <cellStyle name="Comma 2 10 2 3" xfId="146" xr:uid="{F41B1AF0-E3C6-434C-A306-D1E3F6527613}"/>
    <cellStyle name="Comma 2 10 2 3 10" xfId="11189" xr:uid="{52B04394-9E0A-416B-B86F-C0392DC8840A}"/>
    <cellStyle name="Comma 2 10 2 3 11" xfId="11440" xr:uid="{1F7FA4CD-D44A-476F-BDC4-FED36E690423}"/>
    <cellStyle name="Comma 2 10 2 3 12" xfId="13693" xr:uid="{7631B66D-1E2C-4E1A-940A-D64C2B17418A}"/>
    <cellStyle name="Comma 2 10 2 3 13" xfId="15946" xr:uid="{CB011E8F-33EF-494C-A53E-82C6B03F74EF}"/>
    <cellStyle name="Comma 2 10 2 3 2" xfId="1283" xr:uid="{EF3593A8-CC5A-441F-B161-4E74CFDA8062}"/>
    <cellStyle name="Comma 2 10 2 3 2 2" xfId="12567" xr:uid="{5110AC7E-C6BB-4F73-ACF1-8E7356B9EE16}"/>
    <cellStyle name="Comma 2 10 2 3 2 3" xfId="14820" xr:uid="{BFB48FD5-D1DA-42C5-B5DC-8CF700820B3E}"/>
    <cellStyle name="Comma 2 10 2 3 2 4" xfId="17073" xr:uid="{E6C6E42C-FE42-444C-ABE9-578BC79A4F64}"/>
    <cellStyle name="Comma 2 10 2 3 3" xfId="2409" xr:uid="{A11A41EA-A8C3-49CF-8D82-CB37867765EC}"/>
    <cellStyle name="Comma 2 10 2 3 4" xfId="3535" xr:uid="{BF32CB22-0F87-49F0-9965-157DAEFF4724}"/>
    <cellStyle name="Comma 2 10 2 3 5" xfId="4661" xr:uid="{8AC719C6-4D8C-40FE-8119-7C49B1D8A603}"/>
    <cellStyle name="Comma 2 10 2 3 6" xfId="5788" xr:uid="{1BDF3949-07AD-43D0-85F4-B5F92575A660}"/>
    <cellStyle name="Comma 2 10 2 3 7" xfId="6915" xr:uid="{709DE2B0-707C-4F22-B4CA-B825B27587C1}"/>
    <cellStyle name="Comma 2 10 2 3 8" xfId="8925" xr:uid="{A8649D18-E0EC-4AD5-9E6B-8C7747189740}"/>
    <cellStyle name="Comma 2 10 2 3 9" xfId="10062" xr:uid="{81B0D52D-0D89-4C9E-B86D-41DFDA865F61}"/>
    <cellStyle name="Comma 2 10 2 4" xfId="147" xr:uid="{AE364372-78AF-45CF-BB86-AEC6D58F5A48}"/>
    <cellStyle name="Comma 2 10 2 4 10" xfId="11188" xr:uid="{7723679E-D9E3-4CD5-8289-8AE3D51BBC42}"/>
    <cellStyle name="Comma 2 10 2 4 11" xfId="11441" xr:uid="{50C1F2C0-DEAF-4EF6-968F-111A8B89DFCB}"/>
    <cellStyle name="Comma 2 10 2 4 12" xfId="13694" xr:uid="{0AC42D6C-ABA9-43CB-BCBB-14B9CD119E82}"/>
    <cellStyle name="Comma 2 10 2 4 13" xfId="15947" xr:uid="{CB061F27-3247-47EF-A87B-8FF8E37424A9}"/>
    <cellStyle name="Comma 2 10 2 4 2" xfId="1284" xr:uid="{94A79A74-A503-4FA4-A261-325E8835C6FB}"/>
    <cellStyle name="Comma 2 10 2 4 2 2" xfId="12568" xr:uid="{6A12B677-3103-4C3D-9D49-8DD04C4B6266}"/>
    <cellStyle name="Comma 2 10 2 4 2 3" xfId="14821" xr:uid="{54DE9635-DE11-44EE-9BF4-03F029BACF9F}"/>
    <cellStyle name="Comma 2 10 2 4 2 4" xfId="17074" xr:uid="{AE272DF7-49C9-4404-8259-A53A7348001C}"/>
    <cellStyle name="Comma 2 10 2 4 3" xfId="2410" xr:uid="{81F26601-5580-40B7-9761-AF33E3695CA2}"/>
    <cellStyle name="Comma 2 10 2 4 4" xfId="3536" xr:uid="{8A46F6C1-806E-45A4-8735-ECF4E1900BB1}"/>
    <cellStyle name="Comma 2 10 2 4 5" xfId="4662" xr:uid="{772DE439-F411-4443-8FE4-1175B429E17D}"/>
    <cellStyle name="Comma 2 10 2 4 6" xfId="5789" xr:uid="{B7823F41-927D-41B6-A261-54681CBE0E4D}"/>
    <cellStyle name="Comma 2 10 2 4 7" xfId="6916" xr:uid="{7A1E6CF1-AA91-4EEB-9951-DDA1E2DEEA48}"/>
    <cellStyle name="Comma 2 10 2 4 8" xfId="8924" xr:uid="{65D4B189-F478-4828-B435-EBD5E36D30B0}"/>
    <cellStyle name="Comma 2 10 2 4 9" xfId="10061" xr:uid="{5023A0BD-C00E-4A52-AB2D-6FDA864BEC04}"/>
    <cellStyle name="Comma 2 10 2 5" xfId="1279" xr:uid="{59AC08A9-A028-4C49-B06A-00D8C7BD58AF}"/>
    <cellStyle name="Comma 2 10 2 5 2" xfId="12563" xr:uid="{C7370F03-3FDC-4599-9F3A-B6800FA219D6}"/>
    <cellStyle name="Comma 2 10 2 5 3" xfId="14816" xr:uid="{9C11C3B5-D273-491C-9849-D36E7277BA6D}"/>
    <cellStyle name="Comma 2 10 2 5 4" xfId="17069" xr:uid="{34C6C0AA-E8AD-49EC-97AF-C478DC94B8E4}"/>
    <cellStyle name="Comma 2 10 2 6" xfId="2405" xr:uid="{8FE0A84A-F977-47BE-9D62-2EF6D68B4219}"/>
    <cellStyle name="Comma 2 10 2 7" xfId="3531" xr:uid="{EBF598BB-E775-45E9-BEA1-9DC648562C7A}"/>
    <cellStyle name="Comma 2 10 2 8" xfId="4657" xr:uid="{6A6F8F7C-6E4E-46A2-BA01-367ABE984440}"/>
    <cellStyle name="Comma 2 10 2 9" xfId="5784" xr:uid="{708EB0A6-27D3-459E-A8C2-0E6783A70204}"/>
    <cellStyle name="Comma 2 10 3" xfId="148" xr:uid="{D909F5F1-173C-442F-A6F7-491E366AC511}"/>
    <cellStyle name="Comma 2 10 3 10" xfId="8923" xr:uid="{6BC37E46-460E-457B-B4B4-C7CFB4C30771}"/>
    <cellStyle name="Comma 2 10 3 11" xfId="10060" xr:uid="{103880BC-621B-44E6-A6F3-29F112597590}"/>
    <cellStyle name="Comma 2 10 3 12" xfId="11187" xr:uid="{ED80E692-1EFF-4FC6-A43E-C687E53C0A59}"/>
    <cellStyle name="Comma 2 10 3 13" xfId="11442" xr:uid="{2E117ACF-53DA-46DA-8A8A-BD4094D86810}"/>
    <cellStyle name="Comma 2 10 3 14" xfId="13695" xr:uid="{7F3CB495-A1A4-41CA-8301-48D3F068A070}"/>
    <cellStyle name="Comma 2 10 3 15" xfId="15948" xr:uid="{54D4DA0D-1E80-4746-8F55-EEB1EAB3CAB2}"/>
    <cellStyle name="Comma 2 10 3 2" xfId="149" xr:uid="{25680DFB-C97B-47BD-8B17-3461AD294571}"/>
    <cellStyle name="Comma 2 10 3 2 10" xfId="11186" xr:uid="{778AB63A-AB25-4870-9355-2952F410EC11}"/>
    <cellStyle name="Comma 2 10 3 2 11" xfId="11443" xr:uid="{9804AC77-F02A-4664-9850-DEA2EFC108DB}"/>
    <cellStyle name="Comma 2 10 3 2 12" xfId="13696" xr:uid="{91C287C9-956C-4582-B0B5-5D1240E31067}"/>
    <cellStyle name="Comma 2 10 3 2 13" xfId="15949" xr:uid="{7E6C72F9-87F6-4610-8A33-87B4188BEC6F}"/>
    <cellStyle name="Comma 2 10 3 2 2" xfId="1286" xr:uid="{0D6B0634-172F-4505-BF20-1BAB587F0760}"/>
    <cellStyle name="Comma 2 10 3 2 2 2" xfId="12570" xr:uid="{E6D32113-0601-4D84-B0B1-A5BC6C466E99}"/>
    <cellStyle name="Comma 2 10 3 2 2 3" xfId="14823" xr:uid="{5A5C9C34-1E7E-4235-B488-2B641447E566}"/>
    <cellStyle name="Comma 2 10 3 2 2 4" xfId="17076" xr:uid="{D5C3869F-D7F3-4929-9B5E-D7936ACAC347}"/>
    <cellStyle name="Comma 2 10 3 2 3" xfId="2412" xr:uid="{E33E3C34-5B10-4231-8520-069D5E59641E}"/>
    <cellStyle name="Comma 2 10 3 2 4" xfId="3538" xr:uid="{4D05D8F0-9B82-444B-BEA8-49203C8F6A8A}"/>
    <cellStyle name="Comma 2 10 3 2 5" xfId="4664" xr:uid="{211BB260-2448-4EEB-A2E0-358F83A8C0B4}"/>
    <cellStyle name="Comma 2 10 3 2 6" xfId="5791" xr:uid="{1EEA59C7-393D-45DB-9F35-F8CFE6BC3B00}"/>
    <cellStyle name="Comma 2 10 3 2 7" xfId="6918" xr:uid="{A823D5A2-0952-49B8-9AFB-C82CACD2DCA0}"/>
    <cellStyle name="Comma 2 10 3 2 8" xfId="8922" xr:uid="{CD937E0E-1B91-4ADD-8FBD-7CB47C6C6F71}"/>
    <cellStyle name="Comma 2 10 3 2 9" xfId="10059" xr:uid="{11DDF9AA-CEBF-46A8-A94F-28CA4450A47E}"/>
    <cellStyle name="Comma 2 10 3 3" xfId="150" xr:uid="{D40A2F81-1A55-4A51-B999-17C132CEEC87}"/>
    <cellStyle name="Comma 2 10 3 3 10" xfId="11185" xr:uid="{6624050B-9C14-4A2C-9FB6-ED0566D21D9C}"/>
    <cellStyle name="Comma 2 10 3 3 11" xfId="11444" xr:uid="{7C6662BA-B55D-4B72-87BC-CEC42A4E8C6F}"/>
    <cellStyle name="Comma 2 10 3 3 12" xfId="13697" xr:uid="{A80241DD-A7BA-43E7-916D-BF974AF141F9}"/>
    <cellStyle name="Comma 2 10 3 3 13" xfId="15950" xr:uid="{983D1C87-2177-4728-80B7-A133341167F6}"/>
    <cellStyle name="Comma 2 10 3 3 2" xfId="1287" xr:uid="{087820D4-1F01-4CF7-8D16-D3207F1C4B29}"/>
    <cellStyle name="Comma 2 10 3 3 2 2" xfId="12571" xr:uid="{C00300D5-8956-4384-AB08-9F815FD09430}"/>
    <cellStyle name="Comma 2 10 3 3 2 3" xfId="14824" xr:uid="{47BD685D-18A0-4200-9B13-58579832CB94}"/>
    <cellStyle name="Comma 2 10 3 3 2 4" xfId="17077" xr:uid="{5C8E631F-0C43-4287-9404-78CF4E830A53}"/>
    <cellStyle name="Comma 2 10 3 3 3" xfId="2413" xr:uid="{80025F93-F80D-46B4-AF9E-5B7106E684D3}"/>
    <cellStyle name="Comma 2 10 3 3 4" xfId="3539" xr:uid="{91B2DFAE-FF15-43F0-942D-AE7FF89D5E09}"/>
    <cellStyle name="Comma 2 10 3 3 5" xfId="4665" xr:uid="{06C594B0-D3CA-4BD0-B8BB-76E044E637B1}"/>
    <cellStyle name="Comma 2 10 3 3 6" xfId="5792" xr:uid="{E225EBC6-6F4A-4C89-BD0F-0F0D092E7388}"/>
    <cellStyle name="Comma 2 10 3 3 7" xfId="6919" xr:uid="{644703E2-863D-4748-A174-D5A77D26FF87}"/>
    <cellStyle name="Comma 2 10 3 3 8" xfId="8921" xr:uid="{1F04126A-9D3B-4D75-A185-C9F5A5373D8E}"/>
    <cellStyle name="Comma 2 10 3 3 9" xfId="10058" xr:uid="{6AFBFBA1-3177-4B16-9B3F-CFE0E00E10DA}"/>
    <cellStyle name="Comma 2 10 3 4" xfId="1285" xr:uid="{FE74B604-BC08-46EC-B03C-2E63995A1487}"/>
    <cellStyle name="Comma 2 10 3 4 2" xfId="12569" xr:uid="{91CA269E-B216-4113-886E-5CE7EE4235A4}"/>
    <cellStyle name="Comma 2 10 3 4 3" xfId="14822" xr:uid="{F2AEF3A5-CC8F-4863-84FB-3CC34EE3EB9A}"/>
    <cellStyle name="Comma 2 10 3 4 4" xfId="17075" xr:uid="{881732F1-B0B7-4C3F-98BF-4360A738ACBF}"/>
    <cellStyle name="Comma 2 10 3 5" xfId="2411" xr:uid="{080542C9-D237-4977-BF5A-24D28E24D22D}"/>
    <cellStyle name="Comma 2 10 3 6" xfId="3537" xr:uid="{5F3B23C6-1843-4D5D-9485-AEDBB80AEB40}"/>
    <cellStyle name="Comma 2 10 3 7" xfId="4663" xr:uid="{BA594B44-91AC-4C00-93BE-9A57819AE0FE}"/>
    <cellStyle name="Comma 2 10 3 8" xfId="5790" xr:uid="{E16868E3-925B-4819-81FD-A22D5C49C8A1}"/>
    <cellStyle name="Comma 2 10 3 9" xfId="6917" xr:uid="{99103073-A76D-429B-A54A-840A6C118600}"/>
    <cellStyle name="Comma 2 10 4" xfId="151" xr:uid="{624175C1-8083-4859-9357-2DD0ACF19DBA}"/>
    <cellStyle name="Comma 2 10 4 10" xfId="11184" xr:uid="{B7FBEDA3-7C14-4C5C-9934-7C0825127497}"/>
    <cellStyle name="Comma 2 10 4 11" xfId="11445" xr:uid="{AFF833A3-DCD8-46EE-96A4-FD062EAB0E30}"/>
    <cellStyle name="Comma 2 10 4 12" xfId="13698" xr:uid="{0F14802F-3E96-4C17-872B-6601B1DA65F1}"/>
    <cellStyle name="Comma 2 10 4 13" xfId="15951" xr:uid="{4231B60F-BD2F-4913-9DE2-D04772F48D13}"/>
    <cellStyle name="Comma 2 10 4 2" xfId="1288" xr:uid="{38D8AE40-0182-43B1-9FE8-B39AC5408737}"/>
    <cellStyle name="Comma 2 10 4 2 2" xfId="12572" xr:uid="{E8839ACB-B04D-46CA-A2A4-497600BD6FA6}"/>
    <cellStyle name="Comma 2 10 4 2 3" xfId="14825" xr:uid="{BB5CCB2F-10DA-42D2-B98D-5DE5C05A08DB}"/>
    <cellStyle name="Comma 2 10 4 2 4" xfId="17078" xr:uid="{9859AF55-8B70-4B90-8BAC-1E86D4EDDEFA}"/>
    <cellStyle name="Comma 2 10 4 3" xfId="2414" xr:uid="{E996479C-6959-43A8-997B-9484A29E4FB4}"/>
    <cellStyle name="Comma 2 10 4 4" xfId="3540" xr:uid="{2A07A06F-D058-44BA-9636-B1B6F9C81EB1}"/>
    <cellStyle name="Comma 2 10 4 5" xfId="4666" xr:uid="{2E81DE37-56FF-4742-9645-93BD402698F1}"/>
    <cellStyle name="Comma 2 10 4 6" xfId="5793" xr:uid="{4E4E3F46-6F8A-4153-AE12-9CF4A4975586}"/>
    <cellStyle name="Comma 2 10 4 7" xfId="6920" xr:uid="{75FED3C6-0315-42F0-AF7E-FFD50C0CBF0A}"/>
    <cellStyle name="Comma 2 10 4 8" xfId="8920" xr:uid="{29DE2297-9D4C-4169-90E7-9820F351E34C}"/>
    <cellStyle name="Comma 2 10 4 9" xfId="10057" xr:uid="{832888D7-FF60-4807-A7B6-A102F982B84F}"/>
    <cellStyle name="Comma 2 10 5" xfId="152" xr:uid="{B1BA1F1B-B97A-4881-BC5F-D8DF78201DF0}"/>
    <cellStyle name="Comma 2 10 5 10" xfId="11183" xr:uid="{BC5BF12B-6972-4475-8A31-8DB49432C4AC}"/>
    <cellStyle name="Comma 2 10 5 11" xfId="11446" xr:uid="{1EB6AEF3-C594-4F73-86FD-BE56523FD4CA}"/>
    <cellStyle name="Comma 2 10 5 12" xfId="13699" xr:uid="{6749C6AC-2133-4CDD-A75D-4F8A73C67F18}"/>
    <cellStyle name="Comma 2 10 5 13" xfId="15952" xr:uid="{91929F84-EB88-4841-8D4C-D03349A6B050}"/>
    <cellStyle name="Comma 2 10 5 2" xfId="1289" xr:uid="{B53D48AA-0E78-4F9E-B4D0-BB1DE93E1B33}"/>
    <cellStyle name="Comma 2 10 5 2 2" xfId="12573" xr:uid="{505832DB-CBD6-46A9-B2A9-EB82E8DEE68D}"/>
    <cellStyle name="Comma 2 10 5 2 3" xfId="14826" xr:uid="{9D399449-890C-4F8E-AF43-0F1A3A258355}"/>
    <cellStyle name="Comma 2 10 5 2 4" xfId="17079" xr:uid="{8A69CADD-4A3F-4EA1-9D90-3CEF2B12AEBC}"/>
    <cellStyle name="Comma 2 10 5 3" xfId="2415" xr:uid="{B7390B24-32D5-44A1-AABC-45F681891502}"/>
    <cellStyle name="Comma 2 10 5 4" xfId="3541" xr:uid="{C3198B8C-277E-4080-8315-A48F6374AA76}"/>
    <cellStyle name="Comma 2 10 5 5" xfId="4667" xr:uid="{DE3BB8C0-E3D5-495F-8EFC-9D92028AE605}"/>
    <cellStyle name="Comma 2 10 5 6" xfId="5794" xr:uid="{45CFCD61-31E6-4ED5-AD35-13F2EF5A83BF}"/>
    <cellStyle name="Comma 2 10 5 7" xfId="6921" xr:uid="{760467D0-E882-4785-B01C-9CBBA8AD0002}"/>
    <cellStyle name="Comma 2 10 5 8" xfId="8919" xr:uid="{E09A0CC3-E47D-4A58-B314-7328340B6C12}"/>
    <cellStyle name="Comma 2 10 5 9" xfId="10056" xr:uid="{969ABD62-31BF-4E8C-9CF2-DA453AE4E010}"/>
    <cellStyle name="Comma 2 10 6" xfId="1278" xr:uid="{38241F2F-42B6-4FA3-9682-767D5EF02FF8}"/>
    <cellStyle name="Comma 2 10 6 2" xfId="12562" xr:uid="{6F1D70B2-6753-46F1-875D-DFECBF6B8EA3}"/>
    <cellStyle name="Comma 2 10 6 3" xfId="14815" xr:uid="{0A8D7D27-335A-4D84-A9EC-AB20633E2646}"/>
    <cellStyle name="Comma 2 10 6 4" xfId="17068" xr:uid="{66FF721D-0337-4BA9-92AB-CC3F7176A589}"/>
    <cellStyle name="Comma 2 10 7" xfId="2404" xr:uid="{DCA2F443-8A8B-46AF-8447-E2A0BE5BEAA8}"/>
    <cellStyle name="Comma 2 10 8" xfId="3530" xr:uid="{C8FAFCA7-BB54-4E3C-A08F-FD8269F9146E}"/>
    <cellStyle name="Comma 2 10 9" xfId="4656" xr:uid="{39930514-91A7-4F04-B37E-0D1AF1C12FCE}"/>
    <cellStyle name="Comma 2 11" xfId="153" xr:uid="{673A2231-FEB8-426E-8CF3-87CA5C5253FF}"/>
    <cellStyle name="Comma 2 11 10" xfId="6922" xr:uid="{295A9B68-EA06-42B3-8833-37666618B253}"/>
    <cellStyle name="Comma 2 11 11" xfId="8918" xr:uid="{F88EE121-283D-44B0-B74C-867B9D1F1A5B}"/>
    <cellStyle name="Comma 2 11 12" xfId="10055" xr:uid="{15EAE8F6-AC9C-4613-82D7-12B93E218532}"/>
    <cellStyle name="Comma 2 11 13" xfId="11182" xr:uid="{E2581E84-BC86-4323-AE36-3C4555160127}"/>
    <cellStyle name="Comma 2 11 14" xfId="11447" xr:uid="{7AA607DA-C610-4630-8D6C-484DDDF0B143}"/>
    <cellStyle name="Comma 2 11 15" xfId="13700" xr:uid="{5C576755-C8D5-41E0-B35F-0A2FA1DD1DDF}"/>
    <cellStyle name="Comma 2 11 16" xfId="15953" xr:uid="{C873C26B-A288-4076-B6D2-7319DEFE9F19}"/>
    <cellStyle name="Comma 2 11 2" xfId="154" xr:uid="{9EEA91AD-B9D4-496E-9664-5D30ECB2A628}"/>
    <cellStyle name="Comma 2 11 2 10" xfId="8917" xr:uid="{36FFCD1A-3B9C-4EFE-88CE-C50D4C58FEC4}"/>
    <cellStyle name="Comma 2 11 2 11" xfId="10054" xr:uid="{358F9B08-09B5-4FAA-840D-73561F086900}"/>
    <cellStyle name="Comma 2 11 2 12" xfId="11181" xr:uid="{5AF2C96C-C96C-40DC-9BB9-B2037A5045CC}"/>
    <cellStyle name="Comma 2 11 2 13" xfId="11448" xr:uid="{5BE523F3-30F3-4B8E-B397-EB38C9F3209F}"/>
    <cellStyle name="Comma 2 11 2 14" xfId="13701" xr:uid="{15D9D53B-96CC-4934-9016-BAE1BE28FF91}"/>
    <cellStyle name="Comma 2 11 2 15" xfId="15954" xr:uid="{8D0C10ED-7805-42B6-8D87-33CF425AA794}"/>
    <cellStyle name="Comma 2 11 2 2" xfId="155" xr:uid="{6CA4FCB6-0E12-4E40-AE28-DFE3D28F7292}"/>
    <cellStyle name="Comma 2 11 2 2 10" xfId="11180" xr:uid="{2791186E-4E86-4EBD-8C93-B526E391D3C0}"/>
    <cellStyle name="Comma 2 11 2 2 11" xfId="11449" xr:uid="{A7AA8C0B-317B-4176-9F9C-1D296567AA87}"/>
    <cellStyle name="Comma 2 11 2 2 12" xfId="13702" xr:uid="{F3EF67BD-1457-46CB-81F0-D2E32247631F}"/>
    <cellStyle name="Comma 2 11 2 2 13" xfId="15955" xr:uid="{84DC31CC-2B70-4FEF-B747-AEAEE442D7C8}"/>
    <cellStyle name="Comma 2 11 2 2 2" xfId="1292" xr:uid="{2F06EC18-E017-47F0-BCD4-7921BBFF933C}"/>
    <cellStyle name="Comma 2 11 2 2 2 2" xfId="12576" xr:uid="{0DE12EAF-8928-412F-8225-BC90A1B4F04C}"/>
    <cellStyle name="Comma 2 11 2 2 2 3" xfId="14829" xr:uid="{CE0260CC-1113-49C0-A65C-57C174C73810}"/>
    <cellStyle name="Comma 2 11 2 2 2 4" xfId="17082" xr:uid="{224DA70E-9898-462C-9DBD-1EA48B469B39}"/>
    <cellStyle name="Comma 2 11 2 2 3" xfId="2418" xr:uid="{4D3695BE-C5F6-4FB2-AC34-FD689958F6D7}"/>
    <cellStyle name="Comma 2 11 2 2 4" xfId="3544" xr:uid="{1ABB5A73-59DD-4C29-93AE-E4CACC379255}"/>
    <cellStyle name="Comma 2 11 2 2 5" xfId="4670" xr:uid="{56DFAE3A-AAAE-4998-80E1-A249A0A0FA83}"/>
    <cellStyle name="Comma 2 11 2 2 6" xfId="5797" xr:uid="{64211921-0E39-460B-8048-9C0CE1E661FC}"/>
    <cellStyle name="Comma 2 11 2 2 7" xfId="6924" xr:uid="{ACD88283-AE52-4C63-9560-A24D380D29F0}"/>
    <cellStyle name="Comma 2 11 2 2 8" xfId="8916" xr:uid="{D251D2C1-3F9A-4984-8630-D4F6C0084E85}"/>
    <cellStyle name="Comma 2 11 2 2 9" xfId="10053" xr:uid="{4971CA4F-1933-42D8-A4B8-11C25FA04E1C}"/>
    <cellStyle name="Comma 2 11 2 3" xfId="156" xr:uid="{0822B7B2-C6D1-482E-A6A1-718BBA171FFC}"/>
    <cellStyle name="Comma 2 11 2 3 10" xfId="11179" xr:uid="{EB2D6CAE-1EF0-4666-B40F-8BA387AA9004}"/>
    <cellStyle name="Comma 2 11 2 3 11" xfId="11450" xr:uid="{27E28B54-625B-474F-9F9A-99DA95413A8D}"/>
    <cellStyle name="Comma 2 11 2 3 12" xfId="13703" xr:uid="{4C672277-B2AE-469F-A9C9-58D93119EE88}"/>
    <cellStyle name="Comma 2 11 2 3 13" xfId="15956" xr:uid="{2815D390-6822-44E5-BDD8-EE60C32F2EC4}"/>
    <cellStyle name="Comma 2 11 2 3 2" xfId="1293" xr:uid="{AE0774D5-C826-4CAF-A2D6-9E2E856780F8}"/>
    <cellStyle name="Comma 2 11 2 3 2 2" xfId="12577" xr:uid="{7D36786B-78A8-43C0-AA37-C60AD8AF2A5C}"/>
    <cellStyle name="Comma 2 11 2 3 2 3" xfId="14830" xr:uid="{153A7635-DCE6-43F6-AA57-F6D1C04CA86C}"/>
    <cellStyle name="Comma 2 11 2 3 2 4" xfId="17083" xr:uid="{10DF1772-397B-47AA-8433-D0EC988B4BF4}"/>
    <cellStyle name="Comma 2 11 2 3 3" xfId="2419" xr:uid="{B2888DF0-059D-4D77-B4A8-C8E237DFBD2D}"/>
    <cellStyle name="Comma 2 11 2 3 4" xfId="3545" xr:uid="{A1BE99B0-EE4B-47AA-BA86-2B193912BB41}"/>
    <cellStyle name="Comma 2 11 2 3 5" xfId="4671" xr:uid="{8B8BD0F2-11D6-4C83-9596-BB0329251D9F}"/>
    <cellStyle name="Comma 2 11 2 3 6" xfId="5798" xr:uid="{156825DC-8B10-4B59-B075-85324082AED0}"/>
    <cellStyle name="Comma 2 11 2 3 7" xfId="6925" xr:uid="{7DADFB1A-38F0-4F68-9AD4-A6490C721140}"/>
    <cellStyle name="Comma 2 11 2 3 8" xfId="8915" xr:uid="{31E28EAC-25DF-412A-BD25-1404CA3E8EE9}"/>
    <cellStyle name="Comma 2 11 2 3 9" xfId="10052" xr:uid="{0014A0E1-DBE1-4547-9B21-B8705E4B5CF0}"/>
    <cellStyle name="Comma 2 11 2 4" xfId="1291" xr:uid="{EB1A7B6F-B2A8-4802-B15E-720258F2421F}"/>
    <cellStyle name="Comma 2 11 2 4 2" xfId="12575" xr:uid="{CBCFF008-339F-4D32-A6CB-224EF3E6261E}"/>
    <cellStyle name="Comma 2 11 2 4 3" xfId="14828" xr:uid="{5B822331-134E-4365-96D3-77FCFAA5E11E}"/>
    <cellStyle name="Comma 2 11 2 4 4" xfId="17081" xr:uid="{EB81EEB7-41DE-449A-9CDF-887FC37BA322}"/>
    <cellStyle name="Comma 2 11 2 5" xfId="2417" xr:uid="{FFAEA3DF-F30F-4263-9495-74125E51CF21}"/>
    <cellStyle name="Comma 2 11 2 6" xfId="3543" xr:uid="{ED44985A-289A-40DD-9719-8D1FBA1793B8}"/>
    <cellStyle name="Comma 2 11 2 7" xfId="4669" xr:uid="{5AA6DF34-ACD2-4E90-B433-B32A7CE7C547}"/>
    <cellStyle name="Comma 2 11 2 8" xfId="5796" xr:uid="{840C09DD-C7CF-485A-AFD9-222B8015D94D}"/>
    <cellStyle name="Comma 2 11 2 9" xfId="6923" xr:uid="{E76EDFE2-7FB5-43BB-BE35-220CC31A5486}"/>
    <cellStyle name="Comma 2 11 3" xfId="157" xr:uid="{4139605B-17E5-4CE5-BCC4-8FE415857BCC}"/>
    <cellStyle name="Comma 2 11 3 10" xfId="11178" xr:uid="{4279F175-92DD-4392-B3BD-D51CBB5B0039}"/>
    <cellStyle name="Comma 2 11 3 11" xfId="11451" xr:uid="{4F8A8994-5971-4F81-B08D-551E856CD4F7}"/>
    <cellStyle name="Comma 2 11 3 12" xfId="13704" xr:uid="{5673A72C-7665-403C-B26B-D89759AE8484}"/>
    <cellStyle name="Comma 2 11 3 13" xfId="15957" xr:uid="{167A5146-FBD4-498B-AA7D-81FCB287408B}"/>
    <cellStyle name="Comma 2 11 3 2" xfId="1294" xr:uid="{69D80F01-B452-4AB7-9C4E-306174B48F58}"/>
    <cellStyle name="Comma 2 11 3 2 2" xfId="12578" xr:uid="{61668637-2D31-406A-8467-5786A0ADE5A1}"/>
    <cellStyle name="Comma 2 11 3 2 3" xfId="14831" xr:uid="{39AC449F-5EEC-4740-9F03-7FB77B6A1BD2}"/>
    <cellStyle name="Comma 2 11 3 2 4" xfId="17084" xr:uid="{EE9C1E4A-E688-4ADB-8C2E-9A7CDE23A3C8}"/>
    <cellStyle name="Comma 2 11 3 3" xfId="2420" xr:uid="{ED557EE3-3A05-486C-86B2-C54C370D3DFC}"/>
    <cellStyle name="Comma 2 11 3 4" xfId="3546" xr:uid="{9E3AF8F4-2D83-43B1-B2B5-B70A94823A71}"/>
    <cellStyle name="Comma 2 11 3 5" xfId="4672" xr:uid="{62B10046-F0DA-49CC-83AF-242C8BD69692}"/>
    <cellStyle name="Comma 2 11 3 6" xfId="5799" xr:uid="{F4FF3CC9-DDA6-40A0-890C-B7FD566ACE5D}"/>
    <cellStyle name="Comma 2 11 3 7" xfId="6926" xr:uid="{0366267D-2C5A-4D02-853C-8219101D65D8}"/>
    <cellStyle name="Comma 2 11 3 8" xfId="8914" xr:uid="{151C23CA-8E33-4127-AB58-4C9209037481}"/>
    <cellStyle name="Comma 2 11 3 9" xfId="10051" xr:uid="{100AA5BC-E5DF-49F2-B72C-ADC8E9D0E403}"/>
    <cellStyle name="Comma 2 11 4" xfId="158" xr:uid="{E92941F5-7319-4B9D-89E3-63E779BB824F}"/>
    <cellStyle name="Comma 2 11 4 10" xfId="11177" xr:uid="{05530C92-83A4-4149-8D41-FC10BDCDC639}"/>
    <cellStyle name="Comma 2 11 4 11" xfId="11452" xr:uid="{09C19FAF-290C-46C6-AB3F-240F8B058547}"/>
    <cellStyle name="Comma 2 11 4 12" xfId="13705" xr:uid="{6146D945-DCFB-42CE-B946-FE760847F4CF}"/>
    <cellStyle name="Comma 2 11 4 13" xfId="15958" xr:uid="{43C3945F-8328-40C8-A3F9-2DC803D22CE8}"/>
    <cellStyle name="Comma 2 11 4 2" xfId="1295" xr:uid="{81AADBB4-0579-4176-B693-D00CE56A7270}"/>
    <cellStyle name="Comma 2 11 4 2 2" xfId="12579" xr:uid="{4FB639E3-521A-4357-A557-8DC7CCC02AB3}"/>
    <cellStyle name="Comma 2 11 4 2 3" xfId="14832" xr:uid="{A227B5C1-DECD-4821-9AF3-CFF70DCF335D}"/>
    <cellStyle name="Comma 2 11 4 2 4" xfId="17085" xr:uid="{6C81DE7A-4E64-495D-ACB8-FFFFD1685B3B}"/>
    <cellStyle name="Comma 2 11 4 3" xfId="2421" xr:uid="{89C68811-3C06-4923-9945-928A1B0EB54B}"/>
    <cellStyle name="Comma 2 11 4 4" xfId="3547" xr:uid="{56FB1A14-FBD6-4024-994B-1FEDF45C8CD1}"/>
    <cellStyle name="Comma 2 11 4 5" xfId="4673" xr:uid="{16875FFC-D52B-4294-B533-B2240C855C0B}"/>
    <cellStyle name="Comma 2 11 4 6" xfId="5800" xr:uid="{734F2C8B-5376-40E5-9EBB-9DDAF40B230D}"/>
    <cellStyle name="Comma 2 11 4 7" xfId="6927" xr:uid="{DA61F25D-C291-4880-99EC-02EF7A0341AD}"/>
    <cellStyle name="Comma 2 11 4 8" xfId="8913" xr:uid="{1179F349-ECDA-4804-B26F-415A6F3A95A4}"/>
    <cellStyle name="Comma 2 11 4 9" xfId="10050" xr:uid="{31CB4A23-C2AD-4DF3-B4BD-8F915B3D6A1B}"/>
    <cellStyle name="Comma 2 11 5" xfId="1290" xr:uid="{2C393878-A60C-4D2C-A5C0-86CEF822FDCD}"/>
    <cellStyle name="Comma 2 11 5 2" xfId="12574" xr:uid="{DF1F3F0F-7E62-4607-AAEE-8535EF6EA367}"/>
    <cellStyle name="Comma 2 11 5 3" xfId="14827" xr:uid="{E51397E0-A83B-43B8-87B5-CDF807DE21E2}"/>
    <cellStyle name="Comma 2 11 5 4" xfId="17080" xr:uid="{72F9FDFD-04CE-4840-B204-4EBFC8C3C469}"/>
    <cellStyle name="Comma 2 11 6" xfId="2416" xr:uid="{BAB9E4D5-EB71-4AD0-9116-5A5D9D9314CE}"/>
    <cellStyle name="Comma 2 11 7" xfId="3542" xr:uid="{EEF9BFDF-A1B8-4F2F-B92A-F07BEB93B5E7}"/>
    <cellStyle name="Comma 2 11 8" xfId="4668" xr:uid="{A28C0A41-EB4A-48F0-9294-3EB683E2FBF0}"/>
    <cellStyle name="Comma 2 11 9" xfId="5795" xr:uid="{2D6805AB-902A-49D4-8CD6-40C7A530A74C}"/>
    <cellStyle name="Comma 2 12" xfId="159" xr:uid="{8CC1E862-1903-47EC-887D-D13EF2A1582C}"/>
    <cellStyle name="Comma 2 12 10" xfId="8912" xr:uid="{39EA0B96-3DCD-4DED-ACFD-C2E38ABD254D}"/>
    <cellStyle name="Comma 2 12 11" xfId="10049" xr:uid="{69B3AA02-E10F-466D-9B70-18BCF49E440B}"/>
    <cellStyle name="Comma 2 12 12" xfId="11176" xr:uid="{DF4A6FDB-30ED-4B91-92FC-12D26ECB5408}"/>
    <cellStyle name="Comma 2 12 13" xfId="11453" xr:uid="{890151E7-10FD-4BBA-95BA-CE6521985233}"/>
    <cellStyle name="Comma 2 12 14" xfId="13706" xr:uid="{60D61126-8A10-47C2-84E5-8F74DE2CDC92}"/>
    <cellStyle name="Comma 2 12 15" xfId="15959" xr:uid="{238562E3-64AB-494F-BBC2-5A8FE179639E}"/>
    <cellStyle name="Comma 2 12 2" xfId="160" xr:uid="{B8030018-E62E-419D-9790-C78DBD785EBB}"/>
    <cellStyle name="Comma 2 12 2 10" xfId="11175" xr:uid="{C0AAB8FF-62B4-44DB-A8E4-4F6FA6FEE00F}"/>
    <cellStyle name="Comma 2 12 2 11" xfId="11454" xr:uid="{0566EEE5-FD5C-4EF7-91BA-7ADC45C7F89A}"/>
    <cellStyle name="Comma 2 12 2 12" xfId="13707" xr:uid="{9ED85565-EFFB-46E1-8DD3-3020078B0F59}"/>
    <cellStyle name="Comma 2 12 2 13" xfId="15960" xr:uid="{C7F61F8A-B092-4D9A-AFF5-EB4B5F85A2B5}"/>
    <cellStyle name="Comma 2 12 2 2" xfId="1297" xr:uid="{F4110B87-ED2B-433D-8395-13681C01B004}"/>
    <cellStyle name="Comma 2 12 2 2 2" xfId="12581" xr:uid="{7E4CB5F7-D8A1-46BF-A402-F265A0CEA1B7}"/>
    <cellStyle name="Comma 2 12 2 2 3" xfId="14834" xr:uid="{48F0DD69-E298-4477-AB38-16B06CA000A6}"/>
    <cellStyle name="Comma 2 12 2 2 4" xfId="17087" xr:uid="{D07903FB-57A4-400E-A54C-772183F87957}"/>
    <cellStyle name="Comma 2 12 2 3" xfId="2423" xr:uid="{8A7ED826-2E36-42BB-88DB-0405BE737F31}"/>
    <cellStyle name="Comma 2 12 2 4" xfId="3549" xr:uid="{A6FFFD1B-E948-4355-BCE7-B5D3465268AE}"/>
    <cellStyle name="Comma 2 12 2 5" xfId="4675" xr:uid="{E5B4C0C4-7EB5-4C78-8BD5-3CE164F39097}"/>
    <cellStyle name="Comma 2 12 2 6" xfId="5802" xr:uid="{E19F1F0D-C3D0-4BA1-94C2-6476DB904E74}"/>
    <cellStyle name="Comma 2 12 2 7" xfId="6929" xr:uid="{56163684-ACAF-44E7-ACB6-C36030DE27BE}"/>
    <cellStyle name="Comma 2 12 2 8" xfId="8911" xr:uid="{5828A92C-587E-428D-8E93-2B57045A7851}"/>
    <cellStyle name="Comma 2 12 2 9" xfId="10048" xr:uid="{77435FBE-18B6-412A-9A9C-F822B90C5129}"/>
    <cellStyle name="Comma 2 12 3" xfId="161" xr:uid="{3855148A-42D8-4BB9-A996-21F3379BE810}"/>
    <cellStyle name="Comma 2 12 3 10" xfId="11174" xr:uid="{C9E77AF8-6175-4FEE-8FCB-5F5642C2A97E}"/>
    <cellStyle name="Comma 2 12 3 11" xfId="11455" xr:uid="{61C85F5D-3D25-4D49-B30E-7BB471E4A013}"/>
    <cellStyle name="Comma 2 12 3 12" xfId="13708" xr:uid="{E5A64621-2FC2-4A5B-9A0C-BAE3C99CC321}"/>
    <cellStyle name="Comma 2 12 3 13" xfId="15961" xr:uid="{88F0E956-93AA-461E-B103-C54CA7A570DB}"/>
    <cellStyle name="Comma 2 12 3 2" xfId="1298" xr:uid="{2487C34C-320C-43E2-957C-838578C2CEB0}"/>
    <cellStyle name="Comma 2 12 3 2 2" xfId="12582" xr:uid="{7D1A52DF-CCB6-4C38-9882-9146CF26519B}"/>
    <cellStyle name="Comma 2 12 3 2 3" xfId="14835" xr:uid="{BE03C5B9-F550-4945-B1EB-1635B66C5BCA}"/>
    <cellStyle name="Comma 2 12 3 2 4" xfId="17088" xr:uid="{46F6C697-F04A-4A28-B5D3-9CC16409F844}"/>
    <cellStyle name="Comma 2 12 3 3" xfId="2424" xr:uid="{46ADD198-42C9-4524-9F31-ACAF55C007A8}"/>
    <cellStyle name="Comma 2 12 3 4" xfId="3550" xr:uid="{E0BFAEAB-427D-4828-AEB7-D32CFD97327B}"/>
    <cellStyle name="Comma 2 12 3 5" xfId="4676" xr:uid="{8E625591-5CC7-4BCD-812F-FBE0675744FB}"/>
    <cellStyle name="Comma 2 12 3 6" xfId="5803" xr:uid="{1E8BBA96-8ADE-48E5-A6B8-23CD88C40F02}"/>
    <cellStyle name="Comma 2 12 3 7" xfId="6930" xr:uid="{A1FD86B9-A3F1-403E-89EA-C183FDAE0323}"/>
    <cellStyle name="Comma 2 12 3 8" xfId="8910" xr:uid="{442138B1-638E-4402-A41F-D9ADB1EFB4A1}"/>
    <cellStyle name="Comma 2 12 3 9" xfId="10047" xr:uid="{EBFAD81C-DA4C-4394-AF00-B8E67B21FEE4}"/>
    <cellStyle name="Comma 2 12 4" xfId="1296" xr:uid="{8E79B550-9773-49A1-BCFE-58051E3D5A31}"/>
    <cellStyle name="Comma 2 12 4 2" xfId="12580" xr:uid="{2A7FB275-E096-4ED6-9B7D-A6C8D5F0EFAF}"/>
    <cellStyle name="Comma 2 12 4 3" xfId="14833" xr:uid="{CDD491CF-2EC5-45EC-88D4-F3367A4AE986}"/>
    <cellStyle name="Comma 2 12 4 4" xfId="17086" xr:uid="{51CA2518-03B3-402E-B508-9E819D15429E}"/>
    <cellStyle name="Comma 2 12 5" xfId="2422" xr:uid="{123D5EDC-8292-4C9B-88A2-B05792763813}"/>
    <cellStyle name="Comma 2 12 6" xfId="3548" xr:uid="{AD96771C-E0CC-44EB-A0A8-BA239BE7D4A3}"/>
    <cellStyle name="Comma 2 12 7" xfId="4674" xr:uid="{B709F588-4712-4C3D-A376-D0D0AF17BE79}"/>
    <cellStyle name="Comma 2 12 8" xfId="5801" xr:uid="{C168B727-D95A-4E39-B19A-4F10E4560E76}"/>
    <cellStyle name="Comma 2 12 9" xfId="6928" xr:uid="{A91D1411-91E3-406F-BF33-9F1FCE4D810B}"/>
    <cellStyle name="Comma 2 13" xfId="162" xr:uid="{E159477A-8C39-4452-BEF6-7C0364D376A8}"/>
    <cellStyle name="Comma 2 13 10" xfId="11173" xr:uid="{50397CF4-C8DC-4FDA-8F9A-D8225C7D9E73}"/>
    <cellStyle name="Comma 2 13 11" xfId="11456" xr:uid="{3F3E17EF-99EC-440D-B88E-1FEB47E4364A}"/>
    <cellStyle name="Comma 2 13 12" xfId="13709" xr:uid="{D27D4BC6-D4EF-4343-B91E-AAAA4268F774}"/>
    <cellStyle name="Comma 2 13 13" xfId="15962" xr:uid="{7370F096-0479-43C0-8B6E-09A224DBD011}"/>
    <cellStyle name="Comma 2 13 2" xfId="1299" xr:uid="{29C0C741-B0A8-43D7-9CEC-C071C15F9705}"/>
    <cellStyle name="Comma 2 13 2 2" xfId="12583" xr:uid="{C9D9C16A-4AA3-4A63-BC07-21442BB1D8C9}"/>
    <cellStyle name="Comma 2 13 2 3" xfId="14836" xr:uid="{182033DC-717D-4D1B-AD99-1FB555449C4E}"/>
    <cellStyle name="Comma 2 13 2 4" xfId="17089" xr:uid="{5E9FA117-9E89-4B8F-9C6C-5DA3CA12381E}"/>
    <cellStyle name="Comma 2 13 3" xfId="2425" xr:uid="{25A0513A-0FF6-476C-807F-18C71BEBFD79}"/>
    <cellStyle name="Comma 2 13 4" xfId="3551" xr:uid="{EAF42FF3-3413-44DC-8823-5D36AFBD72B7}"/>
    <cellStyle name="Comma 2 13 5" xfId="4677" xr:uid="{E40713E2-D566-4419-B4A8-78F51849C6A0}"/>
    <cellStyle name="Comma 2 13 6" xfId="5804" xr:uid="{133A0E11-C325-42B7-8B5E-781AB6F10D83}"/>
    <cellStyle name="Comma 2 13 7" xfId="6931" xr:uid="{CB9879C4-2B2A-4C13-A626-DDBE60185785}"/>
    <cellStyle name="Comma 2 13 8" xfId="8909" xr:uid="{7EBFF504-6EA1-48C1-ACDD-D57245C714D9}"/>
    <cellStyle name="Comma 2 13 9" xfId="10046" xr:uid="{C20AC856-AF8E-4833-8660-93E87807289A}"/>
    <cellStyle name="Comma 2 14" xfId="163" xr:uid="{8AC3DA3C-1B72-447F-BE9A-79812D3D52E0}"/>
    <cellStyle name="Comma 2 14 10" xfId="11172" xr:uid="{4A7680FB-245C-4829-A715-9A98B1745FF1}"/>
    <cellStyle name="Comma 2 14 11" xfId="11457" xr:uid="{71CC1FCB-EA27-4AB3-8E23-F77A7832F5E3}"/>
    <cellStyle name="Comma 2 14 12" xfId="13710" xr:uid="{8D5783B1-D99B-41D3-BB56-BDC201D72270}"/>
    <cellStyle name="Comma 2 14 13" xfId="15963" xr:uid="{5623984E-62CA-4CC1-ABA8-C88CAE6F580D}"/>
    <cellStyle name="Comma 2 14 2" xfId="1300" xr:uid="{697C46F9-2E3C-49E4-8B01-294AE81DF2C6}"/>
    <cellStyle name="Comma 2 14 2 2" xfId="12584" xr:uid="{DE1FB869-B19B-4B8D-BAC2-B6F15CFDD534}"/>
    <cellStyle name="Comma 2 14 2 3" xfId="14837" xr:uid="{EFFC2D2A-A1AD-4FCF-A19B-30B2A86CBB68}"/>
    <cellStyle name="Comma 2 14 2 4" xfId="17090" xr:uid="{A38CAC0A-7521-4323-8ED1-2F64F84B176C}"/>
    <cellStyle name="Comma 2 14 3" xfId="2426" xr:uid="{23C2D67E-529A-4014-B638-EBC0A774C8C0}"/>
    <cellStyle name="Comma 2 14 4" xfId="3552" xr:uid="{A7748801-6C56-4A1E-B8A6-1EF05B429DEE}"/>
    <cellStyle name="Comma 2 14 5" xfId="4678" xr:uid="{288D784B-9EB7-44E0-8877-89D9DE11CBA8}"/>
    <cellStyle name="Comma 2 14 6" xfId="5805" xr:uid="{3FB456B2-958A-4DB1-AECE-15BAC0627D2B}"/>
    <cellStyle name="Comma 2 14 7" xfId="6932" xr:uid="{79DAD01D-3058-407B-95B9-419024FBD224}"/>
    <cellStyle name="Comma 2 14 8" xfId="8908" xr:uid="{36F4108A-426E-4805-AFDA-7CDE15E2C462}"/>
    <cellStyle name="Comma 2 14 9" xfId="10045" xr:uid="{2D335CD9-2750-4E98-B79C-EF978022189C}"/>
    <cellStyle name="Comma 2 15" xfId="140" xr:uid="{F07A09EA-D10B-4E3A-8034-FBF642A42DC8}"/>
    <cellStyle name="Comma 2 15 2" xfId="12561" xr:uid="{C470E80D-F33F-428C-8C20-045F260F1CD9}"/>
    <cellStyle name="Comma 2 15 3" xfId="14814" xr:uid="{A965C45D-421F-406E-837E-B23F4B728406}"/>
    <cellStyle name="Comma 2 15 4" xfId="17067" xr:uid="{7FF4BFFE-4024-481D-A9B8-06677FCD6C1C}"/>
    <cellStyle name="Comma 2 16" xfId="1277" xr:uid="{2E963E9E-067B-4DBD-8A70-8EB99FA2F579}"/>
    <cellStyle name="Comma 2 17" xfId="2403" xr:uid="{937B8780-FF5E-4766-9212-C0F902D549CE}"/>
    <cellStyle name="Comma 2 18" xfId="3529" xr:uid="{7F0BC159-F5F7-4AC4-93C1-805E637ED36B}"/>
    <cellStyle name="Comma 2 19" xfId="4655" xr:uid="{BA5009FB-39A3-4AF6-8013-8DFD24636453}"/>
    <cellStyle name="Comma 2 2" xfId="7" xr:uid="{00000000-0005-0000-0000-000033000000}"/>
    <cellStyle name="Comma 2 2 10" xfId="2427" xr:uid="{129E2776-8A2A-4AF5-899C-82584ABF9815}"/>
    <cellStyle name="Comma 2 2 11" xfId="3553" xr:uid="{6A3D6EA2-0B36-4E2C-B091-127502DC1338}"/>
    <cellStyle name="Comma 2 2 12" xfId="4679" xr:uid="{F469F1ED-BEDB-442D-8FEE-A4C853F2AF6C}"/>
    <cellStyle name="Comma 2 2 13" xfId="5806" xr:uid="{12ECB597-3CD3-4211-BA03-DFBF686F3D53}"/>
    <cellStyle name="Comma 2 2 14" xfId="6933" xr:uid="{DFB951B2-5247-4A79-AFB9-4AFF3A16EDAD}"/>
    <cellStyle name="Comma 2 2 15" xfId="8907" xr:uid="{C4A499E3-607C-483E-ADA9-358A7D0534D7}"/>
    <cellStyle name="Comma 2 2 16" xfId="10044" xr:uid="{526102B5-0B52-4EFE-AFAA-38995B07AEED}"/>
    <cellStyle name="Comma 2 2 17" xfId="11171" xr:uid="{7DDBBDD4-AC0E-4266-8EF9-D72454FD59C4}"/>
    <cellStyle name="Comma 2 2 18" xfId="11458" xr:uid="{0733BA53-FC61-45C9-A388-68DAA5E4B290}"/>
    <cellStyle name="Comma 2 2 19" xfId="13711" xr:uid="{55C01058-342C-48AF-8B86-3EEA1AE5BF25}"/>
    <cellStyle name="Comma 2 2 2" xfId="8" xr:uid="{00000000-0005-0000-0000-000034000000}"/>
    <cellStyle name="Comma 2 2 2 10" xfId="3554" xr:uid="{A4D24526-A1F2-479B-B907-FBB24259E29F}"/>
    <cellStyle name="Comma 2 2 2 11" xfId="4680" xr:uid="{74290CDE-0319-421F-9598-F002FA543022}"/>
    <cellStyle name="Comma 2 2 2 12" xfId="5807" xr:uid="{467F9BCB-A4E5-449E-96A4-F25FC7DB8A57}"/>
    <cellStyle name="Comma 2 2 2 13" xfId="6934" xr:uid="{599CEAD7-DD1B-4A6E-8301-BBC5D6B0DB17}"/>
    <cellStyle name="Comma 2 2 2 14" xfId="8906" xr:uid="{EFF883D6-039A-40F4-B9E3-0FA31559928C}"/>
    <cellStyle name="Comma 2 2 2 15" xfId="10043" xr:uid="{34172D3D-9814-4A2E-BE3B-1E7779A129B8}"/>
    <cellStyle name="Comma 2 2 2 16" xfId="11170" xr:uid="{277D2913-443C-4E95-AA78-49CE6D85A9C0}"/>
    <cellStyle name="Comma 2 2 2 17" xfId="11459" xr:uid="{9748AC66-EBA9-4197-8B79-C9A303D41F7E}"/>
    <cellStyle name="Comma 2 2 2 18" xfId="13712" xr:uid="{96AB298C-A759-4224-BEE3-308D92004F6F}"/>
    <cellStyle name="Comma 2 2 2 19" xfId="15965" xr:uid="{957710A8-4CB1-4315-A4E1-9FE775CB3034}"/>
    <cellStyle name="Comma 2 2 2 2" xfId="166" xr:uid="{1DB0C04E-B23E-4D78-A37B-6CE4CDD9EC3A}"/>
    <cellStyle name="Comma 2 2 2 2 10" xfId="5808" xr:uid="{E622CB4D-DB9A-4534-A297-12B129B3C023}"/>
    <cellStyle name="Comma 2 2 2 2 11" xfId="6935" xr:uid="{623B45A7-1F5B-47F4-BFC8-2B91F0CFBBF3}"/>
    <cellStyle name="Comma 2 2 2 2 12" xfId="8905" xr:uid="{B39CC5BF-95C1-46AE-9FCF-1F9DFD4E8B14}"/>
    <cellStyle name="Comma 2 2 2 2 13" xfId="10042" xr:uid="{DDCBBB60-C6AE-4604-A30B-B8486DE96848}"/>
    <cellStyle name="Comma 2 2 2 2 14" xfId="11169" xr:uid="{D470EB18-406D-41A7-AD48-CD97F9A88152}"/>
    <cellStyle name="Comma 2 2 2 2 15" xfId="11460" xr:uid="{FDBAF5C4-EA89-4990-9722-3C99F9D3B169}"/>
    <cellStyle name="Comma 2 2 2 2 16" xfId="13713" xr:uid="{826A8842-2C77-4D5F-91D1-3B14A5C86651}"/>
    <cellStyle name="Comma 2 2 2 2 17" xfId="15966" xr:uid="{DD95815C-D0E8-4E4E-A1F8-D2A82BC2AB33}"/>
    <cellStyle name="Comma 2 2 2 2 2" xfId="167" xr:uid="{AC8863BD-5FC5-4EAA-B00B-4F019249F507}"/>
    <cellStyle name="Comma 2 2 2 2 2 10" xfId="6936" xr:uid="{94D9E7D3-574F-4899-8CE2-E0B51C3B79AF}"/>
    <cellStyle name="Comma 2 2 2 2 2 11" xfId="8904" xr:uid="{78A581D6-3E40-40A8-B18E-415F4C1CB8A6}"/>
    <cellStyle name="Comma 2 2 2 2 2 12" xfId="10041" xr:uid="{2BFB54C4-0E2A-4BED-8AE5-6856A631E52C}"/>
    <cellStyle name="Comma 2 2 2 2 2 13" xfId="11168" xr:uid="{CE1A4B0E-B8D1-4E02-9E3A-F78B1039B664}"/>
    <cellStyle name="Comma 2 2 2 2 2 14" xfId="11461" xr:uid="{63591AB2-E728-4482-BB43-0BE7D08BDDD3}"/>
    <cellStyle name="Comma 2 2 2 2 2 15" xfId="13714" xr:uid="{A3ADABE7-CED3-4088-BF63-6EBCF9F9D1E0}"/>
    <cellStyle name="Comma 2 2 2 2 2 16" xfId="15967" xr:uid="{007CF0E9-DDA9-4B4E-B13A-E09744DB10E5}"/>
    <cellStyle name="Comma 2 2 2 2 2 2" xfId="168" xr:uid="{6FF93326-141D-4868-9CF9-F0C75C9AC984}"/>
    <cellStyle name="Comma 2 2 2 2 2 2 10" xfId="8903" xr:uid="{4CAE8A8A-5160-45C4-83BE-2B042CDB6492}"/>
    <cellStyle name="Comma 2 2 2 2 2 2 11" xfId="10040" xr:uid="{549ED5B6-4057-4F40-BCAA-9B61600EEE1D}"/>
    <cellStyle name="Comma 2 2 2 2 2 2 12" xfId="11167" xr:uid="{88090065-C614-4C07-959B-B36A718ECD1D}"/>
    <cellStyle name="Comma 2 2 2 2 2 2 13" xfId="11462" xr:uid="{241E4AEF-B7F7-4B01-8C08-058FC6BEE576}"/>
    <cellStyle name="Comma 2 2 2 2 2 2 14" xfId="13715" xr:uid="{6935D1A1-3534-4146-BDA5-5ED1434E5E45}"/>
    <cellStyle name="Comma 2 2 2 2 2 2 15" xfId="15968" xr:uid="{DB4450C0-9BDA-474A-A2AF-48D1E954B9EE}"/>
    <cellStyle name="Comma 2 2 2 2 2 2 2" xfId="169" xr:uid="{9799BC20-D39A-42FE-B3A6-6000FC46B3A5}"/>
    <cellStyle name="Comma 2 2 2 2 2 2 2 10" xfId="11166" xr:uid="{E90F2D35-569E-48FB-825B-A8F1E463EE53}"/>
    <cellStyle name="Comma 2 2 2 2 2 2 2 11" xfId="11463" xr:uid="{4AD459CF-745B-4D70-ACB3-E4E7F4F23651}"/>
    <cellStyle name="Comma 2 2 2 2 2 2 2 12" xfId="13716" xr:uid="{1C40A20D-7BCD-49AF-8D3E-2A842A0889CF}"/>
    <cellStyle name="Comma 2 2 2 2 2 2 2 13" xfId="15969" xr:uid="{C678EDE8-B148-4ACD-AEE6-FDFD46559786}"/>
    <cellStyle name="Comma 2 2 2 2 2 2 2 2" xfId="1306" xr:uid="{8852E80D-A4EB-4080-921D-81AAB87BEC16}"/>
    <cellStyle name="Comma 2 2 2 2 2 2 2 2 2" xfId="12590" xr:uid="{88FA6B76-F677-4B82-A6F8-35ECB6C46D30}"/>
    <cellStyle name="Comma 2 2 2 2 2 2 2 2 3" xfId="14843" xr:uid="{6B80D149-EB4F-4156-A384-8826417074C6}"/>
    <cellStyle name="Comma 2 2 2 2 2 2 2 2 4" xfId="17096" xr:uid="{5A1E6F4D-4A6C-44B3-AEDD-67E64C3A2C96}"/>
    <cellStyle name="Comma 2 2 2 2 2 2 2 3" xfId="2432" xr:uid="{CB9C0EEE-A32F-4D95-B458-6CA766B5C536}"/>
    <cellStyle name="Comma 2 2 2 2 2 2 2 4" xfId="3558" xr:uid="{FB306458-605B-4BD3-BE51-40842913F597}"/>
    <cellStyle name="Comma 2 2 2 2 2 2 2 5" xfId="4684" xr:uid="{F065500A-9C57-43CB-B3BF-C9C80ACF9645}"/>
    <cellStyle name="Comma 2 2 2 2 2 2 2 6" xfId="5811" xr:uid="{E1F9CC2D-52D9-4D52-B4F1-E2BBA26E4A14}"/>
    <cellStyle name="Comma 2 2 2 2 2 2 2 7" xfId="6938" xr:uid="{871E2270-E4E5-483F-B475-18413C3377FA}"/>
    <cellStyle name="Comma 2 2 2 2 2 2 2 8" xfId="8902" xr:uid="{11B20123-B644-49EA-8904-3B8DC278989E}"/>
    <cellStyle name="Comma 2 2 2 2 2 2 2 9" xfId="10039" xr:uid="{E877E367-62D1-4389-822C-B33A2FB14C80}"/>
    <cellStyle name="Comma 2 2 2 2 2 2 3" xfId="170" xr:uid="{A6437BAF-0C94-443C-BCE6-35FBCEF056CD}"/>
    <cellStyle name="Comma 2 2 2 2 2 2 3 10" xfId="11165" xr:uid="{BECEB3A7-CD9E-49E1-BAF6-458D4320A2C8}"/>
    <cellStyle name="Comma 2 2 2 2 2 2 3 11" xfId="11464" xr:uid="{FA17D74B-C765-4355-AE5C-A3C54ABADD78}"/>
    <cellStyle name="Comma 2 2 2 2 2 2 3 12" xfId="13717" xr:uid="{40775B2F-A1B1-4152-9D30-169427D4B1A3}"/>
    <cellStyle name="Comma 2 2 2 2 2 2 3 13" xfId="15970" xr:uid="{D555C163-7D8C-4B0C-AE38-EF5584A6A7BF}"/>
    <cellStyle name="Comma 2 2 2 2 2 2 3 2" xfId="1307" xr:uid="{842B10A6-4533-43EB-B1AA-EF94761E46BD}"/>
    <cellStyle name="Comma 2 2 2 2 2 2 3 2 2" xfId="12591" xr:uid="{C8CB12C8-46EC-4381-B4DF-1550070E2D11}"/>
    <cellStyle name="Comma 2 2 2 2 2 2 3 2 3" xfId="14844" xr:uid="{39605640-B8F7-4389-8ADE-DBB9CE053255}"/>
    <cellStyle name="Comma 2 2 2 2 2 2 3 2 4" xfId="17097" xr:uid="{12BA8D6B-421F-460A-94D4-83CD8B7BFCAC}"/>
    <cellStyle name="Comma 2 2 2 2 2 2 3 3" xfId="2433" xr:uid="{61D56EE0-8B06-4E69-AF0E-AC19F7287F32}"/>
    <cellStyle name="Comma 2 2 2 2 2 2 3 4" xfId="3559" xr:uid="{F35EB881-7D37-4E06-B284-C2182B16335B}"/>
    <cellStyle name="Comma 2 2 2 2 2 2 3 5" xfId="4685" xr:uid="{8440F46B-44A3-47F8-9BE0-68E8CDC0A1E1}"/>
    <cellStyle name="Comma 2 2 2 2 2 2 3 6" xfId="5812" xr:uid="{67BA604C-9E3D-4E0F-8C0D-D62819604035}"/>
    <cellStyle name="Comma 2 2 2 2 2 2 3 7" xfId="6939" xr:uid="{8068DF1B-08AF-493C-9EFC-C31FDCD1C355}"/>
    <cellStyle name="Comma 2 2 2 2 2 2 3 8" xfId="8901" xr:uid="{9DE2AAB7-0B15-4AB8-B3DC-884FCC47A6A2}"/>
    <cellStyle name="Comma 2 2 2 2 2 2 3 9" xfId="10038" xr:uid="{C45CE225-239F-4773-A7FD-5D98D304A1DA}"/>
    <cellStyle name="Comma 2 2 2 2 2 2 4" xfId="1305" xr:uid="{1D0AAE18-B196-47B7-82FB-4BE80280C372}"/>
    <cellStyle name="Comma 2 2 2 2 2 2 4 2" xfId="12589" xr:uid="{EFF09BDC-B6C4-4660-86ED-BF1D127ADF26}"/>
    <cellStyle name="Comma 2 2 2 2 2 2 4 3" xfId="14842" xr:uid="{E21D327A-D564-4163-B457-11B4AC1DE09E}"/>
    <cellStyle name="Comma 2 2 2 2 2 2 4 4" xfId="17095" xr:uid="{FCA90A98-7964-4213-9D05-C9568A12A706}"/>
    <cellStyle name="Comma 2 2 2 2 2 2 5" xfId="2431" xr:uid="{8BB637B5-92F1-428B-B105-7A07819F5463}"/>
    <cellStyle name="Comma 2 2 2 2 2 2 6" xfId="3557" xr:uid="{E3A7BB37-E7FE-41A1-AF0E-3BDA6FD2B443}"/>
    <cellStyle name="Comma 2 2 2 2 2 2 7" xfId="4683" xr:uid="{294F1510-5405-443A-A292-E6FF2F491F28}"/>
    <cellStyle name="Comma 2 2 2 2 2 2 8" xfId="5810" xr:uid="{F80B287B-F179-4045-A183-84E2277FC5D7}"/>
    <cellStyle name="Comma 2 2 2 2 2 2 9" xfId="6937" xr:uid="{6B404FC6-5701-4C30-B001-7B5C9E4EA12E}"/>
    <cellStyle name="Comma 2 2 2 2 2 3" xfId="171" xr:uid="{0F94BA38-4F95-4E38-9CDB-85BE9B98CB6F}"/>
    <cellStyle name="Comma 2 2 2 2 2 3 10" xfId="11164" xr:uid="{327A3098-90CA-43D1-8097-99A1A732CCBD}"/>
    <cellStyle name="Comma 2 2 2 2 2 3 11" xfId="11465" xr:uid="{5A243DCD-0DF9-4B68-B58C-068F321B8363}"/>
    <cellStyle name="Comma 2 2 2 2 2 3 12" xfId="13718" xr:uid="{8CD70DFC-414F-43C7-A8C8-05C600872177}"/>
    <cellStyle name="Comma 2 2 2 2 2 3 13" xfId="15971" xr:uid="{9500A8C0-3F44-4B4D-9EC6-E6373E49CE2B}"/>
    <cellStyle name="Comma 2 2 2 2 2 3 2" xfId="1308" xr:uid="{C1E2C89C-B0D3-4CE6-AAB1-9BBC8F2F9C1B}"/>
    <cellStyle name="Comma 2 2 2 2 2 3 2 2" xfId="12592" xr:uid="{EB390C01-5CB7-41B1-8A32-3818BABBB96B}"/>
    <cellStyle name="Comma 2 2 2 2 2 3 2 3" xfId="14845" xr:uid="{5CDD2962-FBB3-46EE-8EA8-72ED2853E1A8}"/>
    <cellStyle name="Comma 2 2 2 2 2 3 2 4" xfId="17098" xr:uid="{59078921-7D13-44AC-9B26-12F5C4AF08C5}"/>
    <cellStyle name="Comma 2 2 2 2 2 3 3" xfId="2434" xr:uid="{B2AE61FD-86F6-414A-8BE0-1F8F45850CF8}"/>
    <cellStyle name="Comma 2 2 2 2 2 3 4" xfId="3560" xr:uid="{BC713F22-09D6-4EF5-9568-781BEB3E7648}"/>
    <cellStyle name="Comma 2 2 2 2 2 3 5" xfId="4686" xr:uid="{0CD3E25C-A088-4CF9-8BAC-FCB885F591C6}"/>
    <cellStyle name="Comma 2 2 2 2 2 3 6" xfId="5813" xr:uid="{2013940B-AA45-46DF-87B9-4AF89508AF52}"/>
    <cellStyle name="Comma 2 2 2 2 2 3 7" xfId="6940" xr:uid="{10569F88-CFBF-4C27-9B11-78EB5684DC2B}"/>
    <cellStyle name="Comma 2 2 2 2 2 3 8" xfId="8900" xr:uid="{29AF3104-9634-47C5-AB49-57E2D47C8509}"/>
    <cellStyle name="Comma 2 2 2 2 2 3 9" xfId="10037" xr:uid="{11097F64-033B-4955-8976-780513AF2BEE}"/>
    <cellStyle name="Comma 2 2 2 2 2 4" xfId="172" xr:uid="{3378B3EE-CE1D-4F07-B34E-1E4716B6EB54}"/>
    <cellStyle name="Comma 2 2 2 2 2 4 10" xfId="11163" xr:uid="{73924869-2D6C-46A3-9BA8-8D6E42893F30}"/>
    <cellStyle name="Comma 2 2 2 2 2 4 11" xfId="11466" xr:uid="{23A03ADE-A9C8-4F21-BFEE-CE40EA272575}"/>
    <cellStyle name="Comma 2 2 2 2 2 4 12" xfId="13719" xr:uid="{83D10E09-0A10-474B-9D75-32DD079085E6}"/>
    <cellStyle name="Comma 2 2 2 2 2 4 13" xfId="15972" xr:uid="{A6CDF60C-241D-4ED9-A299-7A443D4F2CDD}"/>
    <cellStyle name="Comma 2 2 2 2 2 4 2" xfId="1309" xr:uid="{98A481EF-522E-429C-A303-3284C49E65CF}"/>
    <cellStyle name="Comma 2 2 2 2 2 4 2 2" xfId="12593" xr:uid="{D59A6B54-BCC2-4741-BEF2-C895F89118A2}"/>
    <cellStyle name="Comma 2 2 2 2 2 4 2 3" xfId="14846" xr:uid="{CDD868FE-1945-4C17-8F59-6C23574693E2}"/>
    <cellStyle name="Comma 2 2 2 2 2 4 2 4" xfId="17099" xr:uid="{435A23BA-5D35-4D69-B865-7B7177788D45}"/>
    <cellStyle name="Comma 2 2 2 2 2 4 3" xfId="2435" xr:uid="{7C93905B-42C8-4041-856A-0894F4CD65D7}"/>
    <cellStyle name="Comma 2 2 2 2 2 4 4" xfId="3561" xr:uid="{13EE53D3-1D61-4E59-A457-6E9415B38C05}"/>
    <cellStyle name="Comma 2 2 2 2 2 4 5" xfId="4687" xr:uid="{2104E0CC-DE78-4147-9F8A-A6E7A1FDF713}"/>
    <cellStyle name="Comma 2 2 2 2 2 4 6" xfId="5814" xr:uid="{1D457A2E-67AB-4B30-927B-138447FE88BE}"/>
    <cellStyle name="Comma 2 2 2 2 2 4 7" xfId="6941" xr:uid="{1576D461-4C52-4941-962E-69EC0D73E951}"/>
    <cellStyle name="Comma 2 2 2 2 2 4 8" xfId="8899" xr:uid="{DE95A08A-AFD8-4DC8-A303-D92AEB1A1E7B}"/>
    <cellStyle name="Comma 2 2 2 2 2 4 9" xfId="10036" xr:uid="{CC0BA622-48E5-4088-9A2C-2ECF76B95AD4}"/>
    <cellStyle name="Comma 2 2 2 2 2 5" xfId="1304" xr:uid="{A0BAD5E5-0EFD-461D-BDCB-E84C728BB192}"/>
    <cellStyle name="Comma 2 2 2 2 2 5 2" xfId="12588" xr:uid="{654C9C04-2BB5-48B4-A99D-FC523C47BC21}"/>
    <cellStyle name="Comma 2 2 2 2 2 5 3" xfId="14841" xr:uid="{00CD139A-1B3C-46C9-AB15-872292BDB961}"/>
    <cellStyle name="Comma 2 2 2 2 2 5 4" xfId="17094" xr:uid="{9810B95F-F953-40CB-949A-33131C6254B9}"/>
    <cellStyle name="Comma 2 2 2 2 2 6" xfId="2430" xr:uid="{ECF9B51B-9E66-4919-BA19-6DA66D6A3DEC}"/>
    <cellStyle name="Comma 2 2 2 2 2 7" xfId="3556" xr:uid="{2CB3679D-AB4C-432B-B82A-3337CBFF6178}"/>
    <cellStyle name="Comma 2 2 2 2 2 8" xfId="4682" xr:uid="{B6C68DFA-ED11-4EFD-B4DF-27973820680A}"/>
    <cellStyle name="Comma 2 2 2 2 2 9" xfId="5809" xr:uid="{D22E8D69-408D-40A7-95AD-A07FC758EA77}"/>
    <cellStyle name="Comma 2 2 2 2 3" xfId="173" xr:uid="{3809A0B7-4B42-4956-9925-B4D3F5E96EE6}"/>
    <cellStyle name="Comma 2 2 2 2 3 10" xfId="8898" xr:uid="{311B71B3-4EC2-45C8-883A-4873E96E6481}"/>
    <cellStyle name="Comma 2 2 2 2 3 11" xfId="10035" xr:uid="{A108DC3A-30DD-4B2C-AE9B-3D6F52C7AF3F}"/>
    <cellStyle name="Comma 2 2 2 2 3 12" xfId="11162" xr:uid="{58FA3336-51F6-47F3-A22A-70143C04FA20}"/>
    <cellStyle name="Comma 2 2 2 2 3 13" xfId="11467" xr:uid="{8C64D45E-62E0-4B7C-8FB6-6DC066D94874}"/>
    <cellStyle name="Comma 2 2 2 2 3 14" xfId="13720" xr:uid="{30288020-93FE-46C8-AFB1-2DFB52CC2764}"/>
    <cellStyle name="Comma 2 2 2 2 3 15" xfId="15973" xr:uid="{BF32CF74-B297-42D6-94D9-F29D1C8F5AA3}"/>
    <cellStyle name="Comma 2 2 2 2 3 2" xfId="174" xr:uid="{5359701F-D89C-4B38-B7DA-EBC7AC6F6EE0}"/>
    <cellStyle name="Comma 2 2 2 2 3 2 10" xfId="11161" xr:uid="{44187B7F-2279-41E2-94BF-B711EB725345}"/>
    <cellStyle name="Comma 2 2 2 2 3 2 11" xfId="11468" xr:uid="{86E4E852-BC89-470B-B092-71F129DA9746}"/>
    <cellStyle name="Comma 2 2 2 2 3 2 12" xfId="13721" xr:uid="{13CEE774-BAB0-46C8-94D2-B9C66DF5A811}"/>
    <cellStyle name="Comma 2 2 2 2 3 2 13" xfId="15974" xr:uid="{FBEDDF44-ED2F-4779-AF63-7F088C0CF8F3}"/>
    <cellStyle name="Comma 2 2 2 2 3 2 2" xfId="1311" xr:uid="{42EAB748-8837-48E7-8CB3-8B416A7C1F5E}"/>
    <cellStyle name="Comma 2 2 2 2 3 2 2 2" xfId="12595" xr:uid="{82261BF3-7E92-41D8-919D-DC92D0784323}"/>
    <cellStyle name="Comma 2 2 2 2 3 2 2 3" xfId="14848" xr:uid="{D8A2F7AB-3ACA-4697-A08E-C8F6A66B0FF1}"/>
    <cellStyle name="Comma 2 2 2 2 3 2 2 4" xfId="17101" xr:uid="{89A2E55D-B2A3-428E-B08C-C8A62F18B13C}"/>
    <cellStyle name="Comma 2 2 2 2 3 2 3" xfId="2437" xr:uid="{A684142F-4E3E-47AF-A95B-24549DD81282}"/>
    <cellStyle name="Comma 2 2 2 2 3 2 4" xfId="3563" xr:uid="{790A4C70-C84F-42E9-AF0D-4178A1952B70}"/>
    <cellStyle name="Comma 2 2 2 2 3 2 5" xfId="4689" xr:uid="{13EFA368-60EB-4B23-BF22-551370274F22}"/>
    <cellStyle name="Comma 2 2 2 2 3 2 6" xfId="5816" xr:uid="{787F10FF-8D01-41B5-9DE3-01A7CBD36846}"/>
    <cellStyle name="Comma 2 2 2 2 3 2 7" xfId="6943" xr:uid="{4990ABA5-976C-4994-8DE1-8E5F91D862B2}"/>
    <cellStyle name="Comma 2 2 2 2 3 2 8" xfId="8897" xr:uid="{D988FEC9-6632-4C3E-80E5-9BCD9427DB45}"/>
    <cellStyle name="Comma 2 2 2 2 3 2 9" xfId="10034" xr:uid="{D86FBBD8-B2D5-4CE9-BB0B-E088FABD77D3}"/>
    <cellStyle name="Comma 2 2 2 2 3 3" xfId="175" xr:uid="{02C8CADC-3974-46DE-BFCF-C226A4760B9F}"/>
    <cellStyle name="Comma 2 2 2 2 3 3 10" xfId="11160" xr:uid="{028865E8-3FAB-4E09-9CAF-45BF40DE7D05}"/>
    <cellStyle name="Comma 2 2 2 2 3 3 11" xfId="11469" xr:uid="{429D9CA6-B5C8-4656-9952-62B803ED2B7A}"/>
    <cellStyle name="Comma 2 2 2 2 3 3 12" xfId="13722" xr:uid="{4F3A6F03-ECAE-4445-8AEC-B756EE64357E}"/>
    <cellStyle name="Comma 2 2 2 2 3 3 13" xfId="15975" xr:uid="{C6B216AD-81F7-418E-9637-66F1316E944A}"/>
    <cellStyle name="Comma 2 2 2 2 3 3 2" xfId="1312" xr:uid="{4AFC492C-8BBB-47A3-8BA8-51A6DC6630A3}"/>
    <cellStyle name="Comma 2 2 2 2 3 3 2 2" xfId="12596" xr:uid="{E38CBBEA-E3BF-4D71-A8F7-ABA16E3270B9}"/>
    <cellStyle name="Comma 2 2 2 2 3 3 2 3" xfId="14849" xr:uid="{45294AF2-6ADE-4901-A646-41B33461DDCE}"/>
    <cellStyle name="Comma 2 2 2 2 3 3 2 4" xfId="17102" xr:uid="{6FC662C1-01C3-42F0-A66F-0D23D538DF5F}"/>
    <cellStyle name="Comma 2 2 2 2 3 3 3" xfId="2438" xr:uid="{3E3DF627-69DA-4AC6-A24C-836A0C1DA748}"/>
    <cellStyle name="Comma 2 2 2 2 3 3 4" xfId="3564" xr:uid="{6F84C585-637D-44F0-B5EB-4A7EF1A7ADD5}"/>
    <cellStyle name="Comma 2 2 2 2 3 3 5" xfId="4690" xr:uid="{CB1594FA-1DA5-47F0-9CE5-64B4C8B7A1F5}"/>
    <cellStyle name="Comma 2 2 2 2 3 3 6" xfId="5817" xr:uid="{7F96A1BA-9776-4552-8B3C-D4498450583C}"/>
    <cellStyle name="Comma 2 2 2 2 3 3 7" xfId="6944" xr:uid="{B52F9FC5-EDBD-4C63-8DBA-B072EB503A98}"/>
    <cellStyle name="Comma 2 2 2 2 3 3 8" xfId="8896" xr:uid="{02338873-3D87-43A0-80C0-95A0B26F2501}"/>
    <cellStyle name="Comma 2 2 2 2 3 3 9" xfId="10033" xr:uid="{12FB3A80-A498-4428-A031-B0C2DF8EE8CF}"/>
    <cellStyle name="Comma 2 2 2 2 3 4" xfId="1310" xr:uid="{668CEF32-38A4-4659-BD8C-4EDE2DE481CE}"/>
    <cellStyle name="Comma 2 2 2 2 3 4 2" xfId="12594" xr:uid="{8FA59DE2-FAF5-4054-9BC3-4315D2E3CF2C}"/>
    <cellStyle name="Comma 2 2 2 2 3 4 3" xfId="14847" xr:uid="{D129DBE5-2E11-4AB1-BE8B-25CCC831F7C5}"/>
    <cellStyle name="Comma 2 2 2 2 3 4 4" xfId="17100" xr:uid="{3776B203-6C0E-4D25-8E62-36D681A56626}"/>
    <cellStyle name="Comma 2 2 2 2 3 5" xfId="2436" xr:uid="{E71B3133-68DD-4E22-BFAC-6E40A73407F5}"/>
    <cellStyle name="Comma 2 2 2 2 3 6" xfId="3562" xr:uid="{344764D9-7722-4B6D-8712-244F53E4CADF}"/>
    <cellStyle name="Comma 2 2 2 2 3 7" xfId="4688" xr:uid="{0CA57448-568F-4B98-B380-6843A1E030BF}"/>
    <cellStyle name="Comma 2 2 2 2 3 8" xfId="5815" xr:uid="{142C25C2-F172-4F5D-9C9B-454D203370B1}"/>
    <cellStyle name="Comma 2 2 2 2 3 9" xfId="6942" xr:uid="{3502D95F-C785-400C-BFE2-42BFFC7DCDAD}"/>
    <cellStyle name="Comma 2 2 2 2 4" xfId="176" xr:uid="{83DF8382-93F5-4A51-B5F0-835D6EFF67DC}"/>
    <cellStyle name="Comma 2 2 2 2 4 10" xfId="11159" xr:uid="{890306BB-4888-4C3F-BD50-D0BE8CDE7EF3}"/>
    <cellStyle name="Comma 2 2 2 2 4 11" xfId="11470" xr:uid="{3EBCF381-A504-4EC9-A580-5FE4E9ED0A42}"/>
    <cellStyle name="Comma 2 2 2 2 4 12" xfId="13723" xr:uid="{4F1E5B34-5C77-4592-827E-1EF7F438DC4A}"/>
    <cellStyle name="Comma 2 2 2 2 4 13" xfId="15976" xr:uid="{C9A3A2CB-5032-4497-B8FF-6BE22DE2A5A9}"/>
    <cellStyle name="Comma 2 2 2 2 4 2" xfId="1313" xr:uid="{70E3F8E0-4EA2-4B25-B946-B33D8210C8CF}"/>
    <cellStyle name="Comma 2 2 2 2 4 2 2" xfId="12597" xr:uid="{A99580E7-95B0-4FC8-9FD0-09E0BFBC6BC2}"/>
    <cellStyle name="Comma 2 2 2 2 4 2 3" xfId="14850" xr:uid="{10F5DCA1-6F6B-4EFE-85C4-171BE326FA2F}"/>
    <cellStyle name="Comma 2 2 2 2 4 2 4" xfId="17103" xr:uid="{9D3992CA-49B2-4269-BEA9-DBF546C68CB1}"/>
    <cellStyle name="Comma 2 2 2 2 4 3" xfId="2439" xr:uid="{034E7FAA-3323-4BD3-8747-87D88EAE9E8A}"/>
    <cellStyle name="Comma 2 2 2 2 4 4" xfId="3565" xr:uid="{B472C0A6-CDDF-457D-913B-96C5DF9EFA5C}"/>
    <cellStyle name="Comma 2 2 2 2 4 5" xfId="4691" xr:uid="{37F65040-D471-4BB0-8E70-BB69E38899E2}"/>
    <cellStyle name="Comma 2 2 2 2 4 6" xfId="5818" xr:uid="{700715D7-E398-49A1-ABF1-9F5B20E93A08}"/>
    <cellStyle name="Comma 2 2 2 2 4 7" xfId="6945" xr:uid="{30DFC03D-6999-4FB1-B3FC-0F940189FE10}"/>
    <cellStyle name="Comma 2 2 2 2 4 8" xfId="8895" xr:uid="{219F4B56-98C1-465F-A9A3-096EBDCABFC7}"/>
    <cellStyle name="Comma 2 2 2 2 4 9" xfId="10032" xr:uid="{916E897B-7C5E-41AC-B114-B1B28BC13A4E}"/>
    <cellStyle name="Comma 2 2 2 2 5" xfId="177" xr:uid="{B10643B3-2AD1-4E0A-A9B3-280890CA7E33}"/>
    <cellStyle name="Comma 2 2 2 2 5 10" xfId="11158" xr:uid="{3457AC5C-C2F6-47C5-BCDB-1DCA321B4A8C}"/>
    <cellStyle name="Comma 2 2 2 2 5 11" xfId="11471" xr:uid="{1A87A7F9-5F03-404C-AE7B-BF834CC509DD}"/>
    <cellStyle name="Comma 2 2 2 2 5 12" xfId="13724" xr:uid="{D2EA6724-5606-4C0E-93D5-E9E792D381EB}"/>
    <cellStyle name="Comma 2 2 2 2 5 13" xfId="15977" xr:uid="{BBB11E5A-DDEF-4B47-80EB-A4C4F3117A56}"/>
    <cellStyle name="Comma 2 2 2 2 5 2" xfId="1314" xr:uid="{4421DA96-0D67-4D40-B338-725B4F1C80FE}"/>
    <cellStyle name="Comma 2 2 2 2 5 2 2" xfId="12598" xr:uid="{75FD78E0-4CFE-4398-B75E-0BD802F01130}"/>
    <cellStyle name="Comma 2 2 2 2 5 2 3" xfId="14851" xr:uid="{664889BB-9A1B-43A6-B204-B59DB1ACEB24}"/>
    <cellStyle name="Comma 2 2 2 2 5 2 4" xfId="17104" xr:uid="{797B4A89-0A1D-443B-A17E-4ED45C4F4219}"/>
    <cellStyle name="Comma 2 2 2 2 5 3" xfId="2440" xr:uid="{5AB6BA5F-3970-4C11-926F-C5F79F196243}"/>
    <cellStyle name="Comma 2 2 2 2 5 4" xfId="3566" xr:uid="{87F80F65-B053-46B1-87CC-D3E681BD90F9}"/>
    <cellStyle name="Comma 2 2 2 2 5 5" xfId="4692" xr:uid="{B85F5507-B1B8-4EEF-8F66-689A74CECD60}"/>
    <cellStyle name="Comma 2 2 2 2 5 6" xfId="5819" xr:uid="{15F207CC-921C-4A6F-8021-C6C73044E1A3}"/>
    <cellStyle name="Comma 2 2 2 2 5 7" xfId="6946" xr:uid="{4B90F9DA-57F6-44AE-8322-66AC60F418F8}"/>
    <cellStyle name="Comma 2 2 2 2 5 8" xfId="8894" xr:uid="{3BF6A9FC-F100-4815-B651-E8424BF4B819}"/>
    <cellStyle name="Comma 2 2 2 2 5 9" xfId="10031" xr:uid="{868E5056-69B8-443A-AD43-57F002EECE0F}"/>
    <cellStyle name="Comma 2 2 2 2 6" xfId="1303" xr:uid="{2DC3FDD1-9913-4B61-845F-0F1E092BFFE6}"/>
    <cellStyle name="Comma 2 2 2 2 6 2" xfId="12587" xr:uid="{3C298CE3-8165-491D-A6FC-596888D688F2}"/>
    <cellStyle name="Comma 2 2 2 2 6 3" xfId="14840" xr:uid="{B39B1FBB-620F-4A81-AB4A-192B441CE828}"/>
    <cellStyle name="Comma 2 2 2 2 6 4" xfId="17093" xr:uid="{8A2368C4-7206-4693-81E0-1FE2A2B45A5F}"/>
    <cellStyle name="Comma 2 2 2 2 7" xfId="2429" xr:uid="{EFA2D066-37B8-4E04-B964-2BF53780AFFF}"/>
    <cellStyle name="Comma 2 2 2 2 8" xfId="3555" xr:uid="{5F206D44-9210-41D4-B7A9-2D0F7342E491}"/>
    <cellStyle name="Comma 2 2 2 2 9" xfId="4681" xr:uid="{078B49A0-1ED8-4D1D-978C-0DD1AB7C63C3}"/>
    <cellStyle name="Comma 2 2 2 3" xfId="178" xr:uid="{6AEA2FB6-7A7F-41F0-9F25-5AD62AA38E4D}"/>
    <cellStyle name="Comma 2 2 2 3 10" xfId="6947" xr:uid="{F87CDE77-5142-464A-B7E7-F500B1A514F0}"/>
    <cellStyle name="Comma 2 2 2 3 11" xfId="8893" xr:uid="{13EE9B07-88E4-46D8-83B7-BA49A1F53201}"/>
    <cellStyle name="Comma 2 2 2 3 12" xfId="10030" xr:uid="{669F7BF4-7F23-4905-A02A-A8EDFE2F705C}"/>
    <cellStyle name="Comma 2 2 2 3 13" xfId="11157" xr:uid="{2835A796-6F69-48F8-9069-92546151C651}"/>
    <cellStyle name="Comma 2 2 2 3 14" xfId="11472" xr:uid="{B0511F26-FDCE-4FD5-8360-81371DEEAEF6}"/>
    <cellStyle name="Comma 2 2 2 3 15" xfId="13725" xr:uid="{7505029A-E0A4-45B6-B58C-663D0C571665}"/>
    <cellStyle name="Comma 2 2 2 3 16" xfId="15978" xr:uid="{FD2C8E4A-AB7B-42D6-8022-E0C87150EA4B}"/>
    <cellStyle name="Comma 2 2 2 3 2" xfId="179" xr:uid="{AE856C86-0E03-4E35-8591-C8F22B38D343}"/>
    <cellStyle name="Comma 2 2 2 3 2 10" xfId="8892" xr:uid="{9A2DAAA6-F433-4477-A692-10117D1504E5}"/>
    <cellStyle name="Comma 2 2 2 3 2 11" xfId="10029" xr:uid="{1B7BE99C-28F7-4C14-9ECD-D584EC81401E}"/>
    <cellStyle name="Comma 2 2 2 3 2 12" xfId="11156" xr:uid="{E7A9CD7C-732B-4CD2-8BCF-7856B552D701}"/>
    <cellStyle name="Comma 2 2 2 3 2 13" xfId="11473" xr:uid="{6104C161-1979-4B05-9027-DF4573EE61B5}"/>
    <cellStyle name="Comma 2 2 2 3 2 14" xfId="13726" xr:uid="{8B380DE6-7968-4F0B-A4F9-DDCFC0F27CE6}"/>
    <cellStyle name="Comma 2 2 2 3 2 15" xfId="15979" xr:uid="{0656BED9-4984-4265-8F4E-AA1FFF50F1AE}"/>
    <cellStyle name="Comma 2 2 2 3 2 2" xfId="180" xr:uid="{F7BE9AEE-AD08-455E-8B4A-57AD35040341}"/>
    <cellStyle name="Comma 2 2 2 3 2 2 10" xfId="11155" xr:uid="{A8A50EB1-8963-41D4-88B5-5178E09CD218}"/>
    <cellStyle name="Comma 2 2 2 3 2 2 11" xfId="11474" xr:uid="{7C35878F-DD96-43B8-84F7-00F760E1A425}"/>
    <cellStyle name="Comma 2 2 2 3 2 2 12" xfId="13727" xr:uid="{4CEA8983-0D0C-4C94-B343-E2BC076267C6}"/>
    <cellStyle name="Comma 2 2 2 3 2 2 13" xfId="15980" xr:uid="{6965E422-5099-46C6-AEAA-232303DC9D33}"/>
    <cellStyle name="Comma 2 2 2 3 2 2 2" xfId="1317" xr:uid="{D84365A4-FF8E-40A0-B179-0C2D71B9D1D2}"/>
    <cellStyle name="Comma 2 2 2 3 2 2 2 2" xfId="12601" xr:uid="{11A6D08E-B7D5-4DE1-A5FD-3CB968DC3A35}"/>
    <cellStyle name="Comma 2 2 2 3 2 2 2 3" xfId="14854" xr:uid="{A04BDF27-43B3-437F-8A28-5927B7F84F32}"/>
    <cellStyle name="Comma 2 2 2 3 2 2 2 4" xfId="17107" xr:uid="{9B88FCCD-C4F3-43CD-A682-D88396637895}"/>
    <cellStyle name="Comma 2 2 2 3 2 2 3" xfId="2443" xr:uid="{9F81232C-E0E9-4873-B12F-065AEB416963}"/>
    <cellStyle name="Comma 2 2 2 3 2 2 4" xfId="3569" xr:uid="{AD825E90-6E64-46E2-A72E-3147507BC820}"/>
    <cellStyle name="Comma 2 2 2 3 2 2 5" xfId="4695" xr:uid="{C4FDEFB2-40B6-4076-B8E8-0E0480F1F791}"/>
    <cellStyle name="Comma 2 2 2 3 2 2 6" xfId="5822" xr:uid="{A8D241B6-F1F4-4C70-A332-2CFD31DEFCB0}"/>
    <cellStyle name="Comma 2 2 2 3 2 2 7" xfId="6949" xr:uid="{C9D7B686-E5E0-447E-8797-1F4DC2B62215}"/>
    <cellStyle name="Comma 2 2 2 3 2 2 8" xfId="8891" xr:uid="{263E3754-1FEE-4F49-977C-422124F90452}"/>
    <cellStyle name="Comma 2 2 2 3 2 2 9" xfId="10028" xr:uid="{DCA917EB-2B46-4232-A69A-3214BDFFD444}"/>
    <cellStyle name="Comma 2 2 2 3 2 3" xfId="181" xr:uid="{20DBA85D-7289-4BD6-BE6E-9568E4E8D803}"/>
    <cellStyle name="Comma 2 2 2 3 2 3 10" xfId="11154" xr:uid="{6BBD76F4-4974-41AE-AE0A-1C6804D20ED3}"/>
    <cellStyle name="Comma 2 2 2 3 2 3 11" xfId="11475" xr:uid="{55704ABE-3090-40BD-9E1F-817D3486E002}"/>
    <cellStyle name="Comma 2 2 2 3 2 3 12" xfId="13728" xr:uid="{DEE16CEB-6591-47CB-B8DD-0C2965B88E76}"/>
    <cellStyle name="Comma 2 2 2 3 2 3 13" xfId="15981" xr:uid="{65DF76C8-9921-4F94-8927-02D8AC5914FF}"/>
    <cellStyle name="Comma 2 2 2 3 2 3 2" xfId="1318" xr:uid="{088F833E-4D74-4891-8DCD-750868140334}"/>
    <cellStyle name="Comma 2 2 2 3 2 3 2 2" xfId="12602" xr:uid="{94799664-0A2E-4AEB-9D3D-5D311DFD5DA9}"/>
    <cellStyle name="Comma 2 2 2 3 2 3 2 3" xfId="14855" xr:uid="{229BA871-7C7D-41D1-9D49-4FF9DDA19020}"/>
    <cellStyle name="Comma 2 2 2 3 2 3 2 4" xfId="17108" xr:uid="{E1A73B5D-4A4E-45EF-96B8-BFB68222257E}"/>
    <cellStyle name="Comma 2 2 2 3 2 3 3" xfId="2444" xr:uid="{3E6C2BF4-7AEF-41F9-94D6-2FAE835F1EBC}"/>
    <cellStyle name="Comma 2 2 2 3 2 3 4" xfId="3570" xr:uid="{F7C275D4-72B7-4089-86D2-24897EF77EE4}"/>
    <cellStyle name="Comma 2 2 2 3 2 3 5" xfId="4696" xr:uid="{927C4005-6DA6-4210-BBD3-D04E2FE9698E}"/>
    <cellStyle name="Comma 2 2 2 3 2 3 6" xfId="5823" xr:uid="{9F91422E-F857-46DA-A9A6-8675B36A98CD}"/>
    <cellStyle name="Comma 2 2 2 3 2 3 7" xfId="6950" xr:uid="{BCEE7618-691A-4567-BA72-5D0DF16B6952}"/>
    <cellStyle name="Comma 2 2 2 3 2 3 8" xfId="8890" xr:uid="{0F8B4DAA-28EF-494A-A81E-4AD1A9A57822}"/>
    <cellStyle name="Comma 2 2 2 3 2 3 9" xfId="10027" xr:uid="{BD5A37B5-C1D1-481D-B449-2EBA3B42D050}"/>
    <cellStyle name="Comma 2 2 2 3 2 4" xfId="1316" xr:uid="{64020D7F-D359-47E2-AA85-22D1B1A1CF9A}"/>
    <cellStyle name="Comma 2 2 2 3 2 4 2" xfId="12600" xr:uid="{F5442A3C-D42A-4C60-9920-1C28CB31C27F}"/>
    <cellStyle name="Comma 2 2 2 3 2 4 3" xfId="14853" xr:uid="{869B0887-ACD6-4346-9771-90C14F417235}"/>
    <cellStyle name="Comma 2 2 2 3 2 4 4" xfId="17106" xr:uid="{01C9002D-72E0-45E3-A240-34CB13A340B6}"/>
    <cellStyle name="Comma 2 2 2 3 2 5" xfId="2442" xr:uid="{545ED801-2A50-41F2-8D69-626FB91784F1}"/>
    <cellStyle name="Comma 2 2 2 3 2 6" xfId="3568" xr:uid="{20B9754C-C9BB-4D72-8E3B-C42671C0E480}"/>
    <cellStyle name="Comma 2 2 2 3 2 7" xfId="4694" xr:uid="{AE42C361-0ADF-43BB-8ED2-3DD702E0CD94}"/>
    <cellStyle name="Comma 2 2 2 3 2 8" xfId="5821" xr:uid="{70933369-01D5-45FA-8F26-CB2480F1BEF3}"/>
    <cellStyle name="Comma 2 2 2 3 2 9" xfId="6948" xr:uid="{25E6E488-9D32-4B8C-82E8-C90392ECC716}"/>
    <cellStyle name="Comma 2 2 2 3 3" xfId="182" xr:uid="{42088C2D-E230-423A-8991-AC051D9C0E32}"/>
    <cellStyle name="Comma 2 2 2 3 3 10" xfId="11153" xr:uid="{0143A91D-D0DD-455E-9094-051E2ED7563D}"/>
    <cellStyle name="Comma 2 2 2 3 3 11" xfId="11476" xr:uid="{D3D8CF57-A6DD-4BBB-A299-11B29D9A4524}"/>
    <cellStyle name="Comma 2 2 2 3 3 12" xfId="13729" xr:uid="{75C2FB27-2AF9-461C-807B-2A290B316C23}"/>
    <cellStyle name="Comma 2 2 2 3 3 13" xfId="15982" xr:uid="{53B117C8-0BF5-4F15-810D-8DCAF2568D4B}"/>
    <cellStyle name="Comma 2 2 2 3 3 2" xfId="1319" xr:uid="{2C94B89A-528C-4DC1-B159-F4ECAC795FCE}"/>
    <cellStyle name="Comma 2 2 2 3 3 2 2" xfId="12603" xr:uid="{D0C72CD5-6068-4B6E-8F5C-A0978EC69CA4}"/>
    <cellStyle name="Comma 2 2 2 3 3 2 3" xfId="14856" xr:uid="{80D1B0CE-FA5E-4015-B9B4-56B7E0164D34}"/>
    <cellStyle name="Comma 2 2 2 3 3 2 4" xfId="17109" xr:uid="{01A21DDA-BC2F-4B86-B729-A5EE08C331AF}"/>
    <cellStyle name="Comma 2 2 2 3 3 3" xfId="2445" xr:uid="{7F5E071E-DFA8-4645-A5BC-B68C2B24F289}"/>
    <cellStyle name="Comma 2 2 2 3 3 4" xfId="3571" xr:uid="{2BBF82ED-2967-49A0-B6BF-A0EECD7791F5}"/>
    <cellStyle name="Comma 2 2 2 3 3 5" xfId="4697" xr:uid="{7C385D2A-AE46-470B-9014-D12D0C049317}"/>
    <cellStyle name="Comma 2 2 2 3 3 6" xfId="5824" xr:uid="{DABCA2A7-0824-4C38-B5B7-BC54D35FD4EC}"/>
    <cellStyle name="Comma 2 2 2 3 3 7" xfId="6951" xr:uid="{CC100457-8D62-4566-AE8A-C6C8504DDE0B}"/>
    <cellStyle name="Comma 2 2 2 3 3 8" xfId="8889" xr:uid="{C54B4F7B-3318-4E24-99AD-5878DD939EC5}"/>
    <cellStyle name="Comma 2 2 2 3 3 9" xfId="10026" xr:uid="{27F7EE29-13CC-4B0C-8BCA-57FBF1860311}"/>
    <cellStyle name="Comma 2 2 2 3 4" xfId="183" xr:uid="{A9E5407D-08C5-4024-BB8E-722EDAE9B84E}"/>
    <cellStyle name="Comma 2 2 2 3 4 10" xfId="11152" xr:uid="{AC57CBA0-A471-4BCF-86AA-99DE45872A3E}"/>
    <cellStyle name="Comma 2 2 2 3 4 11" xfId="11477" xr:uid="{4EE9D3DD-CE53-4F80-A8CC-A257C047A006}"/>
    <cellStyle name="Comma 2 2 2 3 4 12" xfId="13730" xr:uid="{2710BB4A-2B92-4819-A0AE-6410512C5127}"/>
    <cellStyle name="Comma 2 2 2 3 4 13" xfId="15983" xr:uid="{539CA0A7-4CE7-401C-B47D-DD65F4C07C95}"/>
    <cellStyle name="Comma 2 2 2 3 4 2" xfId="1320" xr:uid="{4B773CBD-54D1-4D39-BE19-764A6BF5A24D}"/>
    <cellStyle name="Comma 2 2 2 3 4 2 2" xfId="12604" xr:uid="{5A1130CF-67F6-4864-AACC-2E2120DCF22D}"/>
    <cellStyle name="Comma 2 2 2 3 4 2 3" xfId="14857" xr:uid="{C848E0B9-9763-4963-80B5-6DA8C30D99C4}"/>
    <cellStyle name="Comma 2 2 2 3 4 2 4" xfId="17110" xr:uid="{930FB974-7964-4775-B83D-CFFAC2F39E5D}"/>
    <cellStyle name="Comma 2 2 2 3 4 3" xfId="2446" xr:uid="{CA14FED7-2199-4372-9C94-9DF3451AAF21}"/>
    <cellStyle name="Comma 2 2 2 3 4 4" xfId="3572" xr:uid="{292F5AE3-CEE1-44B4-B003-6C2262F3A1F5}"/>
    <cellStyle name="Comma 2 2 2 3 4 5" xfId="4698" xr:uid="{DF8D3D07-7B91-49C4-A259-89205C26031F}"/>
    <cellStyle name="Comma 2 2 2 3 4 6" xfId="5825" xr:uid="{4826D256-0548-4293-AD28-B46322982B11}"/>
    <cellStyle name="Comma 2 2 2 3 4 7" xfId="6952" xr:uid="{E46FCB82-660F-4014-AA9F-844973CC5B78}"/>
    <cellStyle name="Comma 2 2 2 3 4 8" xfId="8888" xr:uid="{C6E775C4-9F77-4130-9998-79CFD175B820}"/>
    <cellStyle name="Comma 2 2 2 3 4 9" xfId="10025" xr:uid="{B73B2F87-B30D-4C26-B9CF-9A9AA6339FB8}"/>
    <cellStyle name="Comma 2 2 2 3 5" xfId="1315" xr:uid="{E9683199-A918-45E8-80A5-F0D82C8C233C}"/>
    <cellStyle name="Comma 2 2 2 3 5 2" xfId="12599" xr:uid="{3ECABB6D-1C4F-45AD-91B9-6E35E951299C}"/>
    <cellStyle name="Comma 2 2 2 3 5 3" xfId="14852" xr:uid="{6A2215F2-F45E-411B-92A0-00EBBFD557D8}"/>
    <cellStyle name="Comma 2 2 2 3 5 4" xfId="17105" xr:uid="{5E6291FB-F609-4211-9292-2A6ABDF7A584}"/>
    <cellStyle name="Comma 2 2 2 3 6" xfId="2441" xr:uid="{79C213B1-6BE8-401F-990F-595C1111A8FA}"/>
    <cellStyle name="Comma 2 2 2 3 7" xfId="3567" xr:uid="{E890D734-E30C-49E3-8EC4-838F654BE4D7}"/>
    <cellStyle name="Comma 2 2 2 3 8" xfId="4693" xr:uid="{EC96158B-6167-426A-8F1C-6231216A7CB9}"/>
    <cellStyle name="Comma 2 2 2 3 9" xfId="5820" xr:uid="{0EEC073C-EF43-456B-AA90-A96959FAA43D}"/>
    <cellStyle name="Comma 2 2 2 4" xfId="184" xr:uid="{B03976C3-658F-4CC9-B73B-38F02B5736F1}"/>
    <cellStyle name="Comma 2 2 2 4 10" xfId="8887" xr:uid="{FA00E89E-7541-4C14-9415-568DE2940A8B}"/>
    <cellStyle name="Comma 2 2 2 4 11" xfId="10024" xr:uid="{F8E2CD54-71B0-4E48-8121-96AE246FF945}"/>
    <cellStyle name="Comma 2 2 2 4 12" xfId="11151" xr:uid="{FAFD456F-A16F-4D53-8334-B50DAF8934E6}"/>
    <cellStyle name="Comma 2 2 2 4 13" xfId="11478" xr:uid="{5A5D218C-4254-46EB-AB58-BC9EC6F12855}"/>
    <cellStyle name="Comma 2 2 2 4 14" xfId="13731" xr:uid="{126F38A6-C915-4B55-9001-1C3B3360AEA3}"/>
    <cellStyle name="Comma 2 2 2 4 15" xfId="15984" xr:uid="{45AC1D55-8B35-477C-ADD1-F9F5208D32CE}"/>
    <cellStyle name="Comma 2 2 2 4 2" xfId="185" xr:uid="{EFC516C9-95F1-4653-B298-398D9326C0F6}"/>
    <cellStyle name="Comma 2 2 2 4 2 10" xfId="11150" xr:uid="{D148FDF2-572F-439B-AD41-C4399A29B096}"/>
    <cellStyle name="Comma 2 2 2 4 2 11" xfId="11479" xr:uid="{3A11E0B2-3847-4663-A216-9213A3012279}"/>
    <cellStyle name="Comma 2 2 2 4 2 12" xfId="13732" xr:uid="{0D36C6F0-262B-47C6-85FB-CB1DF1D9EAC5}"/>
    <cellStyle name="Comma 2 2 2 4 2 13" xfId="15985" xr:uid="{3F114B81-4DEB-45BA-B142-551AA6DFDCAF}"/>
    <cellStyle name="Comma 2 2 2 4 2 2" xfId="1322" xr:uid="{61873828-F10D-4755-B67A-2D6CFA6CC4BE}"/>
    <cellStyle name="Comma 2 2 2 4 2 2 2" xfId="12606" xr:uid="{4396B141-81AE-4000-997B-640F5349CE6D}"/>
    <cellStyle name="Comma 2 2 2 4 2 2 3" xfId="14859" xr:uid="{122E5401-28CC-4375-A5D6-F4C0BD9435DE}"/>
    <cellStyle name="Comma 2 2 2 4 2 2 4" xfId="17112" xr:uid="{FE45DBF1-3205-4C9D-918D-0970FE49CF52}"/>
    <cellStyle name="Comma 2 2 2 4 2 3" xfId="2448" xr:uid="{7029E4BE-9D83-4066-856E-19DCE638D4D3}"/>
    <cellStyle name="Comma 2 2 2 4 2 4" xfId="3574" xr:uid="{7DCECB9D-5077-4114-B702-E1AD69949BAC}"/>
    <cellStyle name="Comma 2 2 2 4 2 5" xfId="4700" xr:uid="{721E6D3C-7E88-4F95-A56A-EFCC1BECAAFF}"/>
    <cellStyle name="Comma 2 2 2 4 2 6" xfId="5827" xr:uid="{74AE593B-5696-435E-A72E-241FEAE08A91}"/>
    <cellStyle name="Comma 2 2 2 4 2 7" xfId="6954" xr:uid="{AABCE51A-CDD1-4226-B159-5D4F2ED620AB}"/>
    <cellStyle name="Comma 2 2 2 4 2 8" xfId="8886" xr:uid="{DE168B2E-2376-4CD7-9546-8ACDC76860CA}"/>
    <cellStyle name="Comma 2 2 2 4 2 9" xfId="10023" xr:uid="{3D73BCE0-3FB7-43FA-BC4A-3C7F7B0950B4}"/>
    <cellStyle name="Comma 2 2 2 4 3" xfId="186" xr:uid="{830E9D36-F8EF-46A7-9AB1-DBDDB76581BA}"/>
    <cellStyle name="Comma 2 2 2 4 3 10" xfId="11149" xr:uid="{4E3F6F3D-C803-49F3-8321-C634E32164D0}"/>
    <cellStyle name="Comma 2 2 2 4 3 11" xfId="11480" xr:uid="{53198A5B-7C75-4DA3-AE35-3D78B651E782}"/>
    <cellStyle name="Comma 2 2 2 4 3 12" xfId="13733" xr:uid="{217E34BE-E9C8-492E-A3FD-9605AF536742}"/>
    <cellStyle name="Comma 2 2 2 4 3 13" xfId="15986" xr:uid="{2828D1FF-F922-41CF-9859-0ACE59B37835}"/>
    <cellStyle name="Comma 2 2 2 4 3 2" xfId="1323" xr:uid="{76BDFCB0-8296-477B-8B80-A95D99662DA7}"/>
    <cellStyle name="Comma 2 2 2 4 3 2 2" xfId="12607" xr:uid="{AA92E8C0-721B-4139-8092-03ED89E0CF01}"/>
    <cellStyle name="Comma 2 2 2 4 3 2 3" xfId="14860" xr:uid="{2AD8DB77-DFDD-4FE0-8F44-54FBB8CFEFF2}"/>
    <cellStyle name="Comma 2 2 2 4 3 2 4" xfId="17113" xr:uid="{BECE2513-7341-4BFF-A478-E26F0E7F9C9B}"/>
    <cellStyle name="Comma 2 2 2 4 3 3" xfId="2449" xr:uid="{7DEC1A74-9535-4C86-A6A3-43809A80A795}"/>
    <cellStyle name="Comma 2 2 2 4 3 4" xfId="3575" xr:uid="{7CCB4010-C3FC-40F6-84D6-A228399197DC}"/>
    <cellStyle name="Comma 2 2 2 4 3 5" xfId="4701" xr:uid="{B1F0D88F-EF8E-4832-9B12-311610DB55D2}"/>
    <cellStyle name="Comma 2 2 2 4 3 6" xfId="5828" xr:uid="{49505856-EAFB-4190-BE57-4C32B2B6FA4F}"/>
    <cellStyle name="Comma 2 2 2 4 3 7" xfId="6955" xr:uid="{9FAF4A7A-0CB5-4C8E-B8C6-BBA0319F68DD}"/>
    <cellStyle name="Comma 2 2 2 4 3 8" xfId="8885" xr:uid="{C320C0FE-24F8-4B53-8B12-E087DE1D2A91}"/>
    <cellStyle name="Comma 2 2 2 4 3 9" xfId="10022" xr:uid="{E7394A7B-099D-4962-979F-CEA441AF8D30}"/>
    <cellStyle name="Comma 2 2 2 4 4" xfId="1321" xr:uid="{B6004B54-ECCA-4BA8-B2D0-15AEB70DC015}"/>
    <cellStyle name="Comma 2 2 2 4 4 2" xfId="12605" xr:uid="{9C17FB7D-1AB9-4F91-A77F-68967FF0C9CE}"/>
    <cellStyle name="Comma 2 2 2 4 4 3" xfId="14858" xr:uid="{B4076F68-2BFB-456D-BFF1-6F986E53B69C}"/>
    <cellStyle name="Comma 2 2 2 4 4 4" xfId="17111" xr:uid="{6E7DC2E0-B0B0-4348-AC5F-CC259756755F}"/>
    <cellStyle name="Comma 2 2 2 4 5" xfId="2447" xr:uid="{11FA7501-FA0C-4CA8-B0EC-AE40E4906776}"/>
    <cellStyle name="Comma 2 2 2 4 6" xfId="3573" xr:uid="{8BF7B5DA-2324-4E0D-8BAB-D73EF4FC64B0}"/>
    <cellStyle name="Comma 2 2 2 4 7" xfId="4699" xr:uid="{B960C64E-5980-44E5-8F9F-FC8EC2788FE1}"/>
    <cellStyle name="Comma 2 2 2 4 8" xfId="5826" xr:uid="{19DB3D73-9526-4DE2-871A-46F0DF546625}"/>
    <cellStyle name="Comma 2 2 2 4 9" xfId="6953" xr:uid="{946EDD0A-4863-41FA-8C5E-0E7A540E9E85}"/>
    <cellStyle name="Comma 2 2 2 5" xfId="187" xr:uid="{F7EF095E-3A85-492E-A4ED-4D2C5E27309D}"/>
    <cellStyle name="Comma 2 2 2 5 10" xfId="11148" xr:uid="{2119838A-EBC3-457C-8DBC-F2DAF7E077B5}"/>
    <cellStyle name="Comma 2 2 2 5 11" xfId="11481" xr:uid="{289D1A92-4C33-47E2-B93C-BB485A201A36}"/>
    <cellStyle name="Comma 2 2 2 5 12" xfId="13734" xr:uid="{81BFC542-96FD-4EC8-B9FB-5FDCA2BB470E}"/>
    <cellStyle name="Comma 2 2 2 5 13" xfId="15987" xr:uid="{26A246B4-3C86-415E-8D62-524B36192388}"/>
    <cellStyle name="Comma 2 2 2 5 2" xfId="1324" xr:uid="{694A7F5B-6AC5-4905-9C15-4B95DF60EF22}"/>
    <cellStyle name="Comma 2 2 2 5 2 2" xfId="12608" xr:uid="{0E02E5BE-CDA4-433A-9EE1-31E1C76902FB}"/>
    <cellStyle name="Comma 2 2 2 5 2 3" xfId="14861" xr:uid="{225F9C4D-118C-4E09-9B6D-CE4C605587DC}"/>
    <cellStyle name="Comma 2 2 2 5 2 4" xfId="17114" xr:uid="{82897B3E-B61E-428B-A163-A43154A8ACB0}"/>
    <cellStyle name="Comma 2 2 2 5 3" xfId="2450" xr:uid="{3833D886-4FFD-4480-B9EE-F70E11EE3377}"/>
    <cellStyle name="Comma 2 2 2 5 4" xfId="3576" xr:uid="{99B5BF60-00C1-41DD-8DA0-30BF1622AE36}"/>
    <cellStyle name="Comma 2 2 2 5 5" xfId="4702" xr:uid="{99B70B20-142D-41BA-835E-42800A2CB7DA}"/>
    <cellStyle name="Comma 2 2 2 5 6" xfId="5829" xr:uid="{900B869A-35A6-4DA0-A33D-943F31B7BEBA}"/>
    <cellStyle name="Comma 2 2 2 5 7" xfId="6956" xr:uid="{659B30A2-1AA7-45CA-AC10-BA388B2E59E1}"/>
    <cellStyle name="Comma 2 2 2 5 8" xfId="8884" xr:uid="{AA7D4547-AF1F-4349-AEB1-A7F0D1AC8CF6}"/>
    <cellStyle name="Comma 2 2 2 5 9" xfId="10021" xr:uid="{FA0F7FB4-48FC-4942-A5E7-641F87C82566}"/>
    <cellStyle name="Comma 2 2 2 6" xfId="188" xr:uid="{8A141F35-63C4-4A47-A779-5B976BC8FB7C}"/>
    <cellStyle name="Comma 2 2 2 6 10" xfId="11147" xr:uid="{CB1A032E-14B0-4357-9600-08B6E1A38480}"/>
    <cellStyle name="Comma 2 2 2 6 11" xfId="11482" xr:uid="{8A9E57E8-08C0-47CB-9445-EB28DD8E1F0A}"/>
    <cellStyle name="Comma 2 2 2 6 12" xfId="13735" xr:uid="{7C95616F-61DA-4CE9-ACB5-DD7EEBD0014E}"/>
    <cellStyle name="Comma 2 2 2 6 13" xfId="15988" xr:uid="{78DC2FCC-0EBC-472C-8E32-02FBD4AFE9B7}"/>
    <cellStyle name="Comma 2 2 2 6 2" xfId="1325" xr:uid="{C49E8473-1DCD-42C7-BDE6-1EC69E453901}"/>
    <cellStyle name="Comma 2 2 2 6 2 2" xfId="12609" xr:uid="{D58A3085-1AAB-446F-AEBF-D02032A1A094}"/>
    <cellStyle name="Comma 2 2 2 6 2 3" xfId="14862" xr:uid="{BEFE1CFF-CDFE-4841-9416-2E35CC1F556C}"/>
    <cellStyle name="Comma 2 2 2 6 2 4" xfId="17115" xr:uid="{8B30EDDA-D965-47EC-A4A7-95A06D8065F3}"/>
    <cellStyle name="Comma 2 2 2 6 3" xfId="2451" xr:uid="{735CBB22-6998-4AF3-8DE9-64EE6EB1BA12}"/>
    <cellStyle name="Comma 2 2 2 6 4" xfId="3577" xr:uid="{1F1D3D18-F4DE-4417-87D8-FE8BF8041204}"/>
    <cellStyle name="Comma 2 2 2 6 5" xfId="4703" xr:uid="{327CCA10-64F7-47B8-8881-F1115D749006}"/>
    <cellStyle name="Comma 2 2 2 6 6" xfId="5830" xr:uid="{9AB18184-1906-4080-8ECC-7A94C98B8869}"/>
    <cellStyle name="Comma 2 2 2 6 7" xfId="6957" xr:uid="{6489E33A-DB5A-4CCD-8642-AB9F4C819495}"/>
    <cellStyle name="Comma 2 2 2 6 8" xfId="8883" xr:uid="{93346143-9BEB-48A2-9E5C-8904B2D350DD}"/>
    <cellStyle name="Comma 2 2 2 6 9" xfId="10020" xr:uid="{0680C1EA-876C-4918-A283-736F0C7FC7CC}"/>
    <cellStyle name="Comma 2 2 2 7" xfId="165" xr:uid="{407BD0B7-85ED-42DE-BC2C-944079A95BEF}"/>
    <cellStyle name="Comma 2 2 2 7 2" xfId="12586" xr:uid="{C3DA7B67-3A4F-4178-821E-D0267E507A9B}"/>
    <cellStyle name="Comma 2 2 2 7 3" xfId="14839" xr:uid="{FFE792C4-D959-454F-92D1-E6139F5760D3}"/>
    <cellStyle name="Comma 2 2 2 7 4" xfId="17092" xr:uid="{F7F42592-5368-4B9C-9B0B-0E05371DC134}"/>
    <cellStyle name="Comma 2 2 2 8" xfId="1302" xr:uid="{DC4B68B4-8A5D-4545-909A-9B9030EB1BE3}"/>
    <cellStyle name="Comma 2 2 2 9" xfId="2428" xr:uid="{8D606043-014F-4461-966D-9679F6DB52CB}"/>
    <cellStyle name="Comma 2 2 20" xfId="15964" xr:uid="{6933655C-079A-47F8-9695-3EA4B65B70AE}"/>
    <cellStyle name="Comma 2 2 3" xfId="189" xr:uid="{45351407-0D3F-454B-8312-2FE02EA29844}"/>
    <cellStyle name="Comma 2 2 3 10" xfId="5831" xr:uid="{2B548503-32D2-47AA-8F64-613A6BBC6DD1}"/>
    <cellStyle name="Comma 2 2 3 11" xfId="6958" xr:uid="{38E94F04-2A55-4075-9CC5-A57B8B9FED8F}"/>
    <cellStyle name="Comma 2 2 3 12" xfId="8882" xr:uid="{E9FA8FCD-2568-41F9-801F-C3017C49BE22}"/>
    <cellStyle name="Comma 2 2 3 13" xfId="10019" xr:uid="{FE8FF6E4-0A41-43BF-8A28-47A27DBE1799}"/>
    <cellStyle name="Comma 2 2 3 14" xfId="11146" xr:uid="{3383B17D-3EA3-4BBA-AA93-037F246FC92F}"/>
    <cellStyle name="Comma 2 2 3 15" xfId="11483" xr:uid="{A9D9EA8A-91A9-4FBF-B0AD-0DDCFAA6AF93}"/>
    <cellStyle name="Comma 2 2 3 16" xfId="13736" xr:uid="{AD8ED2AB-5ACB-4188-8517-F6384A038D2D}"/>
    <cellStyle name="Comma 2 2 3 17" xfId="15989" xr:uid="{8E2781F5-7D41-4C0E-9360-27257E1E8BED}"/>
    <cellStyle name="Comma 2 2 3 2" xfId="190" xr:uid="{6920246D-751A-4E13-84FF-9CE7B9AD73E8}"/>
    <cellStyle name="Comma 2 2 3 2 10" xfId="6959" xr:uid="{A6C29FC4-80B3-46E6-B5F5-E2CB5B5005CF}"/>
    <cellStyle name="Comma 2 2 3 2 11" xfId="8881" xr:uid="{7BABFBCE-39C3-4203-A124-008C7EE6AD74}"/>
    <cellStyle name="Comma 2 2 3 2 12" xfId="10018" xr:uid="{5C7A39F2-DB67-48FB-B441-1B93995A6FD0}"/>
    <cellStyle name="Comma 2 2 3 2 13" xfId="11145" xr:uid="{D0C592E6-81FD-4B2F-909A-619395743865}"/>
    <cellStyle name="Comma 2 2 3 2 14" xfId="11484" xr:uid="{DDEDBB38-82BA-4588-9060-AC59BE694A63}"/>
    <cellStyle name="Comma 2 2 3 2 15" xfId="13737" xr:uid="{E196B7E3-10CC-490C-9010-58B68EF8F63D}"/>
    <cellStyle name="Comma 2 2 3 2 16" xfId="15990" xr:uid="{BA773DEF-3F9E-4DD1-8001-8F743855D4A0}"/>
    <cellStyle name="Comma 2 2 3 2 2" xfId="191" xr:uid="{F1A8957D-4A2F-4451-85A5-8F46023623D0}"/>
    <cellStyle name="Comma 2 2 3 2 2 10" xfId="8880" xr:uid="{BDDC3B11-B31C-44FA-9D69-CFD151350DCC}"/>
    <cellStyle name="Comma 2 2 3 2 2 11" xfId="10017" xr:uid="{1B768041-929C-47F4-8CD9-CBD72D87C64D}"/>
    <cellStyle name="Comma 2 2 3 2 2 12" xfId="11144" xr:uid="{B66F5C93-1B25-4488-BE4E-EFEAB7C8201F}"/>
    <cellStyle name="Comma 2 2 3 2 2 13" xfId="11485" xr:uid="{F5EEB8D7-FE9F-4127-89D9-D73F6A0F5667}"/>
    <cellStyle name="Comma 2 2 3 2 2 14" xfId="13738" xr:uid="{DF3CADFB-1170-49FF-B6DB-210008652EE0}"/>
    <cellStyle name="Comma 2 2 3 2 2 15" xfId="15991" xr:uid="{63168FCF-36BB-4080-A3AF-E586D6DD2097}"/>
    <cellStyle name="Comma 2 2 3 2 2 2" xfId="192" xr:uid="{876153CA-B869-4AEC-9C00-8AA0B4DA59EF}"/>
    <cellStyle name="Comma 2 2 3 2 2 2 10" xfId="11143" xr:uid="{4A29EB9A-CD14-4F7B-9196-CCDC07D66E49}"/>
    <cellStyle name="Comma 2 2 3 2 2 2 11" xfId="11486" xr:uid="{336F7E46-48BF-4B0B-903A-92C05A0D2087}"/>
    <cellStyle name="Comma 2 2 3 2 2 2 12" xfId="13739" xr:uid="{21652538-E534-4132-8A54-C30D1C7E2B86}"/>
    <cellStyle name="Comma 2 2 3 2 2 2 13" xfId="15992" xr:uid="{B2FAED39-58C2-453B-93C5-3EB03CE8930C}"/>
    <cellStyle name="Comma 2 2 3 2 2 2 2" xfId="1329" xr:uid="{6CE957B7-896A-41B2-98FD-02C5DEB61976}"/>
    <cellStyle name="Comma 2 2 3 2 2 2 2 2" xfId="12613" xr:uid="{CC9CE22D-EC2D-4D80-AE51-89130C878F15}"/>
    <cellStyle name="Comma 2 2 3 2 2 2 2 3" xfId="14866" xr:uid="{28A55173-A493-4140-A6C7-EF1C00B2AD5D}"/>
    <cellStyle name="Comma 2 2 3 2 2 2 2 4" xfId="17119" xr:uid="{E3EA146C-E566-4FE6-895A-EB2F3EF7A974}"/>
    <cellStyle name="Comma 2 2 3 2 2 2 3" xfId="2455" xr:uid="{6739FA66-DE57-44D2-AE8A-0869E7CCB346}"/>
    <cellStyle name="Comma 2 2 3 2 2 2 4" xfId="3581" xr:uid="{F6C416EA-9510-4B51-A729-AB19ECA35016}"/>
    <cellStyle name="Comma 2 2 3 2 2 2 5" xfId="4707" xr:uid="{510E89EE-F90B-46E0-94E0-B98F1F2041B3}"/>
    <cellStyle name="Comma 2 2 3 2 2 2 6" xfId="5834" xr:uid="{B6C96841-90CA-4EC8-A0CA-7E167C2E21F9}"/>
    <cellStyle name="Comma 2 2 3 2 2 2 7" xfId="6961" xr:uid="{AEF7BBB2-40D7-45F2-BD5A-E17400A775DA}"/>
    <cellStyle name="Comma 2 2 3 2 2 2 8" xfId="8879" xr:uid="{38B550EB-657B-44E1-B9A5-29EE65927D41}"/>
    <cellStyle name="Comma 2 2 3 2 2 2 9" xfId="10016" xr:uid="{62358A1F-B6ED-497B-9C0B-FB92DEF2F6AC}"/>
    <cellStyle name="Comma 2 2 3 2 2 3" xfId="193" xr:uid="{ECEFBB6E-8CF1-4A69-899A-5D8252C2575B}"/>
    <cellStyle name="Comma 2 2 3 2 2 3 10" xfId="11142" xr:uid="{4B049F1E-CFB9-45C7-A37A-2BAB07F01CA0}"/>
    <cellStyle name="Comma 2 2 3 2 2 3 11" xfId="11487" xr:uid="{76321EFE-23FB-4E3C-B904-029551CC6829}"/>
    <cellStyle name="Comma 2 2 3 2 2 3 12" xfId="13740" xr:uid="{AB9FB18B-81C0-4E21-A6DB-0EE510B573A6}"/>
    <cellStyle name="Comma 2 2 3 2 2 3 13" xfId="15993" xr:uid="{3677ACB9-AED3-4410-9EC8-85FB46252ECB}"/>
    <cellStyle name="Comma 2 2 3 2 2 3 2" xfId="1330" xr:uid="{203C1590-4FD4-439C-84BE-A3BD859F3781}"/>
    <cellStyle name="Comma 2 2 3 2 2 3 2 2" xfId="12614" xr:uid="{B0938A2F-F0D5-49C6-AF8F-436F645DA906}"/>
    <cellStyle name="Comma 2 2 3 2 2 3 2 3" xfId="14867" xr:uid="{CF29BB0C-60DD-4E0C-8978-2C54B19C04DA}"/>
    <cellStyle name="Comma 2 2 3 2 2 3 2 4" xfId="17120" xr:uid="{7DF1B38E-53A5-495A-8240-BA3348694C2F}"/>
    <cellStyle name="Comma 2 2 3 2 2 3 3" xfId="2456" xr:uid="{9063087F-C97B-4CFC-BDB1-A4197935348E}"/>
    <cellStyle name="Comma 2 2 3 2 2 3 4" xfId="3582" xr:uid="{42A715FD-03CF-4B78-AC4F-DF97EE51ABD4}"/>
    <cellStyle name="Comma 2 2 3 2 2 3 5" xfId="4708" xr:uid="{35FF0827-E424-4090-B774-9BEC57CA89CB}"/>
    <cellStyle name="Comma 2 2 3 2 2 3 6" xfId="5835" xr:uid="{FD112C90-1B6B-41DC-8A3B-ED392C91D1A4}"/>
    <cellStyle name="Comma 2 2 3 2 2 3 7" xfId="6962" xr:uid="{AC26F504-657B-4726-A9A6-33684DBA35B9}"/>
    <cellStyle name="Comma 2 2 3 2 2 3 8" xfId="8878" xr:uid="{FFEAD2C7-E703-41B1-BCAB-F061FB0A51FA}"/>
    <cellStyle name="Comma 2 2 3 2 2 3 9" xfId="10015" xr:uid="{A4A47105-401B-4F17-AF01-38D5DFF275B0}"/>
    <cellStyle name="Comma 2 2 3 2 2 4" xfId="1328" xr:uid="{ED58D960-97F5-4808-96B0-0680DBA11D27}"/>
    <cellStyle name="Comma 2 2 3 2 2 4 2" xfId="12612" xr:uid="{65F0080B-FEBB-42C9-9089-A17E8A14D760}"/>
    <cellStyle name="Comma 2 2 3 2 2 4 3" xfId="14865" xr:uid="{703D4834-7FC5-4FA4-A9DE-6366F29FC818}"/>
    <cellStyle name="Comma 2 2 3 2 2 4 4" xfId="17118" xr:uid="{BD0707A9-001B-4E52-9202-89D5ED6E82EC}"/>
    <cellStyle name="Comma 2 2 3 2 2 5" xfId="2454" xr:uid="{4F9FE551-7F5F-4FCB-83FA-2372E7177AC9}"/>
    <cellStyle name="Comma 2 2 3 2 2 6" xfId="3580" xr:uid="{3A63CEE8-9AB4-42E7-8C57-9D977FC06F64}"/>
    <cellStyle name="Comma 2 2 3 2 2 7" xfId="4706" xr:uid="{343C0C28-72BD-4F8F-9AE7-6F89E0E08843}"/>
    <cellStyle name="Comma 2 2 3 2 2 8" xfId="5833" xr:uid="{FBB9CD96-D975-4DC4-819B-2FD240B65070}"/>
    <cellStyle name="Comma 2 2 3 2 2 9" xfId="6960" xr:uid="{B2F4D8DD-EB96-4569-9DAD-3B2BCB842DC0}"/>
    <cellStyle name="Comma 2 2 3 2 3" xfId="194" xr:uid="{62E0C9E5-2BF6-409B-AA3D-8554191859EC}"/>
    <cellStyle name="Comma 2 2 3 2 3 10" xfId="11141" xr:uid="{F2C1AC9C-CBD3-49BC-81EF-E844D08DCD01}"/>
    <cellStyle name="Comma 2 2 3 2 3 11" xfId="11488" xr:uid="{396EAF2F-DA75-4439-A8B0-EC258C431F14}"/>
    <cellStyle name="Comma 2 2 3 2 3 12" xfId="13741" xr:uid="{A12C7B8B-F786-4CDA-9289-551ACB0073D0}"/>
    <cellStyle name="Comma 2 2 3 2 3 13" xfId="15994" xr:uid="{3E23D929-C716-4DD0-BB26-24680E72A41E}"/>
    <cellStyle name="Comma 2 2 3 2 3 2" xfId="1331" xr:uid="{1D8DB02A-FEA1-4D43-A3C7-9E89346D3C45}"/>
    <cellStyle name="Comma 2 2 3 2 3 2 2" xfId="12615" xr:uid="{999B9446-A22D-4BAB-AAF0-DF194668B111}"/>
    <cellStyle name="Comma 2 2 3 2 3 2 3" xfId="14868" xr:uid="{1BF092D4-AC1A-4546-8A01-D18D5BC1171E}"/>
    <cellStyle name="Comma 2 2 3 2 3 2 4" xfId="17121" xr:uid="{5431BE13-DF97-4DA6-A496-6134E3380211}"/>
    <cellStyle name="Comma 2 2 3 2 3 3" xfId="2457" xr:uid="{ED9BBD8E-34E3-469F-A76D-03180E5FC93B}"/>
    <cellStyle name="Comma 2 2 3 2 3 4" xfId="3583" xr:uid="{AD250C2A-702E-4301-AEC4-90483DD41FCB}"/>
    <cellStyle name="Comma 2 2 3 2 3 5" xfId="4709" xr:uid="{C0FC487A-6B73-4D7D-9696-19E368F8DB40}"/>
    <cellStyle name="Comma 2 2 3 2 3 6" xfId="5836" xr:uid="{89D274B5-2F25-4E2A-8FB1-545DA2E981F2}"/>
    <cellStyle name="Comma 2 2 3 2 3 7" xfId="6963" xr:uid="{4C881192-3214-4265-9094-933CD8774F95}"/>
    <cellStyle name="Comma 2 2 3 2 3 8" xfId="8877" xr:uid="{B91AA21D-4975-44FE-9886-BDE096C23E29}"/>
    <cellStyle name="Comma 2 2 3 2 3 9" xfId="10014" xr:uid="{8626ED20-226D-4379-B1BB-BFB40DBE3759}"/>
    <cellStyle name="Comma 2 2 3 2 4" xfId="195" xr:uid="{6F94366B-C10F-4B9B-BF26-170953C82574}"/>
    <cellStyle name="Comma 2 2 3 2 4 10" xfId="11140" xr:uid="{A1301F1B-BC54-488F-AA96-B7855498AA5D}"/>
    <cellStyle name="Comma 2 2 3 2 4 11" xfId="11489" xr:uid="{F446EEBF-8DD8-40D2-BC0E-A4D0A37D13A3}"/>
    <cellStyle name="Comma 2 2 3 2 4 12" xfId="13742" xr:uid="{F50B2F79-BE97-4C70-86C9-EDD3E86766D5}"/>
    <cellStyle name="Comma 2 2 3 2 4 13" xfId="15995" xr:uid="{569B51BD-86E4-4EAC-B418-3FD2B0855A28}"/>
    <cellStyle name="Comma 2 2 3 2 4 2" xfId="1332" xr:uid="{FA67BEC2-0AA4-4DCE-AEB9-A7B3E14FC234}"/>
    <cellStyle name="Comma 2 2 3 2 4 2 2" xfId="12616" xr:uid="{24612667-394A-4FDE-916F-9633FBE41907}"/>
    <cellStyle name="Comma 2 2 3 2 4 2 3" xfId="14869" xr:uid="{8D9723DA-2FC3-464A-8EC5-FDF6B8C9C0D1}"/>
    <cellStyle name="Comma 2 2 3 2 4 2 4" xfId="17122" xr:uid="{9DD05A48-140A-4B28-BB53-DA871EBF2C27}"/>
    <cellStyle name="Comma 2 2 3 2 4 3" xfId="2458" xr:uid="{F4D5133D-192E-4801-A16D-11B636B5F2A0}"/>
    <cellStyle name="Comma 2 2 3 2 4 4" xfId="3584" xr:uid="{9C861E55-063D-4C85-9204-CD9007249C75}"/>
    <cellStyle name="Comma 2 2 3 2 4 5" xfId="4710" xr:uid="{8AF67A22-F878-4429-85E9-3060C4C99D60}"/>
    <cellStyle name="Comma 2 2 3 2 4 6" xfId="5837" xr:uid="{D38676E4-9C8A-418B-9A84-63B43467DB68}"/>
    <cellStyle name="Comma 2 2 3 2 4 7" xfId="6964" xr:uid="{36069DD5-63EB-404F-9B5D-83854637208F}"/>
    <cellStyle name="Comma 2 2 3 2 4 8" xfId="8876" xr:uid="{031BFA9B-A529-4E30-BF8E-6738A1388A2E}"/>
    <cellStyle name="Comma 2 2 3 2 4 9" xfId="10013" xr:uid="{9A811C20-1239-490B-87BE-7628B554E150}"/>
    <cellStyle name="Comma 2 2 3 2 5" xfId="1327" xr:uid="{FB6BF7E6-751B-42F5-992D-A12ED36CFBA3}"/>
    <cellStyle name="Comma 2 2 3 2 5 2" xfId="12611" xr:uid="{3D413954-A60A-4DB7-ABF2-65C620170531}"/>
    <cellStyle name="Comma 2 2 3 2 5 3" xfId="14864" xr:uid="{B07AE655-6207-47FC-8C32-C3D292522DAF}"/>
    <cellStyle name="Comma 2 2 3 2 5 4" xfId="17117" xr:uid="{DDAD852A-6761-4F4D-8D3B-CA43C7A93E40}"/>
    <cellStyle name="Comma 2 2 3 2 6" xfId="2453" xr:uid="{703DD625-2821-4B44-BA70-AFD728F6F724}"/>
    <cellStyle name="Comma 2 2 3 2 7" xfId="3579" xr:uid="{C4DFBF7E-FD9E-4239-8458-8FFD442AEC79}"/>
    <cellStyle name="Comma 2 2 3 2 8" xfId="4705" xr:uid="{61C9599E-9B8B-4ACD-84ED-91586610F823}"/>
    <cellStyle name="Comma 2 2 3 2 9" xfId="5832" xr:uid="{0C7ACF3D-7563-466A-8502-5C0FC1116BEA}"/>
    <cellStyle name="Comma 2 2 3 3" xfId="196" xr:uid="{2D34F9E0-ECA5-456C-AB75-A818D217E047}"/>
    <cellStyle name="Comma 2 2 3 3 10" xfId="8875" xr:uid="{99ACECDD-6352-4097-BD3A-6FBE3CD44CE3}"/>
    <cellStyle name="Comma 2 2 3 3 11" xfId="10012" xr:uid="{643A1C38-039E-4DA6-9795-C860ACA12012}"/>
    <cellStyle name="Comma 2 2 3 3 12" xfId="11139" xr:uid="{1C28138A-ADAE-445B-99E7-38BD052141BB}"/>
    <cellStyle name="Comma 2 2 3 3 13" xfId="11490" xr:uid="{ACA99AF2-7D58-4DF9-8118-2BC5337A3695}"/>
    <cellStyle name="Comma 2 2 3 3 14" xfId="13743" xr:uid="{11D60FBD-E41F-4B59-8034-3953B5A91128}"/>
    <cellStyle name="Comma 2 2 3 3 15" xfId="15996" xr:uid="{49069551-7ECA-4B3E-8FAC-F1D8A9C5B32F}"/>
    <cellStyle name="Comma 2 2 3 3 2" xfId="197" xr:uid="{11AB92EA-B4CD-405D-9A51-4DFB3B6F07B8}"/>
    <cellStyle name="Comma 2 2 3 3 2 10" xfId="11138" xr:uid="{C4669B1A-7B15-464F-A399-A9EE546B3300}"/>
    <cellStyle name="Comma 2 2 3 3 2 11" xfId="11491" xr:uid="{B1D79E0C-077D-471B-B109-B535889EA98A}"/>
    <cellStyle name="Comma 2 2 3 3 2 12" xfId="13744" xr:uid="{B52F54DB-E994-4296-A6A5-06A3888C29F9}"/>
    <cellStyle name="Comma 2 2 3 3 2 13" xfId="15997" xr:uid="{76ECF6A9-5DFC-4EDA-99A0-6F95B5F1B3E4}"/>
    <cellStyle name="Comma 2 2 3 3 2 2" xfId="1334" xr:uid="{F8BC96F6-0117-4756-B104-1CDFCD823558}"/>
    <cellStyle name="Comma 2 2 3 3 2 2 2" xfId="12618" xr:uid="{F27E7681-D3E9-42D5-BA8B-4D82C6E1BAFB}"/>
    <cellStyle name="Comma 2 2 3 3 2 2 3" xfId="14871" xr:uid="{C47F876D-463F-498C-9F54-B2575BA9FA8B}"/>
    <cellStyle name="Comma 2 2 3 3 2 2 4" xfId="17124" xr:uid="{F4E54D49-1AF4-40B4-9D2D-CD1074B6E9DC}"/>
    <cellStyle name="Comma 2 2 3 3 2 3" xfId="2460" xr:uid="{39CD520C-F71A-40E3-BD90-D1F9E171E106}"/>
    <cellStyle name="Comma 2 2 3 3 2 4" xfId="3586" xr:uid="{B4FEFDFA-BD7E-44B4-B9E2-FA51C29E64F1}"/>
    <cellStyle name="Comma 2 2 3 3 2 5" xfId="4712" xr:uid="{18D635BF-A499-4BA8-8954-7F5EDC07EB1B}"/>
    <cellStyle name="Comma 2 2 3 3 2 6" xfId="5839" xr:uid="{11268755-F56D-46D3-93D6-3099116EEE6C}"/>
    <cellStyle name="Comma 2 2 3 3 2 7" xfId="6966" xr:uid="{23BCD555-CAD1-484B-8064-EB6D17E2F137}"/>
    <cellStyle name="Comma 2 2 3 3 2 8" xfId="8874" xr:uid="{EB7BE515-4A2D-49B7-AFBF-33BAE6E3915E}"/>
    <cellStyle name="Comma 2 2 3 3 2 9" xfId="10011" xr:uid="{0D3B71CC-C075-47C0-8CE6-E4D9FBAD9FA3}"/>
    <cellStyle name="Comma 2 2 3 3 3" xfId="198" xr:uid="{11554B5B-372E-4D44-B008-786651D21A32}"/>
    <cellStyle name="Comma 2 2 3 3 3 10" xfId="11137" xr:uid="{E093F7CE-FE17-4CE3-A000-B6D52BAB1759}"/>
    <cellStyle name="Comma 2 2 3 3 3 11" xfId="11492" xr:uid="{BDC0A8F6-A15F-4328-99EB-68C82195BB34}"/>
    <cellStyle name="Comma 2 2 3 3 3 12" xfId="13745" xr:uid="{A1357977-AFFB-4D1A-BDA1-A3404EAE0E7F}"/>
    <cellStyle name="Comma 2 2 3 3 3 13" xfId="15998" xr:uid="{24AA2E90-D3E7-41B9-98EB-D2559A3A32A2}"/>
    <cellStyle name="Comma 2 2 3 3 3 2" xfId="1335" xr:uid="{578D6B02-A664-4F25-91F7-112BE38649D2}"/>
    <cellStyle name="Comma 2 2 3 3 3 2 2" xfId="12619" xr:uid="{2024F32E-23AA-4BB5-B067-9EEE517C7EAB}"/>
    <cellStyle name="Comma 2 2 3 3 3 2 3" xfId="14872" xr:uid="{9C2FBB8F-4FFD-4863-BDCA-DFF90FED635C}"/>
    <cellStyle name="Comma 2 2 3 3 3 2 4" xfId="17125" xr:uid="{715D972B-AD29-4FCC-93BF-EC25B249FA4C}"/>
    <cellStyle name="Comma 2 2 3 3 3 3" xfId="2461" xr:uid="{EDDB542B-F952-41EC-8752-5BE0D9CC4C92}"/>
    <cellStyle name="Comma 2 2 3 3 3 4" xfId="3587" xr:uid="{EDD4EFEE-EF74-4D8A-815F-886A683F82A1}"/>
    <cellStyle name="Comma 2 2 3 3 3 5" xfId="4713" xr:uid="{969D4E51-C7A1-4E5E-911F-ADA682DAD316}"/>
    <cellStyle name="Comma 2 2 3 3 3 6" xfId="5840" xr:uid="{00432DCD-F0C4-4764-BD47-705DC35D8E50}"/>
    <cellStyle name="Comma 2 2 3 3 3 7" xfId="6967" xr:uid="{1BCDF32D-4A9B-4F13-A4AE-2DFF5612F0A2}"/>
    <cellStyle name="Comma 2 2 3 3 3 8" xfId="8873" xr:uid="{752BE0A1-69C6-40A1-9400-F0104932D77A}"/>
    <cellStyle name="Comma 2 2 3 3 3 9" xfId="10010" xr:uid="{B5C90B5C-4C0E-4E36-B2EC-31B756EAB704}"/>
    <cellStyle name="Comma 2 2 3 3 4" xfId="1333" xr:uid="{F5C12371-F7B0-412C-A5E3-1735FBED84DE}"/>
    <cellStyle name="Comma 2 2 3 3 4 2" xfId="12617" xr:uid="{8574A468-79DC-44ED-BD0C-8A6E8A6EC2E5}"/>
    <cellStyle name="Comma 2 2 3 3 4 3" xfId="14870" xr:uid="{160B2273-7090-4395-803F-208D3C04261A}"/>
    <cellStyle name="Comma 2 2 3 3 4 4" xfId="17123" xr:uid="{4B09EF19-F41C-46C8-BC91-4E624837B014}"/>
    <cellStyle name="Comma 2 2 3 3 5" xfId="2459" xr:uid="{55C10431-48A3-45AC-8B3D-A0255673DAE4}"/>
    <cellStyle name="Comma 2 2 3 3 6" xfId="3585" xr:uid="{61635717-D914-4366-9B8F-A0B6D67AE08D}"/>
    <cellStyle name="Comma 2 2 3 3 7" xfId="4711" xr:uid="{432EF9A7-BDBB-4CDF-9CE9-DD3635F5289C}"/>
    <cellStyle name="Comma 2 2 3 3 8" xfId="5838" xr:uid="{09866D94-D45D-4E69-ACDC-BCCC5867E0B1}"/>
    <cellStyle name="Comma 2 2 3 3 9" xfId="6965" xr:uid="{3560C70E-2E00-4349-9739-9662B8EC692A}"/>
    <cellStyle name="Comma 2 2 3 4" xfId="199" xr:uid="{A93CE9A8-B423-4B60-A02C-139B77EDF71C}"/>
    <cellStyle name="Comma 2 2 3 4 10" xfId="11136" xr:uid="{139FF271-ED4C-46F6-B807-CCE49707C766}"/>
    <cellStyle name="Comma 2 2 3 4 11" xfId="11493" xr:uid="{A9A76EE4-F577-47D8-A76E-96DA8C855C63}"/>
    <cellStyle name="Comma 2 2 3 4 12" xfId="13746" xr:uid="{512DF987-67A5-44F4-8073-1916F6019D68}"/>
    <cellStyle name="Comma 2 2 3 4 13" xfId="15999" xr:uid="{4AFCF8B6-A970-4369-B6C2-D812E12CDE50}"/>
    <cellStyle name="Comma 2 2 3 4 2" xfId="1336" xr:uid="{17BFB5FD-F750-4A5E-8774-1212D90BD87A}"/>
    <cellStyle name="Comma 2 2 3 4 2 2" xfId="12620" xr:uid="{4E0E5BBC-C1B3-4D14-9D5A-CDF6CAF1E723}"/>
    <cellStyle name="Comma 2 2 3 4 2 3" xfId="14873" xr:uid="{447CB243-0618-4049-BB44-E3206BDCEC6E}"/>
    <cellStyle name="Comma 2 2 3 4 2 4" xfId="17126" xr:uid="{B640B9D6-96BE-4263-A364-2D90FDFF6CDD}"/>
    <cellStyle name="Comma 2 2 3 4 3" xfId="2462" xr:uid="{89E3DD0A-6D2D-4A6D-A5DD-458338AA0494}"/>
    <cellStyle name="Comma 2 2 3 4 4" xfId="3588" xr:uid="{826924CB-C7CD-4B77-B14E-39A09164881A}"/>
    <cellStyle name="Comma 2 2 3 4 5" xfId="4714" xr:uid="{F9A36379-C3BE-4114-8AA1-E22CC96D7017}"/>
    <cellStyle name="Comma 2 2 3 4 6" xfId="5841" xr:uid="{F71036BF-503E-4284-B726-26F90D9BDC6A}"/>
    <cellStyle name="Comma 2 2 3 4 7" xfId="6968" xr:uid="{B2F45FD8-DECA-4835-A8DA-8F653B89B760}"/>
    <cellStyle name="Comma 2 2 3 4 8" xfId="7929" xr:uid="{5931B177-A938-4758-85F2-13730DAA955A}"/>
    <cellStyle name="Comma 2 2 3 4 9" xfId="10009" xr:uid="{1DFE82FC-0F02-4AB8-B926-FEBEE4095ED0}"/>
    <cellStyle name="Comma 2 2 3 5" xfId="200" xr:uid="{BAEA2A01-5C8F-40F6-8EAD-E46743F135B8}"/>
    <cellStyle name="Comma 2 2 3 5 10" xfId="11135" xr:uid="{F42B98CE-FEB3-4D05-9F2F-2C4F2558D06D}"/>
    <cellStyle name="Comma 2 2 3 5 11" xfId="11494" xr:uid="{B5BCEC14-932E-4CD2-AB0E-467137A7ED18}"/>
    <cellStyle name="Comma 2 2 3 5 12" xfId="13747" xr:uid="{926DC8BF-C699-4D99-9EC8-F376B8F061A7}"/>
    <cellStyle name="Comma 2 2 3 5 13" xfId="16000" xr:uid="{91F6B35D-E031-4C17-8101-F7D439608767}"/>
    <cellStyle name="Comma 2 2 3 5 2" xfId="1337" xr:uid="{603DD2E3-3D93-485E-B164-227FB340D004}"/>
    <cellStyle name="Comma 2 2 3 5 2 2" xfId="12621" xr:uid="{2BD7F897-D1A0-47AD-8662-7B4A6C6EE95A}"/>
    <cellStyle name="Comma 2 2 3 5 2 3" xfId="14874" xr:uid="{D83A94E7-F651-4D1C-8516-764C5B90EB7E}"/>
    <cellStyle name="Comma 2 2 3 5 2 4" xfId="17127" xr:uid="{DDA7F8FE-A064-4494-B804-DC8AAEC6187D}"/>
    <cellStyle name="Comma 2 2 3 5 3" xfId="2463" xr:uid="{0AB45EAC-A847-43E3-871E-BD9FA37B8225}"/>
    <cellStyle name="Comma 2 2 3 5 4" xfId="3589" xr:uid="{9C479310-0FD2-4262-8169-8547D42D4B92}"/>
    <cellStyle name="Comma 2 2 3 5 5" xfId="4715" xr:uid="{9681EA5C-E62C-4FDF-BDBB-88647EF8D83D}"/>
    <cellStyle name="Comma 2 2 3 5 6" xfId="5842" xr:uid="{263F9CD2-86EE-41D9-9624-8F7B4FFF498F}"/>
    <cellStyle name="Comma 2 2 3 5 7" xfId="6969" xr:uid="{75777F87-C550-41A3-AD49-ECD5DBF234F8}"/>
    <cellStyle name="Comma 2 2 3 5 8" xfId="8872" xr:uid="{7F540F31-D9BD-4A95-ADF5-15B8F379A867}"/>
    <cellStyle name="Comma 2 2 3 5 9" xfId="10008" xr:uid="{E9763FCF-04ED-4269-8CC9-03FECEF5C1F5}"/>
    <cellStyle name="Comma 2 2 3 6" xfId="1326" xr:uid="{8DFBCA54-C068-4698-8D73-46B3FE093F40}"/>
    <cellStyle name="Comma 2 2 3 6 2" xfId="12610" xr:uid="{D9009082-B384-4F48-A0B2-2D1FCA0E8EC3}"/>
    <cellStyle name="Comma 2 2 3 6 3" xfId="14863" xr:uid="{470266A8-4D0F-4673-98C3-B19B944F0EFB}"/>
    <cellStyle name="Comma 2 2 3 6 4" xfId="17116" xr:uid="{2878E53F-D261-4A1E-889E-AC1A2F88DB67}"/>
    <cellStyle name="Comma 2 2 3 7" xfId="2452" xr:uid="{D61A3F27-348A-44F9-B118-9ADC8F4D00F9}"/>
    <cellStyle name="Comma 2 2 3 8" xfId="3578" xr:uid="{6F09AAC5-1B05-4382-9BF0-4C3ED92AF97F}"/>
    <cellStyle name="Comma 2 2 3 9" xfId="4704" xr:uid="{7983FC51-E4C5-45B4-A2BF-B161980B4C73}"/>
    <cellStyle name="Comma 2 2 4" xfId="201" xr:uid="{640244A4-3C63-44F8-A2F2-E836AB40AB09}"/>
    <cellStyle name="Comma 2 2 4 10" xfId="6970" xr:uid="{F1130159-BFBE-4B69-9250-0AF5C598514A}"/>
    <cellStyle name="Comma 2 2 4 11" xfId="8871" xr:uid="{36A33720-9B1C-4661-B5AF-06E95F1BA18B}"/>
    <cellStyle name="Comma 2 2 4 12" xfId="10007" xr:uid="{3D05A351-3F1B-4DC6-9D8A-7AB321A68ABA}"/>
    <cellStyle name="Comma 2 2 4 13" xfId="11134" xr:uid="{74DC9528-1085-46B1-8367-3E3FF56449BA}"/>
    <cellStyle name="Comma 2 2 4 14" xfId="11495" xr:uid="{6DCF7E1C-66FC-4BD2-B717-7B3E983F2F97}"/>
    <cellStyle name="Comma 2 2 4 15" xfId="13748" xr:uid="{6269B651-5C86-4E63-A379-E06CEF36F3A7}"/>
    <cellStyle name="Comma 2 2 4 16" xfId="16001" xr:uid="{7BFFD385-933F-45D9-92FF-A29D8D033552}"/>
    <cellStyle name="Comma 2 2 4 2" xfId="202" xr:uid="{8C816983-6333-46AF-B188-48A43FDCF1DA}"/>
    <cellStyle name="Comma 2 2 4 2 10" xfId="8870" xr:uid="{62BA3DDC-DB62-4D25-BA56-99185ED715A8}"/>
    <cellStyle name="Comma 2 2 4 2 11" xfId="9063" xr:uid="{040D5527-5A24-4A3B-AE34-DAB159CD61F6}"/>
    <cellStyle name="Comma 2 2 4 2 12" xfId="10190" xr:uid="{87368283-618D-4ECF-8811-70F1B95901C7}"/>
    <cellStyle name="Comma 2 2 4 2 13" xfId="11496" xr:uid="{CC14B7A4-220F-4AD7-BCBD-B87AAFB582DA}"/>
    <cellStyle name="Comma 2 2 4 2 14" xfId="13749" xr:uid="{4DEE9851-3B7F-481C-840C-339BD0B04A3E}"/>
    <cellStyle name="Comma 2 2 4 2 15" xfId="16002" xr:uid="{70B7A700-57F1-4961-9BA9-94B2E159843A}"/>
    <cellStyle name="Comma 2 2 4 2 2" xfId="203" xr:uid="{4E5470A8-B78D-4D2C-8976-1E1167574285}"/>
    <cellStyle name="Comma 2 2 4 2 2 10" xfId="11133" xr:uid="{D4287E0E-05CC-480D-9A25-879C24E99EB1}"/>
    <cellStyle name="Comma 2 2 4 2 2 11" xfId="11497" xr:uid="{773C7E41-A848-46EA-B1DF-7C310EFD0B5C}"/>
    <cellStyle name="Comma 2 2 4 2 2 12" xfId="13750" xr:uid="{08B85D3F-2F48-4138-A0E3-54B332809BBD}"/>
    <cellStyle name="Comma 2 2 4 2 2 13" xfId="16003" xr:uid="{E411B1A9-8067-4C51-941F-254068A9DA97}"/>
    <cellStyle name="Comma 2 2 4 2 2 2" xfId="1340" xr:uid="{ADA48111-431A-4747-9DDE-707BE88C79FD}"/>
    <cellStyle name="Comma 2 2 4 2 2 2 2" xfId="12624" xr:uid="{C1500372-11B1-49CF-A543-940CE9135373}"/>
    <cellStyle name="Comma 2 2 4 2 2 2 3" xfId="14877" xr:uid="{ADB22DE9-E019-4A49-9B2D-FC9352BF376C}"/>
    <cellStyle name="Comma 2 2 4 2 2 2 4" xfId="17130" xr:uid="{B46904A5-690B-48AA-A0DD-7B4EFFA676BF}"/>
    <cellStyle name="Comma 2 2 4 2 2 3" xfId="2466" xr:uid="{08C9D62D-5D38-48C4-8A56-6BF566A611E9}"/>
    <cellStyle name="Comma 2 2 4 2 2 4" xfId="3592" xr:uid="{0E9F04BF-FC3D-4D8D-BCDC-FB2EFA1E6191}"/>
    <cellStyle name="Comma 2 2 4 2 2 5" xfId="4718" xr:uid="{72A2FDDA-5F5D-42B5-9F99-F58DAE13F371}"/>
    <cellStyle name="Comma 2 2 4 2 2 6" xfId="5845" xr:uid="{5E98D8A3-64A4-4B8F-ACE9-1C83DDA31888}"/>
    <cellStyle name="Comma 2 2 4 2 2 7" xfId="6972" xr:uid="{337EFF6E-DB96-46B1-AB5F-B6BFDF7856B9}"/>
    <cellStyle name="Comma 2 2 4 2 2 8" xfId="8869" xr:uid="{5E1DB16D-9376-4F5F-866A-00F8C21E7769}"/>
    <cellStyle name="Comma 2 2 4 2 2 9" xfId="10006" xr:uid="{50DD3CB2-51A0-4F96-A0F4-AA7F9CB0A8A2}"/>
    <cellStyle name="Comma 2 2 4 2 3" xfId="204" xr:uid="{0692DAA5-8032-4A21-A440-E51C80D74F85}"/>
    <cellStyle name="Comma 2 2 4 2 3 10" xfId="11132" xr:uid="{30F21091-E895-4FAE-9665-AF9F3C52954C}"/>
    <cellStyle name="Comma 2 2 4 2 3 11" xfId="11498" xr:uid="{8D09ACE4-EF3C-4D11-8A00-3532B8887435}"/>
    <cellStyle name="Comma 2 2 4 2 3 12" xfId="13751" xr:uid="{FEEC60BB-57DE-496F-920E-FCFE0436C8B6}"/>
    <cellStyle name="Comma 2 2 4 2 3 13" xfId="16004" xr:uid="{621B4AE8-1FED-4715-8655-B2ED653F9EF8}"/>
    <cellStyle name="Comma 2 2 4 2 3 2" xfId="1341" xr:uid="{FF4E77C5-93A0-428C-A486-D60D1FABDE06}"/>
    <cellStyle name="Comma 2 2 4 2 3 2 2" xfId="12625" xr:uid="{176C06F1-ECD5-4D5D-A08D-A478ECA26C26}"/>
    <cellStyle name="Comma 2 2 4 2 3 2 3" xfId="14878" xr:uid="{E8FAFC31-FE10-48D5-8853-934F4EC113F5}"/>
    <cellStyle name="Comma 2 2 4 2 3 2 4" xfId="17131" xr:uid="{E8B66AA0-6BBB-4AC9-80EA-9A62BC609CB7}"/>
    <cellStyle name="Comma 2 2 4 2 3 3" xfId="2467" xr:uid="{666EBE03-DD8D-48EB-9098-29E15C669ABE}"/>
    <cellStyle name="Comma 2 2 4 2 3 4" xfId="3593" xr:uid="{343E24AC-85F2-43A4-A499-48C04D5C4C29}"/>
    <cellStyle name="Comma 2 2 4 2 3 5" xfId="4719" xr:uid="{C1C50BFC-8739-4556-9304-0D970D296FCE}"/>
    <cellStyle name="Comma 2 2 4 2 3 6" xfId="5846" xr:uid="{C45E492B-88CB-4C1D-8728-ADCBB8C7BEDB}"/>
    <cellStyle name="Comma 2 2 4 2 3 7" xfId="6973" xr:uid="{7F9CF04C-9773-45E8-A18A-CD6439086EA6}"/>
    <cellStyle name="Comma 2 2 4 2 3 8" xfId="8868" xr:uid="{2889E5A4-E62A-4149-B3DB-B740A2A05540}"/>
    <cellStyle name="Comma 2 2 4 2 3 9" xfId="10005" xr:uid="{483B14D0-1250-4B13-A79E-7AFCEB49EC66}"/>
    <cellStyle name="Comma 2 2 4 2 4" xfId="1339" xr:uid="{9E49466A-432F-4D75-8D44-75C2AE7FF16C}"/>
    <cellStyle name="Comma 2 2 4 2 4 2" xfId="12623" xr:uid="{8568778D-7066-4120-AE1F-C327024C0031}"/>
    <cellStyle name="Comma 2 2 4 2 4 3" xfId="14876" xr:uid="{16273157-D6F4-4B92-B808-2474962F96B2}"/>
    <cellStyle name="Comma 2 2 4 2 4 4" xfId="17129" xr:uid="{5D41764B-07AC-45BF-B7D9-E9E580B56F0C}"/>
    <cellStyle name="Comma 2 2 4 2 5" xfId="2465" xr:uid="{81FC9492-A968-475E-B029-7B7694FBE24D}"/>
    <cellStyle name="Comma 2 2 4 2 6" xfId="3591" xr:uid="{3D019F2D-DAA9-4614-A675-FF97FAB80126}"/>
    <cellStyle name="Comma 2 2 4 2 7" xfId="4717" xr:uid="{6A99B2B5-337A-496B-80A8-3BD0D5C15FFB}"/>
    <cellStyle name="Comma 2 2 4 2 8" xfId="5844" xr:uid="{2C2DD6BB-3286-4E29-98D4-60EAF71634C4}"/>
    <cellStyle name="Comma 2 2 4 2 9" xfId="6971" xr:uid="{66F7ABD9-C248-45C1-99BD-E956D63361F2}"/>
    <cellStyle name="Comma 2 2 4 3" xfId="205" xr:uid="{11062EA9-A491-479F-A398-EF98682A6352}"/>
    <cellStyle name="Comma 2 2 4 3 10" xfId="11131" xr:uid="{7C2ABD0F-5837-4ADD-A498-B38BE4B667CA}"/>
    <cellStyle name="Comma 2 2 4 3 11" xfId="11499" xr:uid="{D64CF964-CC71-4D81-9B59-2FC2C235124E}"/>
    <cellStyle name="Comma 2 2 4 3 12" xfId="13752" xr:uid="{F01E9B74-F0F6-4E50-A1CB-F1F6F2B18710}"/>
    <cellStyle name="Comma 2 2 4 3 13" xfId="16005" xr:uid="{E3307FD7-6AD1-4B6C-AC35-7723DC194078}"/>
    <cellStyle name="Comma 2 2 4 3 2" xfId="1342" xr:uid="{C29944A6-6E5D-4BFF-B8CF-A11172A08E36}"/>
    <cellStyle name="Comma 2 2 4 3 2 2" xfId="12626" xr:uid="{30BAF2E7-7C90-4607-B7B9-49771A1A3DEF}"/>
    <cellStyle name="Comma 2 2 4 3 2 3" xfId="14879" xr:uid="{DF65A192-446A-4C02-878D-5E4C1E74A3E5}"/>
    <cellStyle name="Comma 2 2 4 3 2 4" xfId="17132" xr:uid="{072E5CD7-8871-4DA7-8A33-149474CEAEE5}"/>
    <cellStyle name="Comma 2 2 4 3 3" xfId="2468" xr:uid="{120305D1-3591-4F3E-AA28-B684866EAD8D}"/>
    <cellStyle name="Comma 2 2 4 3 4" xfId="3594" xr:uid="{BFBB1898-A193-4135-9FFF-EFD94625658C}"/>
    <cellStyle name="Comma 2 2 4 3 5" xfId="4720" xr:uid="{D280B15D-5594-4607-9B66-75E735DD6D54}"/>
    <cellStyle name="Comma 2 2 4 3 6" xfId="5847" xr:uid="{26BAD857-38BC-454D-A148-A947CA4A7A7E}"/>
    <cellStyle name="Comma 2 2 4 3 7" xfId="6974" xr:uid="{C84305DD-047B-4964-863C-B894273FB97D}"/>
    <cellStyle name="Comma 2 2 4 3 8" xfId="8867" xr:uid="{F9D023D6-160B-4878-A173-14D5964DACA1}"/>
    <cellStyle name="Comma 2 2 4 3 9" xfId="10004" xr:uid="{7E0A67AD-8D5D-4968-839E-A0C0479C157A}"/>
    <cellStyle name="Comma 2 2 4 4" xfId="206" xr:uid="{D13C8B44-2236-4836-9CF1-63A188C4384F}"/>
    <cellStyle name="Comma 2 2 4 4 10" xfId="11130" xr:uid="{EDFDCF0F-9FBA-4F52-A8BD-22A40F8A817D}"/>
    <cellStyle name="Comma 2 2 4 4 11" xfId="11500" xr:uid="{A1D6275B-E70F-4CAC-BCB9-C7164D086FB4}"/>
    <cellStyle name="Comma 2 2 4 4 12" xfId="13753" xr:uid="{8B25F799-A4AE-4CE6-9F8D-782DF88EB0A6}"/>
    <cellStyle name="Comma 2 2 4 4 13" xfId="16006" xr:uid="{CB8DE092-A89F-483A-B288-E26FB68EAF3B}"/>
    <cellStyle name="Comma 2 2 4 4 2" xfId="1343" xr:uid="{13BBADEF-0BEF-42F0-BBB3-57F5CEE3F4FB}"/>
    <cellStyle name="Comma 2 2 4 4 2 2" xfId="12627" xr:uid="{769285D4-71C0-438A-8779-917159E6EE5E}"/>
    <cellStyle name="Comma 2 2 4 4 2 3" xfId="14880" xr:uid="{E0D143EA-4198-49DB-B28D-D6D83BA6EC83}"/>
    <cellStyle name="Comma 2 2 4 4 2 4" xfId="17133" xr:uid="{6CD8CBDC-C4EB-48F9-86B4-5D7CA1A924EF}"/>
    <cellStyle name="Comma 2 2 4 4 3" xfId="2469" xr:uid="{DDEE7749-6AAC-4F99-8438-AA144ED6E595}"/>
    <cellStyle name="Comma 2 2 4 4 4" xfId="3595" xr:uid="{41A55AB2-7B22-466E-A643-C00FD6CD08DB}"/>
    <cellStyle name="Comma 2 2 4 4 5" xfId="4721" xr:uid="{5708509B-1E87-4798-BAC6-A4DA0DE7FD36}"/>
    <cellStyle name="Comma 2 2 4 4 6" xfId="5848" xr:uid="{ACAEE546-4E9A-4345-BAEF-0E6F096B330C}"/>
    <cellStyle name="Comma 2 2 4 4 7" xfId="6975" xr:uid="{57FA8999-6898-4B87-B75E-C628CFA81ED7}"/>
    <cellStyle name="Comma 2 2 4 4 8" xfId="8866" xr:uid="{E5080402-D002-46AB-AFFA-E171788798D1}"/>
    <cellStyle name="Comma 2 2 4 4 9" xfId="10003" xr:uid="{F7290C03-B093-47E0-8BEF-CC13C2122BBD}"/>
    <cellStyle name="Comma 2 2 4 5" xfId="1338" xr:uid="{A182B5BC-992D-467B-BD73-15ED8C7C3E19}"/>
    <cellStyle name="Comma 2 2 4 5 2" xfId="12622" xr:uid="{25055B59-13B3-41E8-B5C4-8E73A3367628}"/>
    <cellStyle name="Comma 2 2 4 5 3" xfId="14875" xr:uid="{DA16EACD-6A43-4468-B5A5-A9324CD49AD0}"/>
    <cellStyle name="Comma 2 2 4 5 4" xfId="17128" xr:uid="{892BB2FB-F830-4E46-93F7-9F629B3AF16A}"/>
    <cellStyle name="Comma 2 2 4 6" xfId="2464" xr:uid="{956BA3F8-1C74-4951-8EC3-0C6E94206CE5}"/>
    <cellStyle name="Comma 2 2 4 7" xfId="3590" xr:uid="{A0B99AEF-5F08-44C8-BE54-B8E842F8FBFE}"/>
    <cellStyle name="Comma 2 2 4 8" xfId="4716" xr:uid="{9D848177-D5EC-4FC1-B924-F9BCC0788464}"/>
    <cellStyle name="Comma 2 2 4 9" xfId="5843" xr:uid="{08C6AFD6-0588-4940-AD3D-A231C4B2FBE7}"/>
    <cellStyle name="Comma 2 2 5" xfId="207" xr:uid="{EA77FD85-6D0B-4236-8BA6-19A3528905F7}"/>
    <cellStyle name="Comma 2 2 5 10" xfId="8865" xr:uid="{7AA0B145-D791-4D48-90B7-A88265061C39}"/>
    <cellStyle name="Comma 2 2 5 11" xfId="10002" xr:uid="{4C4C0263-1855-4C33-96C2-6260755A91FD}"/>
    <cellStyle name="Comma 2 2 5 12" xfId="11129" xr:uid="{E6615521-7307-488D-9886-35AF538D76C6}"/>
    <cellStyle name="Comma 2 2 5 13" xfId="11501" xr:uid="{92F03516-19AC-4221-BE09-ACFB7A1DE00C}"/>
    <cellStyle name="Comma 2 2 5 14" xfId="13754" xr:uid="{F17013B8-80F3-4E9E-9FBA-29727925E1E3}"/>
    <cellStyle name="Comma 2 2 5 15" xfId="16007" xr:uid="{846DA6AA-B74F-49ED-AEB0-2C6B6F315F8C}"/>
    <cellStyle name="Comma 2 2 5 2" xfId="208" xr:uid="{42C997C6-B2D2-40BD-9A09-638511DED49F}"/>
    <cellStyle name="Comma 2 2 5 2 10" xfId="11128" xr:uid="{DE8A47F8-A3CE-43A2-9925-8FDAE2962F7B}"/>
    <cellStyle name="Comma 2 2 5 2 11" xfId="11502" xr:uid="{75B6EA95-D60E-41A0-8DAB-7A1C71B71823}"/>
    <cellStyle name="Comma 2 2 5 2 12" xfId="13755" xr:uid="{132D6D8A-1869-4DF4-BD06-7C1B620F2E33}"/>
    <cellStyle name="Comma 2 2 5 2 13" xfId="16008" xr:uid="{3E873F6D-8987-472A-8FE2-EFC0DCC4416C}"/>
    <cellStyle name="Comma 2 2 5 2 2" xfId="1345" xr:uid="{3B8758B6-78F7-4F50-AEB4-3269E999511B}"/>
    <cellStyle name="Comma 2 2 5 2 2 2" xfId="12629" xr:uid="{A4BFD665-EC56-4294-A01D-96C9A12D01F9}"/>
    <cellStyle name="Comma 2 2 5 2 2 3" xfId="14882" xr:uid="{BA36F90B-81A5-4026-A0FB-C06F4D06F190}"/>
    <cellStyle name="Comma 2 2 5 2 2 4" xfId="17135" xr:uid="{69E09878-C3F4-40D3-8BEC-0FB59E9F85B7}"/>
    <cellStyle name="Comma 2 2 5 2 3" xfId="2471" xr:uid="{BA63F8C3-69F3-4C1B-AF9B-6FAA7004E687}"/>
    <cellStyle name="Comma 2 2 5 2 4" xfId="3597" xr:uid="{F22766AA-5C33-4741-BFEA-6D2837BB5590}"/>
    <cellStyle name="Comma 2 2 5 2 5" xfId="4723" xr:uid="{651C0A9D-50EA-4CC4-A79E-2C07F9EADB2C}"/>
    <cellStyle name="Comma 2 2 5 2 6" xfId="5850" xr:uid="{051DCBF2-6F0B-4D69-AFB0-A64F8CE31974}"/>
    <cellStyle name="Comma 2 2 5 2 7" xfId="6977" xr:uid="{C1A5A621-FCFF-4960-86D8-100615F39BD3}"/>
    <cellStyle name="Comma 2 2 5 2 8" xfId="8864" xr:uid="{8618718A-E0F0-4A82-986E-888CB3016523}"/>
    <cellStyle name="Comma 2 2 5 2 9" xfId="10001" xr:uid="{773C06ED-EE6F-4677-8E36-B50F3ED1292C}"/>
    <cellStyle name="Comma 2 2 5 3" xfId="209" xr:uid="{0B7C4E7E-471D-4450-BCEC-350CE44A2032}"/>
    <cellStyle name="Comma 2 2 5 3 10" xfId="11127" xr:uid="{C33B67C7-E3EB-4A0F-8C99-78F9E3BB0678}"/>
    <cellStyle name="Comma 2 2 5 3 11" xfId="11503" xr:uid="{84100B90-604D-4D48-9EE8-3787956CD625}"/>
    <cellStyle name="Comma 2 2 5 3 12" xfId="13756" xr:uid="{7C400218-6C57-4E09-BE70-F7634253FC67}"/>
    <cellStyle name="Comma 2 2 5 3 13" xfId="16009" xr:uid="{999C05FC-DBAF-42C9-9E9E-640E673B0867}"/>
    <cellStyle name="Comma 2 2 5 3 2" xfId="1346" xr:uid="{4A3BFE10-6AB1-4B2D-99F1-2047474D8FC5}"/>
    <cellStyle name="Comma 2 2 5 3 2 2" xfId="12630" xr:uid="{172B5C6E-4C79-4229-BC2E-5EB000324AFF}"/>
    <cellStyle name="Comma 2 2 5 3 2 3" xfId="14883" xr:uid="{73259C35-55F9-4F01-97FE-A1B2EB2F9299}"/>
    <cellStyle name="Comma 2 2 5 3 2 4" xfId="17136" xr:uid="{878970A4-C728-4FA4-8C07-434E3439F9AA}"/>
    <cellStyle name="Comma 2 2 5 3 3" xfId="2472" xr:uid="{94FB7689-23B2-4CF2-A588-FEC2194126DF}"/>
    <cellStyle name="Comma 2 2 5 3 4" xfId="3598" xr:uid="{EE02550C-9BB0-4F0C-ABE8-2FCCA93B6551}"/>
    <cellStyle name="Comma 2 2 5 3 5" xfId="4724" xr:uid="{49275DC7-0842-4E7E-95E9-B980755B44F7}"/>
    <cellStyle name="Comma 2 2 5 3 6" xfId="5851" xr:uid="{FB08B3BE-FEE6-4548-BA9D-9ED4130F6F5D}"/>
    <cellStyle name="Comma 2 2 5 3 7" xfId="6978" xr:uid="{08E2E4E4-BCAB-46FA-A081-53589A15CF4C}"/>
    <cellStyle name="Comma 2 2 5 3 8" xfId="8863" xr:uid="{45B00CA0-EB28-47A6-829F-854188FD3498}"/>
    <cellStyle name="Comma 2 2 5 3 9" xfId="10000" xr:uid="{E90F4F17-5468-4736-85F4-90D62399864D}"/>
    <cellStyle name="Comma 2 2 5 4" xfId="1344" xr:uid="{52BAE428-126C-427C-BAF5-FA123075123F}"/>
    <cellStyle name="Comma 2 2 5 4 2" xfId="12628" xr:uid="{914B2642-691D-44B1-B287-68E168F4729F}"/>
    <cellStyle name="Comma 2 2 5 4 3" xfId="14881" xr:uid="{7BF836F8-D5F0-44E1-B6D1-47539846EEDA}"/>
    <cellStyle name="Comma 2 2 5 4 4" xfId="17134" xr:uid="{AA4B5B48-AEBF-4808-A2AD-C5D3E3D00B4C}"/>
    <cellStyle name="Comma 2 2 5 5" xfId="2470" xr:uid="{E96FCA22-8C68-4B57-9C44-4011EAF24153}"/>
    <cellStyle name="Comma 2 2 5 6" xfId="3596" xr:uid="{0744B88F-AA27-4395-8F69-9E5222F3245A}"/>
    <cellStyle name="Comma 2 2 5 7" xfId="4722" xr:uid="{CB6DAE72-07F4-4B9B-9DFC-5E0CA6E1DFAA}"/>
    <cellStyle name="Comma 2 2 5 8" xfId="5849" xr:uid="{1FA4604D-0E79-4869-B4E7-6429403F7F76}"/>
    <cellStyle name="Comma 2 2 5 9" xfId="6976" xr:uid="{B4E3EDFD-4AF1-44A4-A3F5-BFF95A7093F6}"/>
    <cellStyle name="Comma 2 2 6" xfId="210" xr:uid="{AD911181-1138-4663-AB96-46617A88D1F4}"/>
    <cellStyle name="Comma 2 2 6 10" xfId="11126" xr:uid="{C478D0C2-94F8-48FD-8E7F-F26BC429D496}"/>
    <cellStyle name="Comma 2 2 6 11" xfId="11504" xr:uid="{C37129EE-84DF-4D1B-899E-683D18E0BE3A}"/>
    <cellStyle name="Comma 2 2 6 12" xfId="13757" xr:uid="{0C2D1C21-1D00-4FCF-B108-0A567ABD3EF8}"/>
    <cellStyle name="Comma 2 2 6 13" xfId="16010" xr:uid="{603154F0-F683-43CA-8DE4-05597DCFA465}"/>
    <cellStyle name="Comma 2 2 6 2" xfId="1347" xr:uid="{AAF914DC-E47F-4B11-BDD0-4FFD48BE7C08}"/>
    <cellStyle name="Comma 2 2 6 2 2" xfId="12631" xr:uid="{93C5BF2B-F97E-44CF-AD4A-2DAB7FE1DE03}"/>
    <cellStyle name="Comma 2 2 6 2 3" xfId="14884" xr:uid="{CD9474B3-3143-427A-8407-DB979B73AA9E}"/>
    <cellStyle name="Comma 2 2 6 2 4" xfId="17137" xr:uid="{6673F6EA-72EC-43CC-8C2F-31D4379A0F67}"/>
    <cellStyle name="Comma 2 2 6 3" xfId="2473" xr:uid="{2492B409-9EBC-4578-B42C-6C9211773F5A}"/>
    <cellStyle name="Comma 2 2 6 4" xfId="3599" xr:uid="{8E88574A-73F6-4D21-8598-EE2E9A6524BE}"/>
    <cellStyle name="Comma 2 2 6 5" xfId="4725" xr:uid="{F14EA784-A0D9-4012-A2C0-6A4367DC84F4}"/>
    <cellStyle name="Comma 2 2 6 6" xfId="5852" xr:uid="{317F3955-E625-4618-8AFB-41BCFB55856B}"/>
    <cellStyle name="Comma 2 2 6 7" xfId="6979" xr:uid="{561CFBD4-E892-47C8-BBE8-CB75A36E99CF}"/>
    <cellStyle name="Comma 2 2 6 8" xfId="8862" xr:uid="{D6333017-E771-4389-BED7-D1BC2DD61F84}"/>
    <cellStyle name="Comma 2 2 6 9" xfId="9999" xr:uid="{789629D6-B65E-4EDD-ADC1-4D2744F53925}"/>
    <cellStyle name="Comma 2 2 7" xfId="211" xr:uid="{C12857BB-8AC8-45B6-93FC-6B00F61BE88F}"/>
    <cellStyle name="Comma 2 2 7 10" xfId="11125" xr:uid="{F050D166-A1D9-4116-B78F-B98423CAAAC6}"/>
    <cellStyle name="Comma 2 2 7 11" xfId="11505" xr:uid="{518D9CE6-BE7D-4483-AC00-D824A2E920D3}"/>
    <cellStyle name="Comma 2 2 7 12" xfId="13758" xr:uid="{7E46A3FC-2062-406A-B8CF-DE6E6C9776AA}"/>
    <cellStyle name="Comma 2 2 7 13" xfId="16011" xr:uid="{06D3328E-5717-43FD-A3E7-B28163E79CA3}"/>
    <cellStyle name="Comma 2 2 7 2" xfId="1348" xr:uid="{6319122C-76AE-483A-8BD2-C1EDE3A73B8F}"/>
    <cellStyle name="Comma 2 2 7 2 2" xfId="12632" xr:uid="{C2A3796E-A92C-4C98-BE00-E4F078A4A175}"/>
    <cellStyle name="Comma 2 2 7 2 3" xfId="14885" xr:uid="{92B4D63C-D6F1-4A59-AAC9-DC1F8257D11D}"/>
    <cellStyle name="Comma 2 2 7 2 4" xfId="17138" xr:uid="{9F8F1C09-C1CB-4075-9091-A94A43F50768}"/>
    <cellStyle name="Comma 2 2 7 3" xfId="2474" xr:uid="{218167D7-35B3-4F15-B6F2-FCAEF52D98DA}"/>
    <cellStyle name="Comma 2 2 7 4" xfId="3600" xr:uid="{27CE3EAC-E677-450F-98BF-1E3E6C729E2C}"/>
    <cellStyle name="Comma 2 2 7 5" xfId="4726" xr:uid="{E392FC3A-2D0C-45F0-AE80-CE02E629FAD8}"/>
    <cellStyle name="Comma 2 2 7 6" xfId="5853" xr:uid="{B0DB1F7C-155E-4E33-A246-41D08A7291FB}"/>
    <cellStyle name="Comma 2 2 7 7" xfId="6980" xr:uid="{15A5929E-505A-4C50-BCDA-B8C205B03A48}"/>
    <cellStyle name="Comma 2 2 7 8" xfId="8861" xr:uid="{0C42D255-3B83-4BCF-9391-6775BB251D3B}"/>
    <cellStyle name="Comma 2 2 7 9" xfId="9998" xr:uid="{0B1819E4-0C12-4CF0-9183-701AF656D6A6}"/>
    <cellStyle name="Comma 2 2 8" xfId="164" xr:uid="{2F43FBCC-7F99-40C4-A421-3741F463C00E}"/>
    <cellStyle name="Comma 2 2 8 2" xfId="12585" xr:uid="{BA055C64-13AD-4453-8048-E044EF764E83}"/>
    <cellStyle name="Comma 2 2 8 3" xfId="14838" xr:uid="{27A0BF30-7391-4F3C-87A0-5C4596C1FF0D}"/>
    <cellStyle name="Comma 2 2 8 4" xfId="17091" xr:uid="{3F0095DB-51B3-46D5-91B4-E7CA6FCE9993}"/>
    <cellStyle name="Comma 2 2 9" xfId="1301" xr:uid="{4BFBB109-0A13-4C0B-896A-33AEAE3C6168}"/>
    <cellStyle name="Comma 2 20" xfId="5782" xr:uid="{4F70A136-AD8C-44AA-AD6E-1B1BB50AE807}"/>
    <cellStyle name="Comma 2 21" xfId="6909" xr:uid="{AC6009BA-A17E-4F48-A053-D252AC406EE3}"/>
    <cellStyle name="Comma 2 22" xfId="8931" xr:uid="{8ABD6401-E0DB-47DC-809E-B4285EE3DC63}"/>
    <cellStyle name="Comma 2 23" xfId="10068" xr:uid="{3B0BDA50-1639-4041-9065-B24065BA1F50}"/>
    <cellStyle name="Comma 2 24" xfId="11195" xr:uid="{0EBC21D2-705C-473F-A13B-FC47E0A172D1}"/>
    <cellStyle name="Comma 2 25" xfId="11434" xr:uid="{966D0136-F450-4BFC-9330-87379797044B}"/>
    <cellStyle name="Comma 2 26" xfId="13687" xr:uid="{97D1A85C-046C-4F4D-99D4-CF22F25EAF2A}"/>
    <cellStyle name="Comma 2 27" xfId="15940" xr:uid="{292C7DAC-9C12-4312-90FF-CB65BE9111E1}"/>
    <cellStyle name="Comma 2 3" xfId="9" xr:uid="{00000000-0005-0000-0000-000035000000}"/>
    <cellStyle name="Comma 2 3 10" xfId="2475" xr:uid="{8AD9F592-467B-4511-83F1-DFD79C06D8BE}"/>
    <cellStyle name="Comma 2 3 11" xfId="3601" xr:uid="{B5F13FAD-65CB-4D19-BF76-1930B4E32600}"/>
    <cellStyle name="Comma 2 3 12" xfId="4727" xr:uid="{5BB44EBF-A8C7-41E3-A321-634B38746AED}"/>
    <cellStyle name="Comma 2 3 13" xfId="5854" xr:uid="{38580CDE-79A6-4BB9-B517-021A73112D15}"/>
    <cellStyle name="Comma 2 3 14" xfId="6981" xr:uid="{9703E74B-83C8-45E6-A6C3-FCDA49CC0099}"/>
    <cellStyle name="Comma 2 3 15" xfId="8860" xr:uid="{4A1C04A6-CABC-45C1-9D66-CB7A93F6515D}"/>
    <cellStyle name="Comma 2 3 16" xfId="9997" xr:uid="{9E17D463-01F3-4CF8-8B02-89EF5D91E1BC}"/>
    <cellStyle name="Comma 2 3 17" xfId="11124" xr:uid="{F1876069-ACD0-497E-BD39-B5CDD23B5A76}"/>
    <cellStyle name="Comma 2 3 18" xfId="11506" xr:uid="{A525BEE1-246D-4F1D-8602-4F68A6ECD411}"/>
    <cellStyle name="Comma 2 3 19" xfId="13759" xr:uid="{6A0C8D92-BE42-4E1F-B6A6-56AD9EE8BBF9}"/>
    <cellStyle name="Comma 2 3 2" xfId="213" xr:uid="{C9013BDA-6AFA-4A0E-A188-117B5DD4E154}"/>
    <cellStyle name="Comma 2 3 2 10" xfId="4728" xr:uid="{4DF03722-0A03-48E3-A8D5-C6F9D3D6C277}"/>
    <cellStyle name="Comma 2 3 2 11" xfId="5855" xr:uid="{D896C9CA-05A6-41AE-B216-C04080F689DA}"/>
    <cellStyle name="Comma 2 3 2 12" xfId="6982" xr:uid="{4B903D29-F52C-4A81-BAC3-EC9D81E1E318}"/>
    <cellStyle name="Comma 2 3 2 13" xfId="8859" xr:uid="{13D2215A-F162-4804-B3D2-8336E627FF97}"/>
    <cellStyle name="Comma 2 3 2 14" xfId="9996" xr:uid="{FA473DC6-F074-4F1D-9630-EE579081E06D}"/>
    <cellStyle name="Comma 2 3 2 15" xfId="11123" xr:uid="{265F41B5-0937-48CC-AFDA-EFF65FE6D568}"/>
    <cellStyle name="Comma 2 3 2 16" xfId="11507" xr:uid="{0EC1C941-EFA6-4A4D-8848-A9C1B490C2E3}"/>
    <cellStyle name="Comma 2 3 2 17" xfId="13760" xr:uid="{E36A8B68-DC7C-435F-A1C6-F9298B6D5090}"/>
    <cellStyle name="Comma 2 3 2 18" xfId="16013" xr:uid="{2EF841F5-62AB-4DDE-9602-468FCD214952}"/>
    <cellStyle name="Comma 2 3 2 2" xfId="214" xr:uid="{4012E81C-917A-45D1-8994-84A67C1088F1}"/>
    <cellStyle name="Comma 2 3 2 2 10" xfId="5856" xr:uid="{6A34715B-677F-436F-B2B5-2197A267E0F9}"/>
    <cellStyle name="Comma 2 3 2 2 11" xfId="6983" xr:uid="{3C622C9F-6C59-4925-834D-01F8C8AFDA63}"/>
    <cellStyle name="Comma 2 3 2 2 12" xfId="8858" xr:uid="{AC7C307A-324A-47EE-AEAA-939A6DF7E87D}"/>
    <cellStyle name="Comma 2 3 2 2 13" xfId="9995" xr:uid="{7A0EE238-46F1-40B9-8BA7-E88EC6175121}"/>
    <cellStyle name="Comma 2 3 2 2 14" xfId="11122" xr:uid="{7F860A58-CBEF-432D-88C6-E86CBFECF313}"/>
    <cellStyle name="Comma 2 3 2 2 15" xfId="11508" xr:uid="{04E38E05-2558-4AD2-AE8D-510E5082ACEC}"/>
    <cellStyle name="Comma 2 3 2 2 16" xfId="13761" xr:uid="{B0B9AE9F-306D-4642-B869-40801C429116}"/>
    <cellStyle name="Comma 2 3 2 2 17" xfId="16014" xr:uid="{75159603-3F9C-4310-9F49-99B285F0C737}"/>
    <cellStyle name="Comma 2 3 2 2 2" xfId="215" xr:uid="{C93DD4D8-2B0D-4EC0-81BF-A331E5A5692C}"/>
    <cellStyle name="Comma 2 3 2 2 2 10" xfId="6984" xr:uid="{6752D690-92A1-4D99-B767-74F3D8A756EF}"/>
    <cellStyle name="Comma 2 3 2 2 2 11" xfId="8857" xr:uid="{D70A6640-B6CB-41E4-8D92-B1AD473C37E4}"/>
    <cellStyle name="Comma 2 3 2 2 2 12" xfId="9994" xr:uid="{25CCB86C-4214-403B-8E89-BB478D6CCDD0}"/>
    <cellStyle name="Comma 2 3 2 2 2 13" xfId="11121" xr:uid="{17F53812-9012-4C0A-B8E2-F9587C5A3556}"/>
    <cellStyle name="Comma 2 3 2 2 2 14" xfId="11509" xr:uid="{12EF704C-5361-465E-991E-CB44B257C07E}"/>
    <cellStyle name="Comma 2 3 2 2 2 15" xfId="13762" xr:uid="{6F9667E4-6716-42DA-94F8-B9E98C92E107}"/>
    <cellStyle name="Comma 2 3 2 2 2 16" xfId="16015" xr:uid="{AE20C026-4FA9-47A8-9906-D2D24E2FC023}"/>
    <cellStyle name="Comma 2 3 2 2 2 2" xfId="216" xr:uid="{25999073-CB5C-4566-A713-0C772030911D}"/>
    <cellStyle name="Comma 2 3 2 2 2 2 10" xfId="8856" xr:uid="{BB34D9A1-78A6-4FA4-BD29-94E2190D53C9}"/>
    <cellStyle name="Comma 2 3 2 2 2 2 11" xfId="9993" xr:uid="{A4323536-AE86-4C4D-95DA-2913156C1B77}"/>
    <cellStyle name="Comma 2 3 2 2 2 2 12" xfId="11120" xr:uid="{C9827810-B65D-4BCE-9CF2-7E413B3BEC19}"/>
    <cellStyle name="Comma 2 3 2 2 2 2 13" xfId="11510" xr:uid="{44A73424-1615-4B6A-A08C-ACC7C21CF5ED}"/>
    <cellStyle name="Comma 2 3 2 2 2 2 14" xfId="13763" xr:uid="{53815BA9-B037-4132-B483-D300664C1A00}"/>
    <cellStyle name="Comma 2 3 2 2 2 2 15" xfId="16016" xr:uid="{5570182C-518A-4A1F-98B7-F711BBA8047B}"/>
    <cellStyle name="Comma 2 3 2 2 2 2 2" xfId="217" xr:uid="{4E31F272-BBCE-43FB-8BBB-235B6CAE86FC}"/>
    <cellStyle name="Comma 2 3 2 2 2 2 2 10" xfId="11119" xr:uid="{FB2EB33F-1B8B-41C6-95BF-8A41162311A0}"/>
    <cellStyle name="Comma 2 3 2 2 2 2 2 11" xfId="11511" xr:uid="{597B0BD9-98FB-4DA6-99FB-8418A4CDEB0A}"/>
    <cellStyle name="Comma 2 3 2 2 2 2 2 12" xfId="13764" xr:uid="{6A555B4A-5BEB-492D-9958-372017975359}"/>
    <cellStyle name="Comma 2 3 2 2 2 2 2 13" xfId="16017" xr:uid="{DFC98502-CA45-4F3D-A0C3-ABA045B52174}"/>
    <cellStyle name="Comma 2 3 2 2 2 2 2 2" xfId="1354" xr:uid="{3F980455-C9F8-46F3-B8D5-CC729AEA2809}"/>
    <cellStyle name="Comma 2 3 2 2 2 2 2 2 2" xfId="12638" xr:uid="{451D62F3-5423-474E-AFDD-2E4DB02A2163}"/>
    <cellStyle name="Comma 2 3 2 2 2 2 2 2 3" xfId="14891" xr:uid="{7BF7459F-949E-4060-A799-42660A33E00A}"/>
    <cellStyle name="Comma 2 3 2 2 2 2 2 2 4" xfId="17144" xr:uid="{A2D50EFF-BDE0-48E0-9838-FF679E577788}"/>
    <cellStyle name="Comma 2 3 2 2 2 2 2 3" xfId="2480" xr:uid="{5BE70516-1EE0-4D12-AD73-1D69DC31AFAA}"/>
    <cellStyle name="Comma 2 3 2 2 2 2 2 4" xfId="3606" xr:uid="{A9E5A98C-670B-4D1F-8386-335D67EF3019}"/>
    <cellStyle name="Comma 2 3 2 2 2 2 2 5" xfId="4732" xr:uid="{7EF7619E-8A1F-4167-B337-ECDFA02FFDA0}"/>
    <cellStyle name="Comma 2 3 2 2 2 2 2 6" xfId="5859" xr:uid="{EBC4B2A0-4B51-48DB-8715-D6B3CDFE9B16}"/>
    <cellStyle name="Comma 2 3 2 2 2 2 2 7" xfId="6986" xr:uid="{1A4865A5-4270-4EEB-BC64-6385D6CC15EF}"/>
    <cellStyle name="Comma 2 3 2 2 2 2 2 8" xfId="8855" xr:uid="{19B20288-DA91-459D-B8AB-35B1C6C81C3C}"/>
    <cellStyle name="Comma 2 3 2 2 2 2 2 9" xfId="9992" xr:uid="{0393A76A-105D-42D3-9F9A-D4152B517F44}"/>
    <cellStyle name="Comma 2 3 2 2 2 2 3" xfId="218" xr:uid="{02138ED8-5D34-4266-B49C-8B1DE52874A1}"/>
    <cellStyle name="Comma 2 3 2 2 2 2 3 10" xfId="11118" xr:uid="{4FCAE728-D1B1-492C-99C7-B68C4F86293F}"/>
    <cellStyle name="Comma 2 3 2 2 2 2 3 11" xfId="11512" xr:uid="{6ED144AA-DC01-4557-930C-3006979AC249}"/>
    <cellStyle name="Comma 2 3 2 2 2 2 3 12" xfId="13765" xr:uid="{0B8B483D-540D-43F2-ACE6-4994EDF312D3}"/>
    <cellStyle name="Comma 2 3 2 2 2 2 3 13" xfId="16018" xr:uid="{541213A0-00CC-40C6-B447-F666916946F0}"/>
    <cellStyle name="Comma 2 3 2 2 2 2 3 2" xfId="1355" xr:uid="{BADC2E3A-431C-4192-AFDD-34FF5379F6F2}"/>
    <cellStyle name="Comma 2 3 2 2 2 2 3 2 2" xfId="12639" xr:uid="{392BABE8-16EB-4CA5-8885-F7A7A961D9D4}"/>
    <cellStyle name="Comma 2 3 2 2 2 2 3 2 3" xfId="14892" xr:uid="{80D9239F-7199-41A2-B96D-CF5290E22570}"/>
    <cellStyle name="Comma 2 3 2 2 2 2 3 2 4" xfId="17145" xr:uid="{C96CCA22-3B29-43FD-80FC-0B69F71EE11B}"/>
    <cellStyle name="Comma 2 3 2 2 2 2 3 3" xfId="2481" xr:uid="{F9803C65-FF6D-47C8-9E52-22E009A57C7C}"/>
    <cellStyle name="Comma 2 3 2 2 2 2 3 4" xfId="3607" xr:uid="{881B170E-B25A-4964-93C1-F3DA15A722B9}"/>
    <cellStyle name="Comma 2 3 2 2 2 2 3 5" xfId="4733" xr:uid="{54E76EB5-C951-4465-8712-39D2E1F33CD1}"/>
    <cellStyle name="Comma 2 3 2 2 2 2 3 6" xfId="5860" xr:uid="{8D374BD2-D240-4B7B-B06A-B2A5804680A0}"/>
    <cellStyle name="Comma 2 3 2 2 2 2 3 7" xfId="6987" xr:uid="{C52EA42D-2306-4421-8E17-2F96CB2804D4}"/>
    <cellStyle name="Comma 2 3 2 2 2 2 3 8" xfId="8854" xr:uid="{4A09B20C-ED40-4B15-9500-F85A6A672C6E}"/>
    <cellStyle name="Comma 2 3 2 2 2 2 3 9" xfId="9991" xr:uid="{DABA0BE0-DDFD-4046-B18F-3758D0DF840E}"/>
    <cellStyle name="Comma 2 3 2 2 2 2 4" xfId="1353" xr:uid="{28BB7485-C392-408E-A309-5C1678368A8C}"/>
    <cellStyle name="Comma 2 3 2 2 2 2 4 2" xfId="12637" xr:uid="{5A268F05-BD78-4973-8224-C7CCBD484BBA}"/>
    <cellStyle name="Comma 2 3 2 2 2 2 4 3" xfId="14890" xr:uid="{E8A08F3A-A2A2-46C5-878A-E93F0ACA5EAA}"/>
    <cellStyle name="Comma 2 3 2 2 2 2 4 4" xfId="17143" xr:uid="{6F26E256-46AC-42C7-B1B6-522B2564E5F2}"/>
    <cellStyle name="Comma 2 3 2 2 2 2 5" xfId="2479" xr:uid="{53AD1074-9037-4BA0-9550-71FB94BF76D4}"/>
    <cellStyle name="Comma 2 3 2 2 2 2 6" xfId="3605" xr:uid="{6B8A4958-5F2D-4ED9-BD7D-E58931E71680}"/>
    <cellStyle name="Comma 2 3 2 2 2 2 7" xfId="4731" xr:uid="{C8CA8E9E-3D74-4A14-9171-98D27FC2DC21}"/>
    <cellStyle name="Comma 2 3 2 2 2 2 8" xfId="5858" xr:uid="{93C6A605-0945-42B3-A857-DDA49A04E49C}"/>
    <cellStyle name="Comma 2 3 2 2 2 2 9" xfId="6985" xr:uid="{4E93DF9F-5323-40DB-81B1-D0D65F30A8A7}"/>
    <cellStyle name="Comma 2 3 2 2 2 3" xfId="219" xr:uid="{A8114461-7659-46D4-A17D-2460FA0CB452}"/>
    <cellStyle name="Comma 2 3 2 2 2 3 10" xfId="11117" xr:uid="{0EE4673F-A770-47BC-A652-7F946D22C9B6}"/>
    <cellStyle name="Comma 2 3 2 2 2 3 11" xfId="11513" xr:uid="{9A30792F-1362-4F62-A1DF-2B290DBEC976}"/>
    <cellStyle name="Comma 2 3 2 2 2 3 12" xfId="13766" xr:uid="{AE769916-8238-45FA-B699-1C43629CF3A2}"/>
    <cellStyle name="Comma 2 3 2 2 2 3 13" xfId="16019" xr:uid="{AD9EBB43-3431-49C6-A0B6-99570FAC337C}"/>
    <cellStyle name="Comma 2 3 2 2 2 3 2" xfId="1356" xr:uid="{3E3D6C80-6C00-4725-8BB0-E3F1602BB326}"/>
    <cellStyle name="Comma 2 3 2 2 2 3 2 2" xfId="12640" xr:uid="{27B846F2-817F-4EEE-8A59-7EAC59179459}"/>
    <cellStyle name="Comma 2 3 2 2 2 3 2 3" xfId="14893" xr:uid="{2DE19932-BC12-475E-841D-087DF17E09A2}"/>
    <cellStyle name="Comma 2 3 2 2 2 3 2 4" xfId="17146" xr:uid="{FCF4530B-BC45-4C41-BF8B-5382E68DCF77}"/>
    <cellStyle name="Comma 2 3 2 2 2 3 3" xfId="2482" xr:uid="{BD8DA815-3120-4983-A1EC-BF4D0F2D91A7}"/>
    <cellStyle name="Comma 2 3 2 2 2 3 4" xfId="3608" xr:uid="{363DBC63-1966-46BF-9AB6-761E252932BD}"/>
    <cellStyle name="Comma 2 3 2 2 2 3 5" xfId="4734" xr:uid="{B257AACA-415A-4659-AF19-27BCA1C32D01}"/>
    <cellStyle name="Comma 2 3 2 2 2 3 6" xfId="5861" xr:uid="{2B16A80B-2D9E-4B1D-9300-48B56C1356AC}"/>
    <cellStyle name="Comma 2 3 2 2 2 3 7" xfId="6988" xr:uid="{E279D925-45C6-4292-9774-7613D8807C7F}"/>
    <cellStyle name="Comma 2 3 2 2 2 3 8" xfId="8853" xr:uid="{B0FEBF52-1637-4699-87EE-FBD30E9E0D88}"/>
    <cellStyle name="Comma 2 3 2 2 2 3 9" xfId="9990" xr:uid="{B9493021-4643-45E6-8F6E-2C6593F0F8C4}"/>
    <cellStyle name="Comma 2 3 2 2 2 4" xfId="220" xr:uid="{BA8333F3-73C9-4C6A-92F4-4045B57B4BDB}"/>
    <cellStyle name="Comma 2 3 2 2 2 4 10" xfId="11116" xr:uid="{9DA783EC-1325-4AFC-B18C-ACFCFC9A9550}"/>
    <cellStyle name="Comma 2 3 2 2 2 4 11" xfId="11514" xr:uid="{2259FDCD-AD22-4CDB-BCEC-E530F34AEDCC}"/>
    <cellStyle name="Comma 2 3 2 2 2 4 12" xfId="13767" xr:uid="{3AA01B2D-54E0-4980-85FB-70FE0D7D1BEC}"/>
    <cellStyle name="Comma 2 3 2 2 2 4 13" xfId="16020" xr:uid="{0B7C95D9-C888-4883-90B6-83BEA2A4FCDE}"/>
    <cellStyle name="Comma 2 3 2 2 2 4 2" xfId="1357" xr:uid="{AD3840BA-C4DA-4A75-9685-785D0D214961}"/>
    <cellStyle name="Comma 2 3 2 2 2 4 2 2" xfId="12641" xr:uid="{15D53D0E-A1D3-45B8-BE57-3A861F619CCD}"/>
    <cellStyle name="Comma 2 3 2 2 2 4 2 3" xfId="14894" xr:uid="{47AB4615-BB8D-4FE0-A7CE-3278597F07DE}"/>
    <cellStyle name="Comma 2 3 2 2 2 4 2 4" xfId="17147" xr:uid="{91BFFA44-5C60-438F-8280-9274DA139A58}"/>
    <cellStyle name="Comma 2 3 2 2 2 4 3" xfId="2483" xr:uid="{A94DDD10-EBA2-4A7B-9F8E-4B82438134E2}"/>
    <cellStyle name="Comma 2 3 2 2 2 4 4" xfId="3609" xr:uid="{D19DE061-2329-4D3F-AE91-2820509CFA50}"/>
    <cellStyle name="Comma 2 3 2 2 2 4 5" xfId="4735" xr:uid="{84F93D8F-4F42-4B60-A329-D9529E72068A}"/>
    <cellStyle name="Comma 2 3 2 2 2 4 6" xfId="5862" xr:uid="{FE2CCF4C-9D12-4845-9914-2D10A24C0678}"/>
    <cellStyle name="Comma 2 3 2 2 2 4 7" xfId="6989" xr:uid="{009D9BD6-90D0-4911-8B6D-0E0738780334}"/>
    <cellStyle name="Comma 2 3 2 2 2 4 8" xfId="8852" xr:uid="{9D04EE75-06AA-4274-BB3F-A9977C64467E}"/>
    <cellStyle name="Comma 2 3 2 2 2 4 9" xfId="9989" xr:uid="{1F9BC90F-F36B-4254-90A0-F39CF3A0EDD4}"/>
    <cellStyle name="Comma 2 3 2 2 2 5" xfId="1352" xr:uid="{E82CB924-1B10-49DD-99D9-C40C6455C229}"/>
    <cellStyle name="Comma 2 3 2 2 2 5 2" xfId="12636" xr:uid="{1D3BC3BA-C4B0-44B7-9472-FF7EA4F658A1}"/>
    <cellStyle name="Comma 2 3 2 2 2 5 3" xfId="14889" xr:uid="{234277DB-3370-4A25-8715-B498BFF7C4B1}"/>
    <cellStyle name="Comma 2 3 2 2 2 5 4" xfId="17142" xr:uid="{BAEF9471-BBF1-45ED-9638-F703C13B8A80}"/>
    <cellStyle name="Comma 2 3 2 2 2 6" xfId="2478" xr:uid="{BE233599-9369-480E-A4B2-73E14C5DB449}"/>
    <cellStyle name="Comma 2 3 2 2 2 7" xfId="3604" xr:uid="{1AF67E13-2A09-4489-BA91-2C9BE37572AB}"/>
    <cellStyle name="Comma 2 3 2 2 2 8" xfId="4730" xr:uid="{56BB1C00-9748-453F-9A13-11A2D136F57A}"/>
    <cellStyle name="Comma 2 3 2 2 2 9" xfId="5857" xr:uid="{AC02D5D4-003F-42AD-89E3-E4E33CF14E76}"/>
    <cellStyle name="Comma 2 3 2 2 3" xfId="221" xr:uid="{ECA08CC5-2497-4A35-BC5E-E9E781D3697C}"/>
    <cellStyle name="Comma 2 3 2 2 3 10" xfId="8851" xr:uid="{3B24BCFC-43F8-4E20-9852-1D8BBF63BB99}"/>
    <cellStyle name="Comma 2 3 2 2 3 11" xfId="9988" xr:uid="{DEB0BD24-AB0D-4D20-8806-309583A2181E}"/>
    <cellStyle name="Comma 2 3 2 2 3 12" xfId="11115" xr:uid="{3FE58D42-5E3E-4975-943D-E2DC8E999AFD}"/>
    <cellStyle name="Comma 2 3 2 2 3 13" xfId="11515" xr:uid="{82127DF5-79A7-4765-A5BB-FBB469E8D837}"/>
    <cellStyle name="Comma 2 3 2 2 3 14" xfId="13768" xr:uid="{753163FF-A4A7-457C-847E-C711C88DEE9E}"/>
    <cellStyle name="Comma 2 3 2 2 3 15" xfId="16021" xr:uid="{F3BC277A-9F84-4A5E-B34C-AC9F661BCBED}"/>
    <cellStyle name="Comma 2 3 2 2 3 2" xfId="222" xr:uid="{760125E1-772B-490D-B52B-8CCF23C63E40}"/>
    <cellStyle name="Comma 2 3 2 2 3 2 10" xfId="11114" xr:uid="{EE586245-B423-45EC-AACD-6721E204A267}"/>
    <cellStyle name="Comma 2 3 2 2 3 2 11" xfId="11516" xr:uid="{DC65F855-7BD9-4B55-86AE-E6A5D205DC5D}"/>
    <cellStyle name="Comma 2 3 2 2 3 2 12" xfId="13769" xr:uid="{20DF4351-3343-442B-864B-819EAC988363}"/>
    <cellStyle name="Comma 2 3 2 2 3 2 13" xfId="16022" xr:uid="{6429D557-26AB-40EE-8EBF-3C243ADBFB6B}"/>
    <cellStyle name="Comma 2 3 2 2 3 2 2" xfId="1359" xr:uid="{4B916FCD-D2F6-4B76-82E4-C4523174363C}"/>
    <cellStyle name="Comma 2 3 2 2 3 2 2 2" xfId="12643" xr:uid="{55322555-8BBA-4811-BB23-CFCA1B56D582}"/>
    <cellStyle name="Comma 2 3 2 2 3 2 2 3" xfId="14896" xr:uid="{58B3F39E-0AE0-4B69-AC09-43265B3D15EB}"/>
    <cellStyle name="Comma 2 3 2 2 3 2 2 4" xfId="17149" xr:uid="{35EF316D-D8CE-41A1-B001-B78CE2DF7CC2}"/>
    <cellStyle name="Comma 2 3 2 2 3 2 3" xfId="2485" xr:uid="{9419A8DC-8EF3-4B9A-ABDB-7EEB9B8D74BD}"/>
    <cellStyle name="Comma 2 3 2 2 3 2 4" xfId="3611" xr:uid="{4CF38502-E235-4991-B24D-02687E0F5A20}"/>
    <cellStyle name="Comma 2 3 2 2 3 2 5" xfId="4737" xr:uid="{D4A277F0-B81D-4DAD-8F81-B5EA03C2B7C2}"/>
    <cellStyle name="Comma 2 3 2 2 3 2 6" xfId="5864" xr:uid="{415B9442-FDA5-4664-95BF-9ECA34C31CBA}"/>
    <cellStyle name="Comma 2 3 2 2 3 2 7" xfId="6991" xr:uid="{74BEFB57-87AC-4E20-8CC3-B98C1759F757}"/>
    <cellStyle name="Comma 2 3 2 2 3 2 8" xfId="8850" xr:uid="{7879D7F6-A6C5-48C9-97E7-73686EF84AD3}"/>
    <cellStyle name="Comma 2 3 2 2 3 2 9" xfId="9987" xr:uid="{941C73E0-92D2-40C2-9E6C-8E659B8F5E43}"/>
    <cellStyle name="Comma 2 3 2 2 3 3" xfId="223" xr:uid="{0E052C50-61AA-486D-8492-E035B216D8D4}"/>
    <cellStyle name="Comma 2 3 2 2 3 3 10" xfId="11113" xr:uid="{5C49BDC8-52BC-4132-BDE5-69384E862303}"/>
    <cellStyle name="Comma 2 3 2 2 3 3 11" xfId="11517" xr:uid="{7200B519-D8D9-4EEA-969C-F66D67E3DD6E}"/>
    <cellStyle name="Comma 2 3 2 2 3 3 12" xfId="13770" xr:uid="{C92D8558-7BAB-4B91-8ADD-72DBFA450575}"/>
    <cellStyle name="Comma 2 3 2 2 3 3 13" xfId="16023" xr:uid="{2AA443C0-3A55-46E7-89DA-1E485F567EF4}"/>
    <cellStyle name="Comma 2 3 2 2 3 3 2" xfId="1360" xr:uid="{2AD0BC38-0D98-48B9-8177-F64DCCFEBE22}"/>
    <cellStyle name="Comma 2 3 2 2 3 3 2 2" xfId="12644" xr:uid="{2168F572-E27C-4247-B3FF-569FD93F440A}"/>
    <cellStyle name="Comma 2 3 2 2 3 3 2 3" xfId="14897" xr:uid="{B00CC24B-C4DB-4136-9AAB-07760A63C3F0}"/>
    <cellStyle name="Comma 2 3 2 2 3 3 2 4" xfId="17150" xr:uid="{59BB91FD-AAD3-4C1E-BBF2-0F104F28112C}"/>
    <cellStyle name="Comma 2 3 2 2 3 3 3" xfId="2486" xr:uid="{D5E3D049-4AB4-4AFE-A7A1-BA4E366ED2B4}"/>
    <cellStyle name="Comma 2 3 2 2 3 3 4" xfId="3612" xr:uid="{CBF47A28-7377-42DA-B86A-8A9AB2B35BF8}"/>
    <cellStyle name="Comma 2 3 2 2 3 3 5" xfId="4738" xr:uid="{38BA41D9-0268-4F51-BD71-4D2F7DAAA3B6}"/>
    <cellStyle name="Comma 2 3 2 2 3 3 6" xfId="5865" xr:uid="{75CBEEB5-A296-454F-860E-0E080FD4EC5D}"/>
    <cellStyle name="Comma 2 3 2 2 3 3 7" xfId="6992" xr:uid="{4A6A49C8-8DA6-4364-8AE4-33034E1EE9E8}"/>
    <cellStyle name="Comma 2 3 2 2 3 3 8" xfId="8849" xr:uid="{976AF613-746B-4F83-ABB7-DF6C68F9F5F2}"/>
    <cellStyle name="Comma 2 3 2 2 3 3 9" xfId="9986" xr:uid="{3C4CD52E-9CEB-4897-B30B-4578F60FC0DD}"/>
    <cellStyle name="Comma 2 3 2 2 3 4" xfId="1358" xr:uid="{9D2AB651-FBFA-4DB8-821E-55FF12507B4B}"/>
    <cellStyle name="Comma 2 3 2 2 3 4 2" xfId="12642" xr:uid="{F3DB61F1-5C31-453C-950A-4CE2C60370DD}"/>
    <cellStyle name="Comma 2 3 2 2 3 4 3" xfId="14895" xr:uid="{1E1F63F4-B830-4298-B8DF-E2915C52EE02}"/>
    <cellStyle name="Comma 2 3 2 2 3 4 4" xfId="17148" xr:uid="{CAF70A0D-D1B7-45BE-A001-202D961C09BF}"/>
    <cellStyle name="Comma 2 3 2 2 3 5" xfId="2484" xr:uid="{8B73B570-47BD-46C6-850B-F12A8270532D}"/>
    <cellStyle name="Comma 2 3 2 2 3 6" xfId="3610" xr:uid="{B32F3EEA-452D-4F99-8638-F2C7601BB4C7}"/>
    <cellStyle name="Comma 2 3 2 2 3 7" xfId="4736" xr:uid="{F079BA98-051F-400E-8D21-D9F4C679BCC2}"/>
    <cellStyle name="Comma 2 3 2 2 3 8" xfId="5863" xr:uid="{AA2122EE-2DBA-4269-A6E4-58C511A9158E}"/>
    <cellStyle name="Comma 2 3 2 2 3 9" xfId="6990" xr:uid="{94210527-5B63-4187-BE09-44A144A9C287}"/>
    <cellStyle name="Comma 2 3 2 2 4" xfId="224" xr:uid="{E2A4D369-C319-4DAC-B3FF-19305BFD9648}"/>
    <cellStyle name="Comma 2 3 2 2 4 10" xfId="11112" xr:uid="{EC450524-C716-4DDC-A3F2-AF7976B2FC9D}"/>
    <cellStyle name="Comma 2 3 2 2 4 11" xfId="11518" xr:uid="{D87D0440-557C-480C-AB81-8D6215B9FA9E}"/>
    <cellStyle name="Comma 2 3 2 2 4 12" xfId="13771" xr:uid="{D1571B35-4BEF-4071-94D3-23F171B1E437}"/>
    <cellStyle name="Comma 2 3 2 2 4 13" xfId="16024" xr:uid="{B86F793C-71FC-42CC-BF2E-AAC3CBCCBF79}"/>
    <cellStyle name="Comma 2 3 2 2 4 2" xfId="1361" xr:uid="{4951CB50-6706-4164-AE31-0966D5F02ED1}"/>
    <cellStyle name="Comma 2 3 2 2 4 2 2" xfId="12645" xr:uid="{3E41DCB9-C121-42B2-8EB4-661EEE8CCE8B}"/>
    <cellStyle name="Comma 2 3 2 2 4 2 3" xfId="14898" xr:uid="{E4D31376-4AB5-4EF4-A2C6-152AA0262E5F}"/>
    <cellStyle name="Comma 2 3 2 2 4 2 4" xfId="17151" xr:uid="{689C495C-B75C-4971-8D71-5D64D1F60A07}"/>
    <cellStyle name="Comma 2 3 2 2 4 3" xfId="2487" xr:uid="{7C68A023-9F90-4AAA-A669-643E280BC36F}"/>
    <cellStyle name="Comma 2 3 2 2 4 4" xfId="3613" xr:uid="{73F06A40-59C2-49F8-B6FE-38BF5C4B5A3D}"/>
    <cellStyle name="Comma 2 3 2 2 4 5" xfId="4739" xr:uid="{2F188070-E654-4E21-864E-427C593B1728}"/>
    <cellStyle name="Comma 2 3 2 2 4 6" xfId="5866" xr:uid="{1D60E95B-0151-4D7A-957C-121A327612B2}"/>
    <cellStyle name="Comma 2 3 2 2 4 7" xfId="6993" xr:uid="{82C3CBB3-F1FA-41D6-9FFB-032893B8D08A}"/>
    <cellStyle name="Comma 2 3 2 2 4 8" xfId="8848" xr:uid="{D65158CC-FBC5-4438-8724-A8775EBD25D2}"/>
    <cellStyle name="Comma 2 3 2 2 4 9" xfId="9985" xr:uid="{A6756147-5F45-4517-ACFA-C372BA1D818F}"/>
    <cellStyle name="Comma 2 3 2 2 5" xfId="225" xr:uid="{0B818EE0-8FA5-4E17-83FA-089896F1A205}"/>
    <cellStyle name="Comma 2 3 2 2 5 10" xfId="11111" xr:uid="{98EED021-8220-43E9-AA92-7E762FAB7CEF}"/>
    <cellStyle name="Comma 2 3 2 2 5 11" xfId="11519" xr:uid="{EE6517B6-E14F-4F14-85AE-80A58F81AD15}"/>
    <cellStyle name="Comma 2 3 2 2 5 12" xfId="13772" xr:uid="{B5FD4D20-B143-4D91-B8EA-2E2B8A2BAD0D}"/>
    <cellStyle name="Comma 2 3 2 2 5 13" xfId="16025" xr:uid="{DF8FA2B9-568B-4C9E-918B-44AF1C1F4839}"/>
    <cellStyle name="Comma 2 3 2 2 5 2" xfId="1362" xr:uid="{25D7B250-D5F3-4600-A1DB-4C225D778F50}"/>
    <cellStyle name="Comma 2 3 2 2 5 2 2" xfId="12646" xr:uid="{EA3352A8-56D7-4CF9-8508-067BC5275B12}"/>
    <cellStyle name="Comma 2 3 2 2 5 2 3" xfId="14899" xr:uid="{98590B77-0042-4B7E-8DA6-B1C40C5F4B64}"/>
    <cellStyle name="Comma 2 3 2 2 5 2 4" xfId="17152" xr:uid="{79E38ECF-7201-43A4-8061-702268C892C8}"/>
    <cellStyle name="Comma 2 3 2 2 5 3" xfId="2488" xr:uid="{75A21AD5-FDDE-4EE5-BB0B-A0A279D32754}"/>
    <cellStyle name="Comma 2 3 2 2 5 4" xfId="3614" xr:uid="{B3FD0417-768A-487A-9A00-6E215EA83F97}"/>
    <cellStyle name="Comma 2 3 2 2 5 5" xfId="4740" xr:uid="{F1568B80-E09D-4895-B4B6-CCDE77D8D880}"/>
    <cellStyle name="Comma 2 3 2 2 5 6" xfId="5867" xr:uid="{D00A33DB-A5E6-4697-B5BD-4102928E88D9}"/>
    <cellStyle name="Comma 2 3 2 2 5 7" xfId="6994" xr:uid="{160FD154-4F83-4DAF-A43F-7F709E6ED7CD}"/>
    <cellStyle name="Comma 2 3 2 2 5 8" xfId="8847" xr:uid="{6923EC15-F633-417A-915A-203DC7680A7E}"/>
    <cellStyle name="Comma 2 3 2 2 5 9" xfId="9984" xr:uid="{FB71942D-41CE-4249-85A1-E6D336E9680F}"/>
    <cellStyle name="Comma 2 3 2 2 6" xfId="1351" xr:uid="{E32BF842-2EC0-4425-9413-0D78BFD8AB85}"/>
    <cellStyle name="Comma 2 3 2 2 6 2" xfId="12635" xr:uid="{F8FF407C-F782-4A6B-BBE0-2F77DA07EE51}"/>
    <cellStyle name="Comma 2 3 2 2 6 3" xfId="14888" xr:uid="{CFB76548-105B-44E2-8440-D6E46D1ED440}"/>
    <cellStyle name="Comma 2 3 2 2 6 4" xfId="17141" xr:uid="{A7C735C1-D722-468F-B2FC-1421FFE3FC9B}"/>
    <cellStyle name="Comma 2 3 2 2 7" xfId="2477" xr:uid="{12207ED0-57C6-4090-8DBC-5970B36331E2}"/>
    <cellStyle name="Comma 2 3 2 2 8" xfId="3603" xr:uid="{AA7D78FF-6109-41BF-AE23-96B13D4495B0}"/>
    <cellStyle name="Comma 2 3 2 2 9" xfId="4729" xr:uid="{DA1A58C6-2FCB-4D8D-9EFA-53FEED89DBD5}"/>
    <cellStyle name="Comma 2 3 2 3" xfId="226" xr:uid="{A4E6FF5D-2FA8-489C-A0BF-6933843FD69C}"/>
    <cellStyle name="Comma 2 3 2 3 10" xfId="6995" xr:uid="{FE2880DF-FFAD-48B3-A4BB-89B6F261680C}"/>
    <cellStyle name="Comma 2 3 2 3 11" xfId="8846" xr:uid="{927108C0-7D08-43B1-A341-6A353FDCFF32}"/>
    <cellStyle name="Comma 2 3 2 3 12" xfId="9983" xr:uid="{8B0C944C-4C90-4021-9F01-95E4B201C5D2}"/>
    <cellStyle name="Comma 2 3 2 3 13" xfId="11110" xr:uid="{0019E527-12BD-44F3-A55C-8798F1970B19}"/>
    <cellStyle name="Comma 2 3 2 3 14" xfId="11520" xr:uid="{833F60D3-6961-4D90-A878-4F9AF00686DB}"/>
    <cellStyle name="Comma 2 3 2 3 15" xfId="13773" xr:uid="{5EE83EB9-870B-4A09-A300-7B0886A9B903}"/>
    <cellStyle name="Comma 2 3 2 3 16" xfId="16026" xr:uid="{0B27470B-88C2-490A-8CAE-E4A6A8589BC1}"/>
    <cellStyle name="Comma 2 3 2 3 2" xfId="227" xr:uid="{5888B0BC-0FD4-4B14-ABCA-B74F9FBDB3B8}"/>
    <cellStyle name="Comma 2 3 2 3 2 10" xfId="8845" xr:uid="{4E8D0262-5976-4035-A576-B1C721C91B47}"/>
    <cellStyle name="Comma 2 3 2 3 2 11" xfId="9982" xr:uid="{555004A4-E486-4A8A-BA61-489D040FD2CC}"/>
    <cellStyle name="Comma 2 3 2 3 2 12" xfId="11109" xr:uid="{A8BFBBD9-E817-4CD3-B276-773A666D02E0}"/>
    <cellStyle name="Comma 2 3 2 3 2 13" xfId="11521" xr:uid="{18EAA389-1581-4984-AFF4-B3C9248760F2}"/>
    <cellStyle name="Comma 2 3 2 3 2 14" xfId="13774" xr:uid="{377C02FC-5119-4883-8050-6D4AF6DF4C1F}"/>
    <cellStyle name="Comma 2 3 2 3 2 15" xfId="16027" xr:uid="{738B4089-669F-466C-B7D1-0A9C0E5989D1}"/>
    <cellStyle name="Comma 2 3 2 3 2 2" xfId="228" xr:uid="{BD666956-D366-4189-A6E5-F61819F359DE}"/>
    <cellStyle name="Comma 2 3 2 3 2 2 10" xfId="11108" xr:uid="{4BD201A2-E010-4105-AED8-765EFD7BB00C}"/>
    <cellStyle name="Comma 2 3 2 3 2 2 11" xfId="11522" xr:uid="{95999E1C-8453-46D0-B577-85AD7B827E1C}"/>
    <cellStyle name="Comma 2 3 2 3 2 2 12" xfId="13775" xr:uid="{BCC4E5CF-43A6-4E23-9494-9AEED7D223CB}"/>
    <cellStyle name="Comma 2 3 2 3 2 2 13" xfId="16028" xr:uid="{6F93948B-974F-43BB-BF3B-010819C51758}"/>
    <cellStyle name="Comma 2 3 2 3 2 2 2" xfId="1365" xr:uid="{780216B9-02A4-42C4-ADE5-53E772F3BDA1}"/>
    <cellStyle name="Comma 2 3 2 3 2 2 2 2" xfId="12649" xr:uid="{A75F1AE1-EE55-444D-A290-0812D7B89C97}"/>
    <cellStyle name="Comma 2 3 2 3 2 2 2 3" xfId="14902" xr:uid="{E7E1539F-CFA0-4D8B-B2A0-DA98CED4E463}"/>
    <cellStyle name="Comma 2 3 2 3 2 2 2 4" xfId="17155" xr:uid="{933B0670-2946-47E2-8C36-0C0D51BCD10F}"/>
    <cellStyle name="Comma 2 3 2 3 2 2 3" xfId="2491" xr:uid="{747BE85A-7754-4F72-98E7-17BB25FCDF59}"/>
    <cellStyle name="Comma 2 3 2 3 2 2 4" xfId="3617" xr:uid="{C732D195-C3EC-4E72-B99A-65B869AABFF6}"/>
    <cellStyle name="Comma 2 3 2 3 2 2 5" xfId="4743" xr:uid="{D5F64355-7452-450A-80A4-48161FFA1200}"/>
    <cellStyle name="Comma 2 3 2 3 2 2 6" xfId="5870" xr:uid="{5075CCC3-39DA-48ED-9328-9B8078CEDD45}"/>
    <cellStyle name="Comma 2 3 2 3 2 2 7" xfId="6997" xr:uid="{E4B52531-4BC0-490F-B35C-89EDA5763CE6}"/>
    <cellStyle name="Comma 2 3 2 3 2 2 8" xfId="8844" xr:uid="{D4D62353-81D6-4300-BA4D-0E6F32837484}"/>
    <cellStyle name="Comma 2 3 2 3 2 2 9" xfId="9981" xr:uid="{510A7612-7BD8-44F6-A32E-9401B042921F}"/>
    <cellStyle name="Comma 2 3 2 3 2 3" xfId="229" xr:uid="{7EBC62E2-27BC-4B7F-829A-9162A4190DC2}"/>
    <cellStyle name="Comma 2 3 2 3 2 3 10" xfId="11107" xr:uid="{B1625019-74E7-4C7A-9E85-CAF08AFA4900}"/>
    <cellStyle name="Comma 2 3 2 3 2 3 11" xfId="11523" xr:uid="{B1B9F741-5003-4402-AC6F-AA837F670663}"/>
    <cellStyle name="Comma 2 3 2 3 2 3 12" xfId="13776" xr:uid="{19CE27F6-0CD2-4E76-9B06-2D0866D02B3A}"/>
    <cellStyle name="Comma 2 3 2 3 2 3 13" xfId="16029" xr:uid="{25B9CCCB-69E7-4C5A-B841-C5F12CCA0AA5}"/>
    <cellStyle name="Comma 2 3 2 3 2 3 2" xfId="1366" xr:uid="{9690E2C1-8F4E-472D-B67B-A7F984C5334C}"/>
    <cellStyle name="Comma 2 3 2 3 2 3 2 2" xfId="12650" xr:uid="{C919077E-E337-4664-BA2C-0B68659A19B2}"/>
    <cellStyle name="Comma 2 3 2 3 2 3 2 3" xfId="14903" xr:uid="{38FCB82D-33AB-4A64-87D9-B888151E6D06}"/>
    <cellStyle name="Comma 2 3 2 3 2 3 2 4" xfId="17156" xr:uid="{8A9C525E-46DD-4C3F-94AF-F804AB2BDD1B}"/>
    <cellStyle name="Comma 2 3 2 3 2 3 3" xfId="2492" xr:uid="{E935EEE0-8478-4919-B95D-3B3EA85A4630}"/>
    <cellStyle name="Comma 2 3 2 3 2 3 4" xfId="3618" xr:uid="{BEB1B293-556F-47E5-89CD-DD035A01E6FB}"/>
    <cellStyle name="Comma 2 3 2 3 2 3 5" xfId="4744" xr:uid="{F20B6E5A-8164-4A6A-B490-8F9130AC8EF4}"/>
    <cellStyle name="Comma 2 3 2 3 2 3 6" xfId="5871" xr:uid="{28A917BD-2BB1-433C-A529-482F86B2F1D2}"/>
    <cellStyle name="Comma 2 3 2 3 2 3 7" xfId="6998" xr:uid="{9F72EA4F-5B52-476B-AAA7-195911844425}"/>
    <cellStyle name="Comma 2 3 2 3 2 3 8" xfId="8843" xr:uid="{E9E88573-5E57-408D-BF09-E944A17D26A4}"/>
    <cellStyle name="Comma 2 3 2 3 2 3 9" xfId="9980" xr:uid="{D86A2BC3-0DCB-4C17-BE97-01067ED37988}"/>
    <cellStyle name="Comma 2 3 2 3 2 4" xfId="1364" xr:uid="{5D7126F8-61A2-4BAB-8140-BB62DFC32451}"/>
    <cellStyle name="Comma 2 3 2 3 2 4 2" xfId="12648" xr:uid="{01D35E61-0CB5-4E1A-BB5A-52F117D40D55}"/>
    <cellStyle name="Comma 2 3 2 3 2 4 3" xfId="14901" xr:uid="{3A27C9D1-6509-4B00-9D0F-A7C906C36EE8}"/>
    <cellStyle name="Comma 2 3 2 3 2 4 4" xfId="17154" xr:uid="{B69AE220-B362-41B0-A0D7-B863BCCB7E57}"/>
    <cellStyle name="Comma 2 3 2 3 2 5" xfId="2490" xr:uid="{A814DEF5-A19C-4C79-A8BE-D573CF55CCB1}"/>
    <cellStyle name="Comma 2 3 2 3 2 6" xfId="3616" xr:uid="{FA1049FC-47B3-4259-B2A5-19BFE37E41D2}"/>
    <cellStyle name="Comma 2 3 2 3 2 7" xfId="4742" xr:uid="{C8C9302E-A5E8-412A-8E36-1DCC99E2A9B7}"/>
    <cellStyle name="Comma 2 3 2 3 2 8" xfId="5869" xr:uid="{E6EF8606-2E16-46A3-B105-6EE50A19D6AF}"/>
    <cellStyle name="Comma 2 3 2 3 2 9" xfId="6996" xr:uid="{E6BB1223-8468-4AB1-B050-72A67BF879E9}"/>
    <cellStyle name="Comma 2 3 2 3 3" xfId="230" xr:uid="{3ADA571A-06E4-4B83-9791-D83251845C97}"/>
    <cellStyle name="Comma 2 3 2 3 3 10" xfId="11106" xr:uid="{1CC8E3E9-6A9B-486B-B54C-53285ACA6C72}"/>
    <cellStyle name="Comma 2 3 2 3 3 11" xfId="11524" xr:uid="{325111A4-B338-4E16-8222-EB76B0577F35}"/>
    <cellStyle name="Comma 2 3 2 3 3 12" xfId="13777" xr:uid="{8B6B57D2-63C7-42D4-B190-392CC651FC9B}"/>
    <cellStyle name="Comma 2 3 2 3 3 13" xfId="16030" xr:uid="{EF0ECA58-927D-4065-9A77-F8C7948D97C8}"/>
    <cellStyle name="Comma 2 3 2 3 3 2" xfId="1367" xr:uid="{599CCAB3-95EF-4576-AA7F-D67E6CDC7EE9}"/>
    <cellStyle name="Comma 2 3 2 3 3 2 2" xfId="12651" xr:uid="{2DCCBA4F-D0F6-4F3B-A80C-70BF44055EDB}"/>
    <cellStyle name="Comma 2 3 2 3 3 2 3" xfId="14904" xr:uid="{ED60BC1C-1DCD-4436-B728-F155DA2CAC79}"/>
    <cellStyle name="Comma 2 3 2 3 3 2 4" xfId="17157" xr:uid="{16FFEDE5-11EF-42A5-BE5F-D4A44D62EE6B}"/>
    <cellStyle name="Comma 2 3 2 3 3 3" xfId="2493" xr:uid="{6F8F06EF-976F-4C59-A9E3-7BE916549071}"/>
    <cellStyle name="Comma 2 3 2 3 3 4" xfId="3619" xr:uid="{578237D9-2DD6-41B9-BEDA-BBB6CEB73EC9}"/>
    <cellStyle name="Comma 2 3 2 3 3 5" xfId="4745" xr:uid="{9F60F01C-19B3-486F-9849-AD51AA8E1A68}"/>
    <cellStyle name="Comma 2 3 2 3 3 6" xfId="5872" xr:uid="{B7C2AAD7-E14C-42BB-BD5B-B4BE4F0D32EF}"/>
    <cellStyle name="Comma 2 3 2 3 3 7" xfId="6999" xr:uid="{784FEA18-A60C-4A9F-B006-FF6ED73FC0EC}"/>
    <cellStyle name="Comma 2 3 2 3 3 8" xfId="8842" xr:uid="{10C9BC9C-C038-462C-BEEE-6F68D213C2AD}"/>
    <cellStyle name="Comma 2 3 2 3 3 9" xfId="9979" xr:uid="{F722A513-26A3-4916-A3A3-FF939138FA8E}"/>
    <cellStyle name="Comma 2 3 2 3 4" xfId="231" xr:uid="{F14F0444-8664-4A12-879D-9E0EC15A0AF0}"/>
    <cellStyle name="Comma 2 3 2 3 4 10" xfId="11105" xr:uid="{7A6363BD-E1F0-4F99-B659-C9FB6975B185}"/>
    <cellStyle name="Comma 2 3 2 3 4 11" xfId="11525" xr:uid="{DC3FDC95-D833-4D3E-9484-5D995494E964}"/>
    <cellStyle name="Comma 2 3 2 3 4 12" xfId="13778" xr:uid="{45839B0E-1F80-4C0B-9D7E-7E5F0A5A7FF3}"/>
    <cellStyle name="Comma 2 3 2 3 4 13" xfId="16031" xr:uid="{73CAE95A-C31B-4AB3-A649-6A4C0084C883}"/>
    <cellStyle name="Comma 2 3 2 3 4 2" xfId="1368" xr:uid="{52E7F201-0A69-4700-8F12-D5B6069BE9D9}"/>
    <cellStyle name="Comma 2 3 2 3 4 2 2" xfId="12652" xr:uid="{B30A1CBC-9C53-4658-837F-A0BD3F0B5CBF}"/>
    <cellStyle name="Comma 2 3 2 3 4 2 3" xfId="14905" xr:uid="{6CC31110-F069-439C-9F81-A8FFCCE7902E}"/>
    <cellStyle name="Comma 2 3 2 3 4 2 4" xfId="17158" xr:uid="{F42373F1-AF14-4C84-8177-C25872F74760}"/>
    <cellStyle name="Comma 2 3 2 3 4 3" xfId="2494" xr:uid="{F265CCEA-5250-4702-B6A2-97FAE3FA116A}"/>
    <cellStyle name="Comma 2 3 2 3 4 4" xfId="3620" xr:uid="{AC676CDB-16BD-43E4-840F-DB3C5B920921}"/>
    <cellStyle name="Comma 2 3 2 3 4 5" xfId="4746" xr:uid="{F2BF1AD6-843C-49FA-BD0D-18BE5BCE37E2}"/>
    <cellStyle name="Comma 2 3 2 3 4 6" xfId="5873" xr:uid="{36D824FF-B79B-4496-8812-1321FA5445D1}"/>
    <cellStyle name="Comma 2 3 2 3 4 7" xfId="7000" xr:uid="{7505F45A-265C-4797-866D-30ABD00D1FAC}"/>
    <cellStyle name="Comma 2 3 2 3 4 8" xfId="8841" xr:uid="{2AFBC1A7-3326-4216-9D5C-2305A99D4CDD}"/>
    <cellStyle name="Comma 2 3 2 3 4 9" xfId="9978" xr:uid="{CC990648-E06E-4746-AF59-5EDCDBB4EFAD}"/>
    <cellStyle name="Comma 2 3 2 3 5" xfId="1363" xr:uid="{975C72E8-82C8-4C4C-AA8E-9B6800250A39}"/>
    <cellStyle name="Comma 2 3 2 3 5 2" xfId="12647" xr:uid="{2F9A03F8-7006-4073-B3C3-D2AFE535DCD3}"/>
    <cellStyle name="Comma 2 3 2 3 5 3" xfId="14900" xr:uid="{6C09E344-27C9-4E63-A652-C28C981967F7}"/>
    <cellStyle name="Comma 2 3 2 3 5 4" xfId="17153" xr:uid="{AA942E31-3EA0-4733-AFD5-71D684614232}"/>
    <cellStyle name="Comma 2 3 2 3 6" xfId="2489" xr:uid="{A2426665-A369-4A51-8A4D-40C0685C4A91}"/>
    <cellStyle name="Comma 2 3 2 3 7" xfId="3615" xr:uid="{25271F2A-E79A-4675-AC4E-66A5A611D029}"/>
    <cellStyle name="Comma 2 3 2 3 8" xfId="4741" xr:uid="{569D8CCA-148E-43FC-AF81-F23D1F328532}"/>
    <cellStyle name="Comma 2 3 2 3 9" xfId="5868" xr:uid="{D327CF90-EC53-4D92-B311-D0399BD88153}"/>
    <cellStyle name="Comma 2 3 2 4" xfId="232" xr:uid="{CBFBB6C0-CFED-4DDD-BA86-68FCEC39799C}"/>
    <cellStyle name="Comma 2 3 2 4 10" xfId="8840" xr:uid="{F2F4D8F6-5E97-4F75-98E9-98F9D94740F7}"/>
    <cellStyle name="Comma 2 3 2 4 11" xfId="9977" xr:uid="{6396A91C-E340-491D-9E0C-CC1BA616837A}"/>
    <cellStyle name="Comma 2 3 2 4 12" xfId="11104" xr:uid="{ABAF70F9-DE57-4607-901B-69790EC6BD88}"/>
    <cellStyle name="Comma 2 3 2 4 13" xfId="11526" xr:uid="{BFBF6114-3F62-4533-8751-D5B049D3D81D}"/>
    <cellStyle name="Comma 2 3 2 4 14" xfId="13779" xr:uid="{0079A834-A061-4F02-B3A9-654EA3022E05}"/>
    <cellStyle name="Comma 2 3 2 4 15" xfId="16032" xr:uid="{6C3F9A35-858B-47A8-AAAA-5F69991FB68D}"/>
    <cellStyle name="Comma 2 3 2 4 2" xfId="233" xr:uid="{B68CE812-07FD-4898-9375-42483348B476}"/>
    <cellStyle name="Comma 2 3 2 4 2 10" xfId="11103" xr:uid="{B35D1913-C872-4EAE-A272-537140385664}"/>
    <cellStyle name="Comma 2 3 2 4 2 11" xfId="11527" xr:uid="{66688468-9C85-4842-9559-D99AE07D626D}"/>
    <cellStyle name="Comma 2 3 2 4 2 12" xfId="13780" xr:uid="{6C2B3E6C-1158-4F8E-ABDF-378A0DEB37C3}"/>
    <cellStyle name="Comma 2 3 2 4 2 13" xfId="16033" xr:uid="{1076CAC1-E155-49A2-A994-416C20111759}"/>
    <cellStyle name="Comma 2 3 2 4 2 2" xfId="1370" xr:uid="{A6582BBC-A723-4C58-BB49-537C21E218B3}"/>
    <cellStyle name="Comma 2 3 2 4 2 2 2" xfId="12654" xr:uid="{80470BBF-1DE1-48DA-86C7-A54D09023BB4}"/>
    <cellStyle name="Comma 2 3 2 4 2 2 3" xfId="14907" xr:uid="{73CBF337-3003-4819-AC62-7CDD5366FB24}"/>
    <cellStyle name="Comma 2 3 2 4 2 2 4" xfId="17160" xr:uid="{239979D2-2148-452D-9475-D7DF7DED5FE6}"/>
    <cellStyle name="Comma 2 3 2 4 2 3" xfId="2496" xr:uid="{505F3C67-BAD6-4D35-A34D-80E97B78922C}"/>
    <cellStyle name="Comma 2 3 2 4 2 4" xfId="3622" xr:uid="{C07E35F8-EAD0-4CD4-9DDE-E93C6F750C0E}"/>
    <cellStyle name="Comma 2 3 2 4 2 5" xfId="4748" xr:uid="{4B4FE697-83E8-465C-9994-08E97F7345F9}"/>
    <cellStyle name="Comma 2 3 2 4 2 6" xfId="5875" xr:uid="{370EDB85-1FA9-488E-89D5-86CD987D46A9}"/>
    <cellStyle name="Comma 2 3 2 4 2 7" xfId="7002" xr:uid="{D5320A05-FBD7-489C-9776-E267C67E273C}"/>
    <cellStyle name="Comma 2 3 2 4 2 8" xfId="8839" xr:uid="{79B89B6D-7A4F-4BD5-B12D-320D89EF4CC1}"/>
    <cellStyle name="Comma 2 3 2 4 2 9" xfId="9976" xr:uid="{1B417F58-CF4B-4FA7-8DF2-2CD1585550E2}"/>
    <cellStyle name="Comma 2 3 2 4 3" xfId="234" xr:uid="{8C6EABE9-4CD5-42AA-9540-F425DCD95A9A}"/>
    <cellStyle name="Comma 2 3 2 4 3 10" xfId="11102" xr:uid="{4DF92C47-D22C-4505-8F13-9EDBF15C8421}"/>
    <cellStyle name="Comma 2 3 2 4 3 11" xfId="11528" xr:uid="{455B6174-7837-41CD-A26A-A4C74EBD3520}"/>
    <cellStyle name="Comma 2 3 2 4 3 12" xfId="13781" xr:uid="{FF178999-C1CE-40E5-A1C8-0F8E43019D0A}"/>
    <cellStyle name="Comma 2 3 2 4 3 13" xfId="16034" xr:uid="{034DFE5D-011C-4E64-B440-B4F60DF92753}"/>
    <cellStyle name="Comma 2 3 2 4 3 2" xfId="1371" xr:uid="{E80122B6-6E53-4A60-AF4B-C03BF2C19C7E}"/>
    <cellStyle name="Comma 2 3 2 4 3 2 2" xfId="12655" xr:uid="{43C9C002-20D6-41B2-9B33-BE493A8ECB83}"/>
    <cellStyle name="Comma 2 3 2 4 3 2 3" xfId="14908" xr:uid="{72EB254F-B0AA-4D23-89A4-F9EB3C416DE3}"/>
    <cellStyle name="Comma 2 3 2 4 3 2 4" xfId="17161" xr:uid="{C9AD4221-906A-4B26-9D0B-84821E5B9B35}"/>
    <cellStyle name="Comma 2 3 2 4 3 3" xfId="2497" xr:uid="{B80C04B4-EF23-4B64-955F-114F61A9CDF8}"/>
    <cellStyle name="Comma 2 3 2 4 3 4" xfId="3623" xr:uid="{28D08789-0A3B-46E6-9EC5-68686B02ECA1}"/>
    <cellStyle name="Comma 2 3 2 4 3 5" xfId="4749" xr:uid="{09E658CF-1F6C-4ED2-ABB6-FB25E981448E}"/>
    <cellStyle name="Comma 2 3 2 4 3 6" xfId="5876" xr:uid="{3C0F73EC-B144-4EE8-A97E-0ADF6A9C4320}"/>
    <cellStyle name="Comma 2 3 2 4 3 7" xfId="7003" xr:uid="{001C3612-7C07-440E-9560-82E4EB4BF482}"/>
    <cellStyle name="Comma 2 3 2 4 3 8" xfId="8838" xr:uid="{598763C7-1D70-4908-A86B-99BD3C18DEDD}"/>
    <cellStyle name="Comma 2 3 2 4 3 9" xfId="9975" xr:uid="{4FB1894C-0EFA-468A-9326-F85A51D6CA8A}"/>
    <cellStyle name="Comma 2 3 2 4 4" xfId="1369" xr:uid="{21676EE3-BC42-4817-8EBC-5FC11B3E93ED}"/>
    <cellStyle name="Comma 2 3 2 4 4 2" xfId="12653" xr:uid="{E6320C05-5FC6-4542-A11D-A7E784F3859D}"/>
    <cellStyle name="Comma 2 3 2 4 4 3" xfId="14906" xr:uid="{58B99677-692F-46DE-8369-F30C05663560}"/>
    <cellStyle name="Comma 2 3 2 4 4 4" xfId="17159" xr:uid="{2E7EB1B5-8F2E-44BB-96C0-40589FDB75D2}"/>
    <cellStyle name="Comma 2 3 2 4 5" xfId="2495" xr:uid="{0AB65E6A-BDF4-4A5C-8270-AB580D60D76A}"/>
    <cellStyle name="Comma 2 3 2 4 6" xfId="3621" xr:uid="{3131CD4F-80B6-48DD-A8AB-6B71045B8D9B}"/>
    <cellStyle name="Comma 2 3 2 4 7" xfId="4747" xr:uid="{FE5977A7-802F-4E65-8D44-AE552B5A4AC7}"/>
    <cellStyle name="Comma 2 3 2 4 8" xfId="5874" xr:uid="{EAFBD821-7325-4771-8BFB-9B70C6D9F19D}"/>
    <cellStyle name="Comma 2 3 2 4 9" xfId="7001" xr:uid="{619C0B1B-6880-42FF-9A97-4731E8D34296}"/>
    <cellStyle name="Comma 2 3 2 5" xfId="235" xr:uid="{F91A1DE8-2599-4508-859E-5B0C2350E4CF}"/>
    <cellStyle name="Comma 2 3 2 5 10" xfId="11101" xr:uid="{70FFE2AB-86FB-4A98-A757-0F65DE8ECC63}"/>
    <cellStyle name="Comma 2 3 2 5 11" xfId="11529" xr:uid="{78E4B634-9087-4C66-9897-67247791B019}"/>
    <cellStyle name="Comma 2 3 2 5 12" xfId="13782" xr:uid="{67F9F9E5-F2E0-4EA2-83AE-AC884810C0E2}"/>
    <cellStyle name="Comma 2 3 2 5 13" xfId="16035" xr:uid="{12F0F141-49DE-4748-A96D-B0784D7AF9F4}"/>
    <cellStyle name="Comma 2 3 2 5 2" xfId="1372" xr:uid="{5C24FCEB-A527-4D9E-B458-6391FBC1FCD0}"/>
    <cellStyle name="Comma 2 3 2 5 2 2" xfId="12656" xr:uid="{A59BA696-9A6E-4F6C-9383-D81CC1C05BF5}"/>
    <cellStyle name="Comma 2 3 2 5 2 3" xfId="14909" xr:uid="{A4D4A700-8654-4927-B227-9916DCBE42D0}"/>
    <cellStyle name="Comma 2 3 2 5 2 4" xfId="17162" xr:uid="{F684CF6B-F98D-448F-8511-C2E22B218E97}"/>
    <cellStyle name="Comma 2 3 2 5 3" xfId="2498" xr:uid="{4ECF87F9-AD64-4037-AFD2-CB5098B5B684}"/>
    <cellStyle name="Comma 2 3 2 5 4" xfId="3624" xr:uid="{05B78C91-F7E7-447D-AFF5-D2785B5BAC53}"/>
    <cellStyle name="Comma 2 3 2 5 5" xfId="4750" xr:uid="{9A756FF4-95CB-4BCC-A856-A0D12A6C08AE}"/>
    <cellStyle name="Comma 2 3 2 5 6" xfId="5877" xr:uid="{37E7A25B-1C58-480C-9834-D927E57CBA29}"/>
    <cellStyle name="Comma 2 3 2 5 7" xfId="7004" xr:uid="{F34143AE-A1EF-4B06-ACC3-4FC7BE1D0CB6}"/>
    <cellStyle name="Comma 2 3 2 5 8" xfId="8837" xr:uid="{7810EE52-BEBE-4ABC-9347-F79BC0F48863}"/>
    <cellStyle name="Comma 2 3 2 5 9" xfId="9974" xr:uid="{1FEB7DE7-4087-4C00-A5C3-A98F00B26F82}"/>
    <cellStyle name="Comma 2 3 2 6" xfId="236" xr:uid="{2A44ABE8-6E1B-4599-80DE-A1586F0BEFF5}"/>
    <cellStyle name="Comma 2 3 2 6 10" xfId="11100" xr:uid="{CEF46096-2A4E-4F1B-9721-CAC536BFA7F8}"/>
    <cellStyle name="Comma 2 3 2 6 11" xfId="11530" xr:uid="{1656C63F-4238-4CD6-9DD1-EE9F9DAE0542}"/>
    <cellStyle name="Comma 2 3 2 6 12" xfId="13783" xr:uid="{1A63B0D4-34B1-4760-8653-7EA9781E9904}"/>
    <cellStyle name="Comma 2 3 2 6 13" xfId="16036" xr:uid="{2D136FFC-41C6-42A0-8250-7DC75857F357}"/>
    <cellStyle name="Comma 2 3 2 6 2" xfId="1373" xr:uid="{1EFD0B28-EFFD-4C81-BADA-6E3A39D5DEB9}"/>
    <cellStyle name="Comma 2 3 2 6 2 2" xfId="12657" xr:uid="{031BFBE0-9276-44B8-8CDD-44013970C59C}"/>
    <cellStyle name="Comma 2 3 2 6 2 3" xfId="14910" xr:uid="{1BBB6CF5-8413-4646-9FEF-F55865765960}"/>
    <cellStyle name="Comma 2 3 2 6 2 4" xfId="17163" xr:uid="{3DFED280-639D-42A0-8BCB-1D3BFC602CE0}"/>
    <cellStyle name="Comma 2 3 2 6 3" xfId="2499" xr:uid="{10A7A6CB-195D-4E1D-A2E5-8A6504ECB5D3}"/>
    <cellStyle name="Comma 2 3 2 6 4" xfId="3625" xr:uid="{9219294B-9A4A-4715-B20A-A9EC758E79FB}"/>
    <cellStyle name="Comma 2 3 2 6 5" xfId="4751" xr:uid="{8C4B0ECB-BFF9-4C58-9CFF-8FA7B67895D2}"/>
    <cellStyle name="Comma 2 3 2 6 6" xfId="5878" xr:uid="{5FDC8DF6-F93F-4A89-AF8A-8DC90D043934}"/>
    <cellStyle name="Comma 2 3 2 6 7" xfId="7005" xr:uid="{BE65904B-84F8-49BE-A9F7-E48A17BCF0B0}"/>
    <cellStyle name="Comma 2 3 2 6 8" xfId="8836" xr:uid="{72F7CE72-0473-4C49-B7EF-9D53A289830B}"/>
    <cellStyle name="Comma 2 3 2 6 9" xfId="9973" xr:uid="{D9B47AC4-C05D-4320-BF66-722D640AD14D}"/>
    <cellStyle name="Comma 2 3 2 7" xfId="1350" xr:uid="{3B34C485-E26D-4778-A548-76104A18D882}"/>
    <cellStyle name="Comma 2 3 2 7 2" xfId="12634" xr:uid="{8AEF3216-536F-4194-9457-6B8823B523F8}"/>
    <cellStyle name="Comma 2 3 2 7 3" xfId="14887" xr:uid="{33DD9F12-85E9-4263-AEFA-F3746A57520B}"/>
    <cellStyle name="Comma 2 3 2 7 4" xfId="17140" xr:uid="{832A8E3D-22E9-400C-BD70-0CBE55A62038}"/>
    <cellStyle name="Comma 2 3 2 8" xfId="2476" xr:uid="{E7993285-5FB3-4A92-8A98-186D3B84BA96}"/>
    <cellStyle name="Comma 2 3 2 9" xfId="3602" xr:uid="{8BD2E2A0-5D59-48CE-937A-C7BC37BD2334}"/>
    <cellStyle name="Comma 2 3 20" xfId="16012" xr:uid="{2EEE9F47-5CC5-478E-AD11-BA613C630C7B}"/>
    <cellStyle name="Comma 2 3 3" xfId="237" xr:uid="{6BF6845E-5CEE-4FAB-B618-D35415504CDD}"/>
    <cellStyle name="Comma 2 3 3 10" xfId="5879" xr:uid="{46E7F6F3-91CD-477A-A5BA-30C7B49B1CAD}"/>
    <cellStyle name="Comma 2 3 3 11" xfId="7006" xr:uid="{5155D5F1-A885-4907-9B5D-4F1325848FC5}"/>
    <cellStyle name="Comma 2 3 3 12" xfId="8835" xr:uid="{70C97430-FF82-436C-A5DB-6296753F8BDB}"/>
    <cellStyle name="Comma 2 3 3 13" xfId="9972" xr:uid="{4966A972-262D-4AE2-B6D2-65B3710489AE}"/>
    <cellStyle name="Comma 2 3 3 14" xfId="11099" xr:uid="{94B9334F-106D-4377-B490-7155C4824B2B}"/>
    <cellStyle name="Comma 2 3 3 15" xfId="11531" xr:uid="{5485BBAA-E107-4FE6-84A3-125FC5843427}"/>
    <cellStyle name="Comma 2 3 3 16" xfId="13784" xr:uid="{A2B0CA92-B7AD-4220-BE22-622E80FD52F5}"/>
    <cellStyle name="Comma 2 3 3 17" xfId="16037" xr:uid="{8A47B4CE-C26A-4BB5-8B0D-F64F8DFE704F}"/>
    <cellStyle name="Comma 2 3 3 2" xfId="238" xr:uid="{F3C1E17A-C87C-4D97-8E4C-D5FE43C9B28B}"/>
    <cellStyle name="Comma 2 3 3 2 10" xfId="7007" xr:uid="{45B59AB4-271C-450F-8020-4D227BC968C4}"/>
    <cellStyle name="Comma 2 3 3 2 11" xfId="8834" xr:uid="{597A63B8-37EC-46C7-97F8-77202A776D81}"/>
    <cellStyle name="Comma 2 3 3 2 12" xfId="9971" xr:uid="{E759EE32-7FEA-4F1B-A87E-423CF47835BC}"/>
    <cellStyle name="Comma 2 3 3 2 13" xfId="11098" xr:uid="{7157686A-6D6C-4D1C-ACED-10BD4452126F}"/>
    <cellStyle name="Comma 2 3 3 2 14" xfId="11532" xr:uid="{DBFED375-E905-4211-B426-0087F418CE85}"/>
    <cellStyle name="Comma 2 3 3 2 15" xfId="13785" xr:uid="{8A1BFFE1-C369-464E-A0DD-B80C0C44F22B}"/>
    <cellStyle name="Comma 2 3 3 2 16" xfId="16038" xr:uid="{0512AB53-A6CB-4DC2-9B52-92E81941C3E5}"/>
    <cellStyle name="Comma 2 3 3 2 2" xfId="239" xr:uid="{50D7FB4A-B289-49B3-97B5-91E12391349D}"/>
    <cellStyle name="Comma 2 3 3 2 2 10" xfId="8833" xr:uid="{C396627F-B996-4DDE-A577-7307287082A5}"/>
    <cellStyle name="Comma 2 3 3 2 2 11" xfId="9970" xr:uid="{3073C937-08A4-427C-90F6-05BD227D8C7C}"/>
    <cellStyle name="Comma 2 3 3 2 2 12" xfId="11097" xr:uid="{94436F4F-A1FC-4832-A633-0771017FBF89}"/>
    <cellStyle name="Comma 2 3 3 2 2 13" xfId="11533" xr:uid="{714DBF2F-C375-4942-8DD4-0EFAD8F125E8}"/>
    <cellStyle name="Comma 2 3 3 2 2 14" xfId="13786" xr:uid="{C89E252A-9F21-4955-954E-010D9B27307D}"/>
    <cellStyle name="Comma 2 3 3 2 2 15" xfId="16039" xr:uid="{8BFD6628-74DC-4062-9CC5-8B276A99D534}"/>
    <cellStyle name="Comma 2 3 3 2 2 2" xfId="240" xr:uid="{0BF6DEE4-4FE2-47AB-AB83-D3B5FEF87DDD}"/>
    <cellStyle name="Comma 2 3 3 2 2 2 10" xfId="11096" xr:uid="{6523EEE2-C1F6-4EC4-A3B1-9983EE2D8F4E}"/>
    <cellStyle name="Comma 2 3 3 2 2 2 11" xfId="11534" xr:uid="{7B984D82-18AC-4FFC-8446-CC9AEDC9B88A}"/>
    <cellStyle name="Comma 2 3 3 2 2 2 12" xfId="13787" xr:uid="{7DF69A01-99C9-46D4-80A9-9112B612C508}"/>
    <cellStyle name="Comma 2 3 3 2 2 2 13" xfId="16040" xr:uid="{CD60F1BF-EE9A-40BE-93A1-88638FAD5278}"/>
    <cellStyle name="Comma 2 3 3 2 2 2 2" xfId="1377" xr:uid="{D347B73D-A947-4269-A4AF-97FE77FA16DB}"/>
    <cellStyle name="Comma 2 3 3 2 2 2 2 2" xfId="12661" xr:uid="{79A89068-4A19-4B1D-A7CA-A8BF215B5780}"/>
    <cellStyle name="Comma 2 3 3 2 2 2 2 3" xfId="14914" xr:uid="{98B10F0D-F706-4A7C-BD52-1C1173CFC66F}"/>
    <cellStyle name="Comma 2 3 3 2 2 2 2 4" xfId="17167" xr:uid="{218E5D80-EB23-483D-B4CE-53F3438DC1D4}"/>
    <cellStyle name="Comma 2 3 3 2 2 2 3" xfId="2503" xr:uid="{17981AC1-CEFC-4B26-9F1D-0FEF589B44F7}"/>
    <cellStyle name="Comma 2 3 3 2 2 2 4" xfId="3629" xr:uid="{6E01576B-A799-4156-8CD6-8A514A643ACF}"/>
    <cellStyle name="Comma 2 3 3 2 2 2 5" xfId="4755" xr:uid="{83E69CA1-AA46-497E-AE73-E075CB2C43A5}"/>
    <cellStyle name="Comma 2 3 3 2 2 2 6" xfId="5882" xr:uid="{AC1D8B67-88C0-4961-91D0-89EDC5AB44BF}"/>
    <cellStyle name="Comma 2 3 3 2 2 2 7" xfId="7009" xr:uid="{79D063EB-98DC-4AC4-B8C2-C67A6DFFEDC5}"/>
    <cellStyle name="Comma 2 3 3 2 2 2 8" xfId="8832" xr:uid="{98AA25C5-A64E-458B-B3B6-621B9781CFBD}"/>
    <cellStyle name="Comma 2 3 3 2 2 2 9" xfId="9969" xr:uid="{EEF2DBAB-AD28-47EE-A339-55ED098575AC}"/>
    <cellStyle name="Comma 2 3 3 2 2 3" xfId="241" xr:uid="{26FF987D-B5BE-41E9-BA5D-527C8848D0E5}"/>
    <cellStyle name="Comma 2 3 3 2 2 3 10" xfId="11095" xr:uid="{F0DE2176-1B18-480C-8E84-FBB73A3F4CB4}"/>
    <cellStyle name="Comma 2 3 3 2 2 3 11" xfId="11535" xr:uid="{61F58A74-6F36-49BE-B13F-ABC548DBD73F}"/>
    <cellStyle name="Comma 2 3 3 2 2 3 12" xfId="13788" xr:uid="{93C73322-C5CF-403A-8DD5-EC887F155888}"/>
    <cellStyle name="Comma 2 3 3 2 2 3 13" xfId="16041" xr:uid="{B1723437-F530-4799-AA75-DB0044B65EA9}"/>
    <cellStyle name="Comma 2 3 3 2 2 3 2" xfId="1378" xr:uid="{4DC616E5-C454-4EA9-83DC-5D1E68A9C9FA}"/>
    <cellStyle name="Comma 2 3 3 2 2 3 2 2" xfId="12662" xr:uid="{4E5C9528-6EA2-4F0A-8FFB-23767A2B132F}"/>
    <cellStyle name="Comma 2 3 3 2 2 3 2 3" xfId="14915" xr:uid="{77DEC8F4-B81C-4D99-B8D7-E8EEA211E136}"/>
    <cellStyle name="Comma 2 3 3 2 2 3 2 4" xfId="17168" xr:uid="{C850C4BE-F8B4-4A37-B7A1-E6CB9138413B}"/>
    <cellStyle name="Comma 2 3 3 2 2 3 3" xfId="2504" xr:uid="{F35F57B2-A61C-479E-934C-544CF08E1B9E}"/>
    <cellStyle name="Comma 2 3 3 2 2 3 4" xfId="3630" xr:uid="{501C15BD-A222-4F4F-B5F3-71F54446CF8A}"/>
    <cellStyle name="Comma 2 3 3 2 2 3 5" xfId="4756" xr:uid="{69281C5E-C524-48BE-AE22-64D993F468D1}"/>
    <cellStyle name="Comma 2 3 3 2 2 3 6" xfId="5883" xr:uid="{EDFC53DE-43D5-4698-A1D9-5AA346290D9B}"/>
    <cellStyle name="Comma 2 3 3 2 2 3 7" xfId="7010" xr:uid="{66EC4D51-0B40-439F-9966-97F641D8B46E}"/>
    <cellStyle name="Comma 2 3 3 2 2 3 8" xfId="8831" xr:uid="{45475541-0832-4456-A3C9-BB197DD1B123}"/>
    <cellStyle name="Comma 2 3 3 2 2 3 9" xfId="9968" xr:uid="{DF89DAE3-9A52-4B41-A09A-FE32D985697F}"/>
    <cellStyle name="Comma 2 3 3 2 2 4" xfId="1376" xr:uid="{1D6922C3-99EC-4FC1-AA93-22902FBB5814}"/>
    <cellStyle name="Comma 2 3 3 2 2 4 2" xfId="12660" xr:uid="{EFE08CA0-F5F7-4820-A86F-30480C4265A2}"/>
    <cellStyle name="Comma 2 3 3 2 2 4 3" xfId="14913" xr:uid="{1A83C74C-2FA8-4F9A-956B-8B5B4C9D686B}"/>
    <cellStyle name="Comma 2 3 3 2 2 4 4" xfId="17166" xr:uid="{DE8F880F-CC32-48C8-ACF6-9E85E8A71719}"/>
    <cellStyle name="Comma 2 3 3 2 2 5" xfId="2502" xr:uid="{B9A9F12A-C341-4BB1-B07A-BA2C3D123784}"/>
    <cellStyle name="Comma 2 3 3 2 2 6" xfId="3628" xr:uid="{74DFE869-EEF6-4FF8-9730-B2DEBDF62CB2}"/>
    <cellStyle name="Comma 2 3 3 2 2 7" xfId="4754" xr:uid="{502E4DFE-9E29-4571-81A2-ABCB85CAD5E7}"/>
    <cellStyle name="Comma 2 3 3 2 2 8" xfId="5881" xr:uid="{A01C0098-E3A3-443E-A61A-28B5103A3269}"/>
    <cellStyle name="Comma 2 3 3 2 2 9" xfId="7008" xr:uid="{AF62B773-D9B4-45F9-9224-055891514910}"/>
    <cellStyle name="Comma 2 3 3 2 3" xfId="242" xr:uid="{1BC3A407-64A3-40CE-B989-E7DFDDA1292F}"/>
    <cellStyle name="Comma 2 3 3 2 3 10" xfId="11094" xr:uid="{F061D3E9-BB61-4CB9-A9D0-9BB04EF845F5}"/>
    <cellStyle name="Comma 2 3 3 2 3 11" xfId="11536" xr:uid="{D24DB3DE-7C5A-49E1-8BFC-24C78C987AE6}"/>
    <cellStyle name="Comma 2 3 3 2 3 12" xfId="13789" xr:uid="{8D599512-814A-4F1F-9B4A-8AA0B66074A8}"/>
    <cellStyle name="Comma 2 3 3 2 3 13" xfId="16042" xr:uid="{3A7421FC-95CD-4BDD-8B7A-9BDA1B3CD6C8}"/>
    <cellStyle name="Comma 2 3 3 2 3 2" xfId="1379" xr:uid="{F217835A-4FD6-47DD-9268-607BE6FDA36F}"/>
    <cellStyle name="Comma 2 3 3 2 3 2 2" xfId="12663" xr:uid="{D00A557C-857A-4636-A103-4536CDEC4701}"/>
    <cellStyle name="Comma 2 3 3 2 3 2 3" xfId="14916" xr:uid="{5DF44C1F-B426-4F35-9CF5-91937762AD13}"/>
    <cellStyle name="Comma 2 3 3 2 3 2 4" xfId="17169" xr:uid="{B6FD5B66-16CC-47E2-BFC1-5BFAD1F7D30E}"/>
    <cellStyle name="Comma 2 3 3 2 3 3" xfId="2505" xr:uid="{CF3E1520-0C7C-4D11-B9FE-ECF39C69D617}"/>
    <cellStyle name="Comma 2 3 3 2 3 4" xfId="3631" xr:uid="{1E17DA6C-BE8F-4E72-8427-6B90483AC723}"/>
    <cellStyle name="Comma 2 3 3 2 3 5" xfId="4757" xr:uid="{43ED2485-ECBD-4C26-9F2A-C1E0F2564165}"/>
    <cellStyle name="Comma 2 3 3 2 3 6" xfId="5884" xr:uid="{CA0197FD-D1A7-45CD-9D6B-5315C0E8B79C}"/>
    <cellStyle name="Comma 2 3 3 2 3 7" xfId="7011" xr:uid="{8DB70221-2E94-4885-86FD-49768A41117B}"/>
    <cellStyle name="Comma 2 3 3 2 3 8" xfId="8830" xr:uid="{52B07763-FB8F-4EC4-BFFC-B51D85B7B2E7}"/>
    <cellStyle name="Comma 2 3 3 2 3 9" xfId="9967" xr:uid="{E7BD318C-6945-4167-B6C2-3109910EECCA}"/>
    <cellStyle name="Comma 2 3 3 2 4" xfId="243" xr:uid="{BF327438-F000-4966-90BC-4013D1E8DC7D}"/>
    <cellStyle name="Comma 2 3 3 2 4 10" xfId="11093" xr:uid="{CD1060BF-6DE1-45AE-BE12-8D56E1FEF69E}"/>
    <cellStyle name="Comma 2 3 3 2 4 11" xfId="11537" xr:uid="{17616AB7-16EF-46E9-8566-1B04D7ABE15F}"/>
    <cellStyle name="Comma 2 3 3 2 4 12" xfId="13790" xr:uid="{E87A236E-0293-404F-BE16-44D46FEF2903}"/>
    <cellStyle name="Comma 2 3 3 2 4 13" xfId="16043" xr:uid="{5C7F723D-4B24-466B-97F7-0D99089B6EC1}"/>
    <cellStyle name="Comma 2 3 3 2 4 2" xfId="1380" xr:uid="{D9E6BEBE-8F36-4CDD-BB8C-F9A74B1F0CDD}"/>
    <cellStyle name="Comma 2 3 3 2 4 2 2" xfId="12664" xr:uid="{0D493280-1AD8-4F70-B2EB-406F62B8282E}"/>
    <cellStyle name="Comma 2 3 3 2 4 2 3" xfId="14917" xr:uid="{14C70323-A804-4D6E-83A6-608D6AC11DB0}"/>
    <cellStyle name="Comma 2 3 3 2 4 2 4" xfId="17170" xr:uid="{1B484DA0-D763-45AB-8980-1F599D90C017}"/>
    <cellStyle name="Comma 2 3 3 2 4 3" xfId="2506" xr:uid="{FC745776-8ED7-4923-994D-4E1A30E4CDAD}"/>
    <cellStyle name="Comma 2 3 3 2 4 4" xfId="3632" xr:uid="{01299F3E-2FF4-4AE0-B953-FE0438BB645D}"/>
    <cellStyle name="Comma 2 3 3 2 4 5" xfId="4758" xr:uid="{9CB47124-CE6F-4AAE-B711-27EDBABCA23D}"/>
    <cellStyle name="Comma 2 3 3 2 4 6" xfId="5885" xr:uid="{16816118-45C0-48CB-8268-AAF4D8F7EF30}"/>
    <cellStyle name="Comma 2 3 3 2 4 7" xfId="7012" xr:uid="{18595125-B1E0-4A55-977A-BC1DDAFB7160}"/>
    <cellStyle name="Comma 2 3 3 2 4 8" xfId="8829" xr:uid="{88A5F0B0-50D0-4415-9E4B-D8603382BFDD}"/>
    <cellStyle name="Comma 2 3 3 2 4 9" xfId="9966" xr:uid="{43FA0688-E005-40BA-9A80-759326AD6DEF}"/>
    <cellStyle name="Comma 2 3 3 2 5" xfId="1375" xr:uid="{54F1488C-823E-409E-8992-A22256781C66}"/>
    <cellStyle name="Comma 2 3 3 2 5 2" xfId="12659" xr:uid="{7EBA1FF0-4A77-4B65-B6EB-E1DA76D257A9}"/>
    <cellStyle name="Comma 2 3 3 2 5 3" xfId="14912" xr:uid="{7114586C-2F42-4772-B4B3-ADF6C2222841}"/>
    <cellStyle name="Comma 2 3 3 2 5 4" xfId="17165" xr:uid="{D5C94623-1ED7-4658-8B88-A73FACE4DE23}"/>
    <cellStyle name="Comma 2 3 3 2 6" xfId="2501" xr:uid="{A15941BC-3BB8-4075-9EEB-ABC9E54A95D2}"/>
    <cellStyle name="Comma 2 3 3 2 7" xfId="3627" xr:uid="{BD794688-F938-4A6A-9EFA-BC6EA8C36FCE}"/>
    <cellStyle name="Comma 2 3 3 2 8" xfId="4753" xr:uid="{B08C50DB-6982-4BA3-975A-15073F34F06A}"/>
    <cellStyle name="Comma 2 3 3 2 9" xfId="5880" xr:uid="{E0243F17-2F4E-408A-955B-8F0651B048A0}"/>
    <cellStyle name="Comma 2 3 3 3" xfId="244" xr:uid="{03AE82AA-60C4-4D9A-B827-ADBEC17F1B93}"/>
    <cellStyle name="Comma 2 3 3 3 10" xfId="8828" xr:uid="{9145E5E5-2165-4315-9599-C1C384D9D228}"/>
    <cellStyle name="Comma 2 3 3 3 11" xfId="9965" xr:uid="{21DD682E-5E39-4D1B-9861-F9A5D27F20EE}"/>
    <cellStyle name="Comma 2 3 3 3 12" xfId="11092" xr:uid="{7D2BC3C8-CADA-4FF2-ACF6-E4B74B9A3323}"/>
    <cellStyle name="Comma 2 3 3 3 13" xfId="11538" xr:uid="{D58F3345-3652-4584-A20D-DD6E197A65C5}"/>
    <cellStyle name="Comma 2 3 3 3 14" xfId="13791" xr:uid="{F80DED35-FBCF-40E0-B353-66FA47DA8D66}"/>
    <cellStyle name="Comma 2 3 3 3 15" xfId="16044" xr:uid="{800C2C10-5689-48F4-BE09-CDC8AFBAA1E4}"/>
    <cellStyle name="Comma 2 3 3 3 2" xfId="245" xr:uid="{3E3507B0-36D6-4E7A-9EFB-75C26ABC917D}"/>
    <cellStyle name="Comma 2 3 3 3 2 10" xfId="11091" xr:uid="{408DD9D8-AFF1-46EE-87E8-BBF23D588CB4}"/>
    <cellStyle name="Comma 2 3 3 3 2 11" xfId="11539" xr:uid="{2C3B720A-EEF9-4202-AF21-E3562461A9A5}"/>
    <cellStyle name="Comma 2 3 3 3 2 12" xfId="13792" xr:uid="{1ADD3B5B-C1F3-470A-B160-7DD8BC34295D}"/>
    <cellStyle name="Comma 2 3 3 3 2 13" xfId="16045" xr:uid="{00AC0C3A-D173-4B54-A1E9-CEB69A4CBAB2}"/>
    <cellStyle name="Comma 2 3 3 3 2 2" xfId="1382" xr:uid="{70F0D84A-AA1C-4AFA-AB40-884259C64CD3}"/>
    <cellStyle name="Comma 2 3 3 3 2 2 2" xfId="12666" xr:uid="{9CB07DCD-9F32-455D-8F92-2E97395D5B2E}"/>
    <cellStyle name="Comma 2 3 3 3 2 2 3" xfId="14919" xr:uid="{FA3D9B89-669D-4E16-940B-F0DA6B7AD5E5}"/>
    <cellStyle name="Comma 2 3 3 3 2 2 4" xfId="17172" xr:uid="{1737EA0C-07D7-4DDE-983A-EE9B1AD3C7D7}"/>
    <cellStyle name="Comma 2 3 3 3 2 3" xfId="2508" xr:uid="{43045BE0-7212-4548-A4BD-D09D8516489A}"/>
    <cellStyle name="Comma 2 3 3 3 2 4" xfId="3634" xr:uid="{7C1D9E1E-2ADD-4C58-A1A9-6048906B0410}"/>
    <cellStyle name="Comma 2 3 3 3 2 5" xfId="4760" xr:uid="{8E0EA9B0-5F34-47E2-9C27-FD0909118E55}"/>
    <cellStyle name="Comma 2 3 3 3 2 6" xfId="5887" xr:uid="{CE5E66A6-E72A-44D5-858C-6C3AEB77D8E2}"/>
    <cellStyle name="Comma 2 3 3 3 2 7" xfId="7014" xr:uid="{48DDB48C-58D1-4F33-AB7D-788A40BF9BB9}"/>
    <cellStyle name="Comma 2 3 3 3 2 8" xfId="8827" xr:uid="{24432805-E87F-4EC8-9789-5BD7F2C873A2}"/>
    <cellStyle name="Comma 2 3 3 3 2 9" xfId="9964" xr:uid="{4185B956-C107-445D-A4FF-486A87144EF5}"/>
    <cellStyle name="Comma 2 3 3 3 3" xfId="246" xr:uid="{93399673-6A31-4A25-8D98-63DDBB75A6CA}"/>
    <cellStyle name="Comma 2 3 3 3 3 10" xfId="11090" xr:uid="{796B1CA9-D780-435E-859B-2F3E8C80BCE1}"/>
    <cellStyle name="Comma 2 3 3 3 3 11" xfId="11540" xr:uid="{93DB08D6-A8AB-422C-AF63-97456A0C9E75}"/>
    <cellStyle name="Comma 2 3 3 3 3 12" xfId="13793" xr:uid="{8DE6EB0A-B73E-4CC0-BE27-1502D8EA8F9E}"/>
    <cellStyle name="Comma 2 3 3 3 3 13" xfId="16046" xr:uid="{A842EC74-1885-49EF-90BD-028AF30CE6B2}"/>
    <cellStyle name="Comma 2 3 3 3 3 2" xfId="1383" xr:uid="{0C96926B-A600-4C3A-8B0D-CDE7298797DF}"/>
    <cellStyle name="Comma 2 3 3 3 3 2 2" xfId="12667" xr:uid="{43A4CBE5-7010-4802-AFC5-EF5342544D66}"/>
    <cellStyle name="Comma 2 3 3 3 3 2 3" xfId="14920" xr:uid="{974CD7B6-6B89-48EB-A633-5FA4A6950BBF}"/>
    <cellStyle name="Comma 2 3 3 3 3 2 4" xfId="17173" xr:uid="{119F85F8-D34A-432B-BD9A-1AA1D41BF10C}"/>
    <cellStyle name="Comma 2 3 3 3 3 3" xfId="2509" xr:uid="{CD03C394-057D-4A5E-AE26-C35F5C1EB1F5}"/>
    <cellStyle name="Comma 2 3 3 3 3 4" xfId="3635" xr:uid="{08F62DC9-2CB6-4949-83AB-28A3B72919C1}"/>
    <cellStyle name="Comma 2 3 3 3 3 5" xfId="4761" xr:uid="{CABEC5AB-1A6A-4EBC-837B-4B630326F109}"/>
    <cellStyle name="Comma 2 3 3 3 3 6" xfId="5888" xr:uid="{02CE28BC-E7F4-4D37-BE29-FB0F1DDBC7FE}"/>
    <cellStyle name="Comma 2 3 3 3 3 7" xfId="7015" xr:uid="{5F2C250D-EA9E-4D9C-8696-EB6B65EF2E85}"/>
    <cellStyle name="Comma 2 3 3 3 3 8" xfId="8826" xr:uid="{F8CF3A54-25B8-4F93-AAE1-CBC1CAE5E844}"/>
    <cellStyle name="Comma 2 3 3 3 3 9" xfId="9963" xr:uid="{107CC2F7-F4DB-47A6-A5C9-FDB37B9705DB}"/>
    <cellStyle name="Comma 2 3 3 3 4" xfId="1381" xr:uid="{74F50295-1263-46BF-8D55-EEE05313346D}"/>
    <cellStyle name="Comma 2 3 3 3 4 2" xfId="12665" xr:uid="{1A9660B8-D2AE-405D-AA25-03AB19ED66B5}"/>
    <cellStyle name="Comma 2 3 3 3 4 3" xfId="14918" xr:uid="{D669A92A-E6FC-4BA6-8630-E26044C76248}"/>
    <cellStyle name="Comma 2 3 3 3 4 4" xfId="17171" xr:uid="{4D256A25-0F56-4AC2-AA27-ECA840F7B2F3}"/>
    <cellStyle name="Comma 2 3 3 3 5" xfId="2507" xr:uid="{C225F3DB-71E3-49BB-87CA-9919672C2F5A}"/>
    <cellStyle name="Comma 2 3 3 3 6" xfId="3633" xr:uid="{6C39AB2F-1F0C-40FE-898A-9A4D574FC912}"/>
    <cellStyle name="Comma 2 3 3 3 7" xfId="4759" xr:uid="{E16264DD-33E4-4E93-A7FD-3C49BBE013C3}"/>
    <cellStyle name="Comma 2 3 3 3 8" xfId="5886" xr:uid="{55C980E6-A85E-491E-BE83-8FB0978FD552}"/>
    <cellStyle name="Comma 2 3 3 3 9" xfId="7013" xr:uid="{98287456-67B1-4592-BBE8-54C1F9C70AF3}"/>
    <cellStyle name="Comma 2 3 3 4" xfId="247" xr:uid="{57BC8062-119C-4777-9674-CB41F372255F}"/>
    <cellStyle name="Comma 2 3 3 4 10" xfId="11089" xr:uid="{1261A546-7F12-49B6-9DAC-4B81D6170A7A}"/>
    <cellStyle name="Comma 2 3 3 4 11" xfId="11541" xr:uid="{FCD8EC63-143D-4374-956D-C5A04D01B87B}"/>
    <cellStyle name="Comma 2 3 3 4 12" xfId="13794" xr:uid="{0E6CB6E2-90F8-47D9-83CC-AAFD90078A58}"/>
    <cellStyle name="Comma 2 3 3 4 13" xfId="16047" xr:uid="{3320D0FD-D0C0-4F09-8AE2-5441A541BDBC}"/>
    <cellStyle name="Comma 2 3 3 4 2" xfId="1384" xr:uid="{5A026D3E-7507-4C45-961B-A20711A8A04B}"/>
    <cellStyle name="Comma 2 3 3 4 2 2" xfId="12668" xr:uid="{4E0A6EA9-BB09-46F2-A27A-05D4020B9820}"/>
    <cellStyle name="Comma 2 3 3 4 2 3" xfId="14921" xr:uid="{231E36EE-F1D8-4529-A2E8-CB014D1C6D6E}"/>
    <cellStyle name="Comma 2 3 3 4 2 4" xfId="17174" xr:uid="{04338434-C6DB-4435-8ED0-BFB2398C9AF2}"/>
    <cellStyle name="Comma 2 3 3 4 3" xfId="2510" xr:uid="{59A5FBC6-5470-4C44-9D57-44F8E0EAB149}"/>
    <cellStyle name="Comma 2 3 3 4 4" xfId="3636" xr:uid="{1CFBF63A-1BDE-4662-B58A-7F98107A746D}"/>
    <cellStyle name="Comma 2 3 3 4 5" xfId="4762" xr:uid="{D9371BC4-1C8D-4AE0-803F-540CB2628C0A}"/>
    <cellStyle name="Comma 2 3 3 4 6" xfId="5889" xr:uid="{0A751AF3-AA38-4996-8227-908D309BE94C}"/>
    <cellStyle name="Comma 2 3 3 4 7" xfId="7016" xr:uid="{3D4FFBB9-CAD7-47D9-BD0E-0F648C6BACB6}"/>
    <cellStyle name="Comma 2 3 3 4 8" xfId="8825" xr:uid="{6D7DAE2B-072A-4B8E-B85E-57D279AC28DF}"/>
    <cellStyle name="Comma 2 3 3 4 9" xfId="9962" xr:uid="{B3BCD667-9E7B-4C7D-8E94-C3F5A4F95B7A}"/>
    <cellStyle name="Comma 2 3 3 5" xfId="248" xr:uid="{3C2C62A5-7322-49E2-9DDA-D0E948D21B89}"/>
    <cellStyle name="Comma 2 3 3 5 10" xfId="11088" xr:uid="{CC629730-BFE0-4C85-8DD8-6C7B8EBBC14D}"/>
    <cellStyle name="Comma 2 3 3 5 11" xfId="11542" xr:uid="{5CEE1A51-821F-4B86-90EE-AD50E7F38AEA}"/>
    <cellStyle name="Comma 2 3 3 5 12" xfId="13795" xr:uid="{EB2A81D1-9756-4473-944A-6AD28160D719}"/>
    <cellStyle name="Comma 2 3 3 5 13" xfId="16048" xr:uid="{90FB31A2-F32F-4943-BA15-B3B506BF37FD}"/>
    <cellStyle name="Comma 2 3 3 5 2" xfId="1385" xr:uid="{FC2D3718-0AAD-403C-B2BD-C8AC3EFEB0AA}"/>
    <cellStyle name="Comma 2 3 3 5 2 2" xfId="12669" xr:uid="{94EA3BF7-5C8E-47AB-8B01-643AC9B3ACBD}"/>
    <cellStyle name="Comma 2 3 3 5 2 3" xfId="14922" xr:uid="{4F9A40B6-2C21-48E1-B989-E53E72999604}"/>
    <cellStyle name="Comma 2 3 3 5 2 4" xfId="17175" xr:uid="{84BC2F74-54E1-4832-A887-BDD6582D92B9}"/>
    <cellStyle name="Comma 2 3 3 5 3" xfId="2511" xr:uid="{DD3F34C7-663C-4EE2-AAC7-DC98B85704DD}"/>
    <cellStyle name="Comma 2 3 3 5 4" xfId="3637" xr:uid="{8975442D-269A-4E0E-B129-F5D83F8F9910}"/>
    <cellStyle name="Comma 2 3 3 5 5" xfId="4763" xr:uid="{6A7E6A17-2A1E-442C-BED6-721953761680}"/>
    <cellStyle name="Comma 2 3 3 5 6" xfId="5890" xr:uid="{F2C08560-27B4-480F-A012-C108E12889FC}"/>
    <cellStyle name="Comma 2 3 3 5 7" xfId="7017" xr:uid="{455CCF46-2735-4960-BA6D-9C4A4AA1DD98}"/>
    <cellStyle name="Comma 2 3 3 5 8" xfId="8824" xr:uid="{729D03C5-AD9D-40EE-B901-73A7F8905A96}"/>
    <cellStyle name="Comma 2 3 3 5 9" xfId="9961" xr:uid="{C2C1BA12-BD2A-43C5-8DD6-0E7EDDBC0B9C}"/>
    <cellStyle name="Comma 2 3 3 6" xfId="1374" xr:uid="{C2A507E4-D29A-404D-A498-32B5F08BCD82}"/>
    <cellStyle name="Comma 2 3 3 6 2" xfId="12658" xr:uid="{BB530539-3710-4A9D-A31B-49DBF2B4606B}"/>
    <cellStyle name="Comma 2 3 3 6 3" xfId="14911" xr:uid="{B5689C90-D9CA-4265-84CB-8BE9B7DF569A}"/>
    <cellStyle name="Comma 2 3 3 6 4" xfId="17164" xr:uid="{03175409-89A9-436D-949B-E96A51174510}"/>
    <cellStyle name="Comma 2 3 3 7" xfId="2500" xr:uid="{A2964DAF-1729-4AC7-8F0E-1CB9512265A6}"/>
    <cellStyle name="Comma 2 3 3 8" xfId="3626" xr:uid="{BCD6F0D2-E995-468F-98FE-4E5EACC2EC01}"/>
    <cellStyle name="Comma 2 3 3 9" xfId="4752" xr:uid="{3128B389-21F3-49E2-AD81-E4D46D2D60D3}"/>
    <cellStyle name="Comma 2 3 4" xfId="249" xr:uid="{7CDD4697-AFD3-4ACA-8B7A-62CA0CC28628}"/>
    <cellStyle name="Comma 2 3 4 10" xfId="7018" xr:uid="{C9F34EBD-7D04-4D54-B8A2-577B8DCBB8C7}"/>
    <cellStyle name="Comma 2 3 4 11" xfId="8823" xr:uid="{80FDED5F-B1C0-4487-A1A5-378AF34DFBBC}"/>
    <cellStyle name="Comma 2 3 4 12" xfId="9960" xr:uid="{019F1851-E5E4-4BE1-A3E3-E52473EC4266}"/>
    <cellStyle name="Comma 2 3 4 13" xfId="11087" xr:uid="{82C47ADE-52D3-485C-A266-CA5D153D66F3}"/>
    <cellStyle name="Comma 2 3 4 14" xfId="11543" xr:uid="{A2E55768-7EBA-4B70-9181-A76F1D009FEE}"/>
    <cellStyle name="Comma 2 3 4 15" xfId="13796" xr:uid="{BCCBA58C-16F0-4E13-9C92-F8B1BDF3D2F7}"/>
    <cellStyle name="Comma 2 3 4 16" xfId="16049" xr:uid="{F83681A0-0F3E-4741-8E27-A008D8E43E72}"/>
    <cellStyle name="Comma 2 3 4 2" xfId="250" xr:uid="{7BCEBAAB-DCA0-4147-B86B-480D47C1D246}"/>
    <cellStyle name="Comma 2 3 4 2 10" xfId="8822" xr:uid="{AF8B00BB-CB77-44EA-B10C-54FEE4A82397}"/>
    <cellStyle name="Comma 2 3 4 2 11" xfId="9959" xr:uid="{E39F80D4-83FF-4D55-8621-846B01876476}"/>
    <cellStyle name="Comma 2 3 4 2 12" xfId="11086" xr:uid="{EC0C2562-B0B5-4095-A39D-219DC588CCF7}"/>
    <cellStyle name="Comma 2 3 4 2 13" xfId="11544" xr:uid="{247EBF42-26C7-44BD-8FFF-F57AD106EB33}"/>
    <cellStyle name="Comma 2 3 4 2 14" xfId="13797" xr:uid="{76ED96B7-E9F0-478D-996C-3D1FACDA3ECF}"/>
    <cellStyle name="Comma 2 3 4 2 15" xfId="16050" xr:uid="{13267977-EAC6-4FE2-B4BE-DD01546E8F70}"/>
    <cellStyle name="Comma 2 3 4 2 2" xfId="251" xr:uid="{21912057-A688-484A-882C-835EA6EAC922}"/>
    <cellStyle name="Comma 2 3 4 2 2 10" xfId="11085" xr:uid="{E42094C4-9BE0-4345-B139-95CB902C4004}"/>
    <cellStyle name="Comma 2 3 4 2 2 11" xfId="11545" xr:uid="{A6EF6457-A9DC-480A-B18B-21C554F5A569}"/>
    <cellStyle name="Comma 2 3 4 2 2 12" xfId="13798" xr:uid="{1582FF25-CC7C-43D6-AEAB-876E96F2E8B7}"/>
    <cellStyle name="Comma 2 3 4 2 2 13" xfId="16051" xr:uid="{583D9433-79BB-404E-BD7D-CCD59CDF887F}"/>
    <cellStyle name="Comma 2 3 4 2 2 2" xfId="1388" xr:uid="{19390568-A099-4646-9004-FEED7AAC6389}"/>
    <cellStyle name="Comma 2 3 4 2 2 2 2" xfId="12672" xr:uid="{216D4515-8E1E-4AD4-BEB8-46A4236BC03E}"/>
    <cellStyle name="Comma 2 3 4 2 2 2 3" xfId="14925" xr:uid="{2937212F-8B86-4C26-B62F-D3923A10AF5D}"/>
    <cellStyle name="Comma 2 3 4 2 2 2 4" xfId="17178" xr:uid="{7C307337-7E5C-4AC0-8580-6E8596059105}"/>
    <cellStyle name="Comma 2 3 4 2 2 3" xfId="2514" xr:uid="{2C9860CD-301B-4E8E-B9FA-394BC81AAF3D}"/>
    <cellStyle name="Comma 2 3 4 2 2 4" xfId="3640" xr:uid="{28F89CB8-3CBC-48FC-AAA5-90CA8DA99431}"/>
    <cellStyle name="Comma 2 3 4 2 2 5" xfId="4766" xr:uid="{A45E463F-DEC3-4EBE-9748-57C47CAD1DC9}"/>
    <cellStyle name="Comma 2 3 4 2 2 6" xfId="5893" xr:uid="{7E857D96-6B65-4D08-BFAB-19951780E7EC}"/>
    <cellStyle name="Comma 2 3 4 2 2 7" xfId="7020" xr:uid="{C97EB008-CECE-45E7-97D3-C6C1ACECF137}"/>
    <cellStyle name="Comma 2 3 4 2 2 8" xfId="8821" xr:uid="{9C59455B-B15A-4757-BC94-B48FF5B20CD8}"/>
    <cellStyle name="Comma 2 3 4 2 2 9" xfId="9958" xr:uid="{4DCFF2F4-451C-4065-B5D0-735C4381A578}"/>
    <cellStyle name="Comma 2 3 4 2 3" xfId="252" xr:uid="{4B36ECE5-4CBB-42F1-AE5C-418E6E8A6ADA}"/>
    <cellStyle name="Comma 2 3 4 2 3 10" xfId="11084" xr:uid="{D61229FD-13A4-4E17-BB2C-3C04152997E6}"/>
    <cellStyle name="Comma 2 3 4 2 3 11" xfId="11546" xr:uid="{97AFAF05-381D-4194-9261-A71DA3844615}"/>
    <cellStyle name="Comma 2 3 4 2 3 12" xfId="13799" xr:uid="{D5677CDD-8143-4D24-B21A-989C368C1DD7}"/>
    <cellStyle name="Comma 2 3 4 2 3 13" xfId="16052" xr:uid="{ED250E55-A254-4E03-9F25-2B9C62BE9D81}"/>
    <cellStyle name="Comma 2 3 4 2 3 2" xfId="1389" xr:uid="{B046C9AF-4F7D-4575-88B0-3DBC7971BB05}"/>
    <cellStyle name="Comma 2 3 4 2 3 2 2" xfId="12673" xr:uid="{5C96450E-1E3B-41EA-8E78-7A83A1B4FBB8}"/>
    <cellStyle name="Comma 2 3 4 2 3 2 3" xfId="14926" xr:uid="{2499ECB6-3340-4C16-B8E8-322593003834}"/>
    <cellStyle name="Comma 2 3 4 2 3 2 4" xfId="17179" xr:uid="{C777A1FA-EFC7-4701-8FEC-17C21EF05057}"/>
    <cellStyle name="Comma 2 3 4 2 3 3" xfId="2515" xr:uid="{81F79296-B854-4354-90F2-BC09779598C5}"/>
    <cellStyle name="Comma 2 3 4 2 3 4" xfId="3641" xr:uid="{560DBAED-5EEA-47C6-96EB-748909D44AA1}"/>
    <cellStyle name="Comma 2 3 4 2 3 5" xfId="4767" xr:uid="{A4B37010-E1BC-4AEE-B909-0C485E99F8FD}"/>
    <cellStyle name="Comma 2 3 4 2 3 6" xfId="5894" xr:uid="{BC08F74B-D9E2-43D3-95E1-91BCE030A363}"/>
    <cellStyle name="Comma 2 3 4 2 3 7" xfId="7021" xr:uid="{CA0A130E-4C48-4C49-A6E1-4F94E65492B0}"/>
    <cellStyle name="Comma 2 3 4 2 3 8" xfId="8820" xr:uid="{1E22DEE3-E417-4322-A3EC-93B811C912D8}"/>
    <cellStyle name="Comma 2 3 4 2 3 9" xfId="9957" xr:uid="{15CF84BB-CA04-4CA4-A985-6F21C29C782F}"/>
    <cellStyle name="Comma 2 3 4 2 4" xfId="1387" xr:uid="{8BA64D7B-9FE9-4635-87C1-3F8D342E66C1}"/>
    <cellStyle name="Comma 2 3 4 2 4 2" xfId="12671" xr:uid="{1D4C65D5-7EBA-4915-9616-5488C9732371}"/>
    <cellStyle name="Comma 2 3 4 2 4 3" xfId="14924" xr:uid="{FDBCA493-B18E-4767-8969-25F2FF3F6CA2}"/>
    <cellStyle name="Comma 2 3 4 2 4 4" xfId="17177" xr:uid="{5B9922E7-564E-4A75-95A2-DA9FA897BCDC}"/>
    <cellStyle name="Comma 2 3 4 2 5" xfId="2513" xr:uid="{7983AFE8-2AB0-480E-AA0D-B56B201BA974}"/>
    <cellStyle name="Comma 2 3 4 2 6" xfId="3639" xr:uid="{9458E38C-4719-40A1-9E47-F58FB6829A9A}"/>
    <cellStyle name="Comma 2 3 4 2 7" xfId="4765" xr:uid="{51779E59-8913-4259-A48A-945464C65C54}"/>
    <cellStyle name="Comma 2 3 4 2 8" xfId="5892" xr:uid="{EB7032D9-8E34-45C1-820B-EC6B38D57528}"/>
    <cellStyle name="Comma 2 3 4 2 9" xfId="7019" xr:uid="{21571301-A472-4F68-A26F-6ED320E8ED36}"/>
    <cellStyle name="Comma 2 3 4 3" xfId="253" xr:uid="{0E788C9A-4E0C-46AD-BC35-E4BDBD6D4FB0}"/>
    <cellStyle name="Comma 2 3 4 3 10" xfId="11083" xr:uid="{62BD4C49-ECEB-408F-8094-9106AC189B32}"/>
    <cellStyle name="Comma 2 3 4 3 11" xfId="11547" xr:uid="{BFAC31A5-89A4-427E-B2BA-45678BBF65A4}"/>
    <cellStyle name="Comma 2 3 4 3 12" xfId="13800" xr:uid="{F0149B18-782E-471E-9EE6-0EFD65C1C244}"/>
    <cellStyle name="Comma 2 3 4 3 13" xfId="16053" xr:uid="{CCE55A9D-1D04-4C92-9D3A-F3EBED251907}"/>
    <cellStyle name="Comma 2 3 4 3 2" xfId="1390" xr:uid="{1436A698-6233-4979-A856-6CEA1B15248A}"/>
    <cellStyle name="Comma 2 3 4 3 2 2" xfId="12674" xr:uid="{AE30A916-76FF-4561-9E6E-81702FFAEF14}"/>
    <cellStyle name="Comma 2 3 4 3 2 3" xfId="14927" xr:uid="{6448FFD4-D578-46DB-AF8C-3EE72DE6CAD7}"/>
    <cellStyle name="Comma 2 3 4 3 2 4" xfId="17180" xr:uid="{74A02AD2-F6EA-4D72-A0F3-8C225A8891D7}"/>
    <cellStyle name="Comma 2 3 4 3 3" xfId="2516" xr:uid="{2CD90910-F457-4DE0-AF82-9548C92B6235}"/>
    <cellStyle name="Comma 2 3 4 3 4" xfId="3642" xr:uid="{EC26E040-446C-4ED4-A4BB-435A1D62C989}"/>
    <cellStyle name="Comma 2 3 4 3 5" xfId="4768" xr:uid="{8DC6BF06-8973-4FD7-B9B7-871BFA84A705}"/>
    <cellStyle name="Comma 2 3 4 3 6" xfId="5895" xr:uid="{1B2C6ECA-F975-437C-BCCC-E8EED61C09A7}"/>
    <cellStyle name="Comma 2 3 4 3 7" xfId="7022" xr:uid="{44CC6651-058B-4884-991C-A309149C020B}"/>
    <cellStyle name="Comma 2 3 4 3 8" xfId="8819" xr:uid="{1D726BFB-9904-4C7E-B0C4-80355C43686E}"/>
    <cellStyle name="Comma 2 3 4 3 9" xfId="9956" xr:uid="{3821A470-BE4F-4943-8106-6FAC54FB3E3B}"/>
    <cellStyle name="Comma 2 3 4 4" xfId="254" xr:uid="{A2C04C52-2953-4D28-838F-5FB59A772E54}"/>
    <cellStyle name="Comma 2 3 4 4 10" xfId="11082" xr:uid="{E1F30CDF-C967-4D7E-B1DE-39056ECE01A7}"/>
    <cellStyle name="Comma 2 3 4 4 11" xfId="11548" xr:uid="{362B087F-3F45-41D1-9D5E-27115B3CADA4}"/>
    <cellStyle name="Comma 2 3 4 4 12" xfId="13801" xr:uid="{0E9E0922-0EA8-4882-B99A-6693F11C5CC1}"/>
    <cellStyle name="Comma 2 3 4 4 13" xfId="16054" xr:uid="{3883A287-3BB2-4950-A1FD-EE2A49FF2858}"/>
    <cellStyle name="Comma 2 3 4 4 2" xfId="1391" xr:uid="{735E9CD8-85A3-4D72-AF14-C8DF283B681F}"/>
    <cellStyle name="Comma 2 3 4 4 2 2" xfId="12675" xr:uid="{79276F88-F70E-4564-8E11-784A304ED80A}"/>
    <cellStyle name="Comma 2 3 4 4 2 3" xfId="14928" xr:uid="{20555387-2324-4B59-856D-9FFE671D0582}"/>
    <cellStyle name="Comma 2 3 4 4 2 4" xfId="17181" xr:uid="{F627E21D-60CC-460F-9737-C6AFFC548A8A}"/>
    <cellStyle name="Comma 2 3 4 4 3" xfId="2517" xr:uid="{A269421F-5838-4D5C-8B56-72E1C352A430}"/>
    <cellStyle name="Comma 2 3 4 4 4" xfId="3643" xr:uid="{8A153737-C741-44AC-BA86-730D88CD919D}"/>
    <cellStyle name="Comma 2 3 4 4 5" xfId="4769" xr:uid="{58A54AB9-0563-4F08-9EA5-11347068821A}"/>
    <cellStyle name="Comma 2 3 4 4 6" xfId="5896" xr:uid="{613FD42D-38CA-4662-B6B4-0E50D8912800}"/>
    <cellStyle name="Comma 2 3 4 4 7" xfId="7023" xr:uid="{ADA040F3-FB8E-4B2D-AE56-A19351106F93}"/>
    <cellStyle name="Comma 2 3 4 4 8" xfId="8818" xr:uid="{57D7BDC3-EB90-427D-AB45-F40C410CB718}"/>
    <cellStyle name="Comma 2 3 4 4 9" xfId="9955" xr:uid="{125CEDE0-9B63-4A53-A91D-B18609557987}"/>
    <cellStyle name="Comma 2 3 4 5" xfId="1386" xr:uid="{5A4F3104-2148-4715-AA05-0480A0A6FC50}"/>
    <cellStyle name="Comma 2 3 4 5 2" xfId="12670" xr:uid="{E877779D-CFA0-44EF-8F4C-3B587CA20F0C}"/>
    <cellStyle name="Comma 2 3 4 5 3" xfId="14923" xr:uid="{9C98C3A2-4205-4E7C-A451-9A503199D611}"/>
    <cellStyle name="Comma 2 3 4 5 4" xfId="17176" xr:uid="{72465F97-E971-4595-BAE8-C3C950A0E4E2}"/>
    <cellStyle name="Comma 2 3 4 6" xfId="2512" xr:uid="{7D06DB16-418E-4D6A-84A0-B94299301437}"/>
    <cellStyle name="Comma 2 3 4 7" xfId="3638" xr:uid="{32CBE89F-F51A-4727-ACB9-DE3423215547}"/>
    <cellStyle name="Comma 2 3 4 8" xfId="4764" xr:uid="{6208AB0C-0A45-451B-80D5-5FB542C396AD}"/>
    <cellStyle name="Comma 2 3 4 9" xfId="5891" xr:uid="{2AC4DFDF-47C3-4A2E-9F60-206006DF1D88}"/>
    <cellStyle name="Comma 2 3 5" xfId="255" xr:uid="{B7F5B52D-F0FE-4BCB-BFF8-75C9062A997E}"/>
    <cellStyle name="Comma 2 3 5 10" xfId="8817" xr:uid="{719F8DD3-C775-479F-9738-FBF41FDD3ADA}"/>
    <cellStyle name="Comma 2 3 5 11" xfId="9954" xr:uid="{466E95BF-15DF-431F-9667-AB50661249A2}"/>
    <cellStyle name="Comma 2 3 5 12" xfId="11081" xr:uid="{030DE4CE-F0B9-430B-971D-E72E22CFCDAE}"/>
    <cellStyle name="Comma 2 3 5 13" xfId="11549" xr:uid="{B67FA761-3706-4452-BE9D-B53AADC3FDBD}"/>
    <cellStyle name="Comma 2 3 5 14" xfId="13802" xr:uid="{07589E63-642B-4299-BDE0-95F4876BEB51}"/>
    <cellStyle name="Comma 2 3 5 15" xfId="16055" xr:uid="{EB649D5D-2DB4-4BA5-AD4D-73C13D92B96B}"/>
    <cellStyle name="Comma 2 3 5 2" xfId="256" xr:uid="{83BCA0CC-69AD-4900-A3A8-B700D3F07DA7}"/>
    <cellStyle name="Comma 2 3 5 2 10" xfId="11080" xr:uid="{8572EF7D-044C-4720-B5FF-38BA37EF1814}"/>
    <cellStyle name="Comma 2 3 5 2 11" xfId="11550" xr:uid="{25E1BD03-C3D0-4931-9682-C1E72F4B22E1}"/>
    <cellStyle name="Comma 2 3 5 2 12" xfId="13803" xr:uid="{31CB011D-23C9-4521-BFE0-256E00E99637}"/>
    <cellStyle name="Comma 2 3 5 2 13" xfId="16056" xr:uid="{56E4597B-07B3-4CF8-A4B2-0FD2566082D0}"/>
    <cellStyle name="Comma 2 3 5 2 2" xfId="1393" xr:uid="{6C572C3D-F20B-446A-AC5A-1E8C13A94752}"/>
    <cellStyle name="Comma 2 3 5 2 2 2" xfId="12677" xr:uid="{C55EAF56-9D96-4706-8A6F-01E5B353CA7C}"/>
    <cellStyle name="Comma 2 3 5 2 2 3" xfId="14930" xr:uid="{87EB2CCE-097C-4A00-8B2B-7A636AE7B0D4}"/>
    <cellStyle name="Comma 2 3 5 2 2 4" xfId="17183" xr:uid="{7A896623-E05A-494C-9A2E-1E218E23ABB9}"/>
    <cellStyle name="Comma 2 3 5 2 3" xfId="2519" xr:uid="{E9BAEADF-5277-4BA9-9411-FF7A0E6708BC}"/>
    <cellStyle name="Comma 2 3 5 2 4" xfId="3645" xr:uid="{8C6A6A14-A55A-4EDA-A94B-D24833A4F36D}"/>
    <cellStyle name="Comma 2 3 5 2 5" xfId="4771" xr:uid="{72BD5386-3B0B-4294-9CB9-FE6A8877E5CA}"/>
    <cellStyle name="Comma 2 3 5 2 6" xfId="5898" xr:uid="{234F9625-E78F-492E-B19C-82DC483C3A89}"/>
    <cellStyle name="Comma 2 3 5 2 7" xfId="7025" xr:uid="{00580245-461C-4216-964F-C67540CDD552}"/>
    <cellStyle name="Comma 2 3 5 2 8" xfId="8816" xr:uid="{24E75EAA-AAB5-4E94-9BA0-EE86AFC3EA0D}"/>
    <cellStyle name="Comma 2 3 5 2 9" xfId="9953" xr:uid="{92C511D0-CA30-4032-B0CC-5469B195A812}"/>
    <cellStyle name="Comma 2 3 5 3" xfId="257" xr:uid="{13794386-EA10-4FB3-922B-40D2A7F5ED0E}"/>
    <cellStyle name="Comma 2 3 5 3 10" xfId="11079" xr:uid="{3726B93C-460D-4EFD-A2DA-F163616DA897}"/>
    <cellStyle name="Comma 2 3 5 3 11" xfId="11551" xr:uid="{26B134C0-DE83-463F-BA7A-8F6386002F1B}"/>
    <cellStyle name="Comma 2 3 5 3 12" xfId="13804" xr:uid="{0FAE1E3E-FAEF-4DCC-B233-E1BB2D89B4E2}"/>
    <cellStyle name="Comma 2 3 5 3 13" xfId="16057" xr:uid="{DB99596D-F8C6-4FEB-B0EB-129665232864}"/>
    <cellStyle name="Comma 2 3 5 3 2" xfId="1394" xr:uid="{D2F6EAF9-37F4-4A40-9306-FA1BD109C2B3}"/>
    <cellStyle name="Comma 2 3 5 3 2 2" xfId="12678" xr:uid="{46F51056-04EC-4CB1-B9E1-E49FF6B76D07}"/>
    <cellStyle name="Comma 2 3 5 3 2 3" xfId="14931" xr:uid="{1DCD9957-0349-4E74-9307-CDF360E1F882}"/>
    <cellStyle name="Comma 2 3 5 3 2 4" xfId="17184" xr:uid="{094792C4-B207-4C8A-B361-321E000E7394}"/>
    <cellStyle name="Comma 2 3 5 3 3" xfId="2520" xr:uid="{369801E3-EEB9-4B9D-8747-DD6491F5F2B5}"/>
    <cellStyle name="Comma 2 3 5 3 4" xfId="3646" xr:uid="{782CFD43-7119-4B1C-897C-56A74F5FCB4E}"/>
    <cellStyle name="Comma 2 3 5 3 5" xfId="4772" xr:uid="{C74E237A-2A2C-403F-84EB-B3A36BFD0369}"/>
    <cellStyle name="Comma 2 3 5 3 6" xfId="5899" xr:uid="{DA5B2449-DC35-44B5-B6FA-27C48C2C1182}"/>
    <cellStyle name="Comma 2 3 5 3 7" xfId="7026" xr:uid="{B4921976-462A-4810-ADA8-A56BCBCDE69C}"/>
    <cellStyle name="Comma 2 3 5 3 8" xfId="8815" xr:uid="{A9BD9A24-D496-4203-98F1-010F7A938B7A}"/>
    <cellStyle name="Comma 2 3 5 3 9" xfId="9952" xr:uid="{C7C61EC5-54CB-4350-B536-AA5EDC9D37DD}"/>
    <cellStyle name="Comma 2 3 5 4" xfId="1392" xr:uid="{940BF855-8C7F-4873-A111-18E1CD6F51A5}"/>
    <cellStyle name="Comma 2 3 5 4 2" xfId="12676" xr:uid="{28358C61-261F-4ECB-91DE-02D6647FC303}"/>
    <cellStyle name="Comma 2 3 5 4 3" xfId="14929" xr:uid="{35996D6A-8FC5-475E-8585-664F0383220B}"/>
    <cellStyle name="Comma 2 3 5 4 4" xfId="17182" xr:uid="{E794D30E-E0BE-403C-BAA7-33AC1B7E728A}"/>
    <cellStyle name="Comma 2 3 5 5" xfId="2518" xr:uid="{FAFAC6FD-E1B5-4D5E-82F1-18489E7C6CF0}"/>
    <cellStyle name="Comma 2 3 5 6" xfId="3644" xr:uid="{9E62A700-5D31-4A03-90CE-5DA25E238139}"/>
    <cellStyle name="Comma 2 3 5 7" xfId="4770" xr:uid="{21759271-0BF7-414E-A2CE-40D9FDF26943}"/>
    <cellStyle name="Comma 2 3 5 8" xfId="5897" xr:uid="{F643F46B-6644-41FD-9825-5C016FAFF387}"/>
    <cellStyle name="Comma 2 3 5 9" xfId="7024" xr:uid="{630F6E0D-6AC0-4397-B47C-BBBBE681DD85}"/>
    <cellStyle name="Comma 2 3 6" xfId="258" xr:uid="{E33F16A6-1D0C-4D99-99BE-CC170214B272}"/>
    <cellStyle name="Comma 2 3 6 10" xfId="11078" xr:uid="{89C6E4B7-6412-4A46-8740-FEEE53EF27C8}"/>
    <cellStyle name="Comma 2 3 6 11" xfId="11552" xr:uid="{3404B2DC-8FBE-4BFA-86D1-A43F2B610781}"/>
    <cellStyle name="Comma 2 3 6 12" xfId="13805" xr:uid="{78CF56A8-6B79-4B4D-BE7A-867850C5CCBE}"/>
    <cellStyle name="Comma 2 3 6 13" xfId="16058" xr:uid="{F7CEDA14-790A-4C5A-8A49-BE57B57023C6}"/>
    <cellStyle name="Comma 2 3 6 2" xfId="1395" xr:uid="{4EB2ECF6-AE4B-4B21-943E-B05E1E498782}"/>
    <cellStyle name="Comma 2 3 6 2 2" xfId="12679" xr:uid="{BD8C627F-5D71-4566-9BB6-1824231FD7D3}"/>
    <cellStyle name="Comma 2 3 6 2 3" xfId="14932" xr:uid="{57887AE7-5BC9-4631-A576-F66DCE349804}"/>
    <cellStyle name="Comma 2 3 6 2 4" xfId="17185" xr:uid="{9ABC17AA-DE85-4E61-986E-D81CBCF9C590}"/>
    <cellStyle name="Comma 2 3 6 3" xfId="2521" xr:uid="{B0490975-F5B0-4430-81E9-805BAE4BBDCC}"/>
    <cellStyle name="Comma 2 3 6 4" xfId="3647" xr:uid="{09E36710-F5EC-4606-895D-43946C1EF24F}"/>
    <cellStyle name="Comma 2 3 6 5" xfId="4773" xr:uid="{701A3E50-95B8-4C34-B30B-066A48C22B72}"/>
    <cellStyle name="Comma 2 3 6 6" xfId="5900" xr:uid="{C46803E2-801F-4DA9-8DEE-678E1F4CB77C}"/>
    <cellStyle name="Comma 2 3 6 7" xfId="7027" xr:uid="{07D10E9F-FA49-4808-ACC4-7E410D3D7115}"/>
    <cellStyle name="Comma 2 3 6 8" xfId="8814" xr:uid="{02317A87-7D8F-45D7-B1B6-13CBEF0569A1}"/>
    <cellStyle name="Comma 2 3 6 9" xfId="9951" xr:uid="{2B001FBA-4631-41C5-9B15-B92C77627BE8}"/>
    <cellStyle name="Comma 2 3 7" xfId="259" xr:uid="{C34692B9-0CBA-4BB2-A289-A41B00B2B595}"/>
    <cellStyle name="Comma 2 3 7 10" xfId="11077" xr:uid="{BC010D83-4F5C-418C-B6EB-347390CF8477}"/>
    <cellStyle name="Comma 2 3 7 11" xfId="11553" xr:uid="{C9541789-F46C-440B-A233-CDF280A6BF89}"/>
    <cellStyle name="Comma 2 3 7 12" xfId="13806" xr:uid="{F89B8555-0A00-4259-9E29-0DE3E55F378B}"/>
    <cellStyle name="Comma 2 3 7 13" xfId="16059" xr:uid="{6327AE2B-7878-4924-B02D-92827EDCFA0E}"/>
    <cellStyle name="Comma 2 3 7 2" xfId="1396" xr:uid="{C2A15381-0B7D-419E-8543-6B477A2E3A34}"/>
    <cellStyle name="Comma 2 3 7 2 2" xfId="12680" xr:uid="{00A7CA8A-C231-4E33-9ECD-2167C1B54323}"/>
    <cellStyle name="Comma 2 3 7 2 3" xfId="14933" xr:uid="{8402F98C-8A9F-43CD-8683-7417A08B4A8C}"/>
    <cellStyle name="Comma 2 3 7 2 4" xfId="17186" xr:uid="{35FBB53F-E922-4FF2-9EC9-2356691B0B81}"/>
    <cellStyle name="Comma 2 3 7 3" xfId="2522" xr:uid="{44CA524D-75B7-4296-9E04-6513CD8EA8EC}"/>
    <cellStyle name="Comma 2 3 7 4" xfId="3648" xr:uid="{60B4271B-FF51-4C96-8FD6-7E8D47511F0D}"/>
    <cellStyle name="Comma 2 3 7 5" xfId="4774" xr:uid="{45193E74-0E5E-4199-B618-B3654DE1A9BD}"/>
    <cellStyle name="Comma 2 3 7 6" xfId="5901" xr:uid="{F6CCD75E-0567-43B4-BC47-4B518016B11B}"/>
    <cellStyle name="Comma 2 3 7 7" xfId="7028" xr:uid="{7031DDB1-CAB2-4F51-BD4F-9F77888D9EB4}"/>
    <cellStyle name="Comma 2 3 7 8" xfId="8813" xr:uid="{A8F4256C-F01A-43CC-8E31-3ED6C5751905}"/>
    <cellStyle name="Comma 2 3 7 9" xfId="9950" xr:uid="{6726D481-600E-40C1-8DB4-B89D7E6DAF7F}"/>
    <cellStyle name="Comma 2 3 8" xfId="212" xr:uid="{042A9472-D91B-4093-8B30-72C5D8D8A0BB}"/>
    <cellStyle name="Comma 2 3 8 2" xfId="12633" xr:uid="{714B6D5F-8319-42AA-9314-8DE6B708A4B0}"/>
    <cellStyle name="Comma 2 3 8 3" xfId="14886" xr:uid="{8D1247C1-2B14-4BF9-A930-2428A5B4173F}"/>
    <cellStyle name="Comma 2 3 8 4" xfId="17139" xr:uid="{8AE10C92-23A6-44E3-9D24-056077D34029}"/>
    <cellStyle name="Comma 2 3 9" xfId="1349" xr:uid="{B2DD332B-FA1C-401C-AF7F-2021C7D11423}"/>
    <cellStyle name="Comma 2 4" xfId="260" xr:uid="{DE416310-B0E8-4769-B3ED-689A1EDA05FF}"/>
    <cellStyle name="Comma 2 4 10" xfId="4775" xr:uid="{9F2ED09C-F47F-422A-8416-FB13A338D668}"/>
    <cellStyle name="Comma 2 4 11" xfId="5902" xr:uid="{D2503062-9301-41B2-8FF0-9EDE1F71BAAE}"/>
    <cellStyle name="Comma 2 4 12" xfId="7029" xr:uid="{4589DFBD-FA70-4326-A2B4-326D4087E3CD}"/>
    <cellStyle name="Comma 2 4 13" xfId="8812" xr:uid="{38BC2D11-8595-4D58-B75F-2565C39C1383}"/>
    <cellStyle name="Comma 2 4 14" xfId="9949" xr:uid="{2B04DF15-9E96-4C2D-8816-1ACC79865022}"/>
    <cellStyle name="Comma 2 4 15" xfId="11076" xr:uid="{229D0FCD-3FF3-45D8-82BE-BF2FC47D618A}"/>
    <cellStyle name="Comma 2 4 16" xfId="11554" xr:uid="{8F0ED9E3-56D2-4CB7-B856-B7452C6FBCE0}"/>
    <cellStyle name="Comma 2 4 17" xfId="13807" xr:uid="{D95BBE3B-1AE1-4194-8DCD-4119F2C28AB8}"/>
    <cellStyle name="Comma 2 4 18" xfId="16060" xr:uid="{FECE722B-A830-44FF-9E3F-87FAAC4C002D}"/>
    <cellStyle name="Comma 2 4 2" xfId="261" xr:uid="{8391D8DB-6533-4D44-8AB2-F76FAB1A8561}"/>
    <cellStyle name="Comma 2 4 2 10" xfId="5903" xr:uid="{CE932C68-9C1F-4448-84B8-D61532A75F84}"/>
    <cellStyle name="Comma 2 4 2 11" xfId="7030" xr:uid="{4B608400-6FC5-43F9-AF74-6BAAFA6FA44F}"/>
    <cellStyle name="Comma 2 4 2 12" xfId="8811" xr:uid="{8B7A1BAC-A5CE-493F-BA5F-595CECD301D1}"/>
    <cellStyle name="Comma 2 4 2 13" xfId="9948" xr:uid="{8A688F6B-F1B0-4E77-AB6B-373B46E10BE4}"/>
    <cellStyle name="Comma 2 4 2 14" xfId="11075" xr:uid="{231FC331-1BEE-4CEA-8CA1-A9B5DF21A88E}"/>
    <cellStyle name="Comma 2 4 2 15" xfId="11555" xr:uid="{4F1B046A-DE57-4A9B-9B57-A015A63EA7CC}"/>
    <cellStyle name="Comma 2 4 2 16" xfId="13808" xr:uid="{05DCBAF0-074C-4127-9087-23471D0E64A0}"/>
    <cellStyle name="Comma 2 4 2 17" xfId="16061" xr:uid="{C0DE6AC9-DA60-4DA9-AA1F-657A3FFC493D}"/>
    <cellStyle name="Comma 2 4 2 2" xfId="262" xr:uid="{B2E0DD4B-4658-4B99-945B-F058659286B7}"/>
    <cellStyle name="Comma 2 4 2 2 10" xfId="7031" xr:uid="{F818E93A-F856-411D-A6D1-127C9F32B526}"/>
    <cellStyle name="Comma 2 4 2 2 11" xfId="8810" xr:uid="{B1A285C1-1002-44A2-89DC-0278C383731E}"/>
    <cellStyle name="Comma 2 4 2 2 12" xfId="9947" xr:uid="{6FA1C285-5BD8-4639-BEEE-0DA99A4B4FDD}"/>
    <cellStyle name="Comma 2 4 2 2 13" xfId="11074" xr:uid="{BA238202-1AFA-4A8C-9C26-582989B17693}"/>
    <cellStyle name="Comma 2 4 2 2 14" xfId="11556" xr:uid="{B0354BFA-B3DD-4787-9C4F-60D026E295DA}"/>
    <cellStyle name="Comma 2 4 2 2 15" xfId="13809" xr:uid="{F914ECAE-652F-4DE5-B8BF-3D79B413020B}"/>
    <cellStyle name="Comma 2 4 2 2 16" xfId="16062" xr:uid="{D13FE1A9-90A2-4BED-B50A-282603357CEF}"/>
    <cellStyle name="Comma 2 4 2 2 2" xfId="263" xr:uid="{919F5F89-656A-418D-961F-38425E36560E}"/>
    <cellStyle name="Comma 2 4 2 2 2 10" xfId="8809" xr:uid="{2948A424-CDEB-4EF3-936A-BDB7C9513FE1}"/>
    <cellStyle name="Comma 2 4 2 2 2 11" xfId="9946" xr:uid="{8E01276C-F6CD-4A8A-B92D-EA5037AE638D}"/>
    <cellStyle name="Comma 2 4 2 2 2 12" xfId="11073" xr:uid="{635F6064-EC94-4811-964B-0ED19C2C8269}"/>
    <cellStyle name="Comma 2 4 2 2 2 13" xfId="11557" xr:uid="{6D7DC287-8987-4A5D-8BEE-12F638105E20}"/>
    <cellStyle name="Comma 2 4 2 2 2 14" xfId="13810" xr:uid="{63AE8A06-FBCD-401D-B6AD-79B92877FD96}"/>
    <cellStyle name="Comma 2 4 2 2 2 15" xfId="16063" xr:uid="{8C16F6EF-8EB1-4CE4-9E43-5FAE10FC3581}"/>
    <cellStyle name="Comma 2 4 2 2 2 2" xfId="264" xr:uid="{A552F134-141E-4918-90E7-ECF44713E049}"/>
    <cellStyle name="Comma 2 4 2 2 2 2 10" xfId="11072" xr:uid="{86148A8C-3526-46A9-BD8B-2C4AF9D0422F}"/>
    <cellStyle name="Comma 2 4 2 2 2 2 11" xfId="11558" xr:uid="{F48AB213-13F1-4271-BEA3-366AE395EA5D}"/>
    <cellStyle name="Comma 2 4 2 2 2 2 12" xfId="13811" xr:uid="{07370E6D-4026-4F53-B416-6E5A86BDC3B6}"/>
    <cellStyle name="Comma 2 4 2 2 2 2 13" xfId="16064" xr:uid="{94F4CF9B-EC3B-48B1-910E-1DCF7D767A3B}"/>
    <cellStyle name="Comma 2 4 2 2 2 2 2" xfId="1401" xr:uid="{09322BED-DCC3-4A18-BE58-EE497AD49B65}"/>
    <cellStyle name="Comma 2 4 2 2 2 2 2 2" xfId="12685" xr:uid="{9E33064F-49BF-4D9F-9AEA-D95977A70D07}"/>
    <cellStyle name="Comma 2 4 2 2 2 2 2 3" xfId="14938" xr:uid="{1CE84D04-14F6-4578-8049-CD64AE17D849}"/>
    <cellStyle name="Comma 2 4 2 2 2 2 2 4" xfId="17191" xr:uid="{3DC9673E-462D-4047-B72E-554A29DA80F5}"/>
    <cellStyle name="Comma 2 4 2 2 2 2 3" xfId="2527" xr:uid="{5F9733D4-9C02-4C11-9D23-083B61056005}"/>
    <cellStyle name="Comma 2 4 2 2 2 2 4" xfId="3653" xr:uid="{88D6ABA2-8A5C-4DC1-A3BC-36566F47897C}"/>
    <cellStyle name="Comma 2 4 2 2 2 2 5" xfId="4779" xr:uid="{5E514470-D058-4347-A671-C94CEDACBEC6}"/>
    <cellStyle name="Comma 2 4 2 2 2 2 6" xfId="5906" xr:uid="{E2241912-3A1B-4FC6-BF5C-D603DE219994}"/>
    <cellStyle name="Comma 2 4 2 2 2 2 7" xfId="7033" xr:uid="{0A3AA51D-CD8D-473F-9CFF-6E0573A06575}"/>
    <cellStyle name="Comma 2 4 2 2 2 2 8" xfId="8808" xr:uid="{DBC90913-730A-4C86-9CFB-293A70E45ECF}"/>
    <cellStyle name="Comma 2 4 2 2 2 2 9" xfId="9945" xr:uid="{B5ECE48C-299C-4F22-A432-530FDADEEFBC}"/>
    <cellStyle name="Comma 2 4 2 2 2 3" xfId="265" xr:uid="{C6038A64-9DAE-45AA-9AF6-68C1EF3732BD}"/>
    <cellStyle name="Comma 2 4 2 2 2 3 10" xfId="11071" xr:uid="{8FE567FD-96E2-470A-87D5-0487CA5540B4}"/>
    <cellStyle name="Comma 2 4 2 2 2 3 11" xfId="11559" xr:uid="{BB568BF8-331C-4F06-9814-DE7980EB9BA1}"/>
    <cellStyle name="Comma 2 4 2 2 2 3 12" xfId="13812" xr:uid="{A0631CF4-2835-46E9-BF05-115FC9A7B756}"/>
    <cellStyle name="Comma 2 4 2 2 2 3 13" xfId="16065" xr:uid="{BDD1C2F5-FDBA-48CB-8E6E-308783CCFA06}"/>
    <cellStyle name="Comma 2 4 2 2 2 3 2" xfId="1402" xr:uid="{F483C2F6-EA63-40FF-99DB-900228AB9FFC}"/>
    <cellStyle name="Comma 2 4 2 2 2 3 2 2" xfId="12686" xr:uid="{D5A426FF-541F-4813-A354-3CB28A189AAB}"/>
    <cellStyle name="Comma 2 4 2 2 2 3 2 3" xfId="14939" xr:uid="{C1BDB4CB-6B42-4DF9-B418-A7618A10DF4E}"/>
    <cellStyle name="Comma 2 4 2 2 2 3 2 4" xfId="17192" xr:uid="{66AD4135-4B32-4C75-89B5-E08F47B46FCF}"/>
    <cellStyle name="Comma 2 4 2 2 2 3 3" xfId="2528" xr:uid="{43660435-BDE6-4117-B893-FA411A519D9E}"/>
    <cellStyle name="Comma 2 4 2 2 2 3 4" xfId="3654" xr:uid="{DB4DF067-CC63-45C3-8CDC-DEB3B7F0BF73}"/>
    <cellStyle name="Comma 2 4 2 2 2 3 5" xfId="4780" xr:uid="{4B6432DA-E4A8-4BFF-B6EC-BED6C81D9846}"/>
    <cellStyle name="Comma 2 4 2 2 2 3 6" xfId="5907" xr:uid="{91787991-36F4-407E-A7FC-5EE8A4F50BB7}"/>
    <cellStyle name="Comma 2 4 2 2 2 3 7" xfId="7034" xr:uid="{F35E1F47-5615-4290-A5BD-94C64221D1B3}"/>
    <cellStyle name="Comma 2 4 2 2 2 3 8" xfId="8807" xr:uid="{C2D26DE6-C5DB-4220-82FC-BA937EACC5C7}"/>
    <cellStyle name="Comma 2 4 2 2 2 3 9" xfId="9944" xr:uid="{CE631E62-A6A1-4FBE-BA90-6D17891A189D}"/>
    <cellStyle name="Comma 2 4 2 2 2 4" xfId="1400" xr:uid="{88D4ACBD-AAE2-4B93-9C78-6F99935C66B3}"/>
    <cellStyle name="Comma 2 4 2 2 2 4 2" xfId="12684" xr:uid="{B3FCD381-CB2E-44B1-A05F-7FAC9724C384}"/>
    <cellStyle name="Comma 2 4 2 2 2 4 3" xfId="14937" xr:uid="{56A93968-5E76-4887-8D6C-9F73B2AC4A49}"/>
    <cellStyle name="Comma 2 4 2 2 2 4 4" xfId="17190" xr:uid="{594ADE03-9CA4-453B-9E0D-CF33BD2DA989}"/>
    <cellStyle name="Comma 2 4 2 2 2 5" xfId="2526" xr:uid="{4765B7C7-4CA3-425F-BE94-72FC8A6550D3}"/>
    <cellStyle name="Comma 2 4 2 2 2 6" xfId="3652" xr:uid="{E63862E7-AC66-4FAD-9C81-074811DB2313}"/>
    <cellStyle name="Comma 2 4 2 2 2 7" xfId="4778" xr:uid="{C994BD44-4AF5-4F4A-A3AB-E5E3FCF780B0}"/>
    <cellStyle name="Comma 2 4 2 2 2 8" xfId="5905" xr:uid="{2B2A7EE9-4C0C-4CCA-A13F-53BF0356F510}"/>
    <cellStyle name="Comma 2 4 2 2 2 9" xfId="7032" xr:uid="{A36BA15A-2C46-414B-9CA1-35108976D18B}"/>
    <cellStyle name="Comma 2 4 2 2 3" xfId="266" xr:uid="{DAB1988D-230D-4652-876E-4225E0CA26EA}"/>
    <cellStyle name="Comma 2 4 2 2 3 10" xfId="11070" xr:uid="{E8E59D49-1EC1-4BA7-BBC1-3A6DF43B4B8E}"/>
    <cellStyle name="Comma 2 4 2 2 3 11" xfId="11560" xr:uid="{93088ECD-3911-40E6-8D1C-993BB57B55A8}"/>
    <cellStyle name="Comma 2 4 2 2 3 12" xfId="13813" xr:uid="{9A3B088B-9A50-499D-8529-6F0FD97EA340}"/>
    <cellStyle name="Comma 2 4 2 2 3 13" xfId="16066" xr:uid="{6B1B7E79-970D-47CE-8F0A-7B87DE8A769A}"/>
    <cellStyle name="Comma 2 4 2 2 3 2" xfId="1403" xr:uid="{BFF330D9-582D-455C-83D5-CB439DDFDE53}"/>
    <cellStyle name="Comma 2 4 2 2 3 2 2" xfId="12687" xr:uid="{F89D89C4-F69E-44E2-A6A3-0B385CCC932B}"/>
    <cellStyle name="Comma 2 4 2 2 3 2 3" xfId="14940" xr:uid="{CB668FED-D27B-4E6C-B0FF-BBF23E7BB1FB}"/>
    <cellStyle name="Comma 2 4 2 2 3 2 4" xfId="17193" xr:uid="{4589FDE6-2AFA-49DA-8AC3-77136B74715C}"/>
    <cellStyle name="Comma 2 4 2 2 3 3" xfId="2529" xr:uid="{68085CD8-E8AA-47A0-B6A8-40801FC083B7}"/>
    <cellStyle name="Comma 2 4 2 2 3 4" xfId="3655" xr:uid="{84B95F2F-4820-4FDB-A531-C356AD9E8B6D}"/>
    <cellStyle name="Comma 2 4 2 2 3 5" xfId="4781" xr:uid="{8DECE89A-B1CB-4A23-B6E5-B63870A97AC7}"/>
    <cellStyle name="Comma 2 4 2 2 3 6" xfId="5908" xr:uid="{DD244F68-AA46-41C6-89B6-7754E216B879}"/>
    <cellStyle name="Comma 2 4 2 2 3 7" xfId="7035" xr:uid="{32A3CE5B-6354-4CD2-B2B2-81ECBF390FAB}"/>
    <cellStyle name="Comma 2 4 2 2 3 8" xfId="8806" xr:uid="{26D6E234-E148-432D-9344-BCA59879E7D5}"/>
    <cellStyle name="Comma 2 4 2 2 3 9" xfId="9943" xr:uid="{9D990169-ED1D-471F-BACD-9538C4D5D8E4}"/>
    <cellStyle name="Comma 2 4 2 2 4" xfId="267" xr:uid="{FD34A809-40A1-4BE9-9081-4F4CFB3B71F1}"/>
    <cellStyle name="Comma 2 4 2 2 4 10" xfId="11069" xr:uid="{CC2048A8-3FC1-4575-B173-68FEDA4FF6AE}"/>
    <cellStyle name="Comma 2 4 2 2 4 11" xfId="11561" xr:uid="{E053B341-270D-4855-99D0-A25608464C5A}"/>
    <cellStyle name="Comma 2 4 2 2 4 12" xfId="13814" xr:uid="{FACAA20F-ED81-4DB8-BB30-ACE80A314DA7}"/>
    <cellStyle name="Comma 2 4 2 2 4 13" xfId="16067" xr:uid="{8BC2D92D-9E95-4469-A6ED-2A190BD76B00}"/>
    <cellStyle name="Comma 2 4 2 2 4 2" xfId="1404" xr:uid="{F73642FA-9B35-4735-9FF4-8D18C75F8CA8}"/>
    <cellStyle name="Comma 2 4 2 2 4 2 2" xfId="12688" xr:uid="{B5E87403-971A-4532-AC37-A72B59E55610}"/>
    <cellStyle name="Comma 2 4 2 2 4 2 3" xfId="14941" xr:uid="{8E3D1382-B2B6-4BB1-848E-28E9D385AF44}"/>
    <cellStyle name="Comma 2 4 2 2 4 2 4" xfId="17194" xr:uid="{3F2A8EDE-6C56-4821-A337-ED3CD5F44648}"/>
    <cellStyle name="Comma 2 4 2 2 4 3" xfId="2530" xr:uid="{2B5F7969-9284-44C5-AE57-B4BBF671F99D}"/>
    <cellStyle name="Comma 2 4 2 2 4 4" xfId="3656" xr:uid="{A79C99BD-B97E-4B29-95D2-23F1061B5620}"/>
    <cellStyle name="Comma 2 4 2 2 4 5" xfId="4782" xr:uid="{183C8032-A4B1-475C-B5B1-B62914E6B1A4}"/>
    <cellStyle name="Comma 2 4 2 2 4 6" xfId="5909" xr:uid="{65241A14-103A-48A3-9BED-DFF24C61C5BC}"/>
    <cellStyle name="Comma 2 4 2 2 4 7" xfId="7036" xr:uid="{DBBDECAE-9CA6-4A96-B2D0-E6701E4C54EB}"/>
    <cellStyle name="Comma 2 4 2 2 4 8" xfId="8805" xr:uid="{82651839-EEC5-497F-8D20-7C79E47A11EE}"/>
    <cellStyle name="Comma 2 4 2 2 4 9" xfId="9942" xr:uid="{083AF1AB-DCDB-46D6-8841-D24E898FF404}"/>
    <cellStyle name="Comma 2 4 2 2 5" xfId="1399" xr:uid="{8F3D48C3-6637-4CE8-A5F3-4CF88CFB4E9D}"/>
    <cellStyle name="Comma 2 4 2 2 5 2" xfId="12683" xr:uid="{63F343AA-5D99-4D50-B117-710F19FB8B80}"/>
    <cellStyle name="Comma 2 4 2 2 5 3" xfId="14936" xr:uid="{FAA92A29-B723-4DAE-BD96-34698EC8268B}"/>
    <cellStyle name="Comma 2 4 2 2 5 4" xfId="17189" xr:uid="{8BA7A41B-3312-4781-B5F1-321400905878}"/>
    <cellStyle name="Comma 2 4 2 2 6" xfId="2525" xr:uid="{7079F13C-6448-4C7B-8877-BF931F74D1ED}"/>
    <cellStyle name="Comma 2 4 2 2 7" xfId="3651" xr:uid="{3C3D01F8-703F-4900-9326-16C4D226FC64}"/>
    <cellStyle name="Comma 2 4 2 2 8" xfId="4777" xr:uid="{3266366F-C68B-4AE1-9850-C8402BDAD4D4}"/>
    <cellStyle name="Comma 2 4 2 2 9" xfId="5904" xr:uid="{6F9ED160-B580-4E52-8097-5EEED95D02BF}"/>
    <cellStyle name="Comma 2 4 2 3" xfId="268" xr:uid="{76101131-20E9-4F99-B9B8-E90AEA463E6E}"/>
    <cellStyle name="Comma 2 4 2 3 10" xfId="8804" xr:uid="{C5899459-4EBE-490E-A091-88F6CAEA9CE0}"/>
    <cellStyle name="Comma 2 4 2 3 11" xfId="9941" xr:uid="{7F8A2A11-D5B3-4DD1-B195-5E565895950C}"/>
    <cellStyle name="Comma 2 4 2 3 12" xfId="11068" xr:uid="{969FBEF7-7524-4228-AA83-328918C0E6CA}"/>
    <cellStyle name="Comma 2 4 2 3 13" xfId="11562" xr:uid="{EDBD758D-BFEC-47D8-972C-8D15190E10B6}"/>
    <cellStyle name="Comma 2 4 2 3 14" xfId="13815" xr:uid="{44263217-DB63-463D-BB9E-715DCD485AB1}"/>
    <cellStyle name="Comma 2 4 2 3 15" xfId="16068" xr:uid="{B842DA4D-557A-485C-93B7-C05F44FECED8}"/>
    <cellStyle name="Comma 2 4 2 3 2" xfId="269" xr:uid="{90F1DDA6-96A8-4B91-AD43-E405A5E3C6AB}"/>
    <cellStyle name="Comma 2 4 2 3 2 10" xfId="11067" xr:uid="{3F1ADFAD-B26A-45E1-A38E-6CF8E7CD13B5}"/>
    <cellStyle name="Comma 2 4 2 3 2 11" xfId="11563" xr:uid="{B2F76253-341D-4439-B974-BC977246ACBC}"/>
    <cellStyle name="Comma 2 4 2 3 2 12" xfId="13816" xr:uid="{C57E49C7-CE44-40C6-9E9F-71DC3BE0833C}"/>
    <cellStyle name="Comma 2 4 2 3 2 13" xfId="16069" xr:uid="{5C2C6694-89B8-4790-A1EA-C7DDC8D5BD22}"/>
    <cellStyle name="Comma 2 4 2 3 2 2" xfId="1406" xr:uid="{E2F49722-61E0-42D2-B7AD-0B30F8B86ADA}"/>
    <cellStyle name="Comma 2 4 2 3 2 2 2" xfId="12690" xr:uid="{D10A7F8D-35C4-46CA-B70C-43C81D92639B}"/>
    <cellStyle name="Comma 2 4 2 3 2 2 3" xfId="14943" xr:uid="{9D8E2944-A2CA-49B6-9272-35F7AC1597C3}"/>
    <cellStyle name="Comma 2 4 2 3 2 2 4" xfId="17196" xr:uid="{B323A7F4-3E65-4C51-926A-8166446D83AE}"/>
    <cellStyle name="Comma 2 4 2 3 2 3" xfId="2532" xr:uid="{29DEE7FB-D506-4E97-B09A-B1EE9002D68E}"/>
    <cellStyle name="Comma 2 4 2 3 2 4" xfId="3658" xr:uid="{D299778B-9441-45FD-8DB6-174D5F8D120B}"/>
    <cellStyle name="Comma 2 4 2 3 2 5" xfId="4784" xr:uid="{7B99455E-4991-4B8C-A22B-090608E534C4}"/>
    <cellStyle name="Comma 2 4 2 3 2 6" xfId="5911" xr:uid="{03D08E3A-0B6F-4386-9DA0-1FAE070740C2}"/>
    <cellStyle name="Comma 2 4 2 3 2 7" xfId="7038" xr:uid="{CD16D332-FF89-4933-936A-4320F6EAAAC0}"/>
    <cellStyle name="Comma 2 4 2 3 2 8" xfId="8803" xr:uid="{982EC7BC-211A-4A2A-ADC5-AE1376891D6B}"/>
    <cellStyle name="Comma 2 4 2 3 2 9" xfId="9940" xr:uid="{0950BD52-2653-4B0A-AE11-4FD146F6306E}"/>
    <cellStyle name="Comma 2 4 2 3 3" xfId="270" xr:uid="{A26DEF87-EB39-49BD-B271-92917383BAC8}"/>
    <cellStyle name="Comma 2 4 2 3 3 10" xfId="11066" xr:uid="{6AD68AF6-23C5-4A14-BFE4-D86F3C2855AA}"/>
    <cellStyle name="Comma 2 4 2 3 3 11" xfId="11564" xr:uid="{64230C01-77B4-4675-B25A-6FA8641B15F4}"/>
    <cellStyle name="Comma 2 4 2 3 3 12" xfId="13817" xr:uid="{D6FB8D86-BEA4-4736-9043-0A5E581F54C8}"/>
    <cellStyle name="Comma 2 4 2 3 3 13" xfId="16070" xr:uid="{0C0F4429-BC2E-452F-BB12-66F37ADE568E}"/>
    <cellStyle name="Comma 2 4 2 3 3 2" xfId="1407" xr:uid="{E6244F2E-299D-499A-862D-BEAFDA03956B}"/>
    <cellStyle name="Comma 2 4 2 3 3 2 2" xfId="12691" xr:uid="{C439F9E8-66A3-4DC5-95D2-F4B8C60857D0}"/>
    <cellStyle name="Comma 2 4 2 3 3 2 3" xfId="14944" xr:uid="{E6244AB8-EF54-48BD-9220-AEEDB1605C44}"/>
    <cellStyle name="Comma 2 4 2 3 3 2 4" xfId="17197" xr:uid="{E185AC87-EEC3-474F-84EF-7355F32C1DC2}"/>
    <cellStyle name="Comma 2 4 2 3 3 3" xfId="2533" xr:uid="{A2767A61-D1A1-4667-9E07-BAE30EF99C8A}"/>
    <cellStyle name="Comma 2 4 2 3 3 4" xfId="3659" xr:uid="{27D43461-FEE6-4886-A8D4-1C0945D24A5F}"/>
    <cellStyle name="Comma 2 4 2 3 3 5" xfId="4785" xr:uid="{D01FBD32-1925-49C7-A594-DC1E1D544494}"/>
    <cellStyle name="Comma 2 4 2 3 3 6" xfId="5912" xr:uid="{EFC995D2-0C65-49C7-808A-1F3D7F21375E}"/>
    <cellStyle name="Comma 2 4 2 3 3 7" xfId="7039" xr:uid="{D51830A6-C5A9-41BB-B1A7-779E7DBA05BB}"/>
    <cellStyle name="Comma 2 4 2 3 3 8" xfId="8802" xr:uid="{D59624BD-B011-4ED3-9BA0-D27D5FE7A885}"/>
    <cellStyle name="Comma 2 4 2 3 3 9" xfId="9939" xr:uid="{E643ABF7-4398-41A7-8987-551193B68E4B}"/>
    <cellStyle name="Comma 2 4 2 3 4" xfId="1405" xr:uid="{368A4760-3A4D-41E0-B387-D931018F40DC}"/>
    <cellStyle name="Comma 2 4 2 3 4 2" xfId="12689" xr:uid="{453B9F9B-4293-4A11-9C63-9CE5E1685269}"/>
    <cellStyle name="Comma 2 4 2 3 4 3" xfId="14942" xr:uid="{83DBF96A-FC95-45B4-B827-A097324B5C11}"/>
    <cellStyle name="Comma 2 4 2 3 4 4" xfId="17195" xr:uid="{76200F5D-BA92-4D70-99E9-86BB5CCD12B5}"/>
    <cellStyle name="Comma 2 4 2 3 5" xfId="2531" xr:uid="{ED8C9AB8-7830-4B35-8DA8-712064873ED1}"/>
    <cellStyle name="Comma 2 4 2 3 6" xfId="3657" xr:uid="{80C7586A-5FF0-4A42-A671-010043A85F99}"/>
    <cellStyle name="Comma 2 4 2 3 7" xfId="4783" xr:uid="{62DC8CFD-7177-4295-8EFD-830AA102ACA2}"/>
    <cellStyle name="Comma 2 4 2 3 8" xfId="5910" xr:uid="{FDEAA6E6-6178-4A32-865D-0A8BAB5AEC58}"/>
    <cellStyle name="Comma 2 4 2 3 9" xfId="7037" xr:uid="{7D9CD9BD-E36B-4A1E-B9B7-5F128EB9B775}"/>
    <cellStyle name="Comma 2 4 2 4" xfId="271" xr:uid="{C93E5BFD-E6D6-43A2-AFDF-86D52C03F089}"/>
    <cellStyle name="Comma 2 4 2 4 10" xfId="11065" xr:uid="{1CE7922D-CAFE-4D4E-8A35-16376B112516}"/>
    <cellStyle name="Comma 2 4 2 4 11" xfId="11565" xr:uid="{B6153193-01E4-4EF3-AFB1-B3226C686BD6}"/>
    <cellStyle name="Comma 2 4 2 4 12" xfId="13818" xr:uid="{B8B00B71-1AF3-45C3-B7CD-8F5B69FC7024}"/>
    <cellStyle name="Comma 2 4 2 4 13" xfId="16071" xr:uid="{114F60D0-415A-4745-975B-67E42A6C4976}"/>
    <cellStyle name="Comma 2 4 2 4 2" xfId="1408" xr:uid="{674A2108-29AD-4596-90B8-524442B2F7DA}"/>
    <cellStyle name="Comma 2 4 2 4 2 2" xfId="12692" xr:uid="{6AFC2CCC-3C53-47F0-BDC4-F37D355207D3}"/>
    <cellStyle name="Comma 2 4 2 4 2 3" xfId="14945" xr:uid="{A742641B-862C-4C7B-9C79-184C7EB6539A}"/>
    <cellStyle name="Comma 2 4 2 4 2 4" xfId="17198" xr:uid="{38B774F6-6B50-448D-997C-2EC99C6E31AC}"/>
    <cellStyle name="Comma 2 4 2 4 3" xfId="2534" xr:uid="{2A5385CC-1C9D-4F29-A0D0-09C74B4E9A21}"/>
    <cellStyle name="Comma 2 4 2 4 4" xfId="3660" xr:uid="{5052B573-23C3-400C-8295-C5E4FA0F09AF}"/>
    <cellStyle name="Comma 2 4 2 4 5" xfId="4786" xr:uid="{629B194A-5C56-4F4C-BD1F-755CE501A972}"/>
    <cellStyle name="Comma 2 4 2 4 6" xfId="5913" xr:uid="{FF582F4F-5621-49C1-B40A-C912AF15BA96}"/>
    <cellStyle name="Comma 2 4 2 4 7" xfId="7040" xr:uid="{2A7123BE-4A98-48CE-A229-4F659795774E}"/>
    <cellStyle name="Comma 2 4 2 4 8" xfId="8801" xr:uid="{776A36AE-388D-4203-A155-B9CA1AEDB038}"/>
    <cellStyle name="Comma 2 4 2 4 9" xfId="9938" xr:uid="{89B63BD7-277C-49CF-9CFA-39EED3CCDD38}"/>
    <cellStyle name="Comma 2 4 2 5" xfId="272" xr:uid="{8F4F3BD9-5704-4224-884B-1C5773C58BC2}"/>
    <cellStyle name="Comma 2 4 2 5 10" xfId="11064" xr:uid="{0F17D2FB-3F97-4814-81BC-3ED963C1749B}"/>
    <cellStyle name="Comma 2 4 2 5 11" xfId="11566" xr:uid="{987B1D1E-9020-4B55-926E-EDC6032A54DD}"/>
    <cellStyle name="Comma 2 4 2 5 12" xfId="13819" xr:uid="{195F8CA5-A587-4F8C-8718-4C87E546ECD3}"/>
    <cellStyle name="Comma 2 4 2 5 13" xfId="16072" xr:uid="{7B27758F-C2D2-498D-B7EF-16BDB79A8574}"/>
    <cellStyle name="Comma 2 4 2 5 2" xfId="1409" xr:uid="{F455B791-5C5E-42A3-A7AE-0719699237E5}"/>
    <cellStyle name="Comma 2 4 2 5 2 2" xfId="12693" xr:uid="{CB12C3BC-DE56-41F0-AC4D-1522052DE632}"/>
    <cellStyle name="Comma 2 4 2 5 2 3" xfId="14946" xr:uid="{D9AA5619-CB5D-489E-B816-A9C257EB698A}"/>
    <cellStyle name="Comma 2 4 2 5 2 4" xfId="17199" xr:uid="{E1C3C2C3-FB46-4DF3-9F11-E47F8328D736}"/>
    <cellStyle name="Comma 2 4 2 5 3" xfId="2535" xr:uid="{E818FC97-E19A-46B0-B32A-5925D6FC60B3}"/>
    <cellStyle name="Comma 2 4 2 5 4" xfId="3661" xr:uid="{FFDA25DE-FB42-458B-9919-71AE62677821}"/>
    <cellStyle name="Comma 2 4 2 5 5" xfId="4787" xr:uid="{00EA54F9-1374-4FB6-AA36-E0AFC55F1130}"/>
    <cellStyle name="Comma 2 4 2 5 6" xfId="5914" xr:uid="{19EA3995-5E6D-4D23-99A1-4EFA5A608F41}"/>
    <cellStyle name="Comma 2 4 2 5 7" xfId="7041" xr:uid="{A291B329-0B13-40FC-8145-055838C52915}"/>
    <cellStyle name="Comma 2 4 2 5 8" xfId="8800" xr:uid="{C6ED1AF8-0C08-4DF7-9378-E4A9314D92BB}"/>
    <cellStyle name="Comma 2 4 2 5 9" xfId="9937" xr:uid="{1D3CA19B-CA8A-4284-9654-F00632E7D40E}"/>
    <cellStyle name="Comma 2 4 2 6" xfId="1398" xr:uid="{560323F8-1ACD-4B55-ABC2-E95814758A5E}"/>
    <cellStyle name="Comma 2 4 2 6 2" xfId="12682" xr:uid="{4DE1A29F-E742-41D2-B54A-4E3827D8A4C9}"/>
    <cellStyle name="Comma 2 4 2 6 3" xfId="14935" xr:uid="{768E5642-5535-44CC-BA16-B19C62112947}"/>
    <cellStyle name="Comma 2 4 2 6 4" xfId="17188" xr:uid="{1DB5CF3C-358A-4F96-A572-2BABDAE43245}"/>
    <cellStyle name="Comma 2 4 2 7" xfId="2524" xr:uid="{D6BF6F97-C34F-4CE8-A929-7D1858749E9E}"/>
    <cellStyle name="Comma 2 4 2 8" xfId="3650" xr:uid="{49D06098-4A30-40E2-A5D4-46FC04DBBD7A}"/>
    <cellStyle name="Comma 2 4 2 9" xfId="4776" xr:uid="{56BBF141-FE64-404D-910D-0E40370BE59F}"/>
    <cellStyle name="Comma 2 4 3" xfId="273" xr:uid="{D9CE55BD-835C-43B3-B068-89B50AB5FF11}"/>
    <cellStyle name="Comma 2 4 3 10" xfId="7042" xr:uid="{A5DBCED9-F0D6-4347-9CFE-5D78DE52923B}"/>
    <cellStyle name="Comma 2 4 3 11" xfId="8799" xr:uid="{26A51561-47EE-4089-A927-00A10D5BA9F6}"/>
    <cellStyle name="Comma 2 4 3 12" xfId="9936" xr:uid="{60ED112B-C4CE-4F41-AB1E-B22F68E6ACDD}"/>
    <cellStyle name="Comma 2 4 3 13" xfId="11063" xr:uid="{335864FC-75F6-4688-9E46-456C63F5D92C}"/>
    <cellStyle name="Comma 2 4 3 14" xfId="11567" xr:uid="{66705662-4D06-459D-BB41-5707307C4898}"/>
    <cellStyle name="Comma 2 4 3 15" xfId="13820" xr:uid="{46B82317-3695-42C8-97D3-A2BA477403FC}"/>
    <cellStyle name="Comma 2 4 3 16" xfId="16073" xr:uid="{161E29CA-3157-47A5-8CF9-0D9F0AC79D0E}"/>
    <cellStyle name="Comma 2 4 3 2" xfId="274" xr:uid="{84356F56-6E36-49CB-9CCB-F024202C77CE}"/>
    <cellStyle name="Comma 2 4 3 2 10" xfId="8798" xr:uid="{AA47EA5B-6C72-4B2A-A51A-7EDBBFE1C3B9}"/>
    <cellStyle name="Comma 2 4 3 2 11" xfId="9935" xr:uid="{1F9B9645-CD2A-46A1-87CF-96E46A616250}"/>
    <cellStyle name="Comma 2 4 3 2 12" xfId="11062" xr:uid="{14C7D726-20B5-403B-829C-36970D119D09}"/>
    <cellStyle name="Comma 2 4 3 2 13" xfId="11568" xr:uid="{25AB74E1-0507-4689-AF93-FBA4DCD03879}"/>
    <cellStyle name="Comma 2 4 3 2 14" xfId="13821" xr:uid="{0F5D0DDD-2D37-47BC-AE01-E306C0425275}"/>
    <cellStyle name="Comma 2 4 3 2 15" xfId="16074" xr:uid="{1E791E79-029A-4E88-B087-793E38CD425B}"/>
    <cellStyle name="Comma 2 4 3 2 2" xfId="275" xr:uid="{2998DDAC-4663-4D81-81BD-55866E737ED4}"/>
    <cellStyle name="Comma 2 4 3 2 2 10" xfId="11061" xr:uid="{FDC7D397-FB40-422B-8F2F-BDBFA29EAB3A}"/>
    <cellStyle name="Comma 2 4 3 2 2 11" xfId="11569" xr:uid="{976AE8AE-B368-4003-83B4-49E1A3EC4F9D}"/>
    <cellStyle name="Comma 2 4 3 2 2 12" xfId="13822" xr:uid="{EEF4637E-1EF5-456D-877A-52BD601AB390}"/>
    <cellStyle name="Comma 2 4 3 2 2 13" xfId="16075" xr:uid="{C51008C6-01A0-44D2-84CF-9A0C74E77897}"/>
    <cellStyle name="Comma 2 4 3 2 2 2" xfId="1412" xr:uid="{99DCD33F-9541-4F79-BF1F-75B74E05AB45}"/>
    <cellStyle name="Comma 2 4 3 2 2 2 2" xfId="12696" xr:uid="{377E9F5E-42D6-47E6-9B62-CF25B0AA3AB5}"/>
    <cellStyle name="Comma 2 4 3 2 2 2 3" xfId="14949" xr:uid="{B180DA03-DCD4-4511-B2E9-BD91DAE546BB}"/>
    <cellStyle name="Comma 2 4 3 2 2 2 4" xfId="17202" xr:uid="{C5E6A7C2-C1C1-4C3A-940C-F7F50A22BB66}"/>
    <cellStyle name="Comma 2 4 3 2 2 3" xfId="2538" xr:uid="{E566D442-7360-436D-8257-CEA103F7FD0C}"/>
    <cellStyle name="Comma 2 4 3 2 2 4" xfId="3664" xr:uid="{C470A059-F5D7-44DD-8337-9B2D78AE7236}"/>
    <cellStyle name="Comma 2 4 3 2 2 5" xfId="4790" xr:uid="{5B8FD148-ADCB-4FAE-9F55-F56EECE01730}"/>
    <cellStyle name="Comma 2 4 3 2 2 6" xfId="5917" xr:uid="{9483CAF5-5128-4017-AF68-4193FC5500E5}"/>
    <cellStyle name="Comma 2 4 3 2 2 7" xfId="7044" xr:uid="{422A3117-971E-45E9-9E7A-307B53CDA361}"/>
    <cellStyle name="Comma 2 4 3 2 2 8" xfId="8797" xr:uid="{0485DFB5-A9B0-44AD-A20C-3B7AAC806520}"/>
    <cellStyle name="Comma 2 4 3 2 2 9" xfId="9934" xr:uid="{8BF1E822-81D7-4649-992B-75F1B227B577}"/>
    <cellStyle name="Comma 2 4 3 2 3" xfId="276" xr:uid="{7C12C214-3513-431F-81B4-6B912BC8F539}"/>
    <cellStyle name="Comma 2 4 3 2 3 10" xfId="11060" xr:uid="{4A131AA4-70A6-452C-857C-22E698168CDD}"/>
    <cellStyle name="Comma 2 4 3 2 3 11" xfId="11570" xr:uid="{03D39BB0-A615-4C7A-A04B-21AAFF076B4E}"/>
    <cellStyle name="Comma 2 4 3 2 3 12" xfId="13823" xr:uid="{C0AEAC56-C9FE-4DEF-A483-C4B11E77C42C}"/>
    <cellStyle name="Comma 2 4 3 2 3 13" xfId="16076" xr:uid="{0ECB38DA-F207-4B2B-B4DF-6204A04FD8C8}"/>
    <cellStyle name="Comma 2 4 3 2 3 2" xfId="1413" xr:uid="{E8AF4E1B-E5CB-4E71-B8BE-128F298805E7}"/>
    <cellStyle name="Comma 2 4 3 2 3 2 2" xfId="12697" xr:uid="{28543A41-A6B9-45EF-BA70-5B53004F2B60}"/>
    <cellStyle name="Comma 2 4 3 2 3 2 3" xfId="14950" xr:uid="{B038C600-D965-4E9F-BBD4-9F7AC3CD71C4}"/>
    <cellStyle name="Comma 2 4 3 2 3 2 4" xfId="17203" xr:uid="{AD3D4330-7201-45DC-BC7C-1F3F9234265D}"/>
    <cellStyle name="Comma 2 4 3 2 3 3" xfId="2539" xr:uid="{85585A6E-AF5A-41ED-8B05-1C131C1A39F6}"/>
    <cellStyle name="Comma 2 4 3 2 3 4" xfId="3665" xr:uid="{F9AFCC41-2004-4C29-A740-FB3E020EB098}"/>
    <cellStyle name="Comma 2 4 3 2 3 5" xfId="4791" xr:uid="{AFBAB472-9D9F-4A27-8A2D-D65E1B07BFB5}"/>
    <cellStyle name="Comma 2 4 3 2 3 6" xfId="5918" xr:uid="{41D0DAFF-6A31-4D14-AD41-BD09E7A9E1AD}"/>
    <cellStyle name="Comma 2 4 3 2 3 7" xfId="7045" xr:uid="{24D22C80-8AB5-4EB6-B635-84A4E4C18F7E}"/>
    <cellStyle name="Comma 2 4 3 2 3 8" xfId="8796" xr:uid="{7DC1A454-AFDE-4925-8BDD-61C962C192B0}"/>
    <cellStyle name="Comma 2 4 3 2 3 9" xfId="9933" xr:uid="{18282885-2FD8-4150-B84F-DBC8C4EC94D7}"/>
    <cellStyle name="Comma 2 4 3 2 4" xfId="1411" xr:uid="{EC56C399-558C-49DA-9898-F7E30E921CC4}"/>
    <cellStyle name="Comma 2 4 3 2 4 2" xfId="12695" xr:uid="{8866E340-8CBF-4C27-9677-BC55929BD123}"/>
    <cellStyle name="Comma 2 4 3 2 4 3" xfId="14948" xr:uid="{CABC8C0D-3DFF-4D9B-847E-03363CCBC13C}"/>
    <cellStyle name="Comma 2 4 3 2 4 4" xfId="17201" xr:uid="{94542DA8-6931-4572-9392-4C1B5D374BB1}"/>
    <cellStyle name="Comma 2 4 3 2 5" xfId="2537" xr:uid="{02C36EC4-CF5E-442A-BE9D-DC99B63A68E3}"/>
    <cellStyle name="Comma 2 4 3 2 6" xfId="3663" xr:uid="{DF79007F-3901-4BB4-85BA-8B0183451C85}"/>
    <cellStyle name="Comma 2 4 3 2 7" xfId="4789" xr:uid="{EBCA61A0-013F-4657-AEEC-0CE3ACCBFE14}"/>
    <cellStyle name="Comma 2 4 3 2 8" xfId="5916" xr:uid="{22AD2F0B-6BE6-4776-ABC2-3C4121E767A1}"/>
    <cellStyle name="Comma 2 4 3 2 9" xfId="7043" xr:uid="{15322354-169D-4F4C-B395-DC20ADD06C86}"/>
    <cellStyle name="Comma 2 4 3 3" xfId="277" xr:uid="{18D3976D-108A-4D07-9515-E168328E6C23}"/>
    <cellStyle name="Comma 2 4 3 3 10" xfId="11059" xr:uid="{2BC062B4-70D0-461F-8023-F16FFB30B95C}"/>
    <cellStyle name="Comma 2 4 3 3 11" xfId="11571" xr:uid="{8EC101CF-EC57-4ABE-84A2-CB51D4EA9C61}"/>
    <cellStyle name="Comma 2 4 3 3 12" xfId="13824" xr:uid="{42EDE830-F320-4BCB-ACA3-9289DFF654D8}"/>
    <cellStyle name="Comma 2 4 3 3 13" xfId="16077" xr:uid="{81DDA0D5-D41E-4886-8F6E-94E7D1F4656E}"/>
    <cellStyle name="Comma 2 4 3 3 2" xfId="1414" xr:uid="{C3BE6D21-1FA9-4920-A262-28FEA0ECC10A}"/>
    <cellStyle name="Comma 2 4 3 3 2 2" xfId="12698" xr:uid="{F482EE69-B7AE-47E6-9375-8BDA06E86B46}"/>
    <cellStyle name="Comma 2 4 3 3 2 3" xfId="14951" xr:uid="{807A515A-10EA-4B56-8D5B-4B15113C39BB}"/>
    <cellStyle name="Comma 2 4 3 3 2 4" xfId="17204" xr:uid="{902F36F1-6F1F-44A2-8DAB-135F66514995}"/>
    <cellStyle name="Comma 2 4 3 3 3" xfId="2540" xr:uid="{3FCEB79A-3118-4673-9323-6FC7CCD20BEA}"/>
    <cellStyle name="Comma 2 4 3 3 4" xfId="3666" xr:uid="{68CFD99B-1DF9-4140-A915-4D187BA9F15F}"/>
    <cellStyle name="Comma 2 4 3 3 5" xfId="4792" xr:uid="{F526BC90-E762-4BCA-B7A0-C0EBFE97D11E}"/>
    <cellStyle name="Comma 2 4 3 3 6" xfId="5919" xr:uid="{EA9B3B99-167E-4941-9C3B-D57B17AD56E3}"/>
    <cellStyle name="Comma 2 4 3 3 7" xfId="7046" xr:uid="{782E7DCB-F4B0-4CC5-9EC0-6E61EB231A06}"/>
    <cellStyle name="Comma 2 4 3 3 8" xfId="8795" xr:uid="{622D73A7-3E66-43F2-AE20-058566A4420A}"/>
    <cellStyle name="Comma 2 4 3 3 9" xfId="9932" xr:uid="{3970D1B3-CE62-4A2E-8B45-E9F986833CFC}"/>
    <cellStyle name="Comma 2 4 3 4" xfId="278" xr:uid="{3445DD55-F7F9-4C19-BD18-1F8F380BC088}"/>
    <cellStyle name="Comma 2 4 3 4 10" xfId="11058" xr:uid="{588F5375-D224-4565-BED0-10EDB0FD2F48}"/>
    <cellStyle name="Comma 2 4 3 4 11" xfId="11572" xr:uid="{D96E44AD-AC60-42AC-850C-51161A95951B}"/>
    <cellStyle name="Comma 2 4 3 4 12" xfId="13825" xr:uid="{5E7A0CA7-FA34-48BF-99A9-85D3977A07B6}"/>
    <cellStyle name="Comma 2 4 3 4 13" xfId="16078" xr:uid="{D8326D04-3CD4-46EC-891B-8A99F1ABEBE6}"/>
    <cellStyle name="Comma 2 4 3 4 2" xfId="1415" xr:uid="{FA4ABDC3-55BB-41AB-8A07-5FB0DCF656F1}"/>
    <cellStyle name="Comma 2 4 3 4 2 2" xfId="12699" xr:uid="{CC056C91-857E-4B40-B66B-E5097144DC83}"/>
    <cellStyle name="Comma 2 4 3 4 2 3" xfId="14952" xr:uid="{2CEE1789-308F-47FF-94F3-67F4E7BD35CF}"/>
    <cellStyle name="Comma 2 4 3 4 2 4" xfId="17205" xr:uid="{9A95A541-CE19-4A25-BBE3-6A19A83611DF}"/>
    <cellStyle name="Comma 2 4 3 4 3" xfId="2541" xr:uid="{EC2B23AD-8166-48DB-976E-5D765D66C54E}"/>
    <cellStyle name="Comma 2 4 3 4 4" xfId="3667" xr:uid="{1794928B-F270-4A40-BAA1-6D935CED6505}"/>
    <cellStyle name="Comma 2 4 3 4 5" xfId="4793" xr:uid="{9BA58F2D-6D93-44B1-A71E-0C7EE474AE3C}"/>
    <cellStyle name="Comma 2 4 3 4 6" xfId="5920" xr:uid="{297B4144-0479-45AD-BC06-51DA785C4841}"/>
    <cellStyle name="Comma 2 4 3 4 7" xfId="7047" xr:uid="{16659C6A-5E93-4346-8503-7826D70BAD79}"/>
    <cellStyle name="Comma 2 4 3 4 8" xfId="8794" xr:uid="{938BE156-86AF-4789-A40F-6B035E5B41AA}"/>
    <cellStyle name="Comma 2 4 3 4 9" xfId="9931" xr:uid="{31A586FB-9B2F-4BD2-A02B-0C328840D00A}"/>
    <cellStyle name="Comma 2 4 3 5" xfId="1410" xr:uid="{042EA7F0-5666-4B76-BE7C-606852E5A919}"/>
    <cellStyle name="Comma 2 4 3 5 2" xfId="12694" xr:uid="{A0F2DFBF-C28F-47B1-974F-5B320D098AA6}"/>
    <cellStyle name="Comma 2 4 3 5 3" xfId="14947" xr:uid="{F38F5B5D-7862-48BA-A72E-35EA5E4B1E82}"/>
    <cellStyle name="Comma 2 4 3 5 4" xfId="17200" xr:uid="{0D322DE1-8270-4819-93F5-71AD2CD4483D}"/>
    <cellStyle name="Comma 2 4 3 6" xfId="2536" xr:uid="{251EDAE1-27AE-4144-87B8-F57615DDBCE6}"/>
    <cellStyle name="Comma 2 4 3 7" xfId="3662" xr:uid="{6CA2352C-45A1-4F88-A840-2F847E0EA96E}"/>
    <cellStyle name="Comma 2 4 3 8" xfId="4788" xr:uid="{B04E5D1A-682E-4E25-80D1-3A87A921AD56}"/>
    <cellStyle name="Comma 2 4 3 9" xfId="5915" xr:uid="{6C3EBB36-297F-46B6-8F08-EEDFB16CCCE1}"/>
    <cellStyle name="Comma 2 4 4" xfId="279" xr:uid="{DC6864AF-A2F8-4AD2-A898-F8D06A94D65E}"/>
    <cellStyle name="Comma 2 4 4 10" xfId="8793" xr:uid="{014F19D4-6FA3-48A8-AA48-A288B29F6929}"/>
    <cellStyle name="Comma 2 4 4 11" xfId="9930" xr:uid="{35CF90B4-B7FB-4C28-B2CB-D366C872FEA4}"/>
    <cellStyle name="Comma 2 4 4 12" xfId="11057" xr:uid="{6C6AB659-8B93-4281-8794-A09E0037A266}"/>
    <cellStyle name="Comma 2 4 4 13" xfId="11573" xr:uid="{D02AFC9D-16A9-409D-9AFD-4D04B961015E}"/>
    <cellStyle name="Comma 2 4 4 14" xfId="13826" xr:uid="{FED2DDF2-0D98-4E77-B48D-2536999D078F}"/>
    <cellStyle name="Comma 2 4 4 15" xfId="16079" xr:uid="{E17AED6C-C4C6-426A-B5AD-FC638C312EDD}"/>
    <cellStyle name="Comma 2 4 4 2" xfId="280" xr:uid="{957EFE12-40B2-4787-8BA0-FE9C04EAA733}"/>
    <cellStyle name="Comma 2 4 4 2 10" xfId="11056" xr:uid="{F14AAB4F-C402-4497-9B38-A2FE4079C384}"/>
    <cellStyle name="Comma 2 4 4 2 11" xfId="11574" xr:uid="{50052A13-D41B-4306-8A20-D61564B9F4F0}"/>
    <cellStyle name="Comma 2 4 4 2 12" xfId="13827" xr:uid="{442B3CE0-B092-444E-BF7A-D93EB97E7C2D}"/>
    <cellStyle name="Comma 2 4 4 2 13" xfId="16080" xr:uid="{D7D2D9BD-FF23-4C61-ABDD-ACF3FC8FB90A}"/>
    <cellStyle name="Comma 2 4 4 2 2" xfId="1417" xr:uid="{74253293-7B18-4C97-98C2-38AA3E714249}"/>
    <cellStyle name="Comma 2 4 4 2 2 2" xfId="12701" xr:uid="{35D47598-9003-4ACD-A339-693F098DB8C7}"/>
    <cellStyle name="Comma 2 4 4 2 2 3" xfId="14954" xr:uid="{4ACCEB39-C45F-422D-BF65-7D219E9D258F}"/>
    <cellStyle name="Comma 2 4 4 2 2 4" xfId="17207" xr:uid="{4C9130E7-03EE-4D99-92AC-8B3452E5751F}"/>
    <cellStyle name="Comma 2 4 4 2 3" xfId="2543" xr:uid="{A13EEEB0-0450-4786-995A-ECA414CA0041}"/>
    <cellStyle name="Comma 2 4 4 2 4" xfId="3669" xr:uid="{844B2B41-368A-4B86-BFF8-EA7ACB6378E4}"/>
    <cellStyle name="Comma 2 4 4 2 5" xfId="4795" xr:uid="{6DD6BD31-6E96-4164-A2C4-E933896A5C63}"/>
    <cellStyle name="Comma 2 4 4 2 6" xfId="5922" xr:uid="{E4824A5D-E9B3-4A8E-AFC2-7FF5C249A80E}"/>
    <cellStyle name="Comma 2 4 4 2 7" xfId="7049" xr:uid="{0AFB3428-E9BD-4141-A72D-B530C0A8C301}"/>
    <cellStyle name="Comma 2 4 4 2 8" xfId="8792" xr:uid="{4C445770-F4A6-45DF-891B-833FDE058AE4}"/>
    <cellStyle name="Comma 2 4 4 2 9" xfId="9929" xr:uid="{3B6D77A1-0FE9-48DF-8B3C-650B2226B885}"/>
    <cellStyle name="Comma 2 4 4 3" xfId="281" xr:uid="{2AE9BD38-2E46-44E0-A183-95719CB0E1FD}"/>
    <cellStyle name="Comma 2 4 4 3 10" xfId="11055" xr:uid="{B42CD9D3-FB29-4637-B17B-92683C758738}"/>
    <cellStyle name="Comma 2 4 4 3 11" xfId="11575" xr:uid="{4B8098A9-8192-4C2F-9690-4A0D0CC01D37}"/>
    <cellStyle name="Comma 2 4 4 3 12" xfId="13828" xr:uid="{E1F90C4F-3E7A-42D0-9EBB-2576B3B2FC2D}"/>
    <cellStyle name="Comma 2 4 4 3 13" xfId="16081" xr:uid="{6796FA20-0E9B-45E7-8125-8450CCCB29BE}"/>
    <cellStyle name="Comma 2 4 4 3 2" xfId="1418" xr:uid="{80EFD279-32FA-4633-B915-CCA5CBB38122}"/>
    <cellStyle name="Comma 2 4 4 3 2 2" xfId="12702" xr:uid="{D8D348D7-CB00-4683-887A-CCC98C4FCD22}"/>
    <cellStyle name="Comma 2 4 4 3 2 3" xfId="14955" xr:uid="{CD1AC498-FFA3-49B1-B81F-AC339CCA4F60}"/>
    <cellStyle name="Comma 2 4 4 3 2 4" xfId="17208" xr:uid="{2CA0BD5B-DFA9-4D53-B227-FE4B8C3F9838}"/>
    <cellStyle name="Comma 2 4 4 3 3" xfId="2544" xr:uid="{CE4AB0F7-C588-45E5-826A-FF27ECFCA7F4}"/>
    <cellStyle name="Comma 2 4 4 3 4" xfId="3670" xr:uid="{E821FAFF-C716-45B2-AB04-FE6C86D8773E}"/>
    <cellStyle name="Comma 2 4 4 3 5" xfId="4796" xr:uid="{80C229C2-9A9E-4D9B-ACAB-773AC8D9559A}"/>
    <cellStyle name="Comma 2 4 4 3 6" xfId="5923" xr:uid="{E9B3C57E-58B8-4485-AE19-ABDDD82D6853}"/>
    <cellStyle name="Comma 2 4 4 3 7" xfId="7050" xr:uid="{4908EE84-7CFE-4866-82CE-9C1A15556B49}"/>
    <cellStyle name="Comma 2 4 4 3 8" xfId="8791" xr:uid="{DC85818E-1FA2-4E84-A384-038B613CBCAD}"/>
    <cellStyle name="Comma 2 4 4 3 9" xfId="9928" xr:uid="{044D9647-B29D-4C1E-BF65-C0132211648B}"/>
    <cellStyle name="Comma 2 4 4 4" xfId="1416" xr:uid="{9C437941-8865-4A18-8294-BBC97BAC78B0}"/>
    <cellStyle name="Comma 2 4 4 4 2" xfId="12700" xr:uid="{AE9E3270-108E-456C-8887-365D21D8E0DE}"/>
    <cellStyle name="Comma 2 4 4 4 3" xfId="14953" xr:uid="{B6AC46F0-58A2-42D0-875D-60837BA103CC}"/>
    <cellStyle name="Comma 2 4 4 4 4" xfId="17206" xr:uid="{72BC2A15-8071-4BA6-93E1-363C854B39A9}"/>
    <cellStyle name="Comma 2 4 4 5" xfId="2542" xr:uid="{0090714F-8B36-44FB-8A22-B70088D31384}"/>
    <cellStyle name="Comma 2 4 4 6" xfId="3668" xr:uid="{C1C61696-20C8-41ED-A7B9-BA222235BF0D}"/>
    <cellStyle name="Comma 2 4 4 7" xfId="4794" xr:uid="{1AC00EBA-DC34-4BA7-8106-5B9A60732DFD}"/>
    <cellStyle name="Comma 2 4 4 8" xfId="5921" xr:uid="{F8BE2F95-EA78-48A5-94B3-3B4C0015577A}"/>
    <cellStyle name="Comma 2 4 4 9" xfId="7048" xr:uid="{E1B8AE6C-5BD1-4D2C-AD5C-909434FD8C0C}"/>
    <cellStyle name="Comma 2 4 5" xfId="282" xr:uid="{A07D4F71-F5D9-4D34-B0D4-D040D687D12C}"/>
    <cellStyle name="Comma 2 4 5 10" xfId="11054" xr:uid="{E42362AA-1BEF-4F69-9C9A-06C611FC56C2}"/>
    <cellStyle name="Comma 2 4 5 11" xfId="11576" xr:uid="{4231EB99-7433-49DE-8373-D2690EE66F5F}"/>
    <cellStyle name="Comma 2 4 5 12" xfId="13829" xr:uid="{D7F746C5-D208-4742-B2CF-AAB348324BC9}"/>
    <cellStyle name="Comma 2 4 5 13" xfId="16082" xr:uid="{E662997A-8941-4BC1-83DA-710E7ACC7011}"/>
    <cellStyle name="Comma 2 4 5 2" xfId="1419" xr:uid="{734EB5E4-5E4B-4C07-96E6-3A4F1BF64494}"/>
    <cellStyle name="Comma 2 4 5 2 2" xfId="12703" xr:uid="{EF78CBFB-061F-4254-8FD1-B71B7CD8D025}"/>
    <cellStyle name="Comma 2 4 5 2 3" xfId="14956" xr:uid="{969859DE-7D25-4255-98D2-D62973C0ABD4}"/>
    <cellStyle name="Comma 2 4 5 2 4" xfId="17209" xr:uid="{44837D81-041F-4813-8E3C-CCC64A0C9CA0}"/>
    <cellStyle name="Comma 2 4 5 3" xfId="2545" xr:uid="{0ED06218-5AF1-486B-9E35-D10F9FB2B954}"/>
    <cellStyle name="Comma 2 4 5 4" xfId="3671" xr:uid="{168FAEE6-828D-48CC-BF2E-B09D70A416BD}"/>
    <cellStyle name="Comma 2 4 5 5" xfId="4797" xr:uid="{A6568210-BEB7-44BA-9453-323223D40D14}"/>
    <cellStyle name="Comma 2 4 5 6" xfId="5924" xr:uid="{47C25A60-67E2-456A-897B-CFD8E56E9B02}"/>
    <cellStyle name="Comma 2 4 5 7" xfId="7051" xr:uid="{9A3CFAE9-7DE0-47B5-9F70-D482FDFC4EAA}"/>
    <cellStyle name="Comma 2 4 5 8" xfId="8790" xr:uid="{D1A94CF9-ABE2-4DC1-8F37-FB27097891EC}"/>
    <cellStyle name="Comma 2 4 5 9" xfId="9927" xr:uid="{1949AAB9-0F97-42CD-8CB4-2B4949E25627}"/>
    <cellStyle name="Comma 2 4 6" xfId="283" xr:uid="{E00268BB-49B5-4075-800B-7DDE60293375}"/>
    <cellStyle name="Comma 2 4 6 10" xfId="11053" xr:uid="{00518243-F5E7-4880-AE61-9F23E37BA8BC}"/>
    <cellStyle name="Comma 2 4 6 11" xfId="11577" xr:uid="{F9277D16-7343-4249-A1E6-1AB57E235FCF}"/>
    <cellStyle name="Comma 2 4 6 12" xfId="13830" xr:uid="{BBCE4414-C900-4DB4-8095-AAB335AFBFA5}"/>
    <cellStyle name="Comma 2 4 6 13" xfId="16083" xr:uid="{52DA8119-6E29-44D7-9E63-17D47E7D7EE2}"/>
    <cellStyle name="Comma 2 4 6 2" xfId="1420" xr:uid="{E736EEFB-3DEF-4D37-B5A1-39919D0E78BE}"/>
    <cellStyle name="Comma 2 4 6 2 2" xfId="12704" xr:uid="{CCF80A2F-0CD2-40BE-83A5-F0EE218E39F3}"/>
    <cellStyle name="Comma 2 4 6 2 3" xfId="14957" xr:uid="{60090269-6BBA-4D91-B0D2-679E036C7D1A}"/>
    <cellStyle name="Comma 2 4 6 2 4" xfId="17210" xr:uid="{1D33D1EE-52A4-438A-9DE1-48D2E95D2E33}"/>
    <cellStyle name="Comma 2 4 6 3" xfId="2546" xr:uid="{9757A342-6376-4B9B-A7C9-9004231C4748}"/>
    <cellStyle name="Comma 2 4 6 4" xfId="3672" xr:uid="{44D28420-C523-4CD8-8EE0-1B3D05AB1361}"/>
    <cellStyle name="Comma 2 4 6 5" xfId="4798" xr:uid="{8248E3E6-C138-4365-9A9B-96F5112708AC}"/>
    <cellStyle name="Comma 2 4 6 6" xfId="5925" xr:uid="{D39B2E0B-AEA3-4917-9F03-F75FA838E0C0}"/>
    <cellStyle name="Comma 2 4 6 7" xfId="7052" xr:uid="{F08B63CD-73B1-416B-A8AC-F2E00DB5D1B4}"/>
    <cellStyle name="Comma 2 4 6 8" xfId="8789" xr:uid="{A48BA3DF-F3CC-42C3-B823-720A12FE9FA7}"/>
    <cellStyle name="Comma 2 4 6 9" xfId="9926" xr:uid="{9FE896FE-57E2-4FCB-8BD3-E3C92DA1DD3F}"/>
    <cellStyle name="Comma 2 4 7" xfId="1397" xr:uid="{973BDB92-DA83-4DC3-9B68-BE19AAE27FFD}"/>
    <cellStyle name="Comma 2 4 7 2" xfId="12681" xr:uid="{286C8E76-4570-4CE7-914E-B9608798F9F4}"/>
    <cellStyle name="Comma 2 4 7 3" xfId="14934" xr:uid="{F87538B6-C7A3-46CB-B4DE-E4AA9CD911EC}"/>
    <cellStyle name="Comma 2 4 7 4" xfId="17187" xr:uid="{5A82C441-D6A8-46BF-9396-62A6260E957F}"/>
    <cellStyle name="Comma 2 4 8" xfId="2523" xr:uid="{532CE69D-CFC0-48B8-84FE-53274AA4720A}"/>
    <cellStyle name="Comma 2 4 9" xfId="3649" xr:uid="{F5ACF734-66B3-4DA2-B79A-FCDA41A2837C}"/>
    <cellStyle name="Comma 2 5" xfId="284" xr:uid="{A448FCCD-FDB0-4C33-B37F-94E6335AA560}"/>
    <cellStyle name="Comma 2 5 10" xfId="4799" xr:uid="{D637AA7D-34B7-495F-BCC9-8A2F29D46670}"/>
    <cellStyle name="Comma 2 5 11" xfId="5926" xr:uid="{0285BE10-5620-44B8-BDE0-1D9E05CF6965}"/>
    <cellStyle name="Comma 2 5 12" xfId="7053" xr:uid="{9400137D-4FC4-440A-AACA-CBDD35579813}"/>
    <cellStyle name="Comma 2 5 13" xfId="8788" xr:uid="{1DC73EB1-B8C3-4AF5-911C-5199538A6902}"/>
    <cellStyle name="Comma 2 5 14" xfId="9925" xr:uid="{0EF96EBF-DDCE-4994-8813-DB5433FB4AB6}"/>
    <cellStyle name="Comma 2 5 15" xfId="11052" xr:uid="{92357FE3-0663-4534-9616-B85399926378}"/>
    <cellStyle name="Comma 2 5 16" xfId="11578" xr:uid="{507DA115-C426-46BF-B169-566ABF6AD505}"/>
    <cellStyle name="Comma 2 5 17" xfId="13831" xr:uid="{CD6ED426-2301-44D3-8588-9C2911F91F79}"/>
    <cellStyle name="Comma 2 5 18" xfId="16084" xr:uid="{C4A4A24A-B03A-4D06-9D37-4FEC88D0DFA6}"/>
    <cellStyle name="Comma 2 5 2" xfId="285" xr:uid="{C1ACBABB-38B7-44AA-912F-A862445B7A1E}"/>
    <cellStyle name="Comma 2 5 2 10" xfId="5927" xr:uid="{AF05229C-17D8-4B20-AB16-1816E0BB92AD}"/>
    <cellStyle name="Comma 2 5 2 11" xfId="7054" xr:uid="{1ED49113-3F5F-4B25-96F3-7E4893896150}"/>
    <cellStyle name="Comma 2 5 2 12" xfId="8787" xr:uid="{D06B3623-0B89-4C93-8827-3FEDB545CC1E}"/>
    <cellStyle name="Comma 2 5 2 13" xfId="9924" xr:uid="{95814810-E1D7-426F-ACA4-CE38F2B11E40}"/>
    <cellStyle name="Comma 2 5 2 14" xfId="11051" xr:uid="{FF4A2409-33C3-4487-B841-EB8E0AF53052}"/>
    <cellStyle name="Comma 2 5 2 15" xfId="11579" xr:uid="{8A8D9289-F79F-4AF1-B351-B2752351A1CB}"/>
    <cellStyle name="Comma 2 5 2 16" xfId="13832" xr:uid="{F96C90BD-A568-42D9-AC48-9D3FB1E9183E}"/>
    <cellStyle name="Comma 2 5 2 17" xfId="16085" xr:uid="{946C5ECE-8267-42D6-81F5-2D8117673936}"/>
    <cellStyle name="Comma 2 5 2 2" xfId="286" xr:uid="{DE2AE42D-1D54-4650-AA08-1A78CBE230FD}"/>
    <cellStyle name="Comma 2 5 2 2 10" xfId="7055" xr:uid="{41AD4488-0311-43DB-BE83-C589AB3E501D}"/>
    <cellStyle name="Comma 2 5 2 2 11" xfId="8786" xr:uid="{EA217A9A-A876-4C1A-AEBD-E766EE421E10}"/>
    <cellStyle name="Comma 2 5 2 2 12" xfId="9923" xr:uid="{CF3355B9-77F6-421E-AB30-C2D7246D2540}"/>
    <cellStyle name="Comma 2 5 2 2 13" xfId="11050" xr:uid="{D120CBDD-D465-410E-8D7B-7047D56B974D}"/>
    <cellStyle name="Comma 2 5 2 2 14" xfId="11580" xr:uid="{7B566574-5372-44CE-8322-949EE8F75517}"/>
    <cellStyle name="Comma 2 5 2 2 15" xfId="13833" xr:uid="{2B9D10BA-A47C-494F-850D-F2E87770D7AF}"/>
    <cellStyle name="Comma 2 5 2 2 16" xfId="16086" xr:uid="{0CA96449-CCF9-4608-A354-2BD2E30156C8}"/>
    <cellStyle name="Comma 2 5 2 2 2" xfId="287" xr:uid="{42C5910F-EF1A-437A-AF1A-157B141B074F}"/>
    <cellStyle name="Comma 2 5 2 2 2 10" xfId="8785" xr:uid="{5DBB9F16-A78F-4966-8776-E3DB09718181}"/>
    <cellStyle name="Comma 2 5 2 2 2 11" xfId="9922" xr:uid="{F7410FCD-B39E-4321-BC92-259DF7C80F9E}"/>
    <cellStyle name="Comma 2 5 2 2 2 12" xfId="11049" xr:uid="{55FF1FAC-DF01-4D6C-87F0-1C97012C6483}"/>
    <cellStyle name="Comma 2 5 2 2 2 13" xfId="11581" xr:uid="{8C3D9DA2-61CA-44E9-9B1F-B80EEFAABF65}"/>
    <cellStyle name="Comma 2 5 2 2 2 14" xfId="13834" xr:uid="{1A4D9030-6492-4DE6-AED3-030F8785AC89}"/>
    <cellStyle name="Comma 2 5 2 2 2 15" xfId="16087" xr:uid="{D779D0AF-087B-4F17-9686-2676B219AC96}"/>
    <cellStyle name="Comma 2 5 2 2 2 2" xfId="288" xr:uid="{7BDE46AB-1B7D-4EEB-8548-59460AEE3AE8}"/>
    <cellStyle name="Comma 2 5 2 2 2 2 10" xfId="11048" xr:uid="{AFECACE4-D5B9-4959-A38E-75AFE8DB0034}"/>
    <cellStyle name="Comma 2 5 2 2 2 2 11" xfId="11582" xr:uid="{ACBCB72C-7C0A-4D93-A42E-753092E10438}"/>
    <cellStyle name="Comma 2 5 2 2 2 2 12" xfId="13835" xr:uid="{5AFDFA3D-7534-4D7F-99EA-184A3583C20C}"/>
    <cellStyle name="Comma 2 5 2 2 2 2 13" xfId="16088" xr:uid="{5447C999-9944-431A-B847-E9B6A49E635F}"/>
    <cellStyle name="Comma 2 5 2 2 2 2 2" xfId="1425" xr:uid="{24359C75-256C-445D-BAC5-626B55DF967F}"/>
    <cellStyle name="Comma 2 5 2 2 2 2 2 2" xfId="12709" xr:uid="{F98526E0-AB7C-46C1-BB0F-83C44B1F206B}"/>
    <cellStyle name="Comma 2 5 2 2 2 2 2 3" xfId="14962" xr:uid="{0CF014BF-2233-4ED7-9777-72070380910B}"/>
    <cellStyle name="Comma 2 5 2 2 2 2 2 4" xfId="17215" xr:uid="{D13EBD6D-C174-4795-B37B-4BEA145C4F9D}"/>
    <cellStyle name="Comma 2 5 2 2 2 2 3" xfId="2551" xr:uid="{024B26CB-3B11-424A-B3B5-90CFCC4C4079}"/>
    <cellStyle name="Comma 2 5 2 2 2 2 4" xfId="3677" xr:uid="{1371120E-CC03-4935-A9B5-82E8CC49AAAD}"/>
    <cellStyle name="Comma 2 5 2 2 2 2 5" xfId="4803" xr:uid="{B13A7026-F401-457D-A19C-A9F9ADAC6317}"/>
    <cellStyle name="Comma 2 5 2 2 2 2 6" xfId="5930" xr:uid="{ED164A75-45E8-4121-B390-803235C5EC7B}"/>
    <cellStyle name="Comma 2 5 2 2 2 2 7" xfId="7057" xr:uid="{4F691B81-060B-44B1-B8B5-9AAA2F525BA9}"/>
    <cellStyle name="Comma 2 5 2 2 2 2 8" xfId="8784" xr:uid="{C09EA200-F347-4436-9850-E2147D0CBD66}"/>
    <cellStyle name="Comma 2 5 2 2 2 2 9" xfId="9921" xr:uid="{2D2FD625-D26F-45A4-BBAD-E74CD7F1DF33}"/>
    <cellStyle name="Comma 2 5 2 2 2 3" xfId="289" xr:uid="{1B2FD829-A460-4A87-B244-38164A186642}"/>
    <cellStyle name="Comma 2 5 2 2 2 3 10" xfId="11047" xr:uid="{428925D7-708E-4758-901D-07BD586D80F3}"/>
    <cellStyle name="Comma 2 5 2 2 2 3 11" xfId="11583" xr:uid="{371BF280-3EFF-4354-B7AA-A2F81D89EE22}"/>
    <cellStyle name="Comma 2 5 2 2 2 3 12" xfId="13836" xr:uid="{AFEEADF4-8CA4-4F65-8B29-43FF450082DE}"/>
    <cellStyle name="Comma 2 5 2 2 2 3 13" xfId="16089" xr:uid="{29282ED9-E1BA-4039-AF75-8A8BFC07DE13}"/>
    <cellStyle name="Comma 2 5 2 2 2 3 2" xfId="1426" xr:uid="{975B965D-4BDF-4BD5-BD50-17A247B3C631}"/>
    <cellStyle name="Comma 2 5 2 2 2 3 2 2" xfId="12710" xr:uid="{8145B74A-A7CE-43FF-A386-8BCC6C25BEC8}"/>
    <cellStyle name="Comma 2 5 2 2 2 3 2 3" xfId="14963" xr:uid="{2EF4837E-163A-469F-87FA-D1942843F32C}"/>
    <cellStyle name="Comma 2 5 2 2 2 3 2 4" xfId="17216" xr:uid="{D82AB6A3-9CA0-4909-B102-09BF7EE4F58B}"/>
    <cellStyle name="Comma 2 5 2 2 2 3 3" xfId="2552" xr:uid="{D5C37C15-F0E7-4695-A509-D87E18117D0C}"/>
    <cellStyle name="Comma 2 5 2 2 2 3 4" xfId="3678" xr:uid="{1C0565A0-8A98-4C5B-AE78-B390F098BC5E}"/>
    <cellStyle name="Comma 2 5 2 2 2 3 5" xfId="4804" xr:uid="{DFEDF562-71EC-4C69-AFB3-4043CA9B094F}"/>
    <cellStyle name="Comma 2 5 2 2 2 3 6" xfId="5931" xr:uid="{4281145F-3827-4203-8B9C-F0EC02C99B66}"/>
    <cellStyle name="Comma 2 5 2 2 2 3 7" xfId="7058" xr:uid="{23F95D57-736E-4741-ADA8-A03E0AFCC229}"/>
    <cellStyle name="Comma 2 5 2 2 2 3 8" xfId="8783" xr:uid="{6F07F02F-412A-4986-8C6E-8CCD29552652}"/>
    <cellStyle name="Comma 2 5 2 2 2 3 9" xfId="9920" xr:uid="{BEB3F336-CAA5-4AB2-AE1C-1DABC1617C6F}"/>
    <cellStyle name="Comma 2 5 2 2 2 4" xfId="1424" xr:uid="{C23FC4D7-4B64-4019-83F8-B7E5192F395C}"/>
    <cellStyle name="Comma 2 5 2 2 2 4 2" xfId="12708" xr:uid="{8E588163-D302-4BBA-AD83-FFF96AD9822E}"/>
    <cellStyle name="Comma 2 5 2 2 2 4 3" xfId="14961" xr:uid="{93DF88C2-8FA9-461E-BF38-97010E6804A2}"/>
    <cellStyle name="Comma 2 5 2 2 2 4 4" xfId="17214" xr:uid="{422D4B92-A87B-4400-A27D-6345C300AB17}"/>
    <cellStyle name="Comma 2 5 2 2 2 5" xfId="2550" xr:uid="{15BABE45-EBC5-47A9-BD34-486175BDB51D}"/>
    <cellStyle name="Comma 2 5 2 2 2 6" xfId="3676" xr:uid="{92B2F367-5581-4711-AAE6-E0CC92E7F164}"/>
    <cellStyle name="Comma 2 5 2 2 2 7" xfId="4802" xr:uid="{64E6C918-D53A-4E88-8121-E3CFE7F10F22}"/>
    <cellStyle name="Comma 2 5 2 2 2 8" xfId="5929" xr:uid="{1DA7121D-FE2C-419F-9232-1D35A1A824B7}"/>
    <cellStyle name="Comma 2 5 2 2 2 9" xfId="7056" xr:uid="{F0A99EB4-24C7-4959-A9D3-CF218122AFB2}"/>
    <cellStyle name="Comma 2 5 2 2 3" xfId="290" xr:uid="{879E5DD8-19E1-4C30-BA3D-7B2851EE47B8}"/>
    <cellStyle name="Comma 2 5 2 2 3 10" xfId="11046" xr:uid="{76F0EBD4-4D95-4B61-B6F7-EFD64ED23B17}"/>
    <cellStyle name="Comma 2 5 2 2 3 11" xfId="11584" xr:uid="{FE25F5E5-31FF-41A7-AF68-5D8E1F534EB9}"/>
    <cellStyle name="Comma 2 5 2 2 3 12" xfId="13837" xr:uid="{3570B518-63B9-458C-B1A4-AC92E4D8D43C}"/>
    <cellStyle name="Comma 2 5 2 2 3 13" xfId="16090" xr:uid="{C8637C61-CDDE-41D7-9F87-75F6221553B1}"/>
    <cellStyle name="Comma 2 5 2 2 3 2" xfId="1427" xr:uid="{107E458B-A8C4-4F11-A8E6-41DBE06FA6FF}"/>
    <cellStyle name="Comma 2 5 2 2 3 2 2" xfId="12711" xr:uid="{562DE65B-47B0-40CB-806C-FBF1A1D2BC08}"/>
    <cellStyle name="Comma 2 5 2 2 3 2 3" xfId="14964" xr:uid="{1B879105-2A63-4661-889A-1E5178AD6644}"/>
    <cellStyle name="Comma 2 5 2 2 3 2 4" xfId="17217" xr:uid="{E3F24380-1040-4365-835D-8CA1A2E26A29}"/>
    <cellStyle name="Comma 2 5 2 2 3 3" xfId="2553" xr:uid="{00F377CA-564F-4C24-B2C8-A92952A0D946}"/>
    <cellStyle name="Comma 2 5 2 2 3 4" xfId="3679" xr:uid="{FF9DEA06-4CFC-4631-AB49-76F4A473CCA3}"/>
    <cellStyle name="Comma 2 5 2 2 3 5" xfId="4805" xr:uid="{9B72BBF2-FBAC-4ABC-B688-DDE8A2A20AB4}"/>
    <cellStyle name="Comma 2 5 2 2 3 6" xfId="5932" xr:uid="{3E5251FF-2831-47CA-B71F-2E0E83A94F6D}"/>
    <cellStyle name="Comma 2 5 2 2 3 7" xfId="7059" xr:uid="{F0084569-A7CD-4609-AE8F-4E933BC89EFA}"/>
    <cellStyle name="Comma 2 5 2 2 3 8" xfId="8782" xr:uid="{AA3FCD77-9D72-4CF4-86D0-8E9C7F5C80EF}"/>
    <cellStyle name="Comma 2 5 2 2 3 9" xfId="9919" xr:uid="{1C88CFF7-801D-4CAC-96A1-F4F23997323B}"/>
    <cellStyle name="Comma 2 5 2 2 4" xfId="291" xr:uid="{948AA85A-BE00-45AB-8226-F39B18D48216}"/>
    <cellStyle name="Comma 2 5 2 2 4 10" xfId="11045" xr:uid="{DDBFEA77-DAC8-47BF-B881-0A3A3144A33F}"/>
    <cellStyle name="Comma 2 5 2 2 4 11" xfId="11585" xr:uid="{86596E58-F81A-4137-816C-DE74876466F1}"/>
    <cellStyle name="Comma 2 5 2 2 4 12" xfId="13838" xr:uid="{D27827D2-C1B0-4FDB-A4A8-E30B74C53F66}"/>
    <cellStyle name="Comma 2 5 2 2 4 13" xfId="16091" xr:uid="{EAEFFB88-BE2B-4E2E-B67A-FDEBB8FAC498}"/>
    <cellStyle name="Comma 2 5 2 2 4 2" xfId="1428" xr:uid="{9D3E96A4-B578-4A9E-BD29-6F5316036E93}"/>
    <cellStyle name="Comma 2 5 2 2 4 2 2" xfId="12712" xr:uid="{E0D01ECB-5C38-4DB3-BC83-86AB5F4D9CB7}"/>
    <cellStyle name="Comma 2 5 2 2 4 2 3" xfId="14965" xr:uid="{F44D516A-5FFF-41F7-B709-3A9CD5527B2D}"/>
    <cellStyle name="Comma 2 5 2 2 4 2 4" xfId="17218" xr:uid="{39FFAF8F-8A9E-4E1A-BB4D-0BF9BE70094B}"/>
    <cellStyle name="Comma 2 5 2 2 4 3" xfId="2554" xr:uid="{5D2BEA71-602C-4CD2-BC65-6FFFFE28051F}"/>
    <cellStyle name="Comma 2 5 2 2 4 4" xfId="3680" xr:uid="{6A0DFB08-443A-4C5F-9246-586CB6ABFF22}"/>
    <cellStyle name="Comma 2 5 2 2 4 5" xfId="4806" xr:uid="{D2215F8E-4FAB-473A-A8E6-6EBD1AC41DD3}"/>
    <cellStyle name="Comma 2 5 2 2 4 6" xfId="5933" xr:uid="{881DDBBE-312A-4D81-A526-2F16E321676E}"/>
    <cellStyle name="Comma 2 5 2 2 4 7" xfId="7060" xr:uid="{BBBAD85F-D7E2-4D64-B052-6730DCEB0DDB}"/>
    <cellStyle name="Comma 2 5 2 2 4 8" xfId="8781" xr:uid="{89316AA4-9539-4FFF-A8E2-C9A7FBBB89A2}"/>
    <cellStyle name="Comma 2 5 2 2 4 9" xfId="9918" xr:uid="{9F9A53EE-20F4-4A78-A7CC-BB50E09915C1}"/>
    <cellStyle name="Comma 2 5 2 2 5" xfId="1423" xr:uid="{CF5E63D9-0A2C-4E99-A43A-D6E59AAAB11C}"/>
    <cellStyle name="Comma 2 5 2 2 5 2" xfId="12707" xr:uid="{00FACF45-5BAA-494F-B7E5-CCC10831E153}"/>
    <cellStyle name="Comma 2 5 2 2 5 3" xfId="14960" xr:uid="{2F6E1F5E-05F1-4F12-B216-6F7419E93142}"/>
    <cellStyle name="Comma 2 5 2 2 5 4" xfId="17213" xr:uid="{8842AAE6-FDE2-4BB1-B9C4-72300B7894AB}"/>
    <cellStyle name="Comma 2 5 2 2 6" xfId="2549" xr:uid="{8D306960-688C-4F8C-9F15-7169366C2158}"/>
    <cellStyle name="Comma 2 5 2 2 7" xfId="3675" xr:uid="{5B4385BE-FBFB-4DEA-871A-99474355E7E8}"/>
    <cellStyle name="Comma 2 5 2 2 8" xfId="4801" xr:uid="{2C532C5F-3B6E-4C17-B8C5-AF9E30AE1D0A}"/>
    <cellStyle name="Comma 2 5 2 2 9" xfId="5928" xr:uid="{55E05AA7-C93D-464B-A252-CBDDD2E5ECBA}"/>
    <cellStyle name="Comma 2 5 2 3" xfId="292" xr:uid="{B744524F-78EE-4496-A983-22CAEA778C1C}"/>
    <cellStyle name="Comma 2 5 2 3 10" xfId="8780" xr:uid="{2AA0F461-55CF-43AE-9BE7-10DE0B2F0600}"/>
    <cellStyle name="Comma 2 5 2 3 11" xfId="9917" xr:uid="{9DF0EF52-05B4-411C-90D9-97F15472F5D2}"/>
    <cellStyle name="Comma 2 5 2 3 12" xfId="11044" xr:uid="{0FB3B7B4-9EF6-4D54-A80B-D422C3B57C1B}"/>
    <cellStyle name="Comma 2 5 2 3 13" xfId="11586" xr:uid="{41AD5DFA-75C2-4D7A-BA8C-8DB0231FFD63}"/>
    <cellStyle name="Comma 2 5 2 3 14" xfId="13839" xr:uid="{21EC7B7A-4AC7-486C-831D-DA419BDF7C82}"/>
    <cellStyle name="Comma 2 5 2 3 15" xfId="16092" xr:uid="{AE5F209F-EB65-4D04-A9D1-F37936AEE961}"/>
    <cellStyle name="Comma 2 5 2 3 2" xfId="293" xr:uid="{8E9988EB-522C-470D-86F6-467A95283F2A}"/>
    <cellStyle name="Comma 2 5 2 3 2 10" xfId="11043" xr:uid="{A80CEF15-659E-468A-952B-AE2BDDD1DB65}"/>
    <cellStyle name="Comma 2 5 2 3 2 11" xfId="11587" xr:uid="{1B6F3341-0B8F-4A3C-99A9-5DF0866B128E}"/>
    <cellStyle name="Comma 2 5 2 3 2 12" xfId="13840" xr:uid="{8188B94D-F411-4E9D-8D47-F71F5E93812A}"/>
    <cellStyle name="Comma 2 5 2 3 2 13" xfId="16093" xr:uid="{FE208E20-A0A6-4BC7-8F27-FA33BD6FEB7E}"/>
    <cellStyle name="Comma 2 5 2 3 2 2" xfId="1430" xr:uid="{E179E985-83C9-422C-962B-6A4B06945E77}"/>
    <cellStyle name="Comma 2 5 2 3 2 2 2" xfId="12714" xr:uid="{825D1C9C-F27D-4EBC-A4C4-BCB6B1CCC411}"/>
    <cellStyle name="Comma 2 5 2 3 2 2 3" xfId="14967" xr:uid="{8A29243F-749C-456E-98B9-89F090A4F961}"/>
    <cellStyle name="Comma 2 5 2 3 2 2 4" xfId="17220" xr:uid="{0303DD6C-3DDD-41A1-A72D-3389D3D1572F}"/>
    <cellStyle name="Comma 2 5 2 3 2 3" xfId="2556" xr:uid="{B66E2F1A-344E-4CC5-B078-8346B115AEDB}"/>
    <cellStyle name="Comma 2 5 2 3 2 4" xfId="3682" xr:uid="{1502C573-9130-4D71-A132-FD20E8066EBC}"/>
    <cellStyle name="Comma 2 5 2 3 2 5" xfId="4808" xr:uid="{FBFB3326-E4CB-4767-AABE-2DC8CA3B8F5F}"/>
    <cellStyle name="Comma 2 5 2 3 2 6" xfId="5935" xr:uid="{0E2761EF-B18C-4DDA-8BFC-4AFD74E23BBB}"/>
    <cellStyle name="Comma 2 5 2 3 2 7" xfId="7062" xr:uid="{5A943698-0D63-4734-A8FB-541A94EA3593}"/>
    <cellStyle name="Comma 2 5 2 3 2 8" xfId="8779" xr:uid="{8A570DB9-A6E3-4D32-A0DB-0ECA1DD6ED8B}"/>
    <cellStyle name="Comma 2 5 2 3 2 9" xfId="9916" xr:uid="{609406DD-984A-455E-90D0-CA9199502420}"/>
    <cellStyle name="Comma 2 5 2 3 3" xfId="294" xr:uid="{881E5517-4157-41CD-9BEB-B6AEB4BAD567}"/>
    <cellStyle name="Comma 2 5 2 3 3 10" xfId="11042" xr:uid="{E3F44723-3B59-420E-A4EB-EF4E3C4AF77B}"/>
    <cellStyle name="Comma 2 5 2 3 3 11" xfId="11588" xr:uid="{21AC81B4-78E5-4FB5-BA6E-26C6F34EA87E}"/>
    <cellStyle name="Comma 2 5 2 3 3 12" xfId="13841" xr:uid="{249C51E9-6214-4CD6-9877-E6F2B4C637EC}"/>
    <cellStyle name="Comma 2 5 2 3 3 13" xfId="16094" xr:uid="{9DC4F3DC-BDFE-471C-9CD6-695740ED3469}"/>
    <cellStyle name="Comma 2 5 2 3 3 2" xfId="1431" xr:uid="{9FDF7335-BD5B-4458-B527-F98DE9F82D73}"/>
    <cellStyle name="Comma 2 5 2 3 3 2 2" xfId="12715" xr:uid="{047EBB30-9247-49C6-A29A-F8827E324F54}"/>
    <cellStyle name="Comma 2 5 2 3 3 2 3" xfId="14968" xr:uid="{412E91EE-136E-4F15-834B-BE11025CD44B}"/>
    <cellStyle name="Comma 2 5 2 3 3 2 4" xfId="17221" xr:uid="{63B096D1-5AFF-4705-8D3E-776E3092726D}"/>
    <cellStyle name="Comma 2 5 2 3 3 3" xfId="2557" xr:uid="{C18CCA30-685A-40EF-8342-AAD3BA3069B1}"/>
    <cellStyle name="Comma 2 5 2 3 3 4" xfId="3683" xr:uid="{11A507DF-2097-4698-97A1-B4B8DB030C53}"/>
    <cellStyle name="Comma 2 5 2 3 3 5" xfId="4809" xr:uid="{14734488-29FF-4B05-911F-7EA521063219}"/>
    <cellStyle name="Comma 2 5 2 3 3 6" xfId="5936" xr:uid="{5DC5B48C-7087-4F96-9246-234CE49BB5B4}"/>
    <cellStyle name="Comma 2 5 2 3 3 7" xfId="7063" xr:uid="{A3401E4F-765B-4D01-9156-5C8E0A842250}"/>
    <cellStyle name="Comma 2 5 2 3 3 8" xfId="8778" xr:uid="{1487CB5F-6FAB-4F13-B65E-F9AE0B701E58}"/>
    <cellStyle name="Comma 2 5 2 3 3 9" xfId="9915" xr:uid="{33E72262-9697-494A-A6E2-1F3873CD6C41}"/>
    <cellStyle name="Comma 2 5 2 3 4" xfId="1429" xr:uid="{98479178-26F6-4A61-91B9-C07363277811}"/>
    <cellStyle name="Comma 2 5 2 3 4 2" xfId="12713" xr:uid="{E69F4859-3BBB-4B02-B6D7-121D1A2C78DE}"/>
    <cellStyle name="Comma 2 5 2 3 4 3" xfId="14966" xr:uid="{465EFF17-D681-4EFD-9F2C-71BDAFE33D66}"/>
    <cellStyle name="Comma 2 5 2 3 4 4" xfId="17219" xr:uid="{F1CDD712-FC3F-45A7-BBDE-D3414BE726E5}"/>
    <cellStyle name="Comma 2 5 2 3 5" xfId="2555" xr:uid="{52205EF4-1F1B-4EB8-BEE2-684C2F932A22}"/>
    <cellStyle name="Comma 2 5 2 3 6" xfId="3681" xr:uid="{C8047BF2-EFEE-49D7-894A-7055ADAD6C79}"/>
    <cellStyle name="Comma 2 5 2 3 7" xfId="4807" xr:uid="{EDC45755-4643-4811-BA4B-463708DD8279}"/>
    <cellStyle name="Comma 2 5 2 3 8" xfId="5934" xr:uid="{CA16C451-36B1-4DDC-99CB-A2E328AC2CE2}"/>
    <cellStyle name="Comma 2 5 2 3 9" xfId="7061" xr:uid="{BCB6D5A5-CF17-44CF-835D-986BFF6FB532}"/>
    <cellStyle name="Comma 2 5 2 4" xfId="295" xr:uid="{60EFE043-D617-4323-A259-6C1EB9A68EC6}"/>
    <cellStyle name="Comma 2 5 2 4 10" xfId="11041" xr:uid="{C9DBA8D0-E690-4686-A689-029760B9E4C6}"/>
    <cellStyle name="Comma 2 5 2 4 11" xfId="11589" xr:uid="{7B3B67D3-D071-478D-B341-462099D11482}"/>
    <cellStyle name="Comma 2 5 2 4 12" xfId="13842" xr:uid="{65339A93-3E4A-4F40-9194-08FAD29E5B99}"/>
    <cellStyle name="Comma 2 5 2 4 13" xfId="16095" xr:uid="{5350BF93-8C4D-488E-8D49-B48119FCCE2A}"/>
    <cellStyle name="Comma 2 5 2 4 2" xfId="1432" xr:uid="{50916958-0BAD-4EE3-8472-A3FDD8A425A6}"/>
    <cellStyle name="Comma 2 5 2 4 2 2" xfId="12716" xr:uid="{FF4E5503-A950-4F78-BE74-586F91270893}"/>
    <cellStyle name="Comma 2 5 2 4 2 3" xfId="14969" xr:uid="{575915C4-1D8B-4567-A106-42B938C15B3F}"/>
    <cellStyle name="Comma 2 5 2 4 2 4" xfId="17222" xr:uid="{1580C47D-07F1-4D4B-84CC-94800DEB7F77}"/>
    <cellStyle name="Comma 2 5 2 4 3" xfId="2558" xr:uid="{86D45977-6E34-4C98-BEFF-246EE3241B5E}"/>
    <cellStyle name="Comma 2 5 2 4 4" xfId="3684" xr:uid="{FF74A0F6-AFB6-493F-BFDB-D12603735C62}"/>
    <cellStyle name="Comma 2 5 2 4 5" xfId="4810" xr:uid="{E6B34A3B-9616-4363-9A1C-CE2F2E3D1F9B}"/>
    <cellStyle name="Comma 2 5 2 4 6" xfId="5937" xr:uid="{B76896CA-CD3E-4CFB-8D3B-748BD99A6C1E}"/>
    <cellStyle name="Comma 2 5 2 4 7" xfId="7064" xr:uid="{D430B512-6CCC-473B-B7D1-1B357C7B2385}"/>
    <cellStyle name="Comma 2 5 2 4 8" xfId="8777" xr:uid="{19E18B40-39D0-4D2D-850B-5CB2B4639D5D}"/>
    <cellStyle name="Comma 2 5 2 4 9" xfId="9914" xr:uid="{68531EB5-1948-44A8-AA2F-9872FC847FE0}"/>
    <cellStyle name="Comma 2 5 2 5" xfId="296" xr:uid="{3DBFBA27-CE87-450E-A661-169FEA4325A1}"/>
    <cellStyle name="Comma 2 5 2 5 10" xfId="11040" xr:uid="{773F7C5C-2125-469D-A6A9-94ED14668D91}"/>
    <cellStyle name="Comma 2 5 2 5 11" xfId="11590" xr:uid="{DBC2009F-21FF-4F01-97B0-DE994C3A33B1}"/>
    <cellStyle name="Comma 2 5 2 5 12" xfId="13843" xr:uid="{30B7E2E6-F90A-49C4-A38C-76C4AE97AA71}"/>
    <cellStyle name="Comma 2 5 2 5 13" xfId="16096" xr:uid="{5ADFE78B-4FBE-4331-B478-4395BBBF43D5}"/>
    <cellStyle name="Comma 2 5 2 5 2" xfId="1433" xr:uid="{945E6F9F-54ED-4A3E-AB37-546554EF0FA0}"/>
    <cellStyle name="Comma 2 5 2 5 2 2" xfId="12717" xr:uid="{4A31BFEE-4F39-4562-9ABD-5C83D375642F}"/>
    <cellStyle name="Comma 2 5 2 5 2 3" xfId="14970" xr:uid="{943DF00F-069C-4DE1-AEBF-C107205B2D28}"/>
    <cellStyle name="Comma 2 5 2 5 2 4" xfId="17223" xr:uid="{DC8D3777-FDE2-41F8-8E92-6FAB254E28B5}"/>
    <cellStyle name="Comma 2 5 2 5 3" xfId="2559" xr:uid="{D1A8837B-6558-46D3-B7AF-DA2F087BD488}"/>
    <cellStyle name="Comma 2 5 2 5 4" xfId="3685" xr:uid="{1A0F786D-173D-41C8-898B-2ACE00F647F7}"/>
    <cellStyle name="Comma 2 5 2 5 5" xfId="4811" xr:uid="{7F5DDD91-EEFC-4E1E-80EE-23FC0F62C063}"/>
    <cellStyle name="Comma 2 5 2 5 6" xfId="5938" xr:uid="{423E6BFE-C938-409F-AC33-885461965483}"/>
    <cellStyle name="Comma 2 5 2 5 7" xfId="7065" xr:uid="{DFB82BCB-212F-4A4E-A90C-D01CBBB88870}"/>
    <cellStyle name="Comma 2 5 2 5 8" xfId="8776" xr:uid="{C9F2750D-CCAA-4AF3-8AD7-9C16CBE13348}"/>
    <cellStyle name="Comma 2 5 2 5 9" xfId="9913" xr:uid="{11507A6F-5087-450A-8A75-2C8855398E91}"/>
    <cellStyle name="Comma 2 5 2 6" xfId="1422" xr:uid="{30492171-C94D-4C5E-BE73-ED0EE90BBC72}"/>
    <cellStyle name="Comma 2 5 2 6 2" xfId="12706" xr:uid="{02B3166C-2744-485C-8DF2-E26635BE8019}"/>
    <cellStyle name="Comma 2 5 2 6 3" xfId="14959" xr:uid="{16CC40AB-085F-4405-8D73-D0A482E5A165}"/>
    <cellStyle name="Comma 2 5 2 6 4" xfId="17212" xr:uid="{D58D6CB3-102B-4575-BCE9-24D5F9B87851}"/>
    <cellStyle name="Comma 2 5 2 7" xfId="2548" xr:uid="{4C56EA52-41F7-4DEB-95FF-7ED070907F12}"/>
    <cellStyle name="Comma 2 5 2 8" xfId="3674" xr:uid="{3C8B37FE-D4CE-44D5-A0DF-CB02116E6D00}"/>
    <cellStyle name="Comma 2 5 2 9" xfId="4800" xr:uid="{FCAEEBC5-1C36-4FB5-9F37-E8E199609DE9}"/>
    <cellStyle name="Comma 2 5 3" xfId="297" xr:uid="{A91914AA-B756-4937-A3DE-1B8DA9C18C76}"/>
    <cellStyle name="Comma 2 5 3 10" xfId="7066" xr:uid="{17A0ED6D-D86B-4123-A618-E2715C27DE75}"/>
    <cellStyle name="Comma 2 5 3 11" xfId="8775" xr:uid="{E1CF9B64-B4C5-40E1-A24A-A67B3E41C84B}"/>
    <cellStyle name="Comma 2 5 3 12" xfId="9912" xr:uid="{DA67F5A7-12BA-4FB5-9C5A-22DA4B106C78}"/>
    <cellStyle name="Comma 2 5 3 13" xfId="11039" xr:uid="{E001E93A-2EE5-49F7-8188-5F6E380AD317}"/>
    <cellStyle name="Comma 2 5 3 14" xfId="11591" xr:uid="{32370342-EFEC-45DA-B126-5E659C008421}"/>
    <cellStyle name="Comma 2 5 3 15" xfId="13844" xr:uid="{3B37AFEC-69DD-4166-8007-D566A7888C38}"/>
    <cellStyle name="Comma 2 5 3 16" xfId="16097" xr:uid="{82E93DC9-5DAD-474A-B6D6-A412F7A66265}"/>
    <cellStyle name="Comma 2 5 3 2" xfId="298" xr:uid="{4FF58420-9EE9-4ECF-840B-20ECB1CCC96F}"/>
    <cellStyle name="Comma 2 5 3 2 10" xfId="8774" xr:uid="{D9EC1FC4-5ACD-4BD6-BD10-1F50D867DA9F}"/>
    <cellStyle name="Comma 2 5 3 2 11" xfId="9911" xr:uid="{956DF173-6A20-4C2E-AECE-C7BA1816281C}"/>
    <cellStyle name="Comma 2 5 3 2 12" xfId="11038" xr:uid="{CF21ECC1-305B-4EBD-9ECA-123512BECEDB}"/>
    <cellStyle name="Comma 2 5 3 2 13" xfId="11592" xr:uid="{5D9CDE62-D7A9-46B2-9A9A-B729A0CDC7A2}"/>
    <cellStyle name="Comma 2 5 3 2 14" xfId="13845" xr:uid="{F046F441-1A46-4DAA-8801-EE5B143EB9AC}"/>
    <cellStyle name="Comma 2 5 3 2 15" xfId="16098" xr:uid="{B3D50F6D-911C-46E0-B99E-E888E7E7389C}"/>
    <cellStyle name="Comma 2 5 3 2 2" xfId="299" xr:uid="{57540E25-88CC-4233-BD8E-9635ADC6AA40}"/>
    <cellStyle name="Comma 2 5 3 2 2 10" xfId="11037" xr:uid="{2C288AC5-85C2-4452-AEF7-D9E1D680A6FF}"/>
    <cellStyle name="Comma 2 5 3 2 2 11" xfId="11593" xr:uid="{E449BE76-DF7E-4817-A72B-208FEAB615CA}"/>
    <cellStyle name="Comma 2 5 3 2 2 12" xfId="13846" xr:uid="{8114DC12-8232-4041-A3B1-0E945D214F49}"/>
    <cellStyle name="Comma 2 5 3 2 2 13" xfId="16099" xr:uid="{38C2D76C-7A7A-4984-AA9E-1A765430C213}"/>
    <cellStyle name="Comma 2 5 3 2 2 2" xfId="1436" xr:uid="{6B538C62-AA79-4BFE-A847-8A5603F371B1}"/>
    <cellStyle name="Comma 2 5 3 2 2 2 2" xfId="12720" xr:uid="{035AEFA0-A761-4B3B-9D3F-508A0A3F7E21}"/>
    <cellStyle name="Comma 2 5 3 2 2 2 3" xfId="14973" xr:uid="{E8688F9F-2BAC-45A3-B66E-D07710F1EEA2}"/>
    <cellStyle name="Comma 2 5 3 2 2 2 4" xfId="17226" xr:uid="{08C4FB53-8F68-46C1-AED2-E1D45FAB2937}"/>
    <cellStyle name="Comma 2 5 3 2 2 3" xfId="2562" xr:uid="{76C5880C-6D25-4B1F-84D4-521D67DE0C63}"/>
    <cellStyle name="Comma 2 5 3 2 2 4" xfId="3688" xr:uid="{2C965052-4E3F-402D-967C-8F1CC9C042D9}"/>
    <cellStyle name="Comma 2 5 3 2 2 5" xfId="4814" xr:uid="{C101C730-8B77-4F99-BF69-FC96E87F3CE4}"/>
    <cellStyle name="Comma 2 5 3 2 2 6" xfId="5941" xr:uid="{13C8A8F5-3430-42DF-9011-6A0A71993735}"/>
    <cellStyle name="Comma 2 5 3 2 2 7" xfId="7068" xr:uid="{80155C8F-8D2C-4ABF-8005-6D99943E0262}"/>
    <cellStyle name="Comma 2 5 3 2 2 8" xfId="8773" xr:uid="{6AA88758-E82F-433A-A6DF-1C3531FFB51B}"/>
    <cellStyle name="Comma 2 5 3 2 2 9" xfId="9910" xr:uid="{F1689EC5-05B7-4190-B282-FC0BBC325E99}"/>
    <cellStyle name="Comma 2 5 3 2 3" xfId="300" xr:uid="{AE68586F-A5D5-4A9C-ADA4-62CE11B8E6EF}"/>
    <cellStyle name="Comma 2 5 3 2 3 10" xfId="11036" xr:uid="{FBE1A6D3-E609-4580-A3CF-C637539AC81E}"/>
    <cellStyle name="Comma 2 5 3 2 3 11" xfId="11594" xr:uid="{611A0461-74D8-44C5-9B80-F02C0084BB89}"/>
    <cellStyle name="Comma 2 5 3 2 3 12" xfId="13847" xr:uid="{FBDE161D-0D0A-483E-878C-B85C1472747B}"/>
    <cellStyle name="Comma 2 5 3 2 3 13" xfId="16100" xr:uid="{50B9F29C-F3D1-420A-B0FB-4FCAA84076F7}"/>
    <cellStyle name="Comma 2 5 3 2 3 2" xfId="1437" xr:uid="{5C4A60C9-FD4C-459F-A6FE-54213A7EB766}"/>
    <cellStyle name="Comma 2 5 3 2 3 2 2" xfId="12721" xr:uid="{9157145A-E152-475E-BDA8-EBE76342469C}"/>
    <cellStyle name="Comma 2 5 3 2 3 2 3" xfId="14974" xr:uid="{F360427F-FFC4-4B0A-862F-C9DE16A4E6A5}"/>
    <cellStyle name="Comma 2 5 3 2 3 2 4" xfId="17227" xr:uid="{A5151312-2A75-4D36-B37F-476F1B6A3FCB}"/>
    <cellStyle name="Comma 2 5 3 2 3 3" xfId="2563" xr:uid="{F4F148C0-3CC8-47B0-B85D-6E4D5E55312E}"/>
    <cellStyle name="Comma 2 5 3 2 3 4" xfId="3689" xr:uid="{84CA65FE-7CBE-491B-A4BE-DA11077AC8A2}"/>
    <cellStyle name="Comma 2 5 3 2 3 5" xfId="4815" xr:uid="{6F55BD54-C8C4-4D76-A6F7-A320EEF81E0A}"/>
    <cellStyle name="Comma 2 5 3 2 3 6" xfId="5942" xr:uid="{149A24E0-10E4-4D59-B526-3C64F190EE38}"/>
    <cellStyle name="Comma 2 5 3 2 3 7" xfId="7069" xr:uid="{0D9DED8F-F904-4130-8CE0-811AC74F9602}"/>
    <cellStyle name="Comma 2 5 3 2 3 8" xfId="8772" xr:uid="{E52C924D-1262-4904-863D-05FE3F2AA59B}"/>
    <cellStyle name="Comma 2 5 3 2 3 9" xfId="9909" xr:uid="{09C184EF-7357-43BB-AB01-A576312C8DD6}"/>
    <cellStyle name="Comma 2 5 3 2 4" xfId="1435" xr:uid="{74CCAB42-BB5E-40E8-B17A-3CB202D2120E}"/>
    <cellStyle name="Comma 2 5 3 2 4 2" xfId="12719" xr:uid="{C219AB79-FEA5-4E9A-9522-756D19D2A6C1}"/>
    <cellStyle name="Comma 2 5 3 2 4 3" xfId="14972" xr:uid="{06F32DD8-9845-4272-BDDA-66633EB2E22A}"/>
    <cellStyle name="Comma 2 5 3 2 4 4" xfId="17225" xr:uid="{B5BFAEF6-D01B-4B11-BDE5-FD9235E078B1}"/>
    <cellStyle name="Comma 2 5 3 2 5" xfId="2561" xr:uid="{9B852590-6F3B-4BA2-B516-BD7A44AE6C36}"/>
    <cellStyle name="Comma 2 5 3 2 6" xfId="3687" xr:uid="{84D919A0-E868-4C0E-ABD9-7D4DFDB14BBF}"/>
    <cellStyle name="Comma 2 5 3 2 7" xfId="4813" xr:uid="{AEEC606C-D6A8-4815-8EA8-F40F9E7F0AB9}"/>
    <cellStyle name="Comma 2 5 3 2 8" xfId="5940" xr:uid="{01D09DEA-017D-4CF6-84A3-0417DB0DD8C5}"/>
    <cellStyle name="Comma 2 5 3 2 9" xfId="7067" xr:uid="{DA421CD8-C8AD-499E-9AC5-BE48CEBE2DB8}"/>
    <cellStyle name="Comma 2 5 3 3" xfId="301" xr:uid="{6653A092-AF7C-416A-A9F0-8F742DBF876A}"/>
    <cellStyle name="Comma 2 5 3 3 10" xfId="11035" xr:uid="{5D375FF9-F6E2-4C4D-97AB-C3FE5CF5078E}"/>
    <cellStyle name="Comma 2 5 3 3 11" xfId="11595" xr:uid="{1DFB842B-E72A-43F6-A641-5AA67B0734B7}"/>
    <cellStyle name="Comma 2 5 3 3 12" xfId="13848" xr:uid="{D96EE4B9-9889-4FFC-B35D-B8EC1AD592E4}"/>
    <cellStyle name="Comma 2 5 3 3 13" xfId="16101" xr:uid="{16F764D9-8F27-418F-A56A-E2B21520C69F}"/>
    <cellStyle name="Comma 2 5 3 3 2" xfId="1438" xr:uid="{46F23309-DF21-49C3-95F8-E1DAE6262E47}"/>
    <cellStyle name="Comma 2 5 3 3 2 2" xfId="12722" xr:uid="{61359A3D-68A6-46E6-B791-30217A07AA1F}"/>
    <cellStyle name="Comma 2 5 3 3 2 3" xfId="14975" xr:uid="{FE61DB02-8C48-4BAE-BE5A-D757DEE577CB}"/>
    <cellStyle name="Comma 2 5 3 3 2 4" xfId="17228" xr:uid="{298BBD43-6C6A-41E2-B234-0622FEF4A347}"/>
    <cellStyle name="Comma 2 5 3 3 3" xfId="2564" xr:uid="{7AF725D6-65CA-497F-8C88-613752C1D5CB}"/>
    <cellStyle name="Comma 2 5 3 3 4" xfId="3690" xr:uid="{03468EEE-42E4-4376-A4AE-8B46985E8A89}"/>
    <cellStyle name="Comma 2 5 3 3 5" xfId="4816" xr:uid="{F70A8F4E-399C-4C06-9C70-935B322B1B59}"/>
    <cellStyle name="Comma 2 5 3 3 6" xfId="5943" xr:uid="{5A75DD8B-1579-4F89-AC1B-AD9D3A8A028E}"/>
    <cellStyle name="Comma 2 5 3 3 7" xfId="7070" xr:uid="{648E4E9D-E1C0-4FC9-BC33-DD4098B5FDAF}"/>
    <cellStyle name="Comma 2 5 3 3 8" xfId="8771" xr:uid="{0ABDBD79-9680-4C45-AB9C-D519DFE0649E}"/>
    <cellStyle name="Comma 2 5 3 3 9" xfId="9908" xr:uid="{A291012D-D3C5-4C2F-8112-6DC21BEE7882}"/>
    <cellStyle name="Comma 2 5 3 4" xfId="302" xr:uid="{A68E8DAB-FF49-4638-BDFD-2C445CB51D9C}"/>
    <cellStyle name="Comma 2 5 3 4 10" xfId="11034" xr:uid="{D18E040D-EAF4-4E61-8D9C-96F049453937}"/>
    <cellStyle name="Comma 2 5 3 4 11" xfId="11596" xr:uid="{A65127BA-F90E-44EA-9043-FB48268633D3}"/>
    <cellStyle name="Comma 2 5 3 4 12" xfId="13849" xr:uid="{0CDBF677-4C90-42D0-AEC4-79BEEAC4B620}"/>
    <cellStyle name="Comma 2 5 3 4 13" xfId="16102" xr:uid="{25D70914-6BE8-4AD3-A4A6-5AA9A8D94235}"/>
    <cellStyle name="Comma 2 5 3 4 2" xfId="1439" xr:uid="{AE4536B7-ABE9-45FE-B758-C88F1A9F5DDF}"/>
    <cellStyle name="Comma 2 5 3 4 2 2" xfId="12723" xr:uid="{C60A546F-A4E2-4041-9D77-980D5AAB59DA}"/>
    <cellStyle name="Comma 2 5 3 4 2 3" xfId="14976" xr:uid="{04E59F93-99F5-422A-9C2B-92FB0B9F138A}"/>
    <cellStyle name="Comma 2 5 3 4 2 4" xfId="17229" xr:uid="{60953BDE-882B-466A-8D2E-948166E750C4}"/>
    <cellStyle name="Comma 2 5 3 4 3" xfId="2565" xr:uid="{2A61CD54-D051-4AC8-82FB-EA08D2B25A32}"/>
    <cellStyle name="Comma 2 5 3 4 4" xfId="3691" xr:uid="{092363D1-9485-4882-9C73-01868479C8C8}"/>
    <cellStyle name="Comma 2 5 3 4 5" xfId="4817" xr:uid="{B34F77CA-ADC5-411C-8B16-4463EE798910}"/>
    <cellStyle name="Comma 2 5 3 4 6" xfId="5944" xr:uid="{C3E785E3-DA7D-4E01-84D6-1422F3EEED57}"/>
    <cellStyle name="Comma 2 5 3 4 7" xfId="7071" xr:uid="{78DB6AC1-4121-426E-AF84-CFBDC8E75E43}"/>
    <cellStyle name="Comma 2 5 3 4 8" xfId="8770" xr:uid="{265B99C5-0418-4D3E-AF1B-114A46C465FE}"/>
    <cellStyle name="Comma 2 5 3 4 9" xfId="9907" xr:uid="{82CC302F-11CF-417C-968F-D08630A91786}"/>
    <cellStyle name="Comma 2 5 3 5" xfId="1434" xr:uid="{F44F03E6-6F18-4F8D-A60E-6DAA6A2899BB}"/>
    <cellStyle name="Comma 2 5 3 5 2" xfId="12718" xr:uid="{25D4F4DC-7225-4533-B8ED-B680DAFF818F}"/>
    <cellStyle name="Comma 2 5 3 5 3" xfId="14971" xr:uid="{5C90734F-5F89-4918-A091-ABD691EB1693}"/>
    <cellStyle name="Comma 2 5 3 5 4" xfId="17224" xr:uid="{7D28A316-1D6F-447F-9FCE-2D5C60057AF8}"/>
    <cellStyle name="Comma 2 5 3 6" xfId="2560" xr:uid="{B086DE42-4F51-4126-A87C-DFDA112A828F}"/>
    <cellStyle name="Comma 2 5 3 7" xfId="3686" xr:uid="{D3ECD7B9-6F30-4CFD-9B29-21660549FAA0}"/>
    <cellStyle name="Comma 2 5 3 8" xfId="4812" xr:uid="{45F962B9-9A83-46E5-821B-D1B7C88EA290}"/>
    <cellStyle name="Comma 2 5 3 9" xfId="5939" xr:uid="{6055BED5-9EF2-4CAD-A7FE-489306CF1E7A}"/>
    <cellStyle name="Comma 2 5 4" xfId="303" xr:uid="{93F1E3E6-471B-4E0B-A225-6AF1D2B7F7A4}"/>
    <cellStyle name="Comma 2 5 4 10" xfId="8769" xr:uid="{7BDB792C-5E34-443A-AA88-298E2D8505EE}"/>
    <cellStyle name="Comma 2 5 4 11" xfId="9906" xr:uid="{898D1CF3-A00D-4AB0-A361-84748BAA7F55}"/>
    <cellStyle name="Comma 2 5 4 12" xfId="11033" xr:uid="{EAD1E320-A60F-4366-85E7-C39BD5BFE35B}"/>
    <cellStyle name="Comma 2 5 4 13" xfId="11597" xr:uid="{43519448-61BB-4F37-8633-770424EF2A20}"/>
    <cellStyle name="Comma 2 5 4 14" xfId="13850" xr:uid="{C7F5FE29-4397-427C-8C31-A1E573C177FB}"/>
    <cellStyle name="Comma 2 5 4 15" xfId="16103" xr:uid="{6B0DB066-51D4-4D44-BC44-7DFC53AD84F5}"/>
    <cellStyle name="Comma 2 5 4 2" xfId="304" xr:uid="{8334EA90-3708-438D-B446-7A1C68EB739D}"/>
    <cellStyle name="Comma 2 5 4 2 10" xfId="11032" xr:uid="{61E5BBC2-0D7A-448A-A131-64472C243978}"/>
    <cellStyle name="Comma 2 5 4 2 11" xfId="11598" xr:uid="{C6135BA2-CC78-4384-98B2-EC963C217312}"/>
    <cellStyle name="Comma 2 5 4 2 12" xfId="13851" xr:uid="{0354FEB5-1E05-412F-88AF-9FEE0A3D6CDE}"/>
    <cellStyle name="Comma 2 5 4 2 13" xfId="16104" xr:uid="{DFE1CE34-7CED-4835-8EBB-33E80361ABA9}"/>
    <cellStyle name="Comma 2 5 4 2 2" xfId="1441" xr:uid="{81F8D2AB-6575-4A7D-A140-D85B8D050FC9}"/>
    <cellStyle name="Comma 2 5 4 2 2 2" xfId="12725" xr:uid="{BD34032C-A915-44A3-806B-922A05099563}"/>
    <cellStyle name="Comma 2 5 4 2 2 3" xfId="14978" xr:uid="{A38A0E58-940C-4324-85C2-CD42AE5BD600}"/>
    <cellStyle name="Comma 2 5 4 2 2 4" xfId="17231" xr:uid="{86D41C6A-5F9C-4FA9-849C-C2C8859FB94C}"/>
    <cellStyle name="Comma 2 5 4 2 3" xfId="2567" xr:uid="{9DF3591A-8C05-45F2-80BB-3E3FF05A81C0}"/>
    <cellStyle name="Comma 2 5 4 2 4" xfId="3693" xr:uid="{AD6AC3EB-F11B-4819-A34F-FEB5279BC43C}"/>
    <cellStyle name="Comma 2 5 4 2 5" xfId="4819" xr:uid="{1798F51C-A36E-4745-BF5C-657BB8E86DB8}"/>
    <cellStyle name="Comma 2 5 4 2 6" xfId="5946" xr:uid="{DCD64369-A0CC-4CA6-80D5-94FE1410C4B1}"/>
    <cellStyle name="Comma 2 5 4 2 7" xfId="7073" xr:uid="{1DC9E2A8-1DDA-4F88-8DE6-468E987827F2}"/>
    <cellStyle name="Comma 2 5 4 2 8" xfId="8768" xr:uid="{EAAF6369-2C79-4960-84B2-095E1EFB8B28}"/>
    <cellStyle name="Comma 2 5 4 2 9" xfId="9905" xr:uid="{67F9C666-1173-41B9-9FCE-9FDCB56BBFE3}"/>
    <cellStyle name="Comma 2 5 4 3" xfId="305" xr:uid="{F097CC28-BF76-461C-AD9D-128782BE4A3E}"/>
    <cellStyle name="Comma 2 5 4 3 10" xfId="11031" xr:uid="{03FE448D-4D3F-4BEE-9A7B-E17D0CA67295}"/>
    <cellStyle name="Comma 2 5 4 3 11" xfId="11599" xr:uid="{6D4D0BD0-9DE2-442C-ACCA-2EB4621C9235}"/>
    <cellStyle name="Comma 2 5 4 3 12" xfId="13852" xr:uid="{56162B74-6733-4EA3-AA00-139DEB81C286}"/>
    <cellStyle name="Comma 2 5 4 3 13" xfId="16105" xr:uid="{35D82C6F-EF54-4C34-A3AF-EE53D1DCF688}"/>
    <cellStyle name="Comma 2 5 4 3 2" xfId="1442" xr:uid="{227E0162-49FE-4FCC-A14C-0B8F7ECC95E6}"/>
    <cellStyle name="Comma 2 5 4 3 2 2" xfId="12726" xr:uid="{E1DA13F7-7B02-4F78-AF50-21823727FA8E}"/>
    <cellStyle name="Comma 2 5 4 3 2 3" xfId="14979" xr:uid="{815C3180-89B0-4DBA-A5FC-20A686587F5D}"/>
    <cellStyle name="Comma 2 5 4 3 2 4" xfId="17232" xr:uid="{7675F397-BAEF-4ECD-B98A-BE73FE8C07CD}"/>
    <cellStyle name="Comma 2 5 4 3 3" xfId="2568" xr:uid="{F1C76823-2CC9-4801-B9B7-FF5F619FFFE8}"/>
    <cellStyle name="Comma 2 5 4 3 4" xfId="3694" xr:uid="{CC7D0A3B-0A5B-429A-B221-0D923E679BEE}"/>
    <cellStyle name="Comma 2 5 4 3 5" xfId="4820" xr:uid="{6F4DFE45-0363-4B65-96A9-500565FB322C}"/>
    <cellStyle name="Comma 2 5 4 3 6" xfId="5947" xr:uid="{9C6301C1-C6F8-46F5-957F-DCC10C3647B5}"/>
    <cellStyle name="Comma 2 5 4 3 7" xfId="7074" xr:uid="{3BE770F4-C533-4802-9C0D-ABBCF1665DA5}"/>
    <cellStyle name="Comma 2 5 4 3 8" xfId="8767" xr:uid="{C9820477-D137-4884-84A7-DD59343574DA}"/>
    <cellStyle name="Comma 2 5 4 3 9" xfId="9904" xr:uid="{856F20AB-A6DE-491F-A2BB-B7767DC49667}"/>
    <cellStyle name="Comma 2 5 4 4" xfId="1440" xr:uid="{9D87EE4A-7412-4E41-BAAF-97E480AB65C4}"/>
    <cellStyle name="Comma 2 5 4 4 2" xfId="12724" xr:uid="{81E207CF-0E07-4C91-A234-18B0792C86F3}"/>
    <cellStyle name="Comma 2 5 4 4 3" xfId="14977" xr:uid="{544EA0BF-4A75-4D22-A5CC-ACE40B9CD374}"/>
    <cellStyle name="Comma 2 5 4 4 4" xfId="17230" xr:uid="{A3C0D1FF-BF89-41E6-A774-26A1D3C081B6}"/>
    <cellStyle name="Comma 2 5 4 5" xfId="2566" xr:uid="{688B28AF-F5C7-4A1F-B568-FC2BD247B7BB}"/>
    <cellStyle name="Comma 2 5 4 6" xfId="3692" xr:uid="{B1F5B8DD-2306-46FB-86C8-045F2E18AD37}"/>
    <cellStyle name="Comma 2 5 4 7" xfId="4818" xr:uid="{8991D61D-C2A8-469A-A1BB-FF9ADE926F93}"/>
    <cellStyle name="Comma 2 5 4 8" xfId="5945" xr:uid="{A6FBCAB8-53EF-49FE-9DF2-6F4B3589DD29}"/>
    <cellStyle name="Comma 2 5 4 9" xfId="7072" xr:uid="{2F3524E8-9CD8-4B41-A4E7-8AEF5A0457F8}"/>
    <cellStyle name="Comma 2 5 5" xfId="306" xr:uid="{CE489AF2-1541-4208-A2C5-780B18678ED1}"/>
    <cellStyle name="Comma 2 5 5 10" xfId="11030" xr:uid="{982026AD-7A33-4ED5-9B56-1C561131C786}"/>
    <cellStyle name="Comma 2 5 5 11" xfId="11600" xr:uid="{C2F255B5-14C7-46E8-B094-64531E5E7B1C}"/>
    <cellStyle name="Comma 2 5 5 12" xfId="13853" xr:uid="{E042BBC9-E92C-45C8-ABFD-C71D8CEB9B83}"/>
    <cellStyle name="Comma 2 5 5 13" xfId="16106" xr:uid="{AAE22398-6B07-4DB2-B4CB-5C4E2198EEC1}"/>
    <cellStyle name="Comma 2 5 5 2" xfId="1443" xr:uid="{D0B00BD0-8532-411C-8FB1-762C7FD33F31}"/>
    <cellStyle name="Comma 2 5 5 2 2" xfId="12727" xr:uid="{66CA22A4-B380-40DB-B9A5-F7CFB6A93097}"/>
    <cellStyle name="Comma 2 5 5 2 3" xfId="14980" xr:uid="{AB74C6C5-6F6F-4ADF-B7A0-126C5101CD2F}"/>
    <cellStyle name="Comma 2 5 5 2 4" xfId="17233" xr:uid="{7A404401-E0BA-4707-9804-C7438D60A664}"/>
    <cellStyle name="Comma 2 5 5 3" xfId="2569" xr:uid="{5DA8846C-FE6A-44E7-A9F5-97FBF2F95127}"/>
    <cellStyle name="Comma 2 5 5 4" xfId="3695" xr:uid="{E38A0CEC-6C2A-4428-83DE-11DEE6C3DC21}"/>
    <cellStyle name="Comma 2 5 5 5" xfId="4821" xr:uid="{6D4E181F-E4A4-4628-912D-83705C7F77A1}"/>
    <cellStyle name="Comma 2 5 5 6" xfId="5948" xr:uid="{19F8CAD4-78D4-41A0-ADC7-61B10FBE5DDE}"/>
    <cellStyle name="Comma 2 5 5 7" xfId="7075" xr:uid="{834D1B3C-B7A7-4538-9FED-770802B84018}"/>
    <cellStyle name="Comma 2 5 5 8" xfId="8766" xr:uid="{7DBDABB5-54C5-4DCA-8BF0-B7A75CA03B0B}"/>
    <cellStyle name="Comma 2 5 5 9" xfId="9903" xr:uid="{EC6EEFF8-5444-4BC4-9DB3-0BD995F28CD5}"/>
    <cellStyle name="Comma 2 5 6" xfId="307" xr:uid="{60FF1D90-9A03-41B5-A568-4DB9AEB630C1}"/>
    <cellStyle name="Comma 2 5 6 10" xfId="11029" xr:uid="{0A2E7C0B-0E84-417F-9F64-EF62D10439A8}"/>
    <cellStyle name="Comma 2 5 6 11" xfId="11601" xr:uid="{16EC795A-FC5F-45F8-A7B2-4E4BF7C08E70}"/>
    <cellStyle name="Comma 2 5 6 12" xfId="13854" xr:uid="{36C99BD7-ABCE-4387-B1B9-ED2892C559BB}"/>
    <cellStyle name="Comma 2 5 6 13" xfId="16107" xr:uid="{8484B55D-61D4-44BE-A31F-4ED5981AC819}"/>
    <cellStyle name="Comma 2 5 6 2" xfId="1444" xr:uid="{3C71E5D8-BE1D-4083-A4FD-E89EB999201D}"/>
    <cellStyle name="Comma 2 5 6 2 2" xfId="12728" xr:uid="{8B603DA5-AE1A-45D1-8699-FDA8985086CD}"/>
    <cellStyle name="Comma 2 5 6 2 3" xfId="14981" xr:uid="{1E0397CE-53F8-4635-97E7-D4E8ED0286E2}"/>
    <cellStyle name="Comma 2 5 6 2 4" xfId="17234" xr:uid="{2539F5F9-AAB4-4727-91B7-1A6542FDC089}"/>
    <cellStyle name="Comma 2 5 6 3" xfId="2570" xr:uid="{5248C282-2864-4CFD-B498-6EA5E938C8A5}"/>
    <cellStyle name="Comma 2 5 6 4" xfId="3696" xr:uid="{2A16B907-5E48-42DF-962F-6FC4E50BC589}"/>
    <cellStyle name="Comma 2 5 6 5" xfId="4822" xr:uid="{57D8655E-5E6C-4AE5-8301-992C853755DF}"/>
    <cellStyle name="Comma 2 5 6 6" xfId="5949" xr:uid="{EBFA72F4-B6EC-4D09-9063-BF39E5FD58A2}"/>
    <cellStyle name="Comma 2 5 6 7" xfId="7076" xr:uid="{92466A7F-5B45-4074-B810-8DC18AB9AA6B}"/>
    <cellStyle name="Comma 2 5 6 8" xfId="8765" xr:uid="{EEDB2DD7-0785-4F46-89B6-8AFD8584F100}"/>
    <cellStyle name="Comma 2 5 6 9" xfId="9902" xr:uid="{3A574843-DF3E-4BB0-8E12-0D0AFFF46CB0}"/>
    <cellStyle name="Comma 2 5 7" xfId="1421" xr:uid="{AB890EDC-199A-4238-BC5A-CEE6A7B004D2}"/>
    <cellStyle name="Comma 2 5 7 2" xfId="12705" xr:uid="{BFADBDDB-22A2-47A5-A3AE-6F752DB98950}"/>
    <cellStyle name="Comma 2 5 7 3" xfId="14958" xr:uid="{D94101AB-B2F6-4230-B3D1-B6F9BEE98EF8}"/>
    <cellStyle name="Comma 2 5 7 4" xfId="17211" xr:uid="{252C8CA8-0EA6-467A-A8FB-EF1D3DE5E031}"/>
    <cellStyle name="Comma 2 5 8" xfId="2547" xr:uid="{7422247A-95F3-4579-8273-EB0CD8022D7A}"/>
    <cellStyle name="Comma 2 5 9" xfId="3673" xr:uid="{190AE57A-A9F7-4699-BE2B-5E8CC6A379F3}"/>
    <cellStyle name="Comma 2 6" xfId="308" xr:uid="{32BA9557-F8FC-493E-BB8C-A0EC0BC8BE81}"/>
    <cellStyle name="Comma 2 6 2" xfId="309" xr:uid="{0F5AEFF4-3FAF-49D7-9644-FA9D0DFB5C1C}"/>
    <cellStyle name="Comma 2 6 2 2" xfId="7078" xr:uid="{3D2CFCC6-8AB9-41C5-A161-F569DCB05203}"/>
    <cellStyle name="Comma 2 6 3" xfId="7077" xr:uid="{450C38E6-F1E6-4429-802B-00984E0F3FBE}"/>
    <cellStyle name="Comma 2 7" xfId="310" xr:uid="{5B855042-9BC5-4BAF-AE2B-393CF8244EEF}"/>
    <cellStyle name="Comma 2 7 2" xfId="7079" xr:uid="{DE64EFF5-DA73-4C7A-91B7-6669E7DDB1C7}"/>
    <cellStyle name="Comma 2 8" xfId="311" xr:uid="{F271A46D-046B-48A1-8559-9BB59FCA4397}"/>
    <cellStyle name="Comma 2 8 10" xfId="4823" xr:uid="{9C8DA2B2-38A3-437F-88BD-CA3432B0DDE6}"/>
    <cellStyle name="Comma 2 8 11" xfId="5950" xr:uid="{42D69365-17D1-443A-A738-69E8E9BC3F74}"/>
    <cellStyle name="Comma 2 8 12" xfId="7080" xr:uid="{8624E971-E03F-48E5-84BC-AFC9A3F73DEF}"/>
    <cellStyle name="Comma 2 8 13" xfId="8764" xr:uid="{78F345DA-CDD6-4BD2-A082-70A7EB05C140}"/>
    <cellStyle name="Comma 2 8 14" xfId="9901" xr:uid="{2569741F-5484-44AB-8B4C-3C89C5800F95}"/>
    <cellStyle name="Comma 2 8 15" xfId="11028" xr:uid="{4F2019CB-E1EC-415A-8E15-23276BC15358}"/>
    <cellStyle name="Comma 2 8 16" xfId="11602" xr:uid="{17D9452F-10DA-4A76-8E05-879C482E7FAF}"/>
    <cellStyle name="Comma 2 8 17" xfId="13855" xr:uid="{E68B8B96-F165-4680-A0DF-A9CCAB970B38}"/>
    <cellStyle name="Comma 2 8 18" xfId="16108" xr:uid="{0170DFB3-84CD-4628-9B7D-46580DD52C74}"/>
    <cellStyle name="Comma 2 8 2" xfId="312" xr:uid="{6D7D95DB-8558-42BA-8327-7F192420E2DA}"/>
    <cellStyle name="Comma 2 8 2 10" xfId="5951" xr:uid="{EF37C00B-455A-41D8-BBC8-3BFBC7E9493F}"/>
    <cellStyle name="Comma 2 8 2 11" xfId="7081" xr:uid="{8515E52D-3EA6-4806-AC89-2F62FFEAE321}"/>
    <cellStyle name="Comma 2 8 2 12" xfId="8763" xr:uid="{49155D4A-E786-4AC2-A59D-DFEAC1815490}"/>
    <cellStyle name="Comma 2 8 2 13" xfId="9900" xr:uid="{F36A36F1-2ABF-48D2-9640-3CACAD2F457E}"/>
    <cellStyle name="Comma 2 8 2 14" xfId="11027" xr:uid="{A29844B5-C6C8-451B-8B15-D183A4E0B366}"/>
    <cellStyle name="Comma 2 8 2 15" xfId="11603" xr:uid="{AA097B97-BEEE-4597-8267-9482708CC482}"/>
    <cellStyle name="Comma 2 8 2 16" xfId="13856" xr:uid="{2BEFA9A6-774E-48F4-85F4-3364A6C72AA0}"/>
    <cellStyle name="Comma 2 8 2 17" xfId="16109" xr:uid="{0F75B34B-B23A-44D7-A583-D3D940105B19}"/>
    <cellStyle name="Comma 2 8 2 2" xfId="313" xr:uid="{45623110-28E6-47EC-B135-2195EB24530E}"/>
    <cellStyle name="Comma 2 8 2 2 10" xfId="7082" xr:uid="{845C5FE3-030C-463F-B8CC-EBF7FCDA4563}"/>
    <cellStyle name="Comma 2 8 2 2 11" xfId="8762" xr:uid="{0B17E4A0-FC26-48DC-883C-34A2C4FBA38D}"/>
    <cellStyle name="Comma 2 8 2 2 12" xfId="9899" xr:uid="{DDEEE5FF-7F0E-4380-84A1-0F935F3E945F}"/>
    <cellStyle name="Comma 2 8 2 2 13" xfId="11026" xr:uid="{1312F5C2-1D60-4816-BEA0-EAE4A093DF8F}"/>
    <cellStyle name="Comma 2 8 2 2 14" xfId="11604" xr:uid="{4772FD7A-710D-49CC-AB7C-2166AA0D079E}"/>
    <cellStyle name="Comma 2 8 2 2 15" xfId="13857" xr:uid="{06E1B1FB-5E96-4EC8-9A71-4EF915A9FC9C}"/>
    <cellStyle name="Comma 2 8 2 2 16" xfId="16110" xr:uid="{42B9380C-F0CC-497C-AD1E-1FC1BE24EDB1}"/>
    <cellStyle name="Comma 2 8 2 2 2" xfId="314" xr:uid="{81B01C28-E70B-4C5A-A2ED-BD2ED3901CEE}"/>
    <cellStyle name="Comma 2 8 2 2 2 10" xfId="8761" xr:uid="{C9D8167C-40AF-446D-A8B7-A285E9210998}"/>
    <cellStyle name="Comma 2 8 2 2 2 11" xfId="9898" xr:uid="{CBF4001A-A751-4D57-B3B5-2DFFE4EBBFE0}"/>
    <cellStyle name="Comma 2 8 2 2 2 12" xfId="11025" xr:uid="{0B372BB0-FBAF-42EB-B32B-DCCD8DBE4040}"/>
    <cellStyle name="Comma 2 8 2 2 2 13" xfId="11605" xr:uid="{556A59D9-FECF-43FF-BA1C-BA1716080983}"/>
    <cellStyle name="Comma 2 8 2 2 2 14" xfId="13858" xr:uid="{663182C3-1DD0-4ADE-8DF2-5EDBDD66511B}"/>
    <cellStyle name="Comma 2 8 2 2 2 15" xfId="16111" xr:uid="{9F2E9B13-BF68-4AEE-8F20-F72E209F5CF9}"/>
    <cellStyle name="Comma 2 8 2 2 2 2" xfId="315" xr:uid="{EB2D132E-AFB6-4F01-8A66-A102F33D3EB5}"/>
    <cellStyle name="Comma 2 8 2 2 2 2 10" xfId="11024" xr:uid="{EF277FE5-51C1-46AD-B565-48F4D9CA760F}"/>
    <cellStyle name="Comma 2 8 2 2 2 2 11" xfId="11606" xr:uid="{CA32EA74-1758-4153-B618-8BB8B6FE5150}"/>
    <cellStyle name="Comma 2 8 2 2 2 2 12" xfId="13859" xr:uid="{AD2AC286-2F63-4B82-884A-6E2A0DE42F24}"/>
    <cellStyle name="Comma 2 8 2 2 2 2 13" xfId="16112" xr:uid="{BC9F0D12-2C0D-4178-B2EC-A527CAFF6C85}"/>
    <cellStyle name="Comma 2 8 2 2 2 2 2" xfId="1449" xr:uid="{76981BE4-50F4-4FA0-90F8-98BADF37CD19}"/>
    <cellStyle name="Comma 2 8 2 2 2 2 2 2" xfId="12733" xr:uid="{A847463F-5A20-4DEE-9EB4-FE72F29D7F76}"/>
    <cellStyle name="Comma 2 8 2 2 2 2 2 3" xfId="14986" xr:uid="{F7DE5917-F762-4E10-9B05-D11DBB558080}"/>
    <cellStyle name="Comma 2 8 2 2 2 2 2 4" xfId="17239" xr:uid="{34353EF6-5AFE-4845-9650-C17E505942E8}"/>
    <cellStyle name="Comma 2 8 2 2 2 2 3" xfId="2575" xr:uid="{EE2B7232-AAC0-40F6-B70B-8819AC6100F8}"/>
    <cellStyle name="Comma 2 8 2 2 2 2 4" xfId="3701" xr:uid="{159A6ED0-7A51-4D0D-BBE5-0B872FD0BB08}"/>
    <cellStyle name="Comma 2 8 2 2 2 2 5" xfId="4827" xr:uid="{CF390074-8CFB-48BC-BF34-CE98632BE6BA}"/>
    <cellStyle name="Comma 2 8 2 2 2 2 6" xfId="5954" xr:uid="{07F6DBE6-E062-4479-9C94-12A93F971954}"/>
    <cellStyle name="Comma 2 8 2 2 2 2 7" xfId="7084" xr:uid="{F6ACBD84-1C2D-44D2-926C-1EC6C42CE282}"/>
    <cellStyle name="Comma 2 8 2 2 2 2 8" xfId="8760" xr:uid="{3B4E21AA-FC98-4997-B5BE-534D7D3E05B4}"/>
    <cellStyle name="Comma 2 8 2 2 2 2 9" xfId="9897" xr:uid="{3826BBF5-1DE7-4B1B-8DFE-F2DDCA6ED343}"/>
    <cellStyle name="Comma 2 8 2 2 2 3" xfId="316" xr:uid="{8BF45CA4-AE1F-4497-A4B9-56B3C173A0DD}"/>
    <cellStyle name="Comma 2 8 2 2 2 3 10" xfId="11023" xr:uid="{19124DF6-8EEC-4FCB-B7EF-446392E01C09}"/>
    <cellStyle name="Comma 2 8 2 2 2 3 11" xfId="11607" xr:uid="{06C17A0E-03D5-40D2-927D-5C43ADA78CB8}"/>
    <cellStyle name="Comma 2 8 2 2 2 3 12" xfId="13860" xr:uid="{CA665EAD-25FB-4C76-8FA5-A0BA374870D1}"/>
    <cellStyle name="Comma 2 8 2 2 2 3 13" xfId="16113" xr:uid="{EAF0B875-E6EA-4726-BFCA-7075D6CCA158}"/>
    <cellStyle name="Comma 2 8 2 2 2 3 2" xfId="1450" xr:uid="{E134C4D3-8EFC-4F5F-AD49-8871FE84209B}"/>
    <cellStyle name="Comma 2 8 2 2 2 3 2 2" xfId="12734" xr:uid="{BAD68295-C8D8-4E7D-BD61-DCFBA94B0371}"/>
    <cellStyle name="Comma 2 8 2 2 2 3 2 3" xfId="14987" xr:uid="{523FA4C8-5C64-425C-9726-90183417AC7E}"/>
    <cellStyle name="Comma 2 8 2 2 2 3 2 4" xfId="17240" xr:uid="{A1111776-20A2-41E8-AC34-BDE4A8345EBF}"/>
    <cellStyle name="Comma 2 8 2 2 2 3 3" xfId="2576" xr:uid="{27CE323A-938E-4F02-BCB2-6966569AD262}"/>
    <cellStyle name="Comma 2 8 2 2 2 3 4" xfId="3702" xr:uid="{911CB886-6D35-4022-AA12-1E97E8E32BBA}"/>
    <cellStyle name="Comma 2 8 2 2 2 3 5" xfId="4828" xr:uid="{39EC93A8-5072-4F33-BF0D-A9BA2A64186B}"/>
    <cellStyle name="Comma 2 8 2 2 2 3 6" xfId="5955" xr:uid="{5584E357-AE37-4130-A686-7C6A783F9675}"/>
    <cellStyle name="Comma 2 8 2 2 2 3 7" xfId="7085" xr:uid="{967B1C47-1F84-4C87-A388-4933D3379444}"/>
    <cellStyle name="Comma 2 8 2 2 2 3 8" xfId="8759" xr:uid="{2A2A4F52-0C8B-48AE-B1B7-3BE39B2411BD}"/>
    <cellStyle name="Comma 2 8 2 2 2 3 9" xfId="9896" xr:uid="{61A8BF82-AA3F-40F7-9E8D-543FC8B74A6D}"/>
    <cellStyle name="Comma 2 8 2 2 2 4" xfId="1448" xr:uid="{83FFCA33-DEC1-4965-ADCB-2FEC0127C133}"/>
    <cellStyle name="Comma 2 8 2 2 2 4 2" xfId="12732" xr:uid="{4DD683AF-A00F-4936-A3EE-594E7E916287}"/>
    <cellStyle name="Comma 2 8 2 2 2 4 3" xfId="14985" xr:uid="{39B9BA87-0881-4931-9E3B-E5966F809E02}"/>
    <cellStyle name="Comma 2 8 2 2 2 4 4" xfId="17238" xr:uid="{27137F7B-0322-48F5-9AE4-A5DF3C272B11}"/>
    <cellStyle name="Comma 2 8 2 2 2 5" xfId="2574" xr:uid="{43C67BDA-A699-457C-AA63-CFA7488FD201}"/>
    <cellStyle name="Comma 2 8 2 2 2 6" xfId="3700" xr:uid="{A2C34151-D03F-4E4C-A9D0-3F732C9C89C8}"/>
    <cellStyle name="Comma 2 8 2 2 2 7" xfId="4826" xr:uid="{8A393C11-1BEA-425A-86D4-E23B0665E19B}"/>
    <cellStyle name="Comma 2 8 2 2 2 8" xfId="5953" xr:uid="{A7ADB895-35A4-475B-8ED2-B8CD7B699CA7}"/>
    <cellStyle name="Comma 2 8 2 2 2 9" xfId="7083" xr:uid="{1BF00411-B077-4C01-AF99-0920C826B509}"/>
    <cellStyle name="Comma 2 8 2 2 3" xfId="317" xr:uid="{4C42DEF6-3832-422B-8330-31B6686ED733}"/>
    <cellStyle name="Comma 2 8 2 2 3 10" xfId="11022" xr:uid="{B30B310C-53AF-4783-A283-649A5446F8C9}"/>
    <cellStyle name="Comma 2 8 2 2 3 11" xfId="11608" xr:uid="{872855A3-C64E-4218-B52E-E3A349C037AE}"/>
    <cellStyle name="Comma 2 8 2 2 3 12" xfId="13861" xr:uid="{B9DAE44F-891D-4EE9-AF45-5B652BE0C6D3}"/>
    <cellStyle name="Comma 2 8 2 2 3 13" xfId="16114" xr:uid="{F975AB00-4E5A-4D47-B212-E470A8208A89}"/>
    <cellStyle name="Comma 2 8 2 2 3 2" xfId="1451" xr:uid="{97C42496-7D80-43E8-870B-31AA695CAD0B}"/>
    <cellStyle name="Comma 2 8 2 2 3 2 2" xfId="12735" xr:uid="{B7B9F5F5-67F1-4698-ABBC-EE7241895C1A}"/>
    <cellStyle name="Comma 2 8 2 2 3 2 3" xfId="14988" xr:uid="{E8CDB5E3-53D4-4CB2-B117-91DB361E5628}"/>
    <cellStyle name="Comma 2 8 2 2 3 2 4" xfId="17241" xr:uid="{D0E676DC-251E-4897-8972-B7F294112386}"/>
    <cellStyle name="Comma 2 8 2 2 3 3" xfId="2577" xr:uid="{7B3BDC51-8C03-43A4-88CA-052A42099CAA}"/>
    <cellStyle name="Comma 2 8 2 2 3 4" xfId="3703" xr:uid="{C45B320A-C6CF-4D2A-B8DA-C34A4A8CED0A}"/>
    <cellStyle name="Comma 2 8 2 2 3 5" xfId="4829" xr:uid="{B4BCAA03-B062-40A2-BA29-33BA0F6EB9AB}"/>
    <cellStyle name="Comma 2 8 2 2 3 6" xfId="5956" xr:uid="{A71B1DA4-D533-44CB-8C50-C5EBEED547DF}"/>
    <cellStyle name="Comma 2 8 2 2 3 7" xfId="7086" xr:uid="{581E8E6B-AFED-4BDA-84A0-9F1D5603DBE0}"/>
    <cellStyle name="Comma 2 8 2 2 3 8" xfId="8758" xr:uid="{74D0CDAF-7599-47BD-9608-82797755BE9D}"/>
    <cellStyle name="Comma 2 8 2 2 3 9" xfId="9895" xr:uid="{43217513-383D-4714-A8D1-E49DD281660E}"/>
    <cellStyle name="Comma 2 8 2 2 4" xfId="318" xr:uid="{FBC50A4F-0F4D-48EF-90A4-9BB4678DA7EE}"/>
    <cellStyle name="Comma 2 8 2 2 4 10" xfId="11021" xr:uid="{A628EF07-201B-4B4D-920C-204F211A2F85}"/>
    <cellStyle name="Comma 2 8 2 2 4 11" xfId="11609" xr:uid="{39C165F8-8383-4D98-8B37-133161094356}"/>
    <cellStyle name="Comma 2 8 2 2 4 12" xfId="13862" xr:uid="{0388ADD2-9240-4BE3-AFCD-2D98B83A81DD}"/>
    <cellStyle name="Comma 2 8 2 2 4 13" xfId="16115" xr:uid="{E2B53FD9-2673-46C0-B964-DE69AE380C5C}"/>
    <cellStyle name="Comma 2 8 2 2 4 2" xfId="1452" xr:uid="{C5E8E5E1-7FB8-4EE3-BF93-0CD60658EC78}"/>
    <cellStyle name="Comma 2 8 2 2 4 2 2" xfId="12736" xr:uid="{68740F03-355B-4F94-B72B-B81C29A73E04}"/>
    <cellStyle name="Comma 2 8 2 2 4 2 3" xfId="14989" xr:uid="{40D97119-02DD-42F9-B221-EB2F02EE67AE}"/>
    <cellStyle name="Comma 2 8 2 2 4 2 4" xfId="17242" xr:uid="{BA707CF8-A20D-4B70-8F8B-B349E5156D41}"/>
    <cellStyle name="Comma 2 8 2 2 4 3" xfId="2578" xr:uid="{9DD34F15-9DD3-4EAF-A3FB-764A2912B810}"/>
    <cellStyle name="Comma 2 8 2 2 4 4" xfId="3704" xr:uid="{CCB7BA81-42B7-45F5-8DDD-1D2FCEE22B26}"/>
    <cellStyle name="Comma 2 8 2 2 4 5" xfId="4830" xr:uid="{53E95C3D-D293-4A09-8859-9D99EFD87B78}"/>
    <cellStyle name="Comma 2 8 2 2 4 6" xfId="5957" xr:uid="{E3EE59EA-4EDB-4736-A367-B4E51F0BEC20}"/>
    <cellStyle name="Comma 2 8 2 2 4 7" xfId="7087" xr:uid="{2002FE0B-D97B-4F17-8B47-C1D4A4BA608C}"/>
    <cellStyle name="Comma 2 8 2 2 4 8" xfId="8757" xr:uid="{94A98D5A-A31A-4E37-8A16-DFAB755EBBA1}"/>
    <cellStyle name="Comma 2 8 2 2 4 9" xfId="9894" xr:uid="{29F5E8B6-64CA-4D8A-A06F-384F7BF48BC3}"/>
    <cellStyle name="Comma 2 8 2 2 5" xfId="1447" xr:uid="{5702F65B-EF8D-4AC6-B16C-EE4E17F28636}"/>
    <cellStyle name="Comma 2 8 2 2 5 2" xfId="12731" xr:uid="{10B8EF28-8460-41AF-9AE9-2CB919B359FE}"/>
    <cellStyle name="Comma 2 8 2 2 5 3" xfId="14984" xr:uid="{A26CCC05-12B4-4B68-AADB-11B8E71F63DB}"/>
    <cellStyle name="Comma 2 8 2 2 5 4" xfId="17237" xr:uid="{877737FF-0C1A-49EE-A7C9-645509D576D1}"/>
    <cellStyle name="Comma 2 8 2 2 6" xfId="2573" xr:uid="{68933764-F72E-414D-B9F6-BD7748EB47B0}"/>
    <cellStyle name="Comma 2 8 2 2 7" xfId="3699" xr:uid="{2B7450EB-C703-46DE-B743-A61DF3C7A2FF}"/>
    <cellStyle name="Comma 2 8 2 2 8" xfId="4825" xr:uid="{0F643EEA-E00B-40A0-A96C-8525AA3F95AF}"/>
    <cellStyle name="Comma 2 8 2 2 9" xfId="5952" xr:uid="{F0C2E39F-CECA-465E-9D88-02212886CECE}"/>
    <cellStyle name="Comma 2 8 2 3" xfId="319" xr:uid="{1A2641BA-798B-438C-AF2C-75B93CA44A1D}"/>
    <cellStyle name="Comma 2 8 2 3 10" xfId="8756" xr:uid="{A86E9338-F530-4974-AE8A-AFDEC6444FC2}"/>
    <cellStyle name="Comma 2 8 2 3 11" xfId="9893" xr:uid="{617F2819-208D-494A-A527-7EC158EF89F8}"/>
    <cellStyle name="Comma 2 8 2 3 12" xfId="11020" xr:uid="{278BD317-016E-425A-AB5F-297FE058C2EF}"/>
    <cellStyle name="Comma 2 8 2 3 13" xfId="11610" xr:uid="{832E4354-8280-4A55-9D2F-42CFB74EAD4D}"/>
    <cellStyle name="Comma 2 8 2 3 14" xfId="13863" xr:uid="{75771A4B-55AB-44CF-9DEB-3C954558987D}"/>
    <cellStyle name="Comma 2 8 2 3 15" xfId="16116" xr:uid="{D0BA32E8-C012-4048-9ED8-6714D3A58E34}"/>
    <cellStyle name="Comma 2 8 2 3 2" xfId="320" xr:uid="{B5E6E1EC-4017-47B0-BE6A-B14994A2C15B}"/>
    <cellStyle name="Comma 2 8 2 3 2 10" xfId="11019" xr:uid="{CCCB2C00-6265-4AAE-95A3-B44CCB7B91BA}"/>
    <cellStyle name="Comma 2 8 2 3 2 11" xfId="11611" xr:uid="{406672BA-6532-487E-BE26-F643F3C479AD}"/>
    <cellStyle name="Comma 2 8 2 3 2 12" xfId="13864" xr:uid="{A17555BC-7CA4-4C92-9612-CDDE34839A18}"/>
    <cellStyle name="Comma 2 8 2 3 2 13" xfId="16117" xr:uid="{5C81E955-E99C-4426-AA90-2C62A9835635}"/>
    <cellStyle name="Comma 2 8 2 3 2 2" xfId="1454" xr:uid="{97F99174-7BDC-4E9E-89CC-1281B96A6A1D}"/>
    <cellStyle name="Comma 2 8 2 3 2 2 2" xfId="12738" xr:uid="{2E738380-2238-4A08-B5DC-43635AF9D67C}"/>
    <cellStyle name="Comma 2 8 2 3 2 2 3" xfId="14991" xr:uid="{7D84CB76-ED3D-467C-A881-78E9D044B139}"/>
    <cellStyle name="Comma 2 8 2 3 2 2 4" xfId="17244" xr:uid="{791EF9A0-12DB-42C9-8F82-AD0125FA8B4B}"/>
    <cellStyle name="Comma 2 8 2 3 2 3" xfId="2580" xr:uid="{B89EE7FD-7218-46AF-B044-AAA8FC45B099}"/>
    <cellStyle name="Comma 2 8 2 3 2 4" xfId="3706" xr:uid="{BADD51A6-08F9-4BE2-BDED-23EB2E18C8CF}"/>
    <cellStyle name="Comma 2 8 2 3 2 5" xfId="4832" xr:uid="{DB054FB0-8A5C-41FF-85F3-76C35F158577}"/>
    <cellStyle name="Comma 2 8 2 3 2 6" xfId="5959" xr:uid="{8A070038-42D1-4804-A0AC-993C87769D9E}"/>
    <cellStyle name="Comma 2 8 2 3 2 7" xfId="7089" xr:uid="{2338DF88-99C8-485A-9217-F43BD3E4ED5D}"/>
    <cellStyle name="Comma 2 8 2 3 2 8" xfId="8755" xr:uid="{640C2A76-5FE5-47E0-9FEE-005CCE2D755B}"/>
    <cellStyle name="Comma 2 8 2 3 2 9" xfId="9892" xr:uid="{52A8C2DF-FC97-46EA-AFBE-C9DF80133745}"/>
    <cellStyle name="Comma 2 8 2 3 3" xfId="321" xr:uid="{A499E752-E668-4F94-81DF-9469AD8FD3C1}"/>
    <cellStyle name="Comma 2 8 2 3 3 10" xfId="11018" xr:uid="{AC15AD9D-FCA7-4DCB-85C6-939CCF71AE97}"/>
    <cellStyle name="Comma 2 8 2 3 3 11" xfId="11612" xr:uid="{AD0A0CED-5C04-4800-A186-EA06D5C211A5}"/>
    <cellStyle name="Comma 2 8 2 3 3 12" xfId="13865" xr:uid="{84BE64DB-EAD6-477E-8434-7FA014BB8FAB}"/>
    <cellStyle name="Comma 2 8 2 3 3 13" xfId="16118" xr:uid="{80C6BD2D-713F-484D-800B-3331678DF41A}"/>
    <cellStyle name="Comma 2 8 2 3 3 2" xfId="1455" xr:uid="{08BCD67E-1976-49D5-8257-D5A010118364}"/>
    <cellStyle name="Comma 2 8 2 3 3 2 2" xfId="12739" xr:uid="{C9FF3E06-96A6-4494-A0AD-5BF494F4CBE1}"/>
    <cellStyle name="Comma 2 8 2 3 3 2 3" xfId="14992" xr:uid="{9FB86BDB-82B5-41A1-9871-645DDC5B0BB4}"/>
    <cellStyle name="Comma 2 8 2 3 3 2 4" xfId="17245" xr:uid="{89301EE4-D4BA-4D17-AE72-66B3DC28630C}"/>
    <cellStyle name="Comma 2 8 2 3 3 3" xfId="2581" xr:uid="{36E3B9F8-90C2-44BD-932C-5C4B0079D508}"/>
    <cellStyle name="Comma 2 8 2 3 3 4" xfId="3707" xr:uid="{416ADFF2-124F-473B-82CD-E493D6A188EC}"/>
    <cellStyle name="Comma 2 8 2 3 3 5" xfId="4833" xr:uid="{11FAF848-217D-418D-92CA-DAD32B87DD04}"/>
    <cellStyle name="Comma 2 8 2 3 3 6" xfId="5960" xr:uid="{6ED0A274-0D06-4C3C-9039-23DCD1A3C8F8}"/>
    <cellStyle name="Comma 2 8 2 3 3 7" xfId="7090" xr:uid="{E973B939-7C55-4856-880E-9A7CFF8CC0BA}"/>
    <cellStyle name="Comma 2 8 2 3 3 8" xfId="8754" xr:uid="{876B2EC7-FE99-4815-9C9C-0CB61E606398}"/>
    <cellStyle name="Comma 2 8 2 3 3 9" xfId="9891" xr:uid="{650004F0-DD63-4DC7-B26C-ED58A589AA85}"/>
    <cellStyle name="Comma 2 8 2 3 4" xfId="1453" xr:uid="{0219FD5E-5B67-46B0-90AF-F7FAFF7D8518}"/>
    <cellStyle name="Comma 2 8 2 3 4 2" xfId="12737" xr:uid="{1DC3A9D9-CFBC-4F86-89CF-128219BB2660}"/>
    <cellStyle name="Comma 2 8 2 3 4 3" xfId="14990" xr:uid="{E94B1119-BF1C-4710-AF3C-3547C5007FD6}"/>
    <cellStyle name="Comma 2 8 2 3 4 4" xfId="17243" xr:uid="{A6E547D7-BEF3-48A9-A323-FBD9F3AEE732}"/>
    <cellStyle name="Comma 2 8 2 3 5" xfId="2579" xr:uid="{17D25F76-D8D2-4152-9C76-2ECEB69076C1}"/>
    <cellStyle name="Comma 2 8 2 3 6" xfId="3705" xr:uid="{E2B22DDC-4245-409F-B839-468EE90BBC6F}"/>
    <cellStyle name="Comma 2 8 2 3 7" xfId="4831" xr:uid="{8011EF86-C9B8-4734-8438-35F7B492B836}"/>
    <cellStyle name="Comma 2 8 2 3 8" xfId="5958" xr:uid="{936C43FA-6350-45CC-86FD-5033C31AC27F}"/>
    <cellStyle name="Comma 2 8 2 3 9" xfId="7088" xr:uid="{ECAC2E5B-7E81-4C9A-B8CC-2DFBC5EDEFCA}"/>
    <cellStyle name="Comma 2 8 2 4" xfId="322" xr:uid="{BAEB91E9-7C8E-4B86-A5F1-23D3D3461533}"/>
    <cellStyle name="Comma 2 8 2 4 10" xfId="11017" xr:uid="{5E4B0307-52CC-48DD-8FB0-C9037A7518D1}"/>
    <cellStyle name="Comma 2 8 2 4 11" xfId="11613" xr:uid="{AF28C1A3-9BDD-43FF-84BE-B47C3AF55EA6}"/>
    <cellStyle name="Comma 2 8 2 4 12" xfId="13866" xr:uid="{F81477BB-BB6B-465C-83EB-0B95EBBA85CE}"/>
    <cellStyle name="Comma 2 8 2 4 13" xfId="16119" xr:uid="{BC53E6CB-6576-4478-9F85-212B0E96DC1F}"/>
    <cellStyle name="Comma 2 8 2 4 2" xfId="1456" xr:uid="{F34265FE-E5E9-4738-BA50-755BFAE91DDF}"/>
    <cellStyle name="Comma 2 8 2 4 2 2" xfId="12740" xr:uid="{AD3E72AF-3303-4342-B2A8-62CA23A4EABD}"/>
    <cellStyle name="Comma 2 8 2 4 2 3" xfId="14993" xr:uid="{8B3847F0-A37C-49EC-977C-DE277AFD3A55}"/>
    <cellStyle name="Comma 2 8 2 4 2 4" xfId="17246" xr:uid="{876A51E4-E91E-4234-BD31-A95A7F81F43B}"/>
    <cellStyle name="Comma 2 8 2 4 3" xfId="2582" xr:uid="{47C2C266-896B-4114-8A9A-733F8821979A}"/>
    <cellStyle name="Comma 2 8 2 4 4" xfId="3708" xr:uid="{F25A65E2-4576-4551-A972-8811D568B65B}"/>
    <cellStyle name="Comma 2 8 2 4 5" xfId="4834" xr:uid="{E230A961-266B-4B60-B8C1-248CE92F4705}"/>
    <cellStyle name="Comma 2 8 2 4 6" xfId="5961" xr:uid="{60407185-DBED-4DAA-92B0-E12A78F1408C}"/>
    <cellStyle name="Comma 2 8 2 4 7" xfId="7091" xr:uid="{A83202F1-6C93-4B88-B052-0C15BF073FEA}"/>
    <cellStyle name="Comma 2 8 2 4 8" xfId="8753" xr:uid="{2FB21117-B00D-47D8-9480-CD56E7AF5107}"/>
    <cellStyle name="Comma 2 8 2 4 9" xfId="9890" xr:uid="{48FB5517-D205-42C9-A604-601D5EFC1BDC}"/>
    <cellStyle name="Comma 2 8 2 5" xfId="323" xr:uid="{F45CA7FC-8E4C-4D80-B96A-6E7D0EAADDE8}"/>
    <cellStyle name="Comma 2 8 2 5 10" xfId="11016" xr:uid="{31192147-A48C-4843-8C09-52B134748B0E}"/>
    <cellStyle name="Comma 2 8 2 5 11" xfId="11614" xr:uid="{1CAB98B8-C387-4D91-B38F-446960C762BF}"/>
    <cellStyle name="Comma 2 8 2 5 12" xfId="13867" xr:uid="{D9C4D580-E38E-40A9-B44A-BD87FD121E50}"/>
    <cellStyle name="Comma 2 8 2 5 13" xfId="16120" xr:uid="{202ADF86-8274-40E9-9E9A-84402D43FDF0}"/>
    <cellStyle name="Comma 2 8 2 5 2" xfId="1457" xr:uid="{9E9F7E83-6BB7-4907-9460-0F6FB89FFBCF}"/>
    <cellStyle name="Comma 2 8 2 5 2 2" xfId="12741" xr:uid="{1D10B756-E926-46E2-8C55-FEBFCF47F281}"/>
    <cellStyle name="Comma 2 8 2 5 2 3" xfId="14994" xr:uid="{9B7F52F4-588C-4C2B-8CC6-3575C3753539}"/>
    <cellStyle name="Comma 2 8 2 5 2 4" xfId="17247" xr:uid="{446BD6A5-F214-4E74-BACA-7B28E28C3997}"/>
    <cellStyle name="Comma 2 8 2 5 3" xfId="2583" xr:uid="{BE90BA07-73C1-4F2E-B294-3BAD32678289}"/>
    <cellStyle name="Comma 2 8 2 5 4" xfId="3709" xr:uid="{4460E130-B4E7-4751-A194-4D298F9DAD5D}"/>
    <cellStyle name="Comma 2 8 2 5 5" xfId="4835" xr:uid="{0952BA22-CC13-4F95-AB60-DF1BA24B4274}"/>
    <cellStyle name="Comma 2 8 2 5 6" xfId="5962" xr:uid="{D2ECC4ED-61BF-4AAA-9B48-38F8B0127971}"/>
    <cellStyle name="Comma 2 8 2 5 7" xfId="7092" xr:uid="{F04DFCFD-DE4E-4DBE-9671-A225C749242D}"/>
    <cellStyle name="Comma 2 8 2 5 8" xfId="8752" xr:uid="{20498EE8-77F8-4E0F-8256-8857121744C3}"/>
    <cellStyle name="Comma 2 8 2 5 9" xfId="9889" xr:uid="{00EBFB33-A36A-427D-A454-15C468D065F5}"/>
    <cellStyle name="Comma 2 8 2 6" xfId="1446" xr:uid="{46DEC7C9-3A54-4940-BE1D-25FC262861BE}"/>
    <cellStyle name="Comma 2 8 2 6 2" xfId="12730" xr:uid="{6BBB34F1-DBAD-4CBC-BB8D-167BC27B8A6B}"/>
    <cellStyle name="Comma 2 8 2 6 3" xfId="14983" xr:uid="{39CC0FA3-EEA6-497A-9DFD-2162C1404568}"/>
    <cellStyle name="Comma 2 8 2 6 4" xfId="17236" xr:uid="{1CDD3CFA-5A99-4DAF-8E4D-785B03D6CCB9}"/>
    <cellStyle name="Comma 2 8 2 7" xfId="2572" xr:uid="{D5437199-5BA9-464D-B7F7-62D9A0A6C188}"/>
    <cellStyle name="Comma 2 8 2 8" xfId="3698" xr:uid="{56BF3F28-537B-4E5B-90ED-BBAB4F55A82C}"/>
    <cellStyle name="Comma 2 8 2 9" xfId="4824" xr:uid="{BBCD036E-4C1F-4BC6-AF3B-2F843AAB59CD}"/>
    <cellStyle name="Comma 2 8 3" xfId="324" xr:uid="{3BC543B5-8717-48BE-9160-C2377208443C}"/>
    <cellStyle name="Comma 2 8 3 10" xfId="7093" xr:uid="{25415D7A-638F-438F-B433-062EA78DFA36}"/>
    <cellStyle name="Comma 2 8 3 11" xfId="8751" xr:uid="{E8666925-489D-4502-B271-79A089C652E7}"/>
    <cellStyle name="Comma 2 8 3 12" xfId="9888" xr:uid="{9E4E14D0-AC8D-4A13-AFAE-1CCFF2E3CD6F}"/>
    <cellStyle name="Comma 2 8 3 13" xfId="11015" xr:uid="{94413370-160B-415B-873D-96C9DDCC1E9C}"/>
    <cellStyle name="Comma 2 8 3 14" xfId="11615" xr:uid="{C74F2A54-6A57-47B4-B90B-FAD93D7F4CD0}"/>
    <cellStyle name="Comma 2 8 3 15" xfId="13868" xr:uid="{59066942-1747-416F-90C1-395EA3A4F82B}"/>
    <cellStyle name="Comma 2 8 3 16" xfId="16121" xr:uid="{91EADB24-2EFE-45F3-8A36-C724421848A2}"/>
    <cellStyle name="Comma 2 8 3 2" xfId="325" xr:uid="{52905A2A-2755-4BAD-B6D5-26FC7413C25A}"/>
    <cellStyle name="Comma 2 8 3 2 10" xfId="8750" xr:uid="{6FB1D424-B8F1-4D8C-AFCD-3C6F517633C8}"/>
    <cellStyle name="Comma 2 8 3 2 11" xfId="9887" xr:uid="{F6F3CC1E-7A20-490D-95C2-9819128307FA}"/>
    <cellStyle name="Comma 2 8 3 2 12" xfId="11014" xr:uid="{BB2EC71E-5113-4D9F-9877-4D77E921015C}"/>
    <cellStyle name="Comma 2 8 3 2 13" xfId="11616" xr:uid="{5A84773F-9B5A-450D-8678-267ACF9BD7F7}"/>
    <cellStyle name="Comma 2 8 3 2 14" xfId="13869" xr:uid="{801E75FC-E6D5-4291-B423-AD8C8F71541D}"/>
    <cellStyle name="Comma 2 8 3 2 15" xfId="16122" xr:uid="{8BC46755-8462-4EAC-B6FB-279EC6ADF7EC}"/>
    <cellStyle name="Comma 2 8 3 2 2" xfId="326" xr:uid="{2DE89461-92D0-4421-8377-C25CEAE83239}"/>
    <cellStyle name="Comma 2 8 3 2 2 10" xfId="11013" xr:uid="{655247C3-5813-49BF-A44D-394A4CA5EE34}"/>
    <cellStyle name="Comma 2 8 3 2 2 11" xfId="11617" xr:uid="{3909BFBA-E5B3-40C6-898B-B0A6C7756116}"/>
    <cellStyle name="Comma 2 8 3 2 2 12" xfId="13870" xr:uid="{76F1FE95-2A57-42F1-B775-14AEDFE582A1}"/>
    <cellStyle name="Comma 2 8 3 2 2 13" xfId="16123" xr:uid="{524D796A-4C0E-416A-AD76-0DFE21FD26DD}"/>
    <cellStyle name="Comma 2 8 3 2 2 2" xfId="1460" xr:uid="{AF63D99E-278D-4E23-B798-BB27CD2167B1}"/>
    <cellStyle name="Comma 2 8 3 2 2 2 2" xfId="12744" xr:uid="{330675C0-A5F7-48E8-88C9-E719A5458EAA}"/>
    <cellStyle name="Comma 2 8 3 2 2 2 3" xfId="14997" xr:uid="{D198DAB2-869B-4C8A-AF1F-2FFB67151D8C}"/>
    <cellStyle name="Comma 2 8 3 2 2 2 4" xfId="17250" xr:uid="{97CD9349-26F4-4E11-957E-5321CAC25286}"/>
    <cellStyle name="Comma 2 8 3 2 2 3" xfId="2586" xr:uid="{5A86742E-E9DD-4A07-97FD-5E8451B25403}"/>
    <cellStyle name="Comma 2 8 3 2 2 4" xfId="3712" xr:uid="{AAAEDCA5-E52F-428A-9D69-B6A7C681D2B4}"/>
    <cellStyle name="Comma 2 8 3 2 2 5" xfId="4838" xr:uid="{1FDEC528-ECA2-47AB-93F3-497CA3F10C42}"/>
    <cellStyle name="Comma 2 8 3 2 2 6" xfId="5965" xr:uid="{D1E2E4C5-A09C-47B9-91B5-CB6A4D0B0AD2}"/>
    <cellStyle name="Comma 2 8 3 2 2 7" xfId="7095" xr:uid="{D84024A6-B530-456B-BFAE-AFC98EE74A5F}"/>
    <cellStyle name="Comma 2 8 3 2 2 8" xfId="8749" xr:uid="{27F16BBF-4780-4F71-883E-E294549654ED}"/>
    <cellStyle name="Comma 2 8 3 2 2 9" xfId="9886" xr:uid="{97522BC0-4238-4AF2-A286-43115FFADEDA}"/>
    <cellStyle name="Comma 2 8 3 2 3" xfId="327" xr:uid="{70719A1E-C1DD-4D9F-BE45-F2354A726C90}"/>
    <cellStyle name="Comma 2 8 3 2 3 10" xfId="11012" xr:uid="{B81AEF9B-EFA7-4B6C-9558-6860C934B056}"/>
    <cellStyle name="Comma 2 8 3 2 3 11" xfId="11618" xr:uid="{D94E4AC3-7208-4E4A-8D43-4138F28FA39F}"/>
    <cellStyle name="Comma 2 8 3 2 3 12" xfId="13871" xr:uid="{C4B4FF31-2CBD-4836-A71B-14EE0BA71087}"/>
    <cellStyle name="Comma 2 8 3 2 3 13" xfId="16124" xr:uid="{553AA385-ABFF-4454-8171-FA84AB0F5234}"/>
    <cellStyle name="Comma 2 8 3 2 3 2" xfId="1461" xr:uid="{64939CBB-1BD0-4083-A3F7-EFDB93E4E15A}"/>
    <cellStyle name="Comma 2 8 3 2 3 2 2" xfId="12745" xr:uid="{0086AFBD-9B48-444F-B2D8-9B942639C090}"/>
    <cellStyle name="Comma 2 8 3 2 3 2 3" xfId="14998" xr:uid="{D6315E35-B2AA-488E-A7D3-A00DFBCD3019}"/>
    <cellStyle name="Comma 2 8 3 2 3 2 4" xfId="17251" xr:uid="{592C39D1-F1B0-4DED-A01C-D116CD4D6651}"/>
    <cellStyle name="Comma 2 8 3 2 3 3" xfId="2587" xr:uid="{3428F6D3-60F1-4946-A545-1DF63D09DE06}"/>
    <cellStyle name="Comma 2 8 3 2 3 4" xfId="3713" xr:uid="{07CED4A7-4126-4C07-9CFF-016E7BD6059F}"/>
    <cellStyle name="Comma 2 8 3 2 3 5" xfId="4839" xr:uid="{ABBC011E-9C77-49A0-BBF1-5828B103B9F4}"/>
    <cellStyle name="Comma 2 8 3 2 3 6" xfId="5966" xr:uid="{80999673-207C-4809-9D6F-051D9E560656}"/>
    <cellStyle name="Comma 2 8 3 2 3 7" xfId="7096" xr:uid="{526F7114-8DB8-4DC4-BEE8-566B7E1A628D}"/>
    <cellStyle name="Comma 2 8 3 2 3 8" xfId="8748" xr:uid="{98FA2527-902A-45E2-9777-AE37D22B02D7}"/>
    <cellStyle name="Comma 2 8 3 2 3 9" xfId="9885" xr:uid="{1C9DB342-45DB-4EFD-9A1C-7DA432D25641}"/>
    <cellStyle name="Comma 2 8 3 2 4" xfId="1459" xr:uid="{E18ADE53-72D7-4213-888C-AF73AF0DE59A}"/>
    <cellStyle name="Comma 2 8 3 2 4 2" xfId="12743" xr:uid="{FED7A4F5-46FE-44E2-93E2-17187D2177C1}"/>
    <cellStyle name="Comma 2 8 3 2 4 3" xfId="14996" xr:uid="{E439C60F-5FEB-4224-8CD1-2909A76B6EBE}"/>
    <cellStyle name="Comma 2 8 3 2 4 4" xfId="17249" xr:uid="{951A42C9-D982-4AC2-BAFA-E27AB1A57795}"/>
    <cellStyle name="Comma 2 8 3 2 5" xfId="2585" xr:uid="{77AB4AB3-50E2-4BD5-938B-142FA9B45668}"/>
    <cellStyle name="Comma 2 8 3 2 6" xfId="3711" xr:uid="{B5EB4218-E947-44F6-870C-DCBE6856945A}"/>
    <cellStyle name="Comma 2 8 3 2 7" xfId="4837" xr:uid="{D436209D-3C91-48E8-8246-BCDBB2B56E3D}"/>
    <cellStyle name="Comma 2 8 3 2 8" xfId="5964" xr:uid="{72581F51-995B-44F8-B734-FC292F37441A}"/>
    <cellStyle name="Comma 2 8 3 2 9" xfId="7094" xr:uid="{02134D5B-EE6C-4A40-9224-621065299430}"/>
    <cellStyle name="Comma 2 8 3 3" xfId="328" xr:uid="{D51A90DF-E69B-43AF-9B07-A573756C5526}"/>
    <cellStyle name="Comma 2 8 3 3 10" xfId="11011" xr:uid="{81653483-F8F4-4350-8914-B8175AF02181}"/>
    <cellStyle name="Comma 2 8 3 3 11" xfId="11619" xr:uid="{8D575645-EC98-4A89-AE1D-08694B792E6A}"/>
    <cellStyle name="Comma 2 8 3 3 12" xfId="13872" xr:uid="{64695D3B-8802-4CA0-A259-F1CD7A9F62CE}"/>
    <cellStyle name="Comma 2 8 3 3 13" xfId="16125" xr:uid="{0B69FEFD-807A-4C60-B2F1-6F96ABBE1018}"/>
    <cellStyle name="Comma 2 8 3 3 2" xfId="1462" xr:uid="{14FBBD69-0B7F-420E-B51D-62904A319C2B}"/>
    <cellStyle name="Comma 2 8 3 3 2 2" xfId="12746" xr:uid="{225B7868-C96D-414E-AF23-102CC9681E89}"/>
    <cellStyle name="Comma 2 8 3 3 2 3" xfId="14999" xr:uid="{8751781F-653B-46CD-8F46-C0241780CA73}"/>
    <cellStyle name="Comma 2 8 3 3 2 4" xfId="17252" xr:uid="{3D60E8D1-FD9B-4AC5-B02D-FF4817D99C2B}"/>
    <cellStyle name="Comma 2 8 3 3 3" xfId="2588" xr:uid="{1BB19F79-BB9E-4250-81AF-A401C44E875B}"/>
    <cellStyle name="Comma 2 8 3 3 4" xfId="3714" xr:uid="{668C185E-635B-4E8E-A198-299D7F24F09B}"/>
    <cellStyle name="Comma 2 8 3 3 5" xfId="4840" xr:uid="{BCED3340-4C69-4E6F-92A1-90F4F9C0784C}"/>
    <cellStyle name="Comma 2 8 3 3 6" xfId="5967" xr:uid="{26B8CF08-DB0C-454F-ADF0-0B6D2F5DD0FC}"/>
    <cellStyle name="Comma 2 8 3 3 7" xfId="7097" xr:uid="{3C8B9AFD-37A9-4305-B908-5F60E00F0E19}"/>
    <cellStyle name="Comma 2 8 3 3 8" xfId="8747" xr:uid="{52442559-FC66-481E-80C7-5AB0D90EB929}"/>
    <cellStyle name="Comma 2 8 3 3 9" xfId="9884" xr:uid="{595E484B-207C-4AB8-A6AE-F6A4C617590C}"/>
    <cellStyle name="Comma 2 8 3 4" xfId="329" xr:uid="{3343C92B-105A-4CE7-9F47-238FCCCCC337}"/>
    <cellStyle name="Comma 2 8 3 4 10" xfId="11010" xr:uid="{34E4A7DC-4F47-402A-9775-61CF443DBA7F}"/>
    <cellStyle name="Comma 2 8 3 4 11" xfId="11620" xr:uid="{607DF03F-BA05-41AF-831C-99717BE2E823}"/>
    <cellStyle name="Comma 2 8 3 4 12" xfId="13873" xr:uid="{49690053-7668-423D-9734-A81CA9FD3655}"/>
    <cellStyle name="Comma 2 8 3 4 13" xfId="16126" xr:uid="{59E4D473-E198-4CF2-8D53-69EE00B69837}"/>
    <cellStyle name="Comma 2 8 3 4 2" xfId="1463" xr:uid="{D3BC94FB-1A63-4791-ADA4-B3D16CC0CB27}"/>
    <cellStyle name="Comma 2 8 3 4 2 2" xfId="12747" xr:uid="{4799B0E1-CE4D-43ED-B4AB-F76BA5760EA5}"/>
    <cellStyle name="Comma 2 8 3 4 2 3" xfId="15000" xr:uid="{36DC588D-8669-4A16-8BF5-84E79E9EE3D5}"/>
    <cellStyle name="Comma 2 8 3 4 2 4" xfId="17253" xr:uid="{585060A0-7F25-4214-8804-B5B3BFC1C824}"/>
    <cellStyle name="Comma 2 8 3 4 3" xfId="2589" xr:uid="{77E1E285-1FA1-4C58-8669-A0CC5B579B5E}"/>
    <cellStyle name="Comma 2 8 3 4 4" xfId="3715" xr:uid="{157AF4B2-ACDD-4281-87D1-10AA8B6CE9AF}"/>
    <cellStyle name="Comma 2 8 3 4 5" xfId="4841" xr:uid="{5167F7C4-D64C-494B-80BC-51BFC1ADBC34}"/>
    <cellStyle name="Comma 2 8 3 4 6" xfId="5968" xr:uid="{CA753A38-85A6-4057-89EF-6B98D0B38E1E}"/>
    <cellStyle name="Comma 2 8 3 4 7" xfId="7098" xr:uid="{EE6F2F43-E33B-4895-8FEE-D7A1CD68045A}"/>
    <cellStyle name="Comma 2 8 3 4 8" xfId="8746" xr:uid="{8BABA6D5-F618-4783-9B27-BB7973E2E1E7}"/>
    <cellStyle name="Comma 2 8 3 4 9" xfId="9883" xr:uid="{A9D01041-1B4E-4E97-9ADD-4CCA042CFD68}"/>
    <cellStyle name="Comma 2 8 3 5" xfId="1458" xr:uid="{36DEEC75-8B26-46B3-81EF-FCDCB0390FA9}"/>
    <cellStyle name="Comma 2 8 3 5 2" xfId="12742" xr:uid="{D43D678E-088E-4A40-B341-5DD1798A21C4}"/>
    <cellStyle name="Comma 2 8 3 5 3" xfId="14995" xr:uid="{4B711BE3-5B37-435F-9064-4EF7EA275C43}"/>
    <cellStyle name="Comma 2 8 3 5 4" xfId="17248" xr:uid="{9167B71D-5E15-44F1-A4A5-7EE90492F47B}"/>
    <cellStyle name="Comma 2 8 3 6" xfId="2584" xr:uid="{419EF13F-71B6-4BF8-9818-33A36B468CB8}"/>
    <cellStyle name="Comma 2 8 3 7" xfId="3710" xr:uid="{E2DE54CC-CE78-477B-8B65-82E34B15C9B2}"/>
    <cellStyle name="Comma 2 8 3 8" xfId="4836" xr:uid="{68FE396C-3276-4D2C-A699-22858FD6991E}"/>
    <cellStyle name="Comma 2 8 3 9" xfId="5963" xr:uid="{7CB1A793-5DAB-4AEE-A184-ACEB6FDC0D37}"/>
    <cellStyle name="Comma 2 8 4" xfId="330" xr:uid="{99F6C6DB-E467-4DE1-9BD8-AF84A81A5C26}"/>
    <cellStyle name="Comma 2 8 4 10" xfId="8745" xr:uid="{FA231FE3-85EE-4D1C-B609-ADC912AECEDE}"/>
    <cellStyle name="Comma 2 8 4 11" xfId="9882" xr:uid="{F9C4BD3D-5A48-4B6D-8C8A-8D450E3569F6}"/>
    <cellStyle name="Comma 2 8 4 12" xfId="11009" xr:uid="{DAB85F7B-FB55-469A-84A9-337F26A03823}"/>
    <cellStyle name="Comma 2 8 4 13" xfId="11621" xr:uid="{06364C2F-3A66-4DE8-820B-299345EF8741}"/>
    <cellStyle name="Comma 2 8 4 14" xfId="13874" xr:uid="{30AB6952-566D-48C6-9012-1C75C20546C5}"/>
    <cellStyle name="Comma 2 8 4 15" xfId="16127" xr:uid="{4BD158A6-6B0C-4161-9D72-0231FACA177A}"/>
    <cellStyle name="Comma 2 8 4 2" xfId="331" xr:uid="{2977E3AE-7CB3-4A29-BD44-39A0BF3B8AB8}"/>
    <cellStyle name="Comma 2 8 4 2 10" xfId="11008" xr:uid="{AF2CE49C-8311-47CF-8A3C-CDE03A0A54C3}"/>
    <cellStyle name="Comma 2 8 4 2 11" xfId="11622" xr:uid="{9F404AC9-4B33-42F8-B477-CC4E1BC9BACD}"/>
    <cellStyle name="Comma 2 8 4 2 12" xfId="13875" xr:uid="{1A45F4A8-52C3-4E02-97C0-A36395FBACA7}"/>
    <cellStyle name="Comma 2 8 4 2 13" xfId="16128" xr:uid="{7FCF96FB-273C-4F1F-908A-D2471F005E52}"/>
    <cellStyle name="Comma 2 8 4 2 2" xfId="1465" xr:uid="{B636F654-A9A1-4502-88E5-B1E214D85E1A}"/>
    <cellStyle name="Comma 2 8 4 2 2 2" xfId="12749" xr:uid="{68E46A5B-DD65-43F5-B210-9B24AAFEF72D}"/>
    <cellStyle name="Comma 2 8 4 2 2 3" xfId="15002" xr:uid="{AB2F01B2-BF5A-4D7D-8BBA-87424E94C44E}"/>
    <cellStyle name="Comma 2 8 4 2 2 4" xfId="17255" xr:uid="{6195A968-89D5-4437-BC10-21F1EB4C58DF}"/>
    <cellStyle name="Comma 2 8 4 2 3" xfId="2591" xr:uid="{CFFD162E-7406-4B6F-A0E8-FE313502A8CA}"/>
    <cellStyle name="Comma 2 8 4 2 4" xfId="3717" xr:uid="{6B7E3F9C-8B71-407A-BA8E-DE7394E83E24}"/>
    <cellStyle name="Comma 2 8 4 2 5" xfId="4843" xr:uid="{1F5D10AF-7654-4FA1-9596-DEB178A9C089}"/>
    <cellStyle name="Comma 2 8 4 2 6" xfId="5970" xr:uid="{D5948639-D705-413C-97E6-F8E27260BB8D}"/>
    <cellStyle name="Comma 2 8 4 2 7" xfId="7100" xr:uid="{440DA721-AFF0-439B-B649-C0C33310A4FB}"/>
    <cellStyle name="Comma 2 8 4 2 8" xfId="8744" xr:uid="{1ECD296C-6D3D-40FD-B068-8D0CF9CF37A8}"/>
    <cellStyle name="Comma 2 8 4 2 9" xfId="9881" xr:uid="{A05C866F-2BD3-4E5B-961A-071890BFD6BF}"/>
    <cellStyle name="Comma 2 8 4 3" xfId="332" xr:uid="{C0285708-E80A-4660-8EC5-F75BC5ED6ED2}"/>
    <cellStyle name="Comma 2 8 4 3 10" xfId="11007" xr:uid="{78E776A1-F4B0-4D20-903E-0E7E5BC847B7}"/>
    <cellStyle name="Comma 2 8 4 3 11" xfId="11623" xr:uid="{B44108F2-16B8-46B7-80FB-D88EE5EF3575}"/>
    <cellStyle name="Comma 2 8 4 3 12" xfId="13876" xr:uid="{DA85CE63-CC6B-45CD-82DB-B7CC18304754}"/>
    <cellStyle name="Comma 2 8 4 3 13" xfId="16129" xr:uid="{9FB20E74-7E41-445B-B671-8D011145BC43}"/>
    <cellStyle name="Comma 2 8 4 3 2" xfId="1466" xr:uid="{8566B7FF-3646-4336-9737-642E0216B1C2}"/>
    <cellStyle name="Comma 2 8 4 3 2 2" xfId="12750" xr:uid="{37601F3A-E650-49EE-B10D-09BF7E1FC062}"/>
    <cellStyle name="Comma 2 8 4 3 2 3" xfId="15003" xr:uid="{C550045A-DC2B-4059-ADFC-D214E765CA57}"/>
    <cellStyle name="Comma 2 8 4 3 2 4" xfId="17256" xr:uid="{432E25B7-B25C-4D20-A09C-18BBF407C9DA}"/>
    <cellStyle name="Comma 2 8 4 3 3" xfId="2592" xr:uid="{A94DA4BF-F6B2-4511-90E4-60AA970A4FAA}"/>
    <cellStyle name="Comma 2 8 4 3 4" xfId="3718" xr:uid="{94B480EB-91AB-4CB8-B349-8A515114451B}"/>
    <cellStyle name="Comma 2 8 4 3 5" xfId="4844" xr:uid="{AD4A60FB-C59A-4916-A9C5-9470E7A5E71B}"/>
    <cellStyle name="Comma 2 8 4 3 6" xfId="5971" xr:uid="{B9459716-3B84-4A1F-B9C3-4CB4C22F3177}"/>
    <cellStyle name="Comma 2 8 4 3 7" xfId="7101" xr:uid="{AD03012A-9606-4EAE-82DD-390F8CD70CE2}"/>
    <cellStyle name="Comma 2 8 4 3 8" xfId="8743" xr:uid="{60812A58-2F6E-415E-A9DC-6BF461A30692}"/>
    <cellStyle name="Comma 2 8 4 3 9" xfId="9880" xr:uid="{46F8AB44-77EA-492B-A339-506A600CF1CB}"/>
    <cellStyle name="Comma 2 8 4 4" xfId="1464" xr:uid="{CC6846C8-EEC8-4C1D-9614-281E0CD1E5C5}"/>
    <cellStyle name="Comma 2 8 4 4 2" xfId="12748" xr:uid="{6891584D-CC61-42A5-A47D-9864FFBFC171}"/>
    <cellStyle name="Comma 2 8 4 4 3" xfId="15001" xr:uid="{54CC902C-57CA-40D3-8B2B-90D972011542}"/>
    <cellStyle name="Comma 2 8 4 4 4" xfId="17254" xr:uid="{71465714-EB22-4284-B560-9344C819CD51}"/>
    <cellStyle name="Comma 2 8 4 5" xfId="2590" xr:uid="{4AC56988-10AC-46B3-8D54-63F5EF4A0676}"/>
    <cellStyle name="Comma 2 8 4 6" xfId="3716" xr:uid="{9BE04994-508C-46E4-AD1A-4B5F9D05D49A}"/>
    <cellStyle name="Comma 2 8 4 7" xfId="4842" xr:uid="{D4046D50-E928-43A4-A558-9889EC1304DE}"/>
    <cellStyle name="Comma 2 8 4 8" xfId="5969" xr:uid="{02147C24-927B-4A27-B62F-E0C2E622BCE6}"/>
    <cellStyle name="Comma 2 8 4 9" xfId="7099" xr:uid="{EEC2740A-F92F-4907-BFD4-E43F83E69FFD}"/>
    <cellStyle name="Comma 2 8 5" xfId="333" xr:uid="{48CEABB1-8B40-4A46-8862-E4EBC9DF4D99}"/>
    <cellStyle name="Comma 2 8 5 10" xfId="11006" xr:uid="{FABAAE93-BAD4-4E9E-B242-1ADC840C4023}"/>
    <cellStyle name="Comma 2 8 5 11" xfId="11624" xr:uid="{320801E3-A55C-4158-8F15-470C0990845F}"/>
    <cellStyle name="Comma 2 8 5 12" xfId="13877" xr:uid="{7D3EAEDB-CDC3-42B2-A38E-EB762FC7FA2D}"/>
    <cellStyle name="Comma 2 8 5 13" xfId="16130" xr:uid="{A9FB82E9-0279-42C7-9E6B-B311FE5AC999}"/>
    <cellStyle name="Comma 2 8 5 2" xfId="1467" xr:uid="{2C0DF3B5-030E-43C8-941F-4F47F4991CE0}"/>
    <cellStyle name="Comma 2 8 5 2 2" xfId="12751" xr:uid="{E2164933-AE5C-4B4E-B43A-AE0B27E21DFA}"/>
    <cellStyle name="Comma 2 8 5 2 3" xfId="15004" xr:uid="{7CCC4CF3-7D9A-4A25-A5F1-E5BE845C4187}"/>
    <cellStyle name="Comma 2 8 5 2 4" xfId="17257" xr:uid="{A7994768-FB46-490D-9CF3-1493C6C8B22C}"/>
    <cellStyle name="Comma 2 8 5 3" xfId="2593" xr:uid="{0FC8CE2C-D09F-45C4-8A98-9921F8D1F8F7}"/>
    <cellStyle name="Comma 2 8 5 4" xfId="3719" xr:uid="{BA599A59-6A89-4BB1-A1BF-A8B119D2F0E0}"/>
    <cellStyle name="Comma 2 8 5 5" xfId="4845" xr:uid="{82A8531D-6F28-4204-BD33-D57882621674}"/>
    <cellStyle name="Comma 2 8 5 6" xfId="5972" xr:uid="{2F11BB2E-AA45-43E4-B582-FEABA68C8A11}"/>
    <cellStyle name="Comma 2 8 5 7" xfId="7102" xr:uid="{7296EFCA-051A-44D8-BC0E-2F25262CF9DF}"/>
    <cellStyle name="Comma 2 8 5 8" xfId="8742" xr:uid="{857ADFF0-C1B1-42D8-A55F-D42F17CCBA32}"/>
    <cellStyle name="Comma 2 8 5 9" xfId="9879" xr:uid="{99E0B77A-7AB5-4CC8-8136-9F7FED8B30BB}"/>
    <cellStyle name="Comma 2 8 6" xfId="334" xr:uid="{F92E8919-2A5E-46C8-BA98-B515BF9FE3BF}"/>
    <cellStyle name="Comma 2 8 6 10" xfId="11005" xr:uid="{D2609B45-8D4B-4245-9B6F-A13303EE493A}"/>
    <cellStyle name="Comma 2 8 6 11" xfId="11625" xr:uid="{6791AC60-B48F-4A3E-8E99-10205D7D4F10}"/>
    <cellStyle name="Comma 2 8 6 12" xfId="13878" xr:uid="{729480AD-7A78-49A3-B095-93EEE8772ECC}"/>
    <cellStyle name="Comma 2 8 6 13" xfId="16131" xr:uid="{0C7F5641-4AA7-41C6-8263-C5773EB82698}"/>
    <cellStyle name="Comma 2 8 6 2" xfId="1468" xr:uid="{228158BD-BC1A-41B1-A40C-A5AAE661405B}"/>
    <cellStyle name="Comma 2 8 6 2 2" xfId="12752" xr:uid="{6F27325F-11A1-46D5-82CC-A9F08D15D030}"/>
    <cellStyle name="Comma 2 8 6 2 3" xfId="15005" xr:uid="{1A9EBBA0-C0CA-4CB9-B361-40B44F3CD6E6}"/>
    <cellStyle name="Comma 2 8 6 2 4" xfId="17258" xr:uid="{705E71B6-D029-4899-A623-D4C553CB8754}"/>
    <cellStyle name="Comma 2 8 6 3" xfId="2594" xr:uid="{E26F0068-8889-4C8B-AE2F-ACF03828669F}"/>
    <cellStyle name="Comma 2 8 6 4" xfId="3720" xr:uid="{E4EF4A3E-48BC-47A1-847D-7B691FB6DCC0}"/>
    <cellStyle name="Comma 2 8 6 5" xfId="4846" xr:uid="{D812C75E-201D-44AB-ACBC-F184C293ACCC}"/>
    <cellStyle name="Comma 2 8 6 6" xfId="5973" xr:uid="{965D2B1A-FEE4-4FD0-A909-039C08A8AB5D}"/>
    <cellStyle name="Comma 2 8 6 7" xfId="7103" xr:uid="{6B48DDE8-44AD-4416-B821-A70FBED49F86}"/>
    <cellStyle name="Comma 2 8 6 8" xfId="8741" xr:uid="{DA85E0D6-6FDA-4AD7-B5EC-CBE9A61053E7}"/>
    <cellStyle name="Comma 2 8 6 9" xfId="9878" xr:uid="{4CE722AB-C787-42A6-BC6D-F94784990C2E}"/>
    <cellStyle name="Comma 2 8 7" xfId="1445" xr:uid="{D365B700-141B-4D2D-8215-CF5A08BE4E5F}"/>
    <cellStyle name="Comma 2 8 7 2" xfId="12729" xr:uid="{0B59FAB5-E509-4800-887B-E5B91C921989}"/>
    <cellStyle name="Comma 2 8 7 3" xfId="14982" xr:uid="{015B4DCC-8A50-4EE1-B1A7-8936F9D1FE83}"/>
    <cellStyle name="Comma 2 8 7 4" xfId="17235" xr:uid="{4D180361-80E2-4C50-8464-294D592C2552}"/>
    <cellStyle name="Comma 2 8 8" xfId="2571" xr:uid="{A7ED0998-D740-4BFF-9D44-AD32D0A0F526}"/>
    <cellStyle name="Comma 2 8 9" xfId="3697" xr:uid="{E78BA37E-5735-4480-B48E-856A2EAA23B1}"/>
    <cellStyle name="Comma 2 9" xfId="335" xr:uid="{B0DB9551-7D7E-4692-A4D1-6BCFE563061A}"/>
    <cellStyle name="Comma 2 9 10" xfId="4847" xr:uid="{288FE028-79B0-43EF-990F-43A6BB3ABF5D}"/>
    <cellStyle name="Comma 2 9 11" xfId="5974" xr:uid="{F6F309DF-3EF6-45DB-AF93-9F308FC30095}"/>
    <cellStyle name="Comma 2 9 12" xfId="7104" xr:uid="{AAB2F034-36A9-451F-9367-62D9FF24E6BD}"/>
    <cellStyle name="Comma 2 9 13" xfId="8740" xr:uid="{FA7C86A0-16BA-4B02-ADA2-A63B37E044AD}"/>
    <cellStyle name="Comma 2 9 14" xfId="9877" xr:uid="{98D802B4-3134-4C08-82BA-9938D9B6AB36}"/>
    <cellStyle name="Comma 2 9 15" xfId="11004" xr:uid="{CD160D37-CC93-43E6-AF79-CB035C764F9D}"/>
    <cellStyle name="Comma 2 9 16" xfId="11626" xr:uid="{22204505-AA38-4448-A164-36C4A07922FF}"/>
    <cellStyle name="Comma 2 9 17" xfId="13879" xr:uid="{0BAF6DDA-AED5-426F-994D-B1C24736F004}"/>
    <cellStyle name="Comma 2 9 18" xfId="16132" xr:uid="{F9D5A60C-A420-4D49-90E4-49D468869C49}"/>
    <cellStyle name="Comma 2 9 2" xfId="336" xr:uid="{FA04AECE-1C79-4803-A4BE-0B4FA22ACF9E}"/>
    <cellStyle name="Comma 2 9 2 10" xfId="5975" xr:uid="{83A988C5-B679-4E6A-98B2-417FD1D4636A}"/>
    <cellStyle name="Comma 2 9 2 11" xfId="7105" xr:uid="{035A78B8-9A8A-4E60-91D5-2C6F03EA67BA}"/>
    <cellStyle name="Comma 2 9 2 12" xfId="8739" xr:uid="{9E0F1C06-3D05-4D97-8B9F-CE752207C5DC}"/>
    <cellStyle name="Comma 2 9 2 13" xfId="9876" xr:uid="{DFE1DDC4-F59F-445D-BDB4-6DF0A3248FDB}"/>
    <cellStyle name="Comma 2 9 2 14" xfId="11003" xr:uid="{DD1B2922-47FA-4902-B5AA-4CCF49560E1E}"/>
    <cellStyle name="Comma 2 9 2 15" xfId="11627" xr:uid="{58A05AA1-25A3-4968-AAC9-2CEC0F90ED51}"/>
    <cellStyle name="Comma 2 9 2 16" xfId="13880" xr:uid="{3C5C1A29-3344-4C1E-9F2C-CED165A7A703}"/>
    <cellStyle name="Comma 2 9 2 17" xfId="16133" xr:uid="{16FE0288-983B-4346-89E6-66EA482E29B2}"/>
    <cellStyle name="Comma 2 9 2 2" xfId="337" xr:uid="{9EB67816-6BFB-4533-A5C2-92D731380D10}"/>
    <cellStyle name="Comma 2 9 2 2 10" xfId="7106" xr:uid="{9C899BBD-503F-42C1-BAB8-A25B6F356581}"/>
    <cellStyle name="Comma 2 9 2 2 11" xfId="8738" xr:uid="{A46F7553-9ACB-41E8-9005-20B374485986}"/>
    <cellStyle name="Comma 2 9 2 2 12" xfId="9875" xr:uid="{2457D4D6-B983-4D40-BFC1-EA5B3321B6D6}"/>
    <cellStyle name="Comma 2 9 2 2 13" xfId="11002" xr:uid="{1AB99F3A-3A5B-426A-9EE6-FA4453B6D245}"/>
    <cellStyle name="Comma 2 9 2 2 14" xfId="11628" xr:uid="{9C6A9952-1BA0-4096-A170-6F75BC948A41}"/>
    <cellStyle name="Comma 2 9 2 2 15" xfId="13881" xr:uid="{DE864B60-CB33-4916-84DC-8B40268A7472}"/>
    <cellStyle name="Comma 2 9 2 2 16" xfId="16134" xr:uid="{1036BB1B-AAAE-4850-80E3-7A1A92B10D92}"/>
    <cellStyle name="Comma 2 9 2 2 2" xfId="338" xr:uid="{E32AF0D4-C961-45B3-894A-56BB895C8365}"/>
    <cellStyle name="Comma 2 9 2 2 2 10" xfId="8737" xr:uid="{07729977-54E6-40F8-ADBE-1B956AECB147}"/>
    <cellStyle name="Comma 2 9 2 2 2 11" xfId="9874" xr:uid="{75CAADBB-A0F4-4C96-818E-E3DF6E83CC9F}"/>
    <cellStyle name="Comma 2 9 2 2 2 12" xfId="11001" xr:uid="{DD17FF0B-9AB6-4F27-B4E7-F52A150F162B}"/>
    <cellStyle name="Comma 2 9 2 2 2 13" xfId="11629" xr:uid="{4651B25F-86CF-4492-864C-0CA975E4CB77}"/>
    <cellStyle name="Comma 2 9 2 2 2 14" xfId="13882" xr:uid="{07F2F944-8458-437B-81B5-FB67ED8A68EC}"/>
    <cellStyle name="Comma 2 9 2 2 2 15" xfId="16135" xr:uid="{24DFD18D-78DE-42E8-A057-F860FDB31A35}"/>
    <cellStyle name="Comma 2 9 2 2 2 2" xfId="339" xr:uid="{0C97EF59-6013-4EF7-8EE3-44D53FB34850}"/>
    <cellStyle name="Comma 2 9 2 2 2 2 10" xfId="11000" xr:uid="{703655BA-FC91-417A-BE63-6D6975CAFD36}"/>
    <cellStyle name="Comma 2 9 2 2 2 2 11" xfId="11630" xr:uid="{44AB983D-A772-44FA-A09B-72B2727525AA}"/>
    <cellStyle name="Comma 2 9 2 2 2 2 12" xfId="13883" xr:uid="{46515A51-FBAB-48AB-B4C3-EE6306ECDCE6}"/>
    <cellStyle name="Comma 2 9 2 2 2 2 13" xfId="16136" xr:uid="{50E509D9-6360-4053-A5D8-1CC5AB97B5EF}"/>
    <cellStyle name="Comma 2 9 2 2 2 2 2" xfId="1473" xr:uid="{A39D1053-6C3C-4BD8-9720-AB2C093728B5}"/>
    <cellStyle name="Comma 2 9 2 2 2 2 2 2" xfId="12757" xr:uid="{D1954BDF-B9AB-40B6-8035-FCCDDAF0166A}"/>
    <cellStyle name="Comma 2 9 2 2 2 2 2 3" xfId="15010" xr:uid="{1B5741AB-7DEB-4C79-8ED6-55BE17EF786A}"/>
    <cellStyle name="Comma 2 9 2 2 2 2 2 4" xfId="17263" xr:uid="{8FD89156-9BD9-4BAD-A958-75DF593BE033}"/>
    <cellStyle name="Comma 2 9 2 2 2 2 3" xfId="2599" xr:uid="{12BCE286-DBB7-42BB-B5B3-09B60CC2D16B}"/>
    <cellStyle name="Comma 2 9 2 2 2 2 4" xfId="3725" xr:uid="{ADAE2703-6326-497C-8CDF-80F5CA810396}"/>
    <cellStyle name="Comma 2 9 2 2 2 2 5" xfId="4851" xr:uid="{A2EFF05C-390E-45CB-9E14-1EBB0AB39593}"/>
    <cellStyle name="Comma 2 9 2 2 2 2 6" xfId="5978" xr:uid="{BF1AABF6-D85A-423F-A387-30C898E38B26}"/>
    <cellStyle name="Comma 2 9 2 2 2 2 7" xfId="7108" xr:uid="{97B409DE-B776-47E6-8C9B-A3D20BC8DB57}"/>
    <cellStyle name="Comma 2 9 2 2 2 2 8" xfId="8736" xr:uid="{FB8EBE12-1FCA-4E94-A46B-C00FCE89D7AC}"/>
    <cellStyle name="Comma 2 9 2 2 2 2 9" xfId="9873" xr:uid="{A08DE1D2-B5E6-497A-A79A-CFD8720BDADA}"/>
    <cellStyle name="Comma 2 9 2 2 2 3" xfId="340" xr:uid="{B0E56228-774C-46C9-8D3D-363B0903AD85}"/>
    <cellStyle name="Comma 2 9 2 2 2 3 10" xfId="10999" xr:uid="{60F75C34-ED35-4875-A41A-5E72264B57EB}"/>
    <cellStyle name="Comma 2 9 2 2 2 3 11" xfId="11631" xr:uid="{2E0665FA-4DAE-44F1-BD1E-A9F57396223D}"/>
    <cellStyle name="Comma 2 9 2 2 2 3 12" xfId="13884" xr:uid="{B3BDB3DA-A2B6-4E7C-80EE-69F7F5086B68}"/>
    <cellStyle name="Comma 2 9 2 2 2 3 13" xfId="16137" xr:uid="{34A4035C-9CA1-4DDB-A53D-16E8B1ABBBB3}"/>
    <cellStyle name="Comma 2 9 2 2 2 3 2" xfId="1474" xr:uid="{4CD21C8D-1FEB-4931-8024-BACDF1117059}"/>
    <cellStyle name="Comma 2 9 2 2 2 3 2 2" xfId="12758" xr:uid="{732DE7A2-61D8-4237-B00F-C46C8FF1A05D}"/>
    <cellStyle name="Comma 2 9 2 2 2 3 2 3" xfId="15011" xr:uid="{F8019E26-94D5-454C-A510-712F0FA2D5E6}"/>
    <cellStyle name="Comma 2 9 2 2 2 3 2 4" xfId="17264" xr:uid="{D1756694-FF37-4BDE-926B-948C1CA5C85C}"/>
    <cellStyle name="Comma 2 9 2 2 2 3 3" xfId="2600" xr:uid="{228B436C-EA97-4140-9325-5454362A183C}"/>
    <cellStyle name="Comma 2 9 2 2 2 3 4" xfId="3726" xr:uid="{67CD2125-EC34-4F99-B8CA-77824D398979}"/>
    <cellStyle name="Comma 2 9 2 2 2 3 5" xfId="4852" xr:uid="{B5C5D0D8-8184-413B-B6E7-932AD811A1E6}"/>
    <cellStyle name="Comma 2 9 2 2 2 3 6" xfId="5979" xr:uid="{37CDCDED-2DDC-49E0-AE64-710A66D670F2}"/>
    <cellStyle name="Comma 2 9 2 2 2 3 7" xfId="7109" xr:uid="{1BE063A5-1C4E-4E48-ACBD-F630FCED5BB7}"/>
    <cellStyle name="Comma 2 9 2 2 2 3 8" xfId="8735" xr:uid="{64253F08-FE17-43EC-911F-0E8640933E69}"/>
    <cellStyle name="Comma 2 9 2 2 2 3 9" xfId="9872" xr:uid="{59EFC04A-B45F-4BF4-9FC3-B34D877AB528}"/>
    <cellStyle name="Comma 2 9 2 2 2 4" xfId="1472" xr:uid="{D40C2CB1-82B4-4580-9663-3C90EE0042D6}"/>
    <cellStyle name="Comma 2 9 2 2 2 4 2" xfId="12756" xr:uid="{612A925F-9B38-4D47-9DE4-7F9F21DE1998}"/>
    <cellStyle name="Comma 2 9 2 2 2 4 3" xfId="15009" xr:uid="{03A9F9BB-419D-4C61-8B3B-FB70037B60C2}"/>
    <cellStyle name="Comma 2 9 2 2 2 4 4" xfId="17262" xr:uid="{FDBB3B81-AE26-4154-986E-10C26659C96A}"/>
    <cellStyle name="Comma 2 9 2 2 2 5" xfId="2598" xr:uid="{7D900BAE-28B0-4585-B7BD-06CB0C942A69}"/>
    <cellStyle name="Comma 2 9 2 2 2 6" xfId="3724" xr:uid="{0CC905D2-B7FB-4DC6-816F-252BD7B52459}"/>
    <cellStyle name="Comma 2 9 2 2 2 7" xfId="4850" xr:uid="{788EAD94-C3FB-414C-A2EB-C024A47E6C60}"/>
    <cellStyle name="Comma 2 9 2 2 2 8" xfId="5977" xr:uid="{CC882700-E641-455E-AE7D-F4FC439BEE55}"/>
    <cellStyle name="Comma 2 9 2 2 2 9" xfId="7107" xr:uid="{0802DF11-6E54-4824-BA67-DD8E107D6003}"/>
    <cellStyle name="Comma 2 9 2 2 3" xfId="341" xr:uid="{8D300B86-8D91-4FB8-B812-BC43A5815466}"/>
    <cellStyle name="Comma 2 9 2 2 3 10" xfId="10998" xr:uid="{413C6318-0340-4FC8-8A88-02FC3DB8EE1D}"/>
    <cellStyle name="Comma 2 9 2 2 3 11" xfId="11632" xr:uid="{8F91165D-55A0-4A73-8DDC-D3821524D5C3}"/>
    <cellStyle name="Comma 2 9 2 2 3 12" xfId="13885" xr:uid="{5B0F2C67-2CE2-4911-9C7F-EDD4999942B6}"/>
    <cellStyle name="Comma 2 9 2 2 3 13" xfId="16138" xr:uid="{1157656F-F2CD-4902-8536-E74B8FEC6FC1}"/>
    <cellStyle name="Comma 2 9 2 2 3 2" xfId="1475" xr:uid="{C5D802EC-47B1-4782-B640-B3B8C376C752}"/>
    <cellStyle name="Comma 2 9 2 2 3 2 2" xfId="12759" xr:uid="{DBB4F217-B2CD-455B-B298-D8668E32EE74}"/>
    <cellStyle name="Comma 2 9 2 2 3 2 3" xfId="15012" xr:uid="{F75127AE-D7C0-4717-9B93-6784608C7388}"/>
    <cellStyle name="Comma 2 9 2 2 3 2 4" xfId="17265" xr:uid="{091658C9-C3E1-46E6-AB2C-1E8762D843A6}"/>
    <cellStyle name="Comma 2 9 2 2 3 3" xfId="2601" xr:uid="{CE8ACB8D-39C9-488A-A804-3245817B31BF}"/>
    <cellStyle name="Comma 2 9 2 2 3 4" xfId="3727" xr:uid="{35F520F8-057F-444F-B9F0-149658C1D01A}"/>
    <cellStyle name="Comma 2 9 2 2 3 5" xfId="4853" xr:uid="{892A3BA2-4B7D-4507-B468-BD40229103F1}"/>
    <cellStyle name="Comma 2 9 2 2 3 6" xfId="5980" xr:uid="{6CF65594-66A4-4057-8320-DAC04A1488D8}"/>
    <cellStyle name="Comma 2 9 2 2 3 7" xfId="7110" xr:uid="{6390F8A1-C6A5-44BE-B3DD-7C547E4F6E8A}"/>
    <cellStyle name="Comma 2 9 2 2 3 8" xfId="8734" xr:uid="{277DA1E5-4B09-47BE-A1DD-05383A9D6915}"/>
    <cellStyle name="Comma 2 9 2 2 3 9" xfId="9871" xr:uid="{A727DC61-2F26-4089-8E05-5ACBD80FD58E}"/>
    <cellStyle name="Comma 2 9 2 2 4" xfId="342" xr:uid="{6EEDF007-0908-4818-958D-E5F00F6DADC4}"/>
    <cellStyle name="Comma 2 9 2 2 4 10" xfId="10997" xr:uid="{53CB46C6-DBAE-4488-8082-E2143C7C17CB}"/>
    <cellStyle name="Comma 2 9 2 2 4 11" xfId="11633" xr:uid="{0CD1559F-F1A7-4AE8-814E-4221A1E77785}"/>
    <cellStyle name="Comma 2 9 2 2 4 12" xfId="13886" xr:uid="{76ADE13F-6BAC-4854-8CBD-0B9DC15333E9}"/>
    <cellStyle name="Comma 2 9 2 2 4 13" xfId="16139" xr:uid="{35D5E678-3ABA-456B-A513-DA25ECC9470A}"/>
    <cellStyle name="Comma 2 9 2 2 4 2" xfId="1476" xr:uid="{370845D4-EDC8-4DFD-A61B-DE30163903EB}"/>
    <cellStyle name="Comma 2 9 2 2 4 2 2" xfId="12760" xr:uid="{D09F2777-BC61-4513-81AA-993524E92EF5}"/>
    <cellStyle name="Comma 2 9 2 2 4 2 3" xfId="15013" xr:uid="{FAA5BFCF-8684-4748-9F4C-6627B10F7182}"/>
    <cellStyle name="Comma 2 9 2 2 4 2 4" xfId="17266" xr:uid="{4A5A56D6-8C0F-4772-A850-60C5891ADFDE}"/>
    <cellStyle name="Comma 2 9 2 2 4 3" xfId="2602" xr:uid="{F48CE7EB-B7FB-4729-80BF-5304AFFB680B}"/>
    <cellStyle name="Comma 2 9 2 2 4 4" xfId="3728" xr:uid="{7AF4290A-6505-4A7D-A76F-BE70CC2B5DD0}"/>
    <cellStyle name="Comma 2 9 2 2 4 5" xfId="4854" xr:uid="{907A1CB6-4686-4782-9FD0-CB21B45946F0}"/>
    <cellStyle name="Comma 2 9 2 2 4 6" xfId="5981" xr:uid="{26B15493-B5AF-4C52-8213-153DAB799873}"/>
    <cellStyle name="Comma 2 9 2 2 4 7" xfId="7111" xr:uid="{B081F7EA-5EF9-4971-8090-2E6E30ECB1AE}"/>
    <cellStyle name="Comma 2 9 2 2 4 8" xfId="8733" xr:uid="{38E83F2C-7920-4A17-9E51-8F756A79CFB7}"/>
    <cellStyle name="Comma 2 9 2 2 4 9" xfId="9870" xr:uid="{E7D5BBC0-04FC-4E0B-AE71-73ADA3A32752}"/>
    <cellStyle name="Comma 2 9 2 2 5" xfId="1471" xr:uid="{91B6ACF8-850A-47AF-987D-67526AC132EE}"/>
    <cellStyle name="Comma 2 9 2 2 5 2" xfId="12755" xr:uid="{433C4938-5DE3-4982-B8B7-C0586AC9C715}"/>
    <cellStyle name="Comma 2 9 2 2 5 3" xfId="15008" xr:uid="{125CD407-5730-4298-A8AF-C397010EC0F9}"/>
    <cellStyle name="Comma 2 9 2 2 5 4" xfId="17261" xr:uid="{EEC6520E-E70C-486D-8FCF-EB9D7C1E21A3}"/>
    <cellStyle name="Comma 2 9 2 2 6" xfId="2597" xr:uid="{6494FFC0-9D3F-4ED9-BCFE-18E187840A56}"/>
    <cellStyle name="Comma 2 9 2 2 7" xfId="3723" xr:uid="{27F45520-7D89-4E2D-B0D2-53599C84F147}"/>
    <cellStyle name="Comma 2 9 2 2 8" xfId="4849" xr:uid="{82050DC5-9D55-4B46-ABEF-1B3CAFE48278}"/>
    <cellStyle name="Comma 2 9 2 2 9" xfId="5976" xr:uid="{A2C9CE8C-CACD-43C5-A4DC-5432B199BFF1}"/>
    <cellStyle name="Comma 2 9 2 3" xfId="343" xr:uid="{58F11FEE-0989-4721-914A-EFF10DE08CD4}"/>
    <cellStyle name="Comma 2 9 2 3 10" xfId="8732" xr:uid="{D475CC1C-BB3D-4D20-B897-B2E9DCCE7D6D}"/>
    <cellStyle name="Comma 2 9 2 3 11" xfId="9869" xr:uid="{9DE1CA13-ADC2-406C-B395-D5E395600198}"/>
    <cellStyle name="Comma 2 9 2 3 12" xfId="10996" xr:uid="{F7F1935F-5425-4781-B920-CA6F65BDD435}"/>
    <cellStyle name="Comma 2 9 2 3 13" xfId="11634" xr:uid="{EDA33C44-1FF5-4F7C-978E-3023A261DD95}"/>
    <cellStyle name="Comma 2 9 2 3 14" xfId="13887" xr:uid="{2732716D-F52A-4635-8D97-C056D06F30FE}"/>
    <cellStyle name="Comma 2 9 2 3 15" xfId="16140" xr:uid="{E1FDA5FB-F7BF-452A-BD2B-6BE46FE05209}"/>
    <cellStyle name="Comma 2 9 2 3 2" xfId="344" xr:uid="{50903428-0233-4880-A60C-52B08EB3BBA1}"/>
    <cellStyle name="Comma 2 9 2 3 2 10" xfId="10995" xr:uid="{B1765D2E-F986-4CF3-8AE1-4368D52EAE83}"/>
    <cellStyle name="Comma 2 9 2 3 2 11" xfId="11635" xr:uid="{D630DA26-6820-4F97-BF23-912F981FAA59}"/>
    <cellStyle name="Comma 2 9 2 3 2 12" xfId="13888" xr:uid="{869D7748-6A8D-4BDC-934C-28C49F11D906}"/>
    <cellStyle name="Comma 2 9 2 3 2 13" xfId="16141" xr:uid="{B06C1B7C-AA0D-43FD-B2EB-A49437E012EF}"/>
    <cellStyle name="Comma 2 9 2 3 2 2" xfId="1478" xr:uid="{FAF91B0B-C252-47D6-8D0C-AF72325CB4FD}"/>
    <cellStyle name="Comma 2 9 2 3 2 2 2" xfId="12762" xr:uid="{61BF3F48-179F-4BC1-80EA-FC019560F417}"/>
    <cellStyle name="Comma 2 9 2 3 2 2 3" xfId="15015" xr:uid="{A7EF3F87-3F45-4E62-969E-A21B136C2589}"/>
    <cellStyle name="Comma 2 9 2 3 2 2 4" xfId="17268" xr:uid="{2821B75D-1EDA-4BD5-AF60-AC2FA63D2355}"/>
    <cellStyle name="Comma 2 9 2 3 2 3" xfId="2604" xr:uid="{699663CC-06F3-426A-B09D-40C48B861E10}"/>
    <cellStyle name="Comma 2 9 2 3 2 4" xfId="3730" xr:uid="{D1E8670E-4A2A-4691-9EA7-A088004460A3}"/>
    <cellStyle name="Comma 2 9 2 3 2 5" xfId="4856" xr:uid="{60BC803D-CE9A-457F-9618-11D40B6C463F}"/>
    <cellStyle name="Comma 2 9 2 3 2 6" xfId="5983" xr:uid="{DAEDC16D-8959-40F9-93B2-B35EF19D512E}"/>
    <cellStyle name="Comma 2 9 2 3 2 7" xfId="7113" xr:uid="{1C2F6B05-E371-4862-9E5B-C4AFECC703C2}"/>
    <cellStyle name="Comma 2 9 2 3 2 8" xfId="8731" xr:uid="{3F2234E3-CEAB-453C-A8EC-94D7105C46C0}"/>
    <cellStyle name="Comma 2 9 2 3 2 9" xfId="9868" xr:uid="{FC45AFD3-A46A-4440-82EC-DBE5BE7605D1}"/>
    <cellStyle name="Comma 2 9 2 3 3" xfId="345" xr:uid="{C57973AD-722D-40C5-B6E1-1E1985A5356C}"/>
    <cellStyle name="Comma 2 9 2 3 3 10" xfId="10994" xr:uid="{4D59BE1E-7717-4677-8AAC-FF94B454BAD5}"/>
    <cellStyle name="Comma 2 9 2 3 3 11" xfId="11636" xr:uid="{7E0AB659-23D2-437F-A5F3-CA802F6B65C5}"/>
    <cellStyle name="Comma 2 9 2 3 3 12" xfId="13889" xr:uid="{140404A3-B616-41C1-BE10-3EE9CE50B035}"/>
    <cellStyle name="Comma 2 9 2 3 3 13" xfId="16142" xr:uid="{4A9C0FB1-B26B-4C2C-BF41-7DEB7B9664E7}"/>
    <cellStyle name="Comma 2 9 2 3 3 2" xfId="1479" xr:uid="{D8968C4D-19D1-4763-9B5C-673855D97F33}"/>
    <cellStyle name="Comma 2 9 2 3 3 2 2" xfId="12763" xr:uid="{B3DECA7E-DA24-49F7-B349-90BA79388389}"/>
    <cellStyle name="Comma 2 9 2 3 3 2 3" xfId="15016" xr:uid="{3BA9835F-666D-445C-89C2-2A33A5160671}"/>
    <cellStyle name="Comma 2 9 2 3 3 2 4" xfId="17269" xr:uid="{056B03F6-04B4-490E-8963-80CD8C7AB620}"/>
    <cellStyle name="Comma 2 9 2 3 3 3" xfId="2605" xr:uid="{0E5F37A6-3F9D-4C45-8B33-258E378E7218}"/>
    <cellStyle name="Comma 2 9 2 3 3 4" xfId="3731" xr:uid="{1F8648CC-F16E-4B62-9502-B18DDD48E9B5}"/>
    <cellStyle name="Comma 2 9 2 3 3 5" xfId="4857" xr:uid="{9B33D205-1DAC-44AA-9E6D-F0E38F677C16}"/>
    <cellStyle name="Comma 2 9 2 3 3 6" xfId="5984" xr:uid="{6D21EBA1-CEB9-426D-85DA-CDF4968F8FFC}"/>
    <cellStyle name="Comma 2 9 2 3 3 7" xfId="7114" xr:uid="{0874E494-A92D-4AE1-ADBA-7C92CCF69440}"/>
    <cellStyle name="Comma 2 9 2 3 3 8" xfId="8730" xr:uid="{6C95C03C-9CF1-4B17-B17F-E2BDFD659278}"/>
    <cellStyle name="Comma 2 9 2 3 3 9" xfId="9867" xr:uid="{1D2064BE-764A-40E6-89A3-79BC784EC446}"/>
    <cellStyle name="Comma 2 9 2 3 4" xfId="1477" xr:uid="{FB434FA8-67FB-40C2-9021-23596537C40F}"/>
    <cellStyle name="Comma 2 9 2 3 4 2" xfId="12761" xr:uid="{9F49F690-15A5-4408-BDE7-FE162BB480BF}"/>
    <cellStyle name="Comma 2 9 2 3 4 3" xfId="15014" xr:uid="{232FE3FC-9B24-4F3F-A950-50A077B502C1}"/>
    <cellStyle name="Comma 2 9 2 3 4 4" xfId="17267" xr:uid="{07683D7E-FCD9-4A32-893F-E1DA3A8CA919}"/>
    <cellStyle name="Comma 2 9 2 3 5" xfId="2603" xr:uid="{2980D989-AAF8-42D3-9D4F-19209D2AA910}"/>
    <cellStyle name="Comma 2 9 2 3 6" xfId="3729" xr:uid="{AD593145-F009-4255-8E63-E2821D737C72}"/>
    <cellStyle name="Comma 2 9 2 3 7" xfId="4855" xr:uid="{6E4CC88A-D93B-43D8-AFBD-03D015E427DE}"/>
    <cellStyle name="Comma 2 9 2 3 8" xfId="5982" xr:uid="{DC33A406-81FF-4758-BECD-762DE0D97D53}"/>
    <cellStyle name="Comma 2 9 2 3 9" xfId="7112" xr:uid="{86A398C6-549D-4E4D-9D8E-0148C6CB3038}"/>
    <cellStyle name="Comma 2 9 2 4" xfId="346" xr:uid="{EE2822A7-6BD2-4954-B79C-D6ED016BCB4D}"/>
    <cellStyle name="Comma 2 9 2 4 10" xfId="10993" xr:uid="{03FE7F29-094B-423C-B3EE-51789260DF1D}"/>
    <cellStyle name="Comma 2 9 2 4 11" xfId="11637" xr:uid="{1AB9890B-31BD-4AE9-8EAD-79C941936D99}"/>
    <cellStyle name="Comma 2 9 2 4 12" xfId="13890" xr:uid="{BA1EAE4F-AAD2-4038-B692-80C3FBF446CB}"/>
    <cellStyle name="Comma 2 9 2 4 13" xfId="16143" xr:uid="{242FBAB5-5F6A-4343-A5F0-3E5BD8C2140C}"/>
    <cellStyle name="Comma 2 9 2 4 2" xfId="1480" xr:uid="{6630BD27-9DF8-4707-9922-2B11903428D8}"/>
    <cellStyle name="Comma 2 9 2 4 2 2" xfId="12764" xr:uid="{275AFE41-D0C8-4DE7-8CB6-00B1C65E8FBD}"/>
    <cellStyle name="Comma 2 9 2 4 2 3" xfId="15017" xr:uid="{0FD4CBD6-C073-4C4D-92CD-40906B5C713A}"/>
    <cellStyle name="Comma 2 9 2 4 2 4" xfId="17270" xr:uid="{F544592F-C3B6-4204-9608-6414E2D51223}"/>
    <cellStyle name="Comma 2 9 2 4 3" xfId="2606" xr:uid="{F6E4502C-8BF1-4FCC-843F-3BA5C184CA4A}"/>
    <cellStyle name="Comma 2 9 2 4 4" xfId="3732" xr:uid="{495C04D8-539F-40D8-A108-DAD579DBB979}"/>
    <cellStyle name="Comma 2 9 2 4 5" xfId="4858" xr:uid="{6065FEB3-1298-46F1-9189-250004566A1D}"/>
    <cellStyle name="Comma 2 9 2 4 6" xfId="5985" xr:uid="{F2C4ADBD-3026-47D4-93BA-09AD897930E4}"/>
    <cellStyle name="Comma 2 9 2 4 7" xfId="7115" xr:uid="{72032113-2E31-44C2-BF82-8DF4B82A1201}"/>
    <cellStyle name="Comma 2 9 2 4 8" xfId="8729" xr:uid="{F6BE23EC-4C61-4C05-9FE6-79DBA7408D47}"/>
    <cellStyle name="Comma 2 9 2 4 9" xfId="9866" xr:uid="{84F948A8-E1BD-4EE5-BFD5-21964242E3CE}"/>
    <cellStyle name="Comma 2 9 2 5" xfId="347" xr:uid="{D39E8D0E-3407-4DA9-96DD-FA7283E11BAE}"/>
    <cellStyle name="Comma 2 9 2 5 10" xfId="10992" xr:uid="{9F03E73A-5F74-4583-A701-227FD0AF74BC}"/>
    <cellStyle name="Comma 2 9 2 5 11" xfId="11638" xr:uid="{E542D941-D191-4717-B59E-7F9C60EDE6A2}"/>
    <cellStyle name="Comma 2 9 2 5 12" xfId="13891" xr:uid="{6EEF2D7C-6036-4859-8679-B98A152216F6}"/>
    <cellStyle name="Comma 2 9 2 5 13" xfId="16144" xr:uid="{547AAE16-15FB-4761-B69E-960020A8EDBF}"/>
    <cellStyle name="Comma 2 9 2 5 2" xfId="1481" xr:uid="{B2899E22-9456-473A-8C28-0925E9963619}"/>
    <cellStyle name="Comma 2 9 2 5 2 2" xfId="12765" xr:uid="{858A375D-9D96-4AC8-A5BD-27FF89D74ACE}"/>
    <cellStyle name="Comma 2 9 2 5 2 3" xfId="15018" xr:uid="{ED98C9D9-643D-4D59-860F-EA514CCBD53E}"/>
    <cellStyle name="Comma 2 9 2 5 2 4" xfId="17271" xr:uid="{CF8C12CA-D9BA-409E-AF29-C542C3FDC36E}"/>
    <cellStyle name="Comma 2 9 2 5 3" xfId="2607" xr:uid="{47F9BE40-2607-4D8A-90EE-ECB56FC0F02B}"/>
    <cellStyle name="Comma 2 9 2 5 4" xfId="3733" xr:uid="{694263CB-CF77-4211-9874-39A2C3C33437}"/>
    <cellStyle name="Comma 2 9 2 5 5" xfId="4859" xr:uid="{305A13B9-6A6E-4B8C-AB90-FECC366A9AD5}"/>
    <cellStyle name="Comma 2 9 2 5 6" xfId="5986" xr:uid="{C8308E1A-C4D0-4C88-B7D2-D120A316CA65}"/>
    <cellStyle name="Comma 2 9 2 5 7" xfId="7116" xr:uid="{F693B703-4C5C-4B35-B1FB-9B1F670A8DFA}"/>
    <cellStyle name="Comma 2 9 2 5 8" xfId="8728" xr:uid="{8B057112-C327-4D4B-BD20-DC8C3CBBBEC6}"/>
    <cellStyle name="Comma 2 9 2 5 9" xfId="9865" xr:uid="{6D1890B8-6D26-4AEC-8B26-E42284E686D3}"/>
    <cellStyle name="Comma 2 9 2 6" xfId="1470" xr:uid="{6333B150-1017-4406-902D-530AFDFD474A}"/>
    <cellStyle name="Comma 2 9 2 6 2" xfId="12754" xr:uid="{AC0CD451-6B06-4746-BBB3-8320CF360B4B}"/>
    <cellStyle name="Comma 2 9 2 6 3" xfId="15007" xr:uid="{C5ECB3C3-81A1-49B6-AD91-1F2A7A762723}"/>
    <cellStyle name="Comma 2 9 2 6 4" xfId="17260" xr:uid="{8C8BAC0E-37E1-425E-8B48-F60703056E92}"/>
    <cellStyle name="Comma 2 9 2 7" xfId="2596" xr:uid="{B39FE00E-EE9C-49BE-B9FB-51423E4E529B}"/>
    <cellStyle name="Comma 2 9 2 8" xfId="3722" xr:uid="{7FC855C3-EF0E-484F-A0EA-343972B55DB9}"/>
    <cellStyle name="Comma 2 9 2 9" xfId="4848" xr:uid="{D9D0B49F-AF20-4297-A397-FC14252D5100}"/>
    <cellStyle name="Comma 2 9 3" xfId="348" xr:uid="{93AB41B0-F19F-40F6-9989-E6A5053233A5}"/>
    <cellStyle name="Comma 2 9 3 10" xfId="7117" xr:uid="{2B2E5900-6A33-4765-A96F-4F2704171F84}"/>
    <cellStyle name="Comma 2 9 3 11" xfId="8727" xr:uid="{CFAF211E-42CF-4E3F-88EE-09930CD0D05F}"/>
    <cellStyle name="Comma 2 9 3 12" xfId="9864" xr:uid="{6BFDC631-78E7-40A5-9828-1387806E6538}"/>
    <cellStyle name="Comma 2 9 3 13" xfId="10991" xr:uid="{856A5FF3-D3DB-4920-857F-285C83D7891A}"/>
    <cellStyle name="Comma 2 9 3 14" xfId="11639" xr:uid="{54DF8943-4285-44C6-A18F-61C140F54A10}"/>
    <cellStyle name="Comma 2 9 3 15" xfId="13892" xr:uid="{4C464F5B-0D39-4394-A156-E7FA07B95929}"/>
    <cellStyle name="Comma 2 9 3 16" xfId="16145" xr:uid="{0DA4CD23-816F-4792-B9D7-CDC622F558CD}"/>
    <cellStyle name="Comma 2 9 3 2" xfId="349" xr:uid="{71A79C48-444C-4711-BDA9-0A9D39974498}"/>
    <cellStyle name="Comma 2 9 3 2 10" xfId="8726" xr:uid="{31915F68-4CF1-4F6B-A98D-04B269987F07}"/>
    <cellStyle name="Comma 2 9 3 2 11" xfId="9863" xr:uid="{7D1D920B-AD6A-46FC-A79A-C46965B8A6C3}"/>
    <cellStyle name="Comma 2 9 3 2 12" xfId="10990" xr:uid="{3EF16B36-58D4-4EA8-8D85-99A2AD0C8861}"/>
    <cellStyle name="Comma 2 9 3 2 13" xfId="11640" xr:uid="{3D65A474-D6D3-420B-A7D5-8488EE737A04}"/>
    <cellStyle name="Comma 2 9 3 2 14" xfId="13893" xr:uid="{808A483A-E927-45A6-AEF4-09C2285E613C}"/>
    <cellStyle name="Comma 2 9 3 2 15" xfId="16146" xr:uid="{F7800047-4B97-4071-9A6C-DC1AFE9A2066}"/>
    <cellStyle name="Comma 2 9 3 2 2" xfId="350" xr:uid="{6AE2B664-0E38-46CD-94DF-70E76B785AC1}"/>
    <cellStyle name="Comma 2 9 3 2 2 10" xfId="10989" xr:uid="{CBE9354E-9B06-4A7D-BF11-232713BCCCCC}"/>
    <cellStyle name="Comma 2 9 3 2 2 11" xfId="11641" xr:uid="{BFFF0E70-A182-47A2-96B6-EA521F0E1026}"/>
    <cellStyle name="Comma 2 9 3 2 2 12" xfId="13894" xr:uid="{D17B185F-710D-4484-8149-8FD2360FFFD2}"/>
    <cellStyle name="Comma 2 9 3 2 2 13" xfId="16147" xr:uid="{45B3C719-77D2-4C45-904F-A0A20B09C1D6}"/>
    <cellStyle name="Comma 2 9 3 2 2 2" xfId="1484" xr:uid="{0551F7B6-0A25-425A-A4DA-FDF05C9B4490}"/>
    <cellStyle name="Comma 2 9 3 2 2 2 2" xfId="12768" xr:uid="{E96625E6-93CE-40B1-8F01-0DDC0C858066}"/>
    <cellStyle name="Comma 2 9 3 2 2 2 3" xfId="15021" xr:uid="{5C7A115D-3624-4136-A8E6-352FF11E6ED3}"/>
    <cellStyle name="Comma 2 9 3 2 2 2 4" xfId="17274" xr:uid="{E7C9F384-25B6-439A-9AC6-E884DC984E15}"/>
    <cellStyle name="Comma 2 9 3 2 2 3" xfId="2610" xr:uid="{76BD5C12-E9C8-43C9-B900-9DBD593DF892}"/>
    <cellStyle name="Comma 2 9 3 2 2 4" xfId="3736" xr:uid="{664A99DF-8516-4F21-9F72-B961502F5B92}"/>
    <cellStyle name="Comma 2 9 3 2 2 5" xfId="4862" xr:uid="{E95A13E9-22AA-4549-AB7A-DAE88ADDF2E8}"/>
    <cellStyle name="Comma 2 9 3 2 2 6" xfId="5989" xr:uid="{E725A968-A9CD-4D30-BEA4-667C06A297C8}"/>
    <cellStyle name="Comma 2 9 3 2 2 7" xfId="7119" xr:uid="{C589719B-EEE6-4D6E-916B-0C2355441C12}"/>
    <cellStyle name="Comma 2 9 3 2 2 8" xfId="8725" xr:uid="{767492EA-0909-4578-B383-9CC882B7E559}"/>
    <cellStyle name="Comma 2 9 3 2 2 9" xfId="9862" xr:uid="{900D4D7F-8248-4C53-A745-691DC9C676CF}"/>
    <cellStyle name="Comma 2 9 3 2 3" xfId="351" xr:uid="{9C65A788-A2C8-4CF8-8598-3A4B841B13AB}"/>
    <cellStyle name="Comma 2 9 3 2 3 10" xfId="10988" xr:uid="{E37C3368-E5B1-4A5A-82D9-C6CA8968175E}"/>
    <cellStyle name="Comma 2 9 3 2 3 11" xfId="11642" xr:uid="{C0543A51-BC66-4EF0-BA4F-75D577849D1C}"/>
    <cellStyle name="Comma 2 9 3 2 3 12" xfId="13895" xr:uid="{31CB1ADB-E0CE-436D-84CD-FE4828D487DE}"/>
    <cellStyle name="Comma 2 9 3 2 3 13" xfId="16148" xr:uid="{24240FFB-79CC-4EC3-B988-6E1B16B610AC}"/>
    <cellStyle name="Comma 2 9 3 2 3 2" xfId="1485" xr:uid="{44BEEE5A-6D2A-4673-B93C-8DF5F6DE051A}"/>
    <cellStyle name="Comma 2 9 3 2 3 2 2" xfId="12769" xr:uid="{C02DE341-F254-47C5-AA5E-5FAB444A57F1}"/>
    <cellStyle name="Comma 2 9 3 2 3 2 3" xfId="15022" xr:uid="{0803049A-6DAE-4D69-A4B8-F503CBAA7FE2}"/>
    <cellStyle name="Comma 2 9 3 2 3 2 4" xfId="17275" xr:uid="{9294E8E4-FB1A-40E6-A4B3-BFAA73B1DBD2}"/>
    <cellStyle name="Comma 2 9 3 2 3 3" xfId="2611" xr:uid="{0E3163F8-09F0-49F5-8C32-430973014CEF}"/>
    <cellStyle name="Comma 2 9 3 2 3 4" xfId="3737" xr:uid="{249E47D4-5100-499A-B46F-C02F1E6E1E98}"/>
    <cellStyle name="Comma 2 9 3 2 3 5" xfId="4863" xr:uid="{5AA14502-40EF-4D7C-ADBB-EC04A99B1FA9}"/>
    <cellStyle name="Comma 2 9 3 2 3 6" xfId="5990" xr:uid="{D46DD56B-4A46-4C8B-8098-D4E9AFF708A6}"/>
    <cellStyle name="Comma 2 9 3 2 3 7" xfId="7120" xr:uid="{542D5477-1CB7-4121-B6C1-B3CA874809CE}"/>
    <cellStyle name="Comma 2 9 3 2 3 8" xfId="8724" xr:uid="{AEC059EC-FDFC-4060-B053-61651B8D2B19}"/>
    <cellStyle name="Comma 2 9 3 2 3 9" xfId="9861" xr:uid="{39F69CDD-6B1F-4016-AAEF-0CFCDA0C0763}"/>
    <cellStyle name="Comma 2 9 3 2 4" xfId="1483" xr:uid="{0BECF049-F1BF-4B93-9DE7-63A48F88E649}"/>
    <cellStyle name="Comma 2 9 3 2 4 2" xfId="12767" xr:uid="{2067CEF0-F424-4FBA-B17C-17E00527B324}"/>
    <cellStyle name="Comma 2 9 3 2 4 3" xfId="15020" xr:uid="{C03001F5-D108-4EBA-B329-B05F57F8EE43}"/>
    <cellStyle name="Comma 2 9 3 2 4 4" xfId="17273" xr:uid="{5B4F0A88-1700-4220-A60B-5160F57F49DB}"/>
    <cellStyle name="Comma 2 9 3 2 5" xfId="2609" xr:uid="{992ACDBD-85FD-44FB-A676-A6054DC89C57}"/>
    <cellStyle name="Comma 2 9 3 2 6" xfId="3735" xr:uid="{7CD96E50-E0F7-4FFA-8F43-9B3A9DBDDA65}"/>
    <cellStyle name="Comma 2 9 3 2 7" xfId="4861" xr:uid="{A3CAB861-6C2B-4C06-981C-85A57E8EA46A}"/>
    <cellStyle name="Comma 2 9 3 2 8" xfId="5988" xr:uid="{8C352CD1-BB53-438A-8262-7174927E15CC}"/>
    <cellStyle name="Comma 2 9 3 2 9" xfId="7118" xr:uid="{45282FEE-1666-4F10-8B6D-A3F988EA7360}"/>
    <cellStyle name="Comma 2 9 3 3" xfId="352" xr:uid="{DC549938-474E-44A8-BD29-DBF6CB92B4D3}"/>
    <cellStyle name="Comma 2 9 3 3 10" xfId="10987" xr:uid="{C773C0BD-8CB8-49C7-9938-FE71CFA5BDBD}"/>
    <cellStyle name="Comma 2 9 3 3 11" xfId="11643" xr:uid="{0C5147BD-490D-446C-9487-89E68E3A8606}"/>
    <cellStyle name="Comma 2 9 3 3 12" xfId="13896" xr:uid="{11DC3643-78B3-4930-B2EC-5643CAB8291A}"/>
    <cellStyle name="Comma 2 9 3 3 13" xfId="16149" xr:uid="{1BC72986-6F8B-4293-8CA9-4AA018B4851D}"/>
    <cellStyle name="Comma 2 9 3 3 2" xfId="1486" xr:uid="{C1E51A6B-362E-4244-BD55-995B128DA4E3}"/>
    <cellStyle name="Comma 2 9 3 3 2 2" xfId="12770" xr:uid="{B4027827-B14E-40F5-BF84-A73787CC024E}"/>
    <cellStyle name="Comma 2 9 3 3 2 3" xfId="15023" xr:uid="{0C176F25-8BA1-4DF7-9F88-A41255732DCD}"/>
    <cellStyle name="Comma 2 9 3 3 2 4" xfId="17276" xr:uid="{F792C66E-6581-4DF1-933A-09AC25274CE3}"/>
    <cellStyle name="Comma 2 9 3 3 3" xfId="2612" xr:uid="{24B001D6-8159-47B0-BB2A-9E03C9F94873}"/>
    <cellStyle name="Comma 2 9 3 3 4" xfId="3738" xr:uid="{AECF22D9-0D3C-4E32-A770-81C6937B2975}"/>
    <cellStyle name="Comma 2 9 3 3 5" xfId="4864" xr:uid="{0B3C875B-9BAC-47D4-B20F-3F43C926C210}"/>
    <cellStyle name="Comma 2 9 3 3 6" xfId="5991" xr:uid="{214BB58B-D76D-4D7A-9DFC-7BAC0E8C8330}"/>
    <cellStyle name="Comma 2 9 3 3 7" xfId="7121" xr:uid="{4D98FB81-D480-4366-89F5-8AC1A03D9EBF}"/>
    <cellStyle name="Comma 2 9 3 3 8" xfId="8723" xr:uid="{1E54D337-D1A5-4543-960F-4216935718AA}"/>
    <cellStyle name="Comma 2 9 3 3 9" xfId="9860" xr:uid="{228EEDF9-A7EF-47B4-A663-28647A2F2AE7}"/>
    <cellStyle name="Comma 2 9 3 4" xfId="353" xr:uid="{7B47C4E0-90D7-424E-AAB5-AD3ECA85320C}"/>
    <cellStyle name="Comma 2 9 3 4 10" xfId="10986" xr:uid="{60A76587-B3F7-4299-B9FD-93251EAA19DE}"/>
    <cellStyle name="Comma 2 9 3 4 11" xfId="11644" xr:uid="{22F76308-F7B1-4216-8278-145CFFB359F3}"/>
    <cellStyle name="Comma 2 9 3 4 12" xfId="13897" xr:uid="{980336CD-F307-4562-B611-6105FC143DDA}"/>
    <cellStyle name="Comma 2 9 3 4 13" xfId="16150" xr:uid="{51D21062-7A82-4965-8EBE-9BDFA089E3EB}"/>
    <cellStyle name="Comma 2 9 3 4 2" xfId="1487" xr:uid="{1B2889E0-A78A-4EF2-88F0-B36BECA0E1BF}"/>
    <cellStyle name="Comma 2 9 3 4 2 2" xfId="12771" xr:uid="{5EE5C62F-4AC5-43A8-815F-5DDCCDAFF69C}"/>
    <cellStyle name="Comma 2 9 3 4 2 3" xfId="15024" xr:uid="{9ECA5A90-2128-4540-B8D1-CA55EE8DC2BD}"/>
    <cellStyle name="Comma 2 9 3 4 2 4" xfId="17277" xr:uid="{EBA8B652-7279-44E5-A46A-3A0C93536480}"/>
    <cellStyle name="Comma 2 9 3 4 3" xfId="2613" xr:uid="{28AF1E5B-4F75-47F0-86F8-1770D556758B}"/>
    <cellStyle name="Comma 2 9 3 4 4" xfId="3739" xr:uid="{01DA8057-4390-4EDF-800A-56FB39E9A3E2}"/>
    <cellStyle name="Comma 2 9 3 4 5" xfId="4865" xr:uid="{07A53FC8-B106-4F11-A8F8-2651A3EE01C6}"/>
    <cellStyle name="Comma 2 9 3 4 6" xfId="5992" xr:uid="{21B54C68-71BD-4964-A62C-6FAD1242F077}"/>
    <cellStyle name="Comma 2 9 3 4 7" xfId="7122" xr:uid="{C5187BFC-0B2F-4DBE-957E-A1C1A6D4BF3B}"/>
    <cellStyle name="Comma 2 9 3 4 8" xfId="8722" xr:uid="{004D3294-C36D-4B54-B86D-4D2C40596789}"/>
    <cellStyle name="Comma 2 9 3 4 9" xfId="9859" xr:uid="{CFF59173-E58B-4547-B2AB-362B87F3D828}"/>
    <cellStyle name="Comma 2 9 3 5" xfId="1482" xr:uid="{D778F7BA-3D63-42EC-968C-F999A79ABC20}"/>
    <cellStyle name="Comma 2 9 3 5 2" xfId="12766" xr:uid="{DB3DB27F-43A7-4618-A7CF-4B9A978E04E8}"/>
    <cellStyle name="Comma 2 9 3 5 3" xfId="15019" xr:uid="{89CFD6C8-BA33-4855-AACF-140568AA94A2}"/>
    <cellStyle name="Comma 2 9 3 5 4" xfId="17272" xr:uid="{DED43358-A563-4DFE-8554-D1FB115A7414}"/>
    <cellStyle name="Comma 2 9 3 6" xfId="2608" xr:uid="{4D74257C-A6FE-4E1A-AC38-A7D36ED47494}"/>
    <cellStyle name="Comma 2 9 3 7" xfId="3734" xr:uid="{3DC2392F-67C4-442C-9312-483BBF093512}"/>
    <cellStyle name="Comma 2 9 3 8" xfId="4860" xr:uid="{DF15FBFD-DFBD-4AA6-9869-938F4C3550BF}"/>
    <cellStyle name="Comma 2 9 3 9" xfId="5987" xr:uid="{0A58DBA5-5876-454C-8E77-2621A75A1255}"/>
    <cellStyle name="Comma 2 9 4" xfId="354" xr:uid="{22ED983F-E2B3-49C2-942A-4B37D95F3BEC}"/>
    <cellStyle name="Comma 2 9 4 10" xfId="8721" xr:uid="{EE37C94A-9A3B-4406-A757-1BD59FD145BC}"/>
    <cellStyle name="Comma 2 9 4 11" xfId="9858" xr:uid="{CB884DDB-3312-4274-B2C0-5D96C3F16A16}"/>
    <cellStyle name="Comma 2 9 4 12" xfId="10985" xr:uid="{0A9F93E3-CC75-4212-8B04-05035D9703A3}"/>
    <cellStyle name="Comma 2 9 4 13" xfId="11645" xr:uid="{8E814BA2-8474-4030-AD5D-D2AAD3343CCE}"/>
    <cellStyle name="Comma 2 9 4 14" xfId="13898" xr:uid="{1C2C4392-2BD5-457F-91FF-BFBAF5CC90DE}"/>
    <cellStyle name="Comma 2 9 4 15" xfId="16151" xr:uid="{F402B8F8-6CA9-405E-ACAE-D0920895C216}"/>
    <cellStyle name="Comma 2 9 4 2" xfId="355" xr:uid="{134F0D38-CF3E-4AC1-A764-82694A17371C}"/>
    <cellStyle name="Comma 2 9 4 2 10" xfId="10984" xr:uid="{C33DBDE9-903C-4C98-8A86-DC1482AA3695}"/>
    <cellStyle name="Comma 2 9 4 2 11" xfId="11646" xr:uid="{D2CC81EA-ADDA-434A-93CF-3EBDC0FDA48D}"/>
    <cellStyle name="Comma 2 9 4 2 12" xfId="13899" xr:uid="{E8233291-7999-4D23-BB31-3DA4A97CF570}"/>
    <cellStyle name="Comma 2 9 4 2 13" xfId="16152" xr:uid="{D9986F9A-6F3D-40C2-B0DE-8434434DA951}"/>
    <cellStyle name="Comma 2 9 4 2 2" xfId="1489" xr:uid="{FAED51AA-53DF-49DB-8881-D4BE45989C40}"/>
    <cellStyle name="Comma 2 9 4 2 2 2" xfId="12773" xr:uid="{F3AD1F19-AF3F-4F0F-B930-86DD74880470}"/>
    <cellStyle name="Comma 2 9 4 2 2 3" xfId="15026" xr:uid="{05FFC7F6-6280-4E86-87C6-D15045663062}"/>
    <cellStyle name="Comma 2 9 4 2 2 4" xfId="17279" xr:uid="{B11D5FED-CCC8-4E75-A031-0A85CFD88C66}"/>
    <cellStyle name="Comma 2 9 4 2 3" xfId="2615" xr:uid="{D7447D92-23C1-4A09-AD93-D0982E18D6F2}"/>
    <cellStyle name="Comma 2 9 4 2 4" xfId="3741" xr:uid="{98582154-B0F1-492D-8336-86D67329ECEB}"/>
    <cellStyle name="Comma 2 9 4 2 5" xfId="4867" xr:uid="{26452AD9-A1BF-4809-8BF5-17BC7C56BF02}"/>
    <cellStyle name="Comma 2 9 4 2 6" xfId="5994" xr:uid="{7DE44921-6583-4D26-92EF-7C0DA3240EF7}"/>
    <cellStyle name="Comma 2 9 4 2 7" xfId="7124" xr:uid="{4E57FE17-7C95-40EA-B29E-EEB544A54CAF}"/>
    <cellStyle name="Comma 2 9 4 2 8" xfId="8720" xr:uid="{72712843-23F9-4F29-89E0-4769F19E27C4}"/>
    <cellStyle name="Comma 2 9 4 2 9" xfId="9857" xr:uid="{90FF180D-CAD3-47F8-B168-8CF5374CC4C8}"/>
    <cellStyle name="Comma 2 9 4 3" xfId="356" xr:uid="{D52C75F4-EE99-4C28-A599-04F5D993EB95}"/>
    <cellStyle name="Comma 2 9 4 3 10" xfId="10983" xr:uid="{D93C6A1D-8DA8-45DA-913E-62530F899131}"/>
    <cellStyle name="Comma 2 9 4 3 11" xfId="11647" xr:uid="{C6621107-18AF-4AEB-92CD-7D041231B4A0}"/>
    <cellStyle name="Comma 2 9 4 3 12" xfId="13900" xr:uid="{638D745A-9C7E-4407-8E80-69586CFBAF2C}"/>
    <cellStyle name="Comma 2 9 4 3 13" xfId="16153" xr:uid="{388FBB89-1F25-4A59-967F-0745C886D28C}"/>
    <cellStyle name="Comma 2 9 4 3 2" xfId="1490" xr:uid="{388855AA-A31A-49E7-BB1C-F78787292CE2}"/>
    <cellStyle name="Comma 2 9 4 3 2 2" xfId="12774" xr:uid="{8EA35701-E566-4C31-8F16-0DB5D76BFA1D}"/>
    <cellStyle name="Comma 2 9 4 3 2 3" xfId="15027" xr:uid="{87A6D8CD-F25A-458C-95CE-2D173C26F172}"/>
    <cellStyle name="Comma 2 9 4 3 2 4" xfId="17280" xr:uid="{F4C4F1DD-14EA-45B4-AF61-A151A4ED0C80}"/>
    <cellStyle name="Comma 2 9 4 3 3" xfId="2616" xr:uid="{2073047E-5B05-46FB-8AB2-9CD2F694BCF1}"/>
    <cellStyle name="Comma 2 9 4 3 4" xfId="3742" xr:uid="{206A8F36-E30C-4D06-9552-A5C327BDBC36}"/>
    <cellStyle name="Comma 2 9 4 3 5" xfId="4868" xr:uid="{8DC14DD1-3B74-446F-B7FA-D8238910DF00}"/>
    <cellStyle name="Comma 2 9 4 3 6" xfId="5995" xr:uid="{DF66504A-D67F-4414-9160-8F740783C20B}"/>
    <cellStyle name="Comma 2 9 4 3 7" xfId="7125" xr:uid="{588B6845-4D1E-47C4-B901-5B545C6DF65B}"/>
    <cellStyle name="Comma 2 9 4 3 8" xfId="8719" xr:uid="{F1D0C154-8C5B-47C1-B4F1-1EAECD52138F}"/>
    <cellStyle name="Comma 2 9 4 3 9" xfId="9856" xr:uid="{B7D39F90-EF6A-47E5-A9C8-84F56A013C11}"/>
    <cellStyle name="Comma 2 9 4 4" xfId="1488" xr:uid="{19778C12-770D-48B9-BE27-0576168454C6}"/>
    <cellStyle name="Comma 2 9 4 4 2" xfId="12772" xr:uid="{53C19300-90C2-42F6-8F78-86E2D2F3FD11}"/>
    <cellStyle name="Comma 2 9 4 4 3" xfId="15025" xr:uid="{9FE16CBA-891A-4A63-8D96-DDD824D67863}"/>
    <cellStyle name="Comma 2 9 4 4 4" xfId="17278" xr:uid="{F93053D2-230B-4401-9B02-BC6BBD627F41}"/>
    <cellStyle name="Comma 2 9 4 5" xfId="2614" xr:uid="{29E4DAA5-E445-4C27-99DB-33BE465D0545}"/>
    <cellStyle name="Comma 2 9 4 6" xfId="3740" xr:uid="{1632A2AC-4A42-40AD-B654-43E211B388EB}"/>
    <cellStyle name="Comma 2 9 4 7" xfId="4866" xr:uid="{726CF53A-635A-4220-A772-21FE249F7E6E}"/>
    <cellStyle name="Comma 2 9 4 8" xfId="5993" xr:uid="{FF0A47D8-7843-43D4-8776-9D5D15A87D1D}"/>
    <cellStyle name="Comma 2 9 4 9" xfId="7123" xr:uid="{6A5F2D0B-A220-49F4-B3EB-33967C8FF8E7}"/>
    <cellStyle name="Comma 2 9 5" xfId="357" xr:uid="{96E00FC6-4CCF-4725-A1B7-8AF2A4EA8B69}"/>
    <cellStyle name="Comma 2 9 5 10" xfId="10982" xr:uid="{BB18709E-5D68-4F0E-8DD7-B3A7A8FEC5E8}"/>
    <cellStyle name="Comma 2 9 5 11" xfId="11648" xr:uid="{2C06DED3-2282-4469-BD27-597D8B1EE60B}"/>
    <cellStyle name="Comma 2 9 5 12" xfId="13901" xr:uid="{26A4C253-58ED-4397-83A0-4742A3426096}"/>
    <cellStyle name="Comma 2 9 5 13" xfId="16154" xr:uid="{8F2C3917-729F-47BD-BA56-17AA07E8C73E}"/>
    <cellStyle name="Comma 2 9 5 2" xfId="1491" xr:uid="{FC2357F0-7826-4979-8EE5-EFFC761FC2AF}"/>
    <cellStyle name="Comma 2 9 5 2 2" xfId="12775" xr:uid="{484CAA81-5E9C-41AB-8FEE-41432C4AFCBB}"/>
    <cellStyle name="Comma 2 9 5 2 3" xfId="15028" xr:uid="{64D21428-BE98-4B2B-A670-C54DA16D0A9A}"/>
    <cellStyle name="Comma 2 9 5 2 4" xfId="17281" xr:uid="{FFD74A16-6CC9-432C-93C8-B3D287E2FA61}"/>
    <cellStyle name="Comma 2 9 5 3" xfId="2617" xr:uid="{5D4C2B91-E845-4EE5-8EF8-D945400A19FF}"/>
    <cellStyle name="Comma 2 9 5 4" xfId="3743" xr:uid="{5CC61CC4-BABE-4D6F-8AB8-3CD6C5801B74}"/>
    <cellStyle name="Comma 2 9 5 5" xfId="4869" xr:uid="{F2D71E16-D0AC-4BF7-9F24-CAAF08ED1884}"/>
    <cellStyle name="Comma 2 9 5 6" xfId="5996" xr:uid="{5AD22612-9643-4F24-BD05-8D337103EF7B}"/>
    <cellStyle name="Comma 2 9 5 7" xfId="7126" xr:uid="{2BC33C8D-4835-458F-BE51-F598CD608CB5}"/>
    <cellStyle name="Comma 2 9 5 8" xfId="8718" xr:uid="{E11F7FA4-8E22-4D2C-89BC-F55C617FBD06}"/>
    <cellStyle name="Comma 2 9 5 9" xfId="9855" xr:uid="{B53ADFAB-57C0-4D6E-A25C-C817A67916EE}"/>
    <cellStyle name="Comma 2 9 6" xfId="358" xr:uid="{7025AB3A-AA60-4A59-8DBA-991B471E4B31}"/>
    <cellStyle name="Comma 2 9 6 10" xfId="10981" xr:uid="{D4D4EA7E-397D-470B-82BC-4BBA5ECAFB73}"/>
    <cellStyle name="Comma 2 9 6 11" xfId="11649" xr:uid="{061163A3-9BEB-4B86-8B71-D10CA79E0866}"/>
    <cellStyle name="Comma 2 9 6 12" xfId="13902" xr:uid="{B2648696-12F6-434B-8166-520EFBFA8341}"/>
    <cellStyle name="Comma 2 9 6 13" xfId="16155" xr:uid="{B74F5FE5-77EF-4B2D-A666-3CF7B3AB0FA3}"/>
    <cellStyle name="Comma 2 9 6 2" xfId="1492" xr:uid="{CF3371F5-33E8-4574-85E2-DB1FAD3022E5}"/>
    <cellStyle name="Comma 2 9 6 2 2" xfId="12776" xr:uid="{5CB2EF65-756D-48A1-9556-1E9727268B60}"/>
    <cellStyle name="Comma 2 9 6 2 3" xfId="15029" xr:uid="{05CF1F62-04FB-45C1-9A43-B775483679AE}"/>
    <cellStyle name="Comma 2 9 6 2 4" xfId="17282" xr:uid="{2DA0A3FB-9566-4484-9EF1-63436236CEBB}"/>
    <cellStyle name="Comma 2 9 6 3" xfId="2618" xr:uid="{8965BD6A-B35F-44DC-B6B5-38700E68DEFA}"/>
    <cellStyle name="Comma 2 9 6 4" xfId="3744" xr:uid="{35B26694-9FA3-40D3-83AF-2BE361E5DA90}"/>
    <cellStyle name="Comma 2 9 6 5" xfId="4870" xr:uid="{AD6B00D9-0FF0-4E92-A7CB-851194329BE5}"/>
    <cellStyle name="Comma 2 9 6 6" xfId="5997" xr:uid="{FE02F784-F415-4445-BBF6-4BB13071E83A}"/>
    <cellStyle name="Comma 2 9 6 7" xfId="7127" xr:uid="{72CD8502-6E19-4692-BC68-3932BF9D8667}"/>
    <cellStyle name="Comma 2 9 6 8" xfId="8717" xr:uid="{968EC212-7D93-4492-AA10-50F6485F8CE3}"/>
    <cellStyle name="Comma 2 9 6 9" xfId="9854" xr:uid="{F46E0798-DFC8-457D-A7E6-E8C7B9CEAF37}"/>
    <cellStyle name="Comma 2 9 7" xfId="1469" xr:uid="{E278D475-55D2-48B6-ADB4-F1DD2E3A8858}"/>
    <cellStyle name="Comma 2 9 7 2" xfId="12753" xr:uid="{47736197-757E-4678-954A-D6C4B87738B1}"/>
    <cellStyle name="Comma 2 9 7 3" xfId="15006" xr:uid="{52ADABCC-5BBE-48C8-B8F6-7865506ED3A8}"/>
    <cellStyle name="Comma 2 9 7 4" xfId="17259" xr:uid="{18B1E4CF-8A77-47B6-A521-7F6A24960555}"/>
    <cellStyle name="Comma 2 9 8" xfId="2595" xr:uid="{A9167E7B-C880-4616-9CE2-544A0ADF82D8}"/>
    <cellStyle name="Comma 2 9 9" xfId="3721" xr:uid="{799E9C30-643F-4762-A221-37EB42BD1C52}"/>
    <cellStyle name="Comma 20" xfId="22" xr:uid="{C73F65B4-AF23-478F-90BF-BD11E3375BF9}"/>
    <cellStyle name="Comma 20 2" xfId="12443" xr:uid="{54F15DB5-FDA4-4C75-A4A4-FED5ABC6F787}"/>
    <cellStyle name="Comma 20 3" xfId="14696" xr:uid="{349EC153-E66A-45D0-833B-E1359049CF5F}"/>
    <cellStyle name="Comma 20 4" xfId="16949" xr:uid="{4A00816A-96E2-4FC7-B1BE-BF83DEA73541}"/>
    <cellStyle name="Comma 21" xfId="1159" xr:uid="{BE9F108E-A6F7-443A-9844-301B3223F332}"/>
    <cellStyle name="Comma 22" xfId="2285" xr:uid="{BC506EDA-CFCC-4049-916C-10B0DAAA78A4}"/>
    <cellStyle name="Comma 23" xfId="3411" xr:uid="{AE1EC00A-1CE2-421D-86CF-A99A71B3DDC6}"/>
    <cellStyle name="Comma 24" xfId="4537" xr:uid="{E9D5BCC5-AE74-44B0-B587-E95C6ECBC8E2}"/>
    <cellStyle name="Comma 25" xfId="5664" xr:uid="{D33E813A-BF4A-420D-8FB5-DBB7521BC1D4}"/>
    <cellStyle name="Comma 26" xfId="6791" xr:uid="{B3EA666F-E7BC-4E0D-B6FA-2AA0EA49466F}"/>
    <cellStyle name="Comma 27" xfId="9049" xr:uid="{89A8722A-308A-48A2-B43F-8D655C5B7FA3}"/>
    <cellStyle name="Comma 28" xfId="9059" xr:uid="{3578454A-CA5A-46A8-B8EB-59879BBCC11C}"/>
    <cellStyle name="Comma 29" xfId="10186" xr:uid="{F05F7E0C-A4F5-4C59-96CE-1E9B65B89FA3}"/>
    <cellStyle name="Comma 3" xfId="10" xr:uid="{00000000-0005-0000-0000-000036000000}"/>
    <cellStyle name="Comma 3 10" xfId="2619" xr:uid="{317AD685-0C41-4595-8981-F083A15A5B3B}"/>
    <cellStyle name="Comma 3 11" xfId="3745" xr:uid="{A2A2C969-DEB9-4867-8747-31FDC63566FA}"/>
    <cellStyle name="Comma 3 12" xfId="4871" xr:uid="{25BAB00D-B4BE-43EA-AC31-3C4F58D2D66A}"/>
    <cellStyle name="Comma 3 13" xfId="5998" xr:uid="{603915A7-59CD-4D45-BE1E-F2C24DFF0A0C}"/>
    <cellStyle name="Comma 3 14" xfId="7128" xr:uid="{EAFA5AD2-EFFD-4979-B84F-9A5948012EE0}"/>
    <cellStyle name="Comma 3 15" xfId="8716" xr:uid="{1668CC2F-FB14-40E4-8171-1297947A795F}"/>
    <cellStyle name="Comma 3 16" xfId="9853" xr:uid="{669350C6-CE32-4589-A048-B60F792A11B5}"/>
    <cellStyle name="Comma 3 17" xfId="10980" xr:uid="{79897AFE-76A4-4438-B755-B3C7A6577740}"/>
    <cellStyle name="Comma 3 18" xfId="11650" xr:uid="{AE85D484-9856-4779-A6F7-901973EEF55E}"/>
    <cellStyle name="Comma 3 19" xfId="13903" xr:uid="{35F1060F-1EEA-4828-BA72-455FA24B2D06}"/>
    <cellStyle name="Comma 3 2" xfId="360" xr:uid="{87625E6C-C087-40A8-87E8-3A84216CECFF}"/>
    <cellStyle name="Comma 3 2 10" xfId="4872" xr:uid="{8B94F247-8A1C-4D1B-B5A2-D01469208F61}"/>
    <cellStyle name="Comma 3 2 11" xfId="5999" xr:uid="{B59FEFB3-90EC-4368-AFE6-26E9DCBB2813}"/>
    <cellStyle name="Comma 3 2 12" xfId="7129" xr:uid="{2AA18943-A4CF-466D-98B9-0241D5605BF8}"/>
    <cellStyle name="Comma 3 2 13" xfId="8715" xr:uid="{DAA013D4-60B4-4CEE-8DC3-B114477F838E}"/>
    <cellStyle name="Comma 3 2 14" xfId="9852" xr:uid="{528FC956-A3C4-4964-8A91-45D24D28A72C}"/>
    <cellStyle name="Comma 3 2 15" xfId="10979" xr:uid="{FC195DAD-72B3-4733-A80B-3563AF80D6F8}"/>
    <cellStyle name="Comma 3 2 16" xfId="11651" xr:uid="{A76BF957-57F4-4E44-9890-14F41F62008F}"/>
    <cellStyle name="Comma 3 2 17" xfId="13904" xr:uid="{55A7BA9D-5CE2-4EAE-8C43-50A23F7F6678}"/>
    <cellStyle name="Comma 3 2 18" xfId="16157" xr:uid="{FCC14CA5-0109-4153-A610-A0C4C6BD15AA}"/>
    <cellStyle name="Comma 3 2 2" xfId="361" xr:uid="{930CEE8C-4E49-48C7-959B-3D32A6FC7492}"/>
    <cellStyle name="Comma 3 2 2 10" xfId="6000" xr:uid="{A849753F-4DFD-4882-B558-D0A7E46134F0}"/>
    <cellStyle name="Comma 3 2 2 11" xfId="7130" xr:uid="{78545982-354B-4116-9875-B578C27E6CBF}"/>
    <cellStyle name="Comma 3 2 2 12" xfId="8714" xr:uid="{A2E4D4ED-B2AE-4276-80C4-8F9D7DD84165}"/>
    <cellStyle name="Comma 3 2 2 13" xfId="9851" xr:uid="{3C907BCD-2FFE-41F7-8E7D-D5F27CCDCA0F}"/>
    <cellStyle name="Comma 3 2 2 14" xfId="10978" xr:uid="{1BC837B8-0BD3-4AD6-90E0-D8FF7E5E4A9E}"/>
    <cellStyle name="Comma 3 2 2 15" xfId="11652" xr:uid="{157FD44E-993D-4F04-A5C5-4C7336FDE1CA}"/>
    <cellStyle name="Comma 3 2 2 16" xfId="13905" xr:uid="{05775A13-4AFC-4F3D-9884-FDE13AD49506}"/>
    <cellStyle name="Comma 3 2 2 17" xfId="16158" xr:uid="{B2BAF2A4-F2FC-4C84-8C19-D81EE53EE916}"/>
    <cellStyle name="Comma 3 2 2 2" xfId="362" xr:uid="{10AC3295-1932-4909-840D-34A5733CE88E}"/>
    <cellStyle name="Comma 3 2 2 2 10" xfId="7131" xr:uid="{03E157EC-50CB-46B2-A42D-54EF1331078B}"/>
    <cellStyle name="Comma 3 2 2 2 11" xfId="8713" xr:uid="{87C11C49-E86F-45CC-AA99-57FA8586D01B}"/>
    <cellStyle name="Comma 3 2 2 2 12" xfId="9850" xr:uid="{47D6C287-A08B-492E-AF0B-EBF43DDA1F39}"/>
    <cellStyle name="Comma 3 2 2 2 13" xfId="10977" xr:uid="{EEB9EDD8-3DB2-4BDD-82E6-5C18C666720D}"/>
    <cellStyle name="Comma 3 2 2 2 14" xfId="11653" xr:uid="{7D3572E7-E56F-476A-A71F-213E91EEA6F8}"/>
    <cellStyle name="Comma 3 2 2 2 15" xfId="13906" xr:uid="{55D1E0B9-8AB6-477A-A46C-AC44A02DCB13}"/>
    <cellStyle name="Comma 3 2 2 2 16" xfId="16159" xr:uid="{9FFC8F4E-CF90-4627-AE67-C7B9D2E52461}"/>
    <cellStyle name="Comma 3 2 2 2 2" xfId="363" xr:uid="{D9FF291E-AAF7-483E-B148-191FAAA3B87D}"/>
    <cellStyle name="Comma 3 2 2 2 2 10" xfId="8712" xr:uid="{FE25246B-9BBA-4BD7-A794-E5DBB86921F2}"/>
    <cellStyle name="Comma 3 2 2 2 2 11" xfId="9849" xr:uid="{303DCC0E-6F63-4ACE-9791-3B08C590DC2D}"/>
    <cellStyle name="Comma 3 2 2 2 2 12" xfId="10976" xr:uid="{C7B7C5CF-DC8A-419B-87C0-84ED3E91A574}"/>
    <cellStyle name="Comma 3 2 2 2 2 13" xfId="11654" xr:uid="{241490B6-4E25-498F-9777-37CBB9E7D4EC}"/>
    <cellStyle name="Comma 3 2 2 2 2 14" xfId="13907" xr:uid="{20286619-E7ED-49EF-BCB7-FFFC43370735}"/>
    <cellStyle name="Comma 3 2 2 2 2 15" xfId="16160" xr:uid="{26751F15-9AF0-40DB-9EB8-186A63D2FED4}"/>
    <cellStyle name="Comma 3 2 2 2 2 2" xfId="364" xr:uid="{5F42E558-3C5F-4075-BF9D-AA04B63CFC52}"/>
    <cellStyle name="Comma 3 2 2 2 2 2 10" xfId="10975" xr:uid="{D396A81E-C29B-40FF-95AB-8C42454B63E9}"/>
    <cellStyle name="Comma 3 2 2 2 2 2 11" xfId="11655" xr:uid="{AF9EDF67-9DB7-4F20-8E5E-7367498B9C4E}"/>
    <cellStyle name="Comma 3 2 2 2 2 2 12" xfId="13908" xr:uid="{92F36A27-743B-4185-9653-2C407CCC9D7E}"/>
    <cellStyle name="Comma 3 2 2 2 2 2 13" xfId="16161" xr:uid="{1B497C94-D5D7-402A-BE47-FC01E4635EED}"/>
    <cellStyle name="Comma 3 2 2 2 2 2 2" xfId="1498" xr:uid="{80F3477E-510F-41FE-BF3F-5589E85B76E2}"/>
    <cellStyle name="Comma 3 2 2 2 2 2 2 2" xfId="12782" xr:uid="{7F055F0F-DE48-4180-AB3A-EE972DE8AA3D}"/>
    <cellStyle name="Comma 3 2 2 2 2 2 2 3" xfId="15035" xr:uid="{5BF289AD-1C49-43E8-82D1-96143464BFC5}"/>
    <cellStyle name="Comma 3 2 2 2 2 2 2 4" xfId="17288" xr:uid="{B64ED36D-DF1D-49DE-AD31-FB9190BDFE81}"/>
    <cellStyle name="Comma 3 2 2 2 2 2 3" xfId="2624" xr:uid="{61B3690C-0A5D-4E9D-85FB-D3F46D423591}"/>
    <cellStyle name="Comma 3 2 2 2 2 2 4" xfId="3750" xr:uid="{116DC4A2-D491-496A-B388-4FF4468D2583}"/>
    <cellStyle name="Comma 3 2 2 2 2 2 5" xfId="4876" xr:uid="{B2B9B3D0-6D8E-43EC-AA91-B55D107A9F78}"/>
    <cellStyle name="Comma 3 2 2 2 2 2 6" xfId="6003" xr:uid="{BE9D9630-8A8F-4E63-8142-3257C7BE3C15}"/>
    <cellStyle name="Comma 3 2 2 2 2 2 7" xfId="7133" xr:uid="{F1A4DACC-0D2B-49EE-A98F-667B3A84533D}"/>
    <cellStyle name="Comma 3 2 2 2 2 2 8" xfId="8711" xr:uid="{3E1205E4-968C-41E0-918D-38B537D4BAED}"/>
    <cellStyle name="Comma 3 2 2 2 2 2 9" xfId="9848" xr:uid="{A3029B0A-79C3-4D84-85AB-304A3086FFB9}"/>
    <cellStyle name="Comma 3 2 2 2 2 3" xfId="365" xr:uid="{8D692D61-9725-4DB3-BD4A-A613F5B1C8D4}"/>
    <cellStyle name="Comma 3 2 2 2 2 3 10" xfId="10974" xr:uid="{B9CF40EC-CAFC-4EA0-93BD-364E24483763}"/>
    <cellStyle name="Comma 3 2 2 2 2 3 11" xfId="11656" xr:uid="{EBEE5463-C09E-4518-B2AF-1CF57AF7C854}"/>
    <cellStyle name="Comma 3 2 2 2 2 3 12" xfId="13909" xr:uid="{BFD69502-9680-4636-9422-41CD7531AFEB}"/>
    <cellStyle name="Comma 3 2 2 2 2 3 13" xfId="16162" xr:uid="{15E59EDE-426D-4130-BD9F-9EFE76E6F738}"/>
    <cellStyle name="Comma 3 2 2 2 2 3 2" xfId="1499" xr:uid="{84409EA3-4E02-48D2-9F7A-262C0CD44E62}"/>
    <cellStyle name="Comma 3 2 2 2 2 3 2 2" xfId="12783" xr:uid="{828BF0EC-4058-4BFB-A360-E52EDF4AECBC}"/>
    <cellStyle name="Comma 3 2 2 2 2 3 2 3" xfId="15036" xr:uid="{92A15C7A-B27A-401F-B915-2E0134B972A0}"/>
    <cellStyle name="Comma 3 2 2 2 2 3 2 4" xfId="17289" xr:uid="{A7BE1FCC-B70A-40CD-A05B-09DBCB6450F4}"/>
    <cellStyle name="Comma 3 2 2 2 2 3 3" xfId="2625" xr:uid="{DA23A902-D8BA-4CD7-9E2F-4D5B4D923089}"/>
    <cellStyle name="Comma 3 2 2 2 2 3 4" xfId="3751" xr:uid="{0C1F7129-90A2-4BB8-BDC5-654284F7BD03}"/>
    <cellStyle name="Comma 3 2 2 2 2 3 5" xfId="4877" xr:uid="{D3E3CB92-7742-43B3-B4D1-EF12F562C14B}"/>
    <cellStyle name="Comma 3 2 2 2 2 3 6" xfId="6004" xr:uid="{F80D0373-1D9B-4A47-B1BC-1679480239F3}"/>
    <cellStyle name="Comma 3 2 2 2 2 3 7" xfId="7134" xr:uid="{BC1CD6B4-242A-430A-BA6F-AD6587114D64}"/>
    <cellStyle name="Comma 3 2 2 2 2 3 8" xfId="8710" xr:uid="{000DF4E5-ABD3-43AC-9B5C-1650F554E394}"/>
    <cellStyle name="Comma 3 2 2 2 2 3 9" xfId="9847" xr:uid="{48D384AE-F2CF-4F46-B39C-412FE04E0F55}"/>
    <cellStyle name="Comma 3 2 2 2 2 4" xfId="1497" xr:uid="{9ECAB5AE-CEC5-4849-B1AB-BD64925DF3D4}"/>
    <cellStyle name="Comma 3 2 2 2 2 4 2" xfId="12781" xr:uid="{F0344B12-FC81-49BF-AEE1-7494B4F342A4}"/>
    <cellStyle name="Comma 3 2 2 2 2 4 3" xfId="15034" xr:uid="{EDC03638-DC56-43F1-BF24-6666303B0442}"/>
    <cellStyle name="Comma 3 2 2 2 2 4 4" xfId="17287" xr:uid="{D425FB92-456D-4424-8620-A4DD94651687}"/>
    <cellStyle name="Comma 3 2 2 2 2 5" xfId="2623" xr:uid="{5FEBA69A-81BE-4B06-8E2A-4A59B9B1B932}"/>
    <cellStyle name="Comma 3 2 2 2 2 6" xfId="3749" xr:uid="{207E9322-CBD5-467F-BA20-72E828C579CC}"/>
    <cellStyle name="Comma 3 2 2 2 2 7" xfId="4875" xr:uid="{D2E0ACF1-1A36-477A-9C0F-A3BA3F8A5E34}"/>
    <cellStyle name="Comma 3 2 2 2 2 8" xfId="6002" xr:uid="{97955430-ED52-4CC8-BAC9-B1B01E27BB0E}"/>
    <cellStyle name="Comma 3 2 2 2 2 9" xfId="7132" xr:uid="{0EC95665-8945-49EB-BC38-A0B481CB1261}"/>
    <cellStyle name="Comma 3 2 2 2 3" xfId="366" xr:uid="{D8D759C6-E86A-4A1A-9836-F3B3DD5ACDB4}"/>
    <cellStyle name="Comma 3 2 2 2 3 10" xfId="10973" xr:uid="{3AF465E6-54F7-4B52-B151-5A83F3864A3D}"/>
    <cellStyle name="Comma 3 2 2 2 3 11" xfId="11657" xr:uid="{8363F75A-DB13-4EF3-A2A9-7FADEDB50897}"/>
    <cellStyle name="Comma 3 2 2 2 3 12" xfId="13910" xr:uid="{C21E9C15-A027-428D-8461-EE26D0A0F1A9}"/>
    <cellStyle name="Comma 3 2 2 2 3 13" xfId="16163" xr:uid="{F58E7EB1-861B-40FA-B0F1-B9CC0D3A254E}"/>
    <cellStyle name="Comma 3 2 2 2 3 2" xfId="1500" xr:uid="{4B0E6C7F-11F0-4DF5-925C-DA31AC10D67C}"/>
    <cellStyle name="Comma 3 2 2 2 3 2 2" xfId="12784" xr:uid="{4ECE7A9B-E9D0-4303-BAA7-14A2FFEFD77B}"/>
    <cellStyle name="Comma 3 2 2 2 3 2 3" xfId="15037" xr:uid="{371D4EA4-60D4-4BBB-B63F-3A0F3D9515CF}"/>
    <cellStyle name="Comma 3 2 2 2 3 2 4" xfId="17290" xr:uid="{717D308D-9C7C-4DFF-A346-6DEA21EDB34E}"/>
    <cellStyle name="Comma 3 2 2 2 3 3" xfId="2626" xr:uid="{20970D79-46A4-4F86-9981-113E715595A9}"/>
    <cellStyle name="Comma 3 2 2 2 3 4" xfId="3752" xr:uid="{AF886836-4B06-4AA5-91B9-96B497E174EB}"/>
    <cellStyle name="Comma 3 2 2 2 3 5" xfId="4878" xr:uid="{B03A83EC-DFAB-4960-A71A-F503B452CDA1}"/>
    <cellStyle name="Comma 3 2 2 2 3 6" xfId="6005" xr:uid="{F35A5372-929E-4079-BC98-AE0DDCF4CAD8}"/>
    <cellStyle name="Comma 3 2 2 2 3 7" xfId="7135" xr:uid="{DCD71212-8E59-4DA5-A650-A891D6463444}"/>
    <cellStyle name="Comma 3 2 2 2 3 8" xfId="8709" xr:uid="{2EA0D659-EC4A-4FB2-A8CA-267ABB4BCADD}"/>
    <cellStyle name="Comma 3 2 2 2 3 9" xfId="9846" xr:uid="{34D8C2E8-7CD0-4C7B-9FE7-36E48A0E1926}"/>
    <cellStyle name="Comma 3 2 2 2 4" xfId="367" xr:uid="{8E4F0AED-F0DE-4C83-A5D4-B17AE0E9B519}"/>
    <cellStyle name="Comma 3 2 2 2 4 10" xfId="10972" xr:uid="{93C5E380-F7C9-469D-BC49-2EE21B9E563D}"/>
    <cellStyle name="Comma 3 2 2 2 4 11" xfId="11658" xr:uid="{45D0CAC6-DEAE-4033-A3FB-E840F276ADCC}"/>
    <cellStyle name="Comma 3 2 2 2 4 12" xfId="13911" xr:uid="{245FB8AB-1A25-4B39-8B1B-92A5E91E04D3}"/>
    <cellStyle name="Comma 3 2 2 2 4 13" xfId="16164" xr:uid="{324D07C0-B651-4C84-842F-83E959B30E3F}"/>
    <cellStyle name="Comma 3 2 2 2 4 2" xfId="1501" xr:uid="{CB345FD9-8B93-46FE-9373-B0E68DE5FF89}"/>
    <cellStyle name="Comma 3 2 2 2 4 2 2" xfId="12785" xr:uid="{1C15C022-DA1A-4143-82C0-DDCF4621FCDA}"/>
    <cellStyle name="Comma 3 2 2 2 4 2 3" xfId="15038" xr:uid="{E5494653-343C-4E6D-84A0-BF719BB3EA49}"/>
    <cellStyle name="Comma 3 2 2 2 4 2 4" xfId="17291" xr:uid="{F95F606D-E649-415F-89B0-CAD41BB69F4C}"/>
    <cellStyle name="Comma 3 2 2 2 4 3" xfId="2627" xr:uid="{5BD014D7-D3B5-4802-BB7C-C50CD39C156D}"/>
    <cellStyle name="Comma 3 2 2 2 4 4" xfId="3753" xr:uid="{1B0E50AA-45C7-470D-9E96-C1AE90487EAF}"/>
    <cellStyle name="Comma 3 2 2 2 4 5" xfId="4879" xr:uid="{46D83592-0A1D-42B4-8438-FB3A03A01B02}"/>
    <cellStyle name="Comma 3 2 2 2 4 6" xfId="6006" xr:uid="{6BD9601B-C9DE-4AB2-89E4-1A697A6DC75C}"/>
    <cellStyle name="Comma 3 2 2 2 4 7" xfId="7136" xr:uid="{6F63A20E-BF8A-4EFF-8783-061CAC3C9CB7}"/>
    <cellStyle name="Comma 3 2 2 2 4 8" xfId="8708" xr:uid="{29B36CB6-E313-40CE-B1DC-DCE8FBA02896}"/>
    <cellStyle name="Comma 3 2 2 2 4 9" xfId="9845" xr:uid="{FA626135-1FF2-4FFB-9C0B-4280D0FD3A18}"/>
    <cellStyle name="Comma 3 2 2 2 5" xfId="1496" xr:uid="{6AECD602-0CB3-47C9-8099-570996BC6C74}"/>
    <cellStyle name="Comma 3 2 2 2 5 2" xfId="12780" xr:uid="{CCD97485-3953-4066-A868-E60DA244F5B4}"/>
    <cellStyle name="Comma 3 2 2 2 5 3" xfId="15033" xr:uid="{5BF38057-7163-4178-982A-0C4F16A9CB54}"/>
    <cellStyle name="Comma 3 2 2 2 5 4" xfId="17286" xr:uid="{0069997F-7392-41C9-852D-BD99E940B081}"/>
    <cellStyle name="Comma 3 2 2 2 6" xfId="2622" xr:uid="{817E9E65-8C1F-4F65-ABDB-F85DEE40A129}"/>
    <cellStyle name="Comma 3 2 2 2 7" xfId="3748" xr:uid="{FC3FAB3A-3821-43BB-A166-631F3A834DE3}"/>
    <cellStyle name="Comma 3 2 2 2 8" xfId="4874" xr:uid="{A51A9527-6ED2-4F9A-85D0-140EA770FC05}"/>
    <cellStyle name="Comma 3 2 2 2 9" xfId="6001" xr:uid="{6B081A5B-886B-4979-ADEF-C33187446079}"/>
    <cellStyle name="Comma 3 2 2 3" xfId="368" xr:uid="{9CB89DCD-2166-4BF7-9E3F-B690B41C4E3A}"/>
    <cellStyle name="Comma 3 2 2 3 10" xfId="8707" xr:uid="{1F73CAA6-78D3-4EE6-8813-4864C96BC5F9}"/>
    <cellStyle name="Comma 3 2 2 3 11" xfId="9844" xr:uid="{45491BDF-A150-45ED-99F9-E54D0C20FE67}"/>
    <cellStyle name="Comma 3 2 2 3 12" xfId="10971" xr:uid="{6650F7E1-C3D9-4C8C-BF41-DF09A3362F20}"/>
    <cellStyle name="Comma 3 2 2 3 13" xfId="11659" xr:uid="{ED0C093D-A18E-4C48-80AE-8F2985D3F589}"/>
    <cellStyle name="Comma 3 2 2 3 14" xfId="13912" xr:uid="{BC26FABB-122F-4D34-9198-0BB318758924}"/>
    <cellStyle name="Comma 3 2 2 3 15" xfId="16165" xr:uid="{F766D99E-A330-432E-B4DA-64DEC70902B5}"/>
    <cellStyle name="Comma 3 2 2 3 2" xfId="369" xr:uid="{760BF6E1-9C88-4AB4-83D0-2B0C23B8B34E}"/>
    <cellStyle name="Comma 3 2 2 3 2 10" xfId="10970" xr:uid="{4DB48A2B-6966-4AB9-AD62-ECB16435A115}"/>
    <cellStyle name="Comma 3 2 2 3 2 11" xfId="11660" xr:uid="{A893015F-C76B-4857-B451-D791EDC13136}"/>
    <cellStyle name="Comma 3 2 2 3 2 12" xfId="13913" xr:uid="{D21ABF57-B7F9-4F47-BADE-292576CF7F13}"/>
    <cellStyle name="Comma 3 2 2 3 2 13" xfId="16166" xr:uid="{79F27615-8F06-494F-A349-259DBAF505B4}"/>
    <cellStyle name="Comma 3 2 2 3 2 2" xfId="1503" xr:uid="{8A11799D-8BAE-430E-B40C-16B07D9F5478}"/>
    <cellStyle name="Comma 3 2 2 3 2 2 2" xfId="12787" xr:uid="{AEFF0367-F3E7-4378-B26E-9899CABA370E}"/>
    <cellStyle name="Comma 3 2 2 3 2 2 3" xfId="15040" xr:uid="{F84A2992-2E78-4CAF-B28A-5AB3CDC13E47}"/>
    <cellStyle name="Comma 3 2 2 3 2 2 4" xfId="17293" xr:uid="{FD2F6714-BA06-41F4-B253-9664B84936E2}"/>
    <cellStyle name="Comma 3 2 2 3 2 3" xfId="2629" xr:uid="{4A67CCDF-123A-4376-A165-1E811A4A4196}"/>
    <cellStyle name="Comma 3 2 2 3 2 4" xfId="3755" xr:uid="{7431F8B1-F08D-4982-9AB0-C7043A97B6AE}"/>
    <cellStyle name="Comma 3 2 2 3 2 5" xfId="4881" xr:uid="{A31558EB-FD41-4479-A3AA-EA7AA706813D}"/>
    <cellStyle name="Comma 3 2 2 3 2 6" xfId="6008" xr:uid="{547DD28C-44DD-438F-AF86-6B663C7F855C}"/>
    <cellStyle name="Comma 3 2 2 3 2 7" xfId="7138" xr:uid="{AACF5DD8-A4BB-4DF2-B88E-E7E601838DEC}"/>
    <cellStyle name="Comma 3 2 2 3 2 8" xfId="8706" xr:uid="{08C43420-3824-4464-A617-5ACF83B320A4}"/>
    <cellStyle name="Comma 3 2 2 3 2 9" xfId="9843" xr:uid="{C0081386-A566-4278-BA93-87F8C7C3890A}"/>
    <cellStyle name="Comma 3 2 2 3 3" xfId="370" xr:uid="{A97C5E9E-C3CA-4D1E-B8C0-E6E83F3A1140}"/>
    <cellStyle name="Comma 3 2 2 3 3 10" xfId="10969" xr:uid="{0A972192-5A31-4BB1-A25D-6A0B45783709}"/>
    <cellStyle name="Comma 3 2 2 3 3 11" xfId="11661" xr:uid="{F20C8239-2915-480F-B341-20FA7C16E76F}"/>
    <cellStyle name="Comma 3 2 2 3 3 12" xfId="13914" xr:uid="{2B2AB4CF-8E0B-4D6B-83DA-3A273C77EB79}"/>
    <cellStyle name="Comma 3 2 2 3 3 13" xfId="16167" xr:uid="{804E8547-B72A-4FF1-82F1-ACD88975D2F2}"/>
    <cellStyle name="Comma 3 2 2 3 3 2" xfId="1504" xr:uid="{4B3413C6-C0BF-441D-B6B6-B56EC47E4E56}"/>
    <cellStyle name="Comma 3 2 2 3 3 2 2" xfId="12788" xr:uid="{D6002CED-140A-4727-A411-646FEEEC5301}"/>
    <cellStyle name="Comma 3 2 2 3 3 2 3" xfId="15041" xr:uid="{8625E6B8-9893-41EC-A876-F8428033C3CC}"/>
    <cellStyle name="Comma 3 2 2 3 3 2 4" xfId="17294" xr:uid="{FC04B9E5-6AF1-4587-B6B0-DF27ACF2E78F}"/>
    <cellStyle name="Comma 3 2 2 3 3 3" xfId="2630" xr:uid="{08D8A868-35BE-4E38-B9FD-EC464BF73469}"/>
    <cellStyle name="Comma 3 2 2 3 3 4" xfId="3756" xr:uid="{C8FFDB78-C251-4431-B2AD-15D44176C8D0}"/>
    <cellStyle name="Comma 3 2 2 3 3 5" xfId="4882" xr:uid="{2EE73BB1-BB8E-4B34-8ADC-C3DF5258751B}"/>
    <cellStyle name="Comma 3 2 2 3 3 6" xfId="6009" xr:uid="{06D9D919-859A-4855-A8A9-9DEE7D4A4974}"/>
    <cellStyle name="Comma 3 2 2 3 3 7" xfId="7139" xr:uid="{7BB717D3-9632-4278-98C3-5D23CEA6C1A4}"/>
    <cellStyle name="Comma 3 2 2 3 3 8" xfId="8705" xr:uid="{277099A7-B025-4930-9B09-4C666AEC11C8}"/>
    <cellStyle name="Comma 3 2 2 3 3 9" xfId="9842" xr:uid="{F294A407-F5E3-4C05-9148-66C140584338}"/>
    <cellStyle name="Comma 3 2 2 3 4" xfId="1502" xr:uid="{FCA2DDF2-F3C7-4BA4-B0FD-3C6D2ABF07BD}"/>
    <cellStyle name="Comma 3 2 2 3 4 2" xfId="12786" xr:uid="{2F79F113-C692-47C5-9E2C-9DDEBD5D4FBC}"/>
    <cellStyle name="Comma 3 2 2 3 4 3" xfId="15039" xr:uid="{4FBB8E2E-E2CD-42B8-A697-ED86574D14A7}"/>
    <cellStyle name="Comma 3 2 2 3 4 4" xfId="17292" xr:uid="{D41E80B1-4155-4DAA-BE30-49A1AFD72E92}"/>
    <cellStyle name="Comma 3 2 2 3 5" xfId="2628" xr:uid="{1377C2A0-AD39-4185-8699-5CB2E51C949F}"/>
    <cellStyle name="Comma 3 2 2 3 6" xfId="3754" xr:uid="{40F10176-E742-4136-A598-CA699EF8E753}"/>
    <cellStyle name="Comma 3 2 2 3 7" xfId="4880" xr:uid="{48E502CE-8ACA-478E-9EC9-AB68789B6C47}"/>
    <cellStyle name="Comma 3 2 2 3 8" xfId="6007" xr:uid="{C4C2C9FC-3E79-4FDB-9727-29FC326A0A28}"/>
    <cellStyle name="Comma 3 2 2 3 9" xfId="7137" xr:uid="{1862CA3E-227B-4C6B-BA5F-53D72176A49C}"/>
    <cellStyle name="Comma 3 2 2 4" xfId="371" xr:uid="{29495B93-82C9-45EE-80DC-2FA5A6790DAA}"/>
    <cellStyle name="Comma 3 2 2 4 10" xfId="10968" xr:uid="{5AB0D7B1-F10C-46BC-9B70-D68FEDBBCCC5}"/>
    <cellStyle name="Comma 3 2 2 4 11" xfId="11662" xr:uid="{89B14A2E-3B8C-42E6-B76E-57B87ABE46F0}"/>
    <cellStyle name="Comma 3 2 2 4 12" xfId="13915" xr:uid="{27F0F65E-6438-428B-BE87-A465BDE87668}"/>
    <cellStyle name="Comma 3 2 2 4 13" xfId="16168" xr:uid="{ABC858FC-74E1-4853-AEA9-4162DBD23194}"/>
    <cellStyle name="Comma 3 2 2 4 2" xfId="1505" xr:uid="{392B0913-7771-4E4C-82A7-1AD2E22C4623}"/>
    <cellStyle name="Comma 3 2 2 4 2 2" xfId="12789" xr:uid="{761A8743-DB8E-463B-B823-228DADEC9421}"/>
    <cellStyle name="Comma 3 2 2 4 2 3" xfId="15042" xr:uid="{BDA0C5D6-BAF6-413C-BAF7-FF4ABD8D8A54}"/>
    <cellStyle name="Comma 3 2 2 4 2 4" xfId="17295" xr:uid="{C0C816C7-833A-4F63-80A1-3427A34FF6DD}"/>
    <cellStyle name="Comma 3 2 2 4 3" xfId="2631" xr:uid="{38855B6E-6A1B-4E55-80C7-F3D43AF94407}"/>
    <cellStyle name="Comma 3 2 2 4 4" xfId="3757" xr:uid="{41E7E07C-736E-4E3D-87FA-A8FD0BB29C6B}"/>
    <cellStyle name="Comma 3 2 2 4 5" xfId="4883" xr:uid="{89A3BAC8-D70F-4ABB-B465-FACB06CD32FC}"/>
    <cellStyle name="Comma 3 2 2 4 6" xfId="6010" xr:uid="{9524DAB9-FD41-4773-B7D4-08444878D53B}"/>
    <cellStyle name="Comma 3 2 2 4 7" xfId="7140" xr:uid="{1B5B7BD8-8105-4897-8C32-8BAE55E9B643}"/>
    <cellStyle name="Comma 3 2 2 4 8" xfId="8704" xr:uid="{16E9AB54-11C3-4DFA-8953-7190D3E2D1C6}"/>
    <cellStyle name="Comma 3 2 2 4 9" xfId="9841" xr:uid="{F0021803-DBF6-49F2-89F3-06DE9DB102E4}"/>
    <cellStyle name="Comma 3 2 2 5" xfId="372" xr:uid="{F5E28ACD-F024-4BA4-AEA5-7CFAFE3E48BC}"/>
    <cellStyle name="Comma 3 2 2 5 10" xfId="10967" xr:uid="{2C707CA2-38C7-4272-9EE0-67159AD542B3}"/>
    <cellStyle name="Comma 3 2 2 5 11" xfId="11663" xr:uid="{D5D1BC0B-6CBE-4027-9FA2-4803E18BB058}"/>
    <cellStyle name="Comma 3 2 2 5 12" xfId="13916" xr:uid="{6F25244B-0FF6-4B11-9035-49D768CFF35B}"/>
    <cellStyle name="Comma 3 2 2 5 13" xfId="16169" xr:uid="{CCC4F7A0-E40D-489C-99D3-9F477425BF1A}"/>
    <cellStyle name="Comma 3 2 2 5 2" xfId="1506" xr:uid="{041CDEBF-6405-4F93-BA3B-9220F6867165}"/>
    <cellStyle name="Comma 3 2 2 5 2 2" xfId="12790" xr:uid="{B7F1FAC5-723A-466C-96F4-6DC099C2252E}"/>
    <cellStyle name="Comma 3 2 2 5 2 3" xfId="15043" xr:uid="{53CE7406-894E-46DA-BA1B-41DD964001E9}"/>
    <cellStyle name="Comma 3 2 2 5 2 4" xfId="17296" xr:uid="{B03FE71E-3D0B-4294-B968-70FDDA4135E6}"/>
    <cellStyle name="Comma 3 2 2 5 3" xfId="2632" xr:uid="{D96D2274-726D-411D-8ECB-DF5073A9C865}"/>
    <cellStyle name="Comma 3 2 2 5 4" xfId="3758" xr:uid="{26ADE3B6-A9F6-42B3-BCEC-2938EDCCD189}"/>
    <cellStyle name="Comma 3 2 2 5 5" xfId="4884" xr:uid="{4FB58545-001B-41F2-9A77-B697960D3C79}"/>
    <cellStyle name="Comma 3 2 2 5 6" xfId="6011" xr:uid="{40A019AB-4472-4F53-982C-17935BFDC4F6}"/>
    <cellStyle name="Comma 3 2 2 5 7" xfId="7141" xr:uid="{B3BFBF26-94BB-4488-B4D6-C288877EDB14}"/>
    <cellStyle name="Comma 3 2 2 5 8" xfId="8703" xr:uid="{69226707-DA89-4661-8539-110F845E40B3}"/>
    <cellStyle name="Comma 3 2 2 5 9" xfId="9840" xr:uid="{B763EF93-850C-4799-BD50-54388D7A260B}"/>
    <cellStyle name="Comma 3 2 2 6" xfId="1495" xr:uid="{C965391E-C641-4ADD-BC9C-8A2E5EC6B990}"/>
    <cellStyle name="Comma 3 2 2 6 2" xfId="12779" xr:uid="{7570E93C-DEA9-4C5D-8E43-42329F66E69D}"/>
    <cellStyle name="Comma 3 2 2 6 3" xfId="15032" xr:uid="{E1EC002B-ABB0-42E9-8E22-49B4AAC426AE}"/>
    <cellStyle name="Comma 3 2 2 6 4" xfId="17285" xr:uid="{73562F1F-1CB7-41A5-9BAD-8C1F310BB9BB}"/>
    <cellStyle name="Comma 3 2 2 7" xfId="2621" xr:uid="{035D5C5F-ACA2-48DB-A11B-80BEDFC8E93C}"/>
    <cellStyle name="Comma 3 2 2 8" xfId="3747" xr:uid="{CF15FABF-386F-4677-B0EB-BFA95BAF0725}"/>
    <cellStyle name="Comma 3 2 2 9" xfId="4873" xr:uid="{961BA5C4-7A0F-49A3-9C55-92BEB149099E}"/>
    <cellStyle name="Comma 3 2 3" xfId="373" xr:uid="{93A6590C-9AEC-4BDF-A050-19D296A3FCA4}"/>
    <cellStyle name="Comma 3 2 3 10" xfId="7142" xr:uid="{7F43DD5D-50FF-4903-9626-808521C4DB46}"/>
    <cellStyle name="Comma 3 2 3 11" xfId="8702" xr:uid="{D80049A4-7EB9-43FB-97F6-79151AC741E7}"/>
    <cellStyle name="Comma 3 2 3 12" xfId="9839" xr:uid="{4458266F-840D-4121-A166-50A180F09F34}"/>
    <cellStyle name="Comma 3 2 3 13" xfId="10966" xr:uid="{3906C6DB-F461-4064-999E-796C867E27BE}"/>
    <cellStyle name="Comma 3 2 3 14" xfId="11664" xr:uid="{ADF4B896-46A5-4D59-8EA7-B052F84D2CEA}"/>
    <cellStyle name="Comma 3 2 3 15" xfId="13917" xr:uid="{2CDF2E0A-6A97-487D-B6F3-CB732634E1E0}"/>
    <cellStyle name="Comma 3 2 3 16" xfId="16170" xr:uid="{CA30571D-7BBD-4DC9-AF3D-810821A21595}"/>
    <cellStyle name="Comma 3 2 3 2" xfId="374" xr:uid="{EAA73484-96C9-4561-BA71-AF288355C50F}"/>
    <cellStyle name="Comma 3 2 3 2 10" xfId="8701" xr:uid="{08B6E133-F4D9-4BDA-A0D6-0E495EEC6D43}"/>
    <cellStyle name="Comma 3 2 3 2 11" xfId="9838" xr:uid="{1B20CDE4-606F-48C4-9CFF-956BBB55638A}"/>
    <cellStyle name="Comma 3 2 3 2 12" xfId="10965" xr:uid="{D48C3F6A-D709-4DBC-9649-1CF58567122D}"/>
    <cellStyle name="Comma 3 2 3 2 13" xfId="11665" xr:uid="{60CD4A6B-7788-475A-93AE-B859DBE6DFAF}"/>
    <cellStyle name="Comma 3 2 3 2 14" xfId="13918" xr:uid="{324D0CA0-15C4-4C2A-819B-E1D27E6F704B}"/>
    <cellStyle name="Comma 3 2 3 2 15" xfId="16171" xr:uid="{1C450285-4704-42B3-A27B-1F5B9D15BD93}"/>
    <cellStyle name="Comma 3 2 3 2 2" xfId="375" xr:uid="{A3E55C71-A2E8-4B34-81D8-41122E7D9E76}"/>
    <cellStyle name="Comma 3 2 3 2 2 10" xfId="10964" xr:uid="{6B0DFB48-6D91-46AB-9A0E-09D47E5D363E}"/>
    <cellStyle name="Comma 3 2 3 2 2 11" xfId="11666" xr:uid="{F4002EB5-8FD4-4A2B-83AA-B9AEEF4006E4}"/>
    <cellStyle name="Comma 3 2 3 2 2 12" xfId="13919" xr:uid="{FBE138D7-1AC7-4E8F-8D4C-A5ED608F04EF}"/>
    <cellStyle name="Comma 3 2 3 2 2 13" xfId="16172" xr:uid="{06385EA9-EE9D-48FB-BE49-163BAE859E74}"/>
    <cellStyle name="Comma 3 2 3 2 2 2" xfId="1509" xr:uid="{3D75CE93-7821-412A-93CD-0D33FBE8AEF2}"/>
    <cellStyle name="Comma 3 2 3 2 2 2 2" xfId="12793" xr:uid="{94C9D1F6-B0E0-49D0-B258-4D4C8A8848A9}"/>
    <cellStyle name="Comma 3 2 3 2 2 2 3" xfId="15046" xr:uid="{8F8291D1-2509-4A51-B7B0-50229BF871F6}"/>
    <cellStyle name="Comma 3 2 3 2 2 2 4" xfId="17299" xr:uid="{3A73F624-72B1-43FE-97CF-596543FAC0DD}"/>
    <cellStyle name="Comma 3 2 3 2 2 3" xfId="2635" xr:uid="{44AFDBB3-B4BE-4AEE-B271-A255224F3A36}"/>
    <cellStyle name="Comma 3 2 3 2 2 4" xfId="3761" xr:uid="{332C03CF-5FB0-4ABA-90EF-55BB4116B22F}"/>
    <cellStyle name="Comma 3 2 3 2 2 5" xfId="4887" xr:uid="{4FECE672-3DAC-472C-8671-24300DE56F62}"/>
    <cellStyle name="Comma 3 2 3 2 2 6" xfId="6014" xr:uid="{A41AFE8C-A557-49EA-B281-77705F892534}"/>
    <cellStyle name="Comma 3 2 3 2 2 7" xfId="7144" xr:uid="{F05977E6-3C49-4BAA-9554-371D97B10368}"/>
    <cellStyle name="Comma 3 2 3 2 2 8" xfId="8700" xr:uid="{1AF0A5EB-F132-409D-8980-D964058F9812}"/>
    <cellStyle name="Comma 3 2 3 2 2 9" xfId="9837" xr:uid="{FAEB0AC6-161C-4BF8-A569-E354C8763C8E}"/>
    <cellStyle name="Comma 3 2 3 2 3" xfId="376" xr:uid="{E99FB361-A209-464A-BD6E-AA0AF35686F3}"/>
    <cellStyle name="Comma 3 2 3 2 3 10" xfId="10963" xr:uid="{6E2859EE-1CA0-4C2F-A294-7B4B1D213113}"/>
    <cellStyle name="Comma 3 2 3 2 3 11" xfId="11667" xr:uid="{4CA6257C-DE1A-4046-83BC-D200510E23F6}"/>
    <cellStyle name="Comma 3 2 3 2 3 12" xfId="13920" xr:uid="{81B80FC5-AE4D-4744-9101-8C29FC49222C}"/>
    <cellStyle name="Comma 3 2 3 2 3 13" xfId="16173" xr:uid="{3AA4C0EB-08AF-4E40-B0E7-1EC10A9A6D13}"/>
    <cellStyle name="Comma 3 2 3 2 3 2" xfId="1510" xr:uid="{BE9A90D0-C661-4C3E-B2E9-35F05803ABD1}"/>
    <cellStyle name="Comma 3 2 3 2 3 2 2" xfId="12794" xr:uid="{5D7F59B0-3097-4DEB-8687-6B7A016E40B6}"/>
    <cellStyle name="Comma 3 2 3 2 3 2 3" xfId="15047" xr:uid="{DAF82D8D-F9C2-4605-8148-6CC67AB57C6D}"/>
    <cellStyle name="Comma 3 2 3 2 3 2 4" xfId="17300" xr:uid="{1E52CB4F-4D76-4EBB-91D1-DAC2A04C9063}"/>
    <cellStyle name="Comma 3 2 3 2 3 3" xfId="2636" xr:uid="{9C24A8AC-55B4-494A-B5AC-BEE60A0AED71}"/>
    <cellStyle name="Comma 3 2 3 2 3 4" xfId="3762" xr:uid="{9C951C5D-A5EB-4A51-A619-AE5C178E0483}"/>
    <cellStyle name="Comma 3 2 3 2 3 5" xfId="4888" xr:uid="{ECA4976C-E692-4837-A4D2-15A73BAB6C12}"/>
    <cellStyle name="Comma 3 2 3 2 3 6" xfId="6015" xr:uid="{C74635DC-DDE8-4679-993E-E7447B623377}"/>
    <cellStyle name="Comma 3 2 3 2 3 7" xfId="7145" xr:uid="{6A4DEEB2-7B5F-4196-8B03-44425C241DA9}"/>
    <cellStyle name="Comma 3 2 3 2 3 8" xfId="8699" xr:uid="{456DFDD1-00D5-41E7-B04F-B957C3A336A6}"/>
    <cellStyle name="Comma 3 2 3 2 3 9" xfId="9836" xr:uid="{E2868106-AD38-474F-832D-F0424098B3DC}"/>
    <cellStyle name="Comma 3 2 3 2 4" xfId="1508" xr:uid="{C40B2697-8591-49D1-AC08-F9C7B97493CB}"/>
    <cellStyle name="Comma 3 2 3 2 4 2" xfId="12792" xr:uid="{F92EFC0C-F83E-46BF-9316-B4D9D6E7608A}"/>
    <cellStyle name="Comma 3 2 3 2 4 3" xfId="15045" xr:uid="{8EE22F63-61C1-4513-A888-FC961EFE33DB}"/>
    <cellStyle name="Comma 3 2 3 2 4 4" xfId="17298" xr:uid="{E1D41508-E664-4D0A-9126-B831A46076D6}"/>
    <cellStyle name="Comma 3 2 3 2 5" xfId="2634" xr:uid="{B767EC11-EA9F-4A9D-AC6A-E6B34312FBF7}"/>
    <cellStyle name="Comma 3 2 3 2 6" xfId="3760" xr:uid="{27D84F3E-1622-4985-A232-93B5DAB7062B}"/>
    <cellStyle name="Comma 3 2 3 2 7" xfId="4886" xr:uid="{78ED7DCE-17A9-4C3A-9445-6EA6F6DBC67A}"/>
    <cellStyle name="Comma 3 2 3 2 8" xfId="6013" xr:uid="{59E433DD-A209-4ED1-BDAD-F5BF4C481115}"/>
    <cellStyle name="Comma 3 2 3 2 9" xfId="7143" xr:uid="{23D4382D-8BE5-46CE-941E-302C943CC95B}"/>
    <cellStyle name="Comma 3 2 3 3" xfId="377" xr:uid="{66C1A3FF-4136-4578-902A-19AD6EE34E55}"/>
    <cellStyle name="Comma 3 2 3 3 10" xfId="10962" xr:uid="{10F9D2F6-C865-4838-9BD4-62C9839D3147}"/>
    <cellStyle name="Comma 3 2 3 3 11" xfId="11668" xr:uid="{C1EDB6E5-1756-4F4A-888A-113DD30E4A92}"/>
    <cellStyle name="Comma 3 2 3 3 12" xfId="13921" xr:uid="{8AEAE516-C61E-4B82-A311-9EA7E04B4F3A}"/>
    <cellStyle name="Comma 3 2 3 3 13" xfId="16174" xr:uid="{3CD85F11-96C2-48AC-AC2C-4A4ED64CBD56}"/>
    <cellStyle name="Comma 3 2 3 3 2" xfId="1511" xr:uid="{98094B8D-98E3-41FF-B21E-5A745A560EC7}"/>
    <cellStyle name="Comma 3 2 3 3 2 2" xfId="12795" xr:uid="{BE2C7626-0847-4795-9D61-0452AAE52EA1}"/>
    <cellStyle name="Comma 3 2 3 3 2 3" xfId="15048" xr:uid="{A4108F9B-C1FF-4021-AD73-11B0A178449D}"/>
    <cellStyle name="Comma 3 2 3 3 2 4" xfId="17301" xr:uid="{31FD74D0-670A-4293-8A53-E90EC3707192}"/>
    <cellStyle name="Comma 3 2 3 3 3" xfId="2637" xr:uid="{42137DF2-71BE-4474-B144-1F3206FB15A0}"/>
    <cellStyle name="Comma 3 2 3 3 4" xfId="3763" xr:uid="{AC205A63-6172-4B7D-9141-3BE831F16998}"/>
    <cellStyle name="Comma 3 2 3 3 5" xfId="4889" xr:uid="{E364246B-6AF9-485E-9D6E-ABAAF88BAD8D}"/>
    <cellStyle name="Comma 3 2 3 3 6" xfId="6016" xr:uid="{46B8EF9A-2FCD-4EE9-ADBA-0D44C7C0F561}"/>
    <cellStyle name="Comma 3 2 3 3 7" xfId="7146" xr:uid="{53C82966-854D-4A34-A469-F0D28AA6D88B}"/>
    <cellStyle name="Comma 3 2 3 3 8" xfId="8698" xr:uid="{3004863A-5B26-4588-B891-11BCF7E715AE}"/>
    <cellStyle name="Comma 3 2 3 3 9" xfId="9835" xr:uid="{F30782C6-CEE2-4DD7-BAA5-0A394617E601}"/>
    <cellStyle name="Comma 3 2 3 4" xfId="378" xr:uid="{C83BCE4B-5342-4348-B208-396CC18ED9DA}"/>
    <cellStyle name="Comma 3 2 3 4 10" xfId="10961" xr:uid="{544B9A61-F64B-45C3-BD00-D0579F977A53}"/>
    <cellStyle name="Comma 3 2 3 4 11" xfId="11669" xr:uid="{1469E7D0-9863-4521-BF09-CB64850D191C}"/>
    <cellStyle name="Comma 3 2 3 4 12" xfId="13922" xr:uid="{48DB17B6-F8DB-4303-A68A-9A1CF0716C07}"/>
    <cellStyle name="Comma 3 2 3 4 13" xfId="16175" xr:uid="{BFFBDC0D-B31E-4108-8127-2FB31B54B6C1}"/>
    <cellStyle name="Comma 3 2 3 4 2" xfId="1512" xr:uid="{2BF3659C-241E-44C6-99E0-DA1A34BBBE0F}"/>
    <cellStyle name="Comma 3 2 3 4 2 2" xfId="12796" xr:uid="{0497348E-CD46-4F3A-B0E2-7EA725E53DD1}"/>
    <cellStyle name="Comma 3 2 3 4 2 3" xfId="15049" xr:uid="{7996E9A1-991E-4565-9FEC-4DF4DCF3EA4B}"/>
    <cellStyle name="Comma 3 2 3 4 2 4" xfId="17302" xr:uid="{DBA65D67-FC4F-4B05-9FCF-A1A70746E810}"/>
    <cellStyle name="Comma 3 2 3 4 3" xfId="2638" xr:uid="{EC4B0F2E-B207-4597-81DE-ACD3147069EF}"/>
    <cellStyle name="Comma 3 2 3 4 4" xfId="3764" xr:uid="{EF1DC7F9-1B66-4AFB-B276-C8262B6138C8}"/>
    <cellStyle name="Comma 3 2 3 4 5" xfId="4890" xr:uid="{EF599EC2-C4AE-47BB-A523-DEAED9014A0A}"/>
    <cellStyle name="Comma 3 2 3 4 6" xfId="6017" xr:uid="{929F0CD1-4FA5-4921-BAE2-E84E674E1EA6}"/>
    <cellStyle name="Comma 3 2 3 4 7" xfId="7147" xr:uid="{D31DB600-3323-41BE-A39C-3E7E2D94FE7A}"/>
    <cellStyle name="Comma 3 2 3 4 8" xfId="8697" xr:uid="{A2C7E40C-1AD3-4D51-832D-6E0101FBFCA6}"/>
    <cellStyle name="Comma 3 2 3 4 9" xfId="9834" xr:uid="{3E9D0FE0-DB1C-4D32-BD70-C0728E853CD0}"/>
    <cellStyle name="Comma 3 2 3 5" xfId="1507" xr:uid="{2CACCF3B-ECE6-47A5-B54D-E1EE3AB5ED5B}"/>
    <cellStyle name="Comma 3 2 3 5 2" xfId="12791" xr:uid="{EDA62DCA-3EA7-4007-87CE-344C06D647BC}"/>
    <cellStyle name="Comma 3 2 3 5 3" xfId="15044" xr:uid="{39DF9C38-0EB3-453C-B76F-7F78E5525D71}"/>
    <cellStyle name="Comma 3 2 3 5 4" xfId="17297" xr:uid="{700520BE-DB8F-4D56-9649-8AFF988C2C9C}"/>
    <cellStyle name="Comma 3 2 3 6" xfId="2633" xr:uid="{FD01DB02-083C-479A-80B4-143EAF92B782}"/>
    <cellStyle name="Comma 3 2 3 7" xfId="3759" xr:uid="{6518BFD8-266A-424F-A810-D5316CDA3DBF}"/>
    <cellStyle name="Comma 3 2 3 8" xfId="4885" xr:uid="{EB8EF5A0-9D86-41E6-9ECD-D2BC49255DC1}"/>
    <cellStyle name="Comma 3 2 3 9" xfId="6012" xr:uid="{B0CC87D7-D81F-4679-AAE0-1F4231A6F5DF}"/>
    <cellStyle name="Comma 3 2 4" xfId="379" xr:uid="{7ECCB44A-A2AC-4FD1-BA3D-F9369441529A}"/>
    <cellStyle name="Comma 3 2 4 10" xfId="8696" xr:uid="{FFB8A66D-BCCC-4D20-B4AA-3ECD4125F84C}"/>
    <cellStyle name="Comma 3 2 4 11" xfId="9833" xr:uid="{6A7C6A2B-1719-4AC5-BCDB-2BFBFA3E00D7}"/>
    <cellStyle name="Comma 3 2 4 12" xfId="10960" xr:uid="{2F695CA5-DF26-49CF-B805-648CEC28EBB6}"/>
    <cellStyle name="Comma 3 2 4 13" xfId="11670" xr:uid="{32E4FE86-803C-4E29-AE31-C7AC8DEB8E16}"/>
    <cellStyle name="Comma 3 2 4 14" xfId="13923" xr:uid="{B1980C1A-443C-47DB-9FB4-6DB15D92CECD}"/>
    <cellStyle name="Comma 3 2 4 15" xfId="16176" xr:uid="{05ED1154-BD7B-4140-842B-1E68E480540F}"/>
    <cellStyle name="Comma 3 2 4 2" xfId="380" xr:uid="{50E8D377-DD1F-43EF-9685-530C2BF111D1}"/>
    <cellStyle name="Comma 3 2 4 2 10" xfId="10959" xr:uid="{EDE6802A-D221-46E3-A0C0-D910698E304C}"/>
    <cellStyle name="Comma 3 2 4 2 11" xfId="11671" xr:uid="{4AB0FA94-E02C-4579-AA89-F18880E841B9}"/>
    <cellStyle name="Comma 3 2 4 2 12" xfId="13924" xr:uid="{13E6C753-84D1-49A6-8D1A-343219BCF934}"/>
    <cellStyle name="Comma 3 2 4 2 13" xfId="16177" xr:uid="{0D2854F9-0E20-42E4-86EB-DB49F1FEBE19}"/>
    <cellStyle name="Comma 3 2 4 2 2" xfId="1514" xr:uid="{CDEAAFDB-E81D-43F5-9B31-676059F8C619}"/>
    <cellStyle name="Comma 3 2 4 2 2 2" xfId="12798" xr:uid="{2894A4A4-E57C-4522-99B2-BD2AF2C8A850}"/>
    <cellStyle name="Comma 3 2 4 2 2 3" xfId="15051" xr:uid="{CD72F7A4-DF82-4A75-A1C1-7F98FE2E3B4D}"/>
    <cellStyle name="Comma 3 2 4 2 2 4" xfId="17304" xr:uid="{6895ABC7-0717-45F0-BCA5-BC1EF59D0DE3}"/>
    <cellStyle name="Comma 3 2 4 2 3" xfId="2640" xr:uid="{C2CB415E-6FF5-4421-8D58-83B5563ABFC5}"/>
    <cellStyle name="Comma 3 2 4 2 4" xfId="3766" xr:uid="{01CF31BE-81D3-4412-A038-260F6272F021}"/>
    <cellStyle name="Comma 3 2 4 2 5" xfId="4892" xr:uid="{1D29E3CC-CF01-4F43-9638-F6F6F0A32A84}"/>
    <cellStyle name="Comma 3 2 4 2 6" xfId="6019" xr:uid="{476209E0-4CDD-4BD4-BBE9-DEEBCD8FFFE2}"/>
    <cellStyle name="Comma 3 2 4 2 7" xfId="7149" xr:uid="{463E7312-C4BD-47E5-9276-D0BA5398E8AE}"/>
    <cellStyle name="Comma 3 2 4 2 8" xfId="8695" xr:uid="{FAE985F2-A018-4E61-A6BC-6389FA7936B3}"/>
    <cellStyle name="Comma 3 2 4 2 9" xfId="9832" xr:uid="{38BAE029-B7BF-4B39-B727-587DB642F41A}"/>
    <cellStyle name="Comma 3 2 4 3" xfId="381" xr:uid="{D57D0E67-A7DF-4034-A169-FDBFFC9C147E}"/>
    <cellStyle name="Comma 3 2 4 3 10" xfId="10958" xr:uid="{74FF834B-3BD1-4077-B0B9-803ACC7F1701}"/>
    <cellStyle name="Comma 3 2 4 3 11" xfId="11672" xr:uid="{2333680F-B090-4064-AEAF-620D280EBC45}"/>
    <cellStyle name="Comma 3 2 4 3 12" xfId="13925" xr:uid="{31A56776-FAF4-4026-AAA0-A33D1352074F}"/>
    <cellStyle name="Comma 3 2 4 3 13" xfId="16178" xr:uid="{0E1D2754-3919-4385-B00A-51267B27409B}"/>
    <cellStyle name="Comma 3 2 4 3 2" xfId="1515" xr:uid="{84C8EE5A-F9AA-4E3A-BEA2-29EBE07BB65F}"/>
    <cellStyle name="Comma 3 2 4 3 2 2" xfId="12799" xr:uid="{81A95900-260F-423C-960D-B84FE404D94C}"/>
    <cellStyle name="Comma 3 2 4 3 2 3" xfId="15052" xr:uid="{3F018423-02CB-44D7-AB4E-8E1E235C2C0C}"/>
    <cellStyle name="Comma 3 2 4 3 2 4" xfId="17305" xr:uid="{7305A510-BB56-43FC-BD17-D4BC40FF9B7E}"/>
    <cellStyle name="Comma 3 2 4 3 3" xfId="2641" xr:uid="{636F9EB0-54B6-4E01-BA2B-F4CE9DB0E97F}"/>
    <cellStyle name="Comma 3 2 4 3 4" xfId="3767" xr:uid="{463F5E93-2D42-4BFC-96AA-88AEADCFCFB2}"/>
    <cellStyle name="Comma 3 2 4 3 5" xfId="4893" xr:uid="{7987F910-1550-4FB4-BA1C-5EE490476E06}"/>
    <cellStyle name="Comma 3 2 4 3 6" xfId="6020" xr:uid="{FCF01F98-0915-4C34-AF7A-1900FC62FC0F}"/>
    <cellStyle name="Comma 3 2 4 3 7" xfId="7150" xr:uid="{4C43E54C-FC6F-4E51-A8E8-8E422D982654}"/>
    <cellStyle name="Comma 3 2 4 3 8" xfId="8694" xr:uid="{C357C700-3C15-4BD0-BE87-E31CB34F058F}"/>
    <cellStyle name="Comma 3 2 4 3 9" xfId="9831" xr:uid="{AB45DC94-1D1B-4798-AA73-9967AEA40864}"/>
    <cellStyle name="Comma 3 2 4 4" xfId="1513" xr:uid="{BD819919-4A6C-4EDD-A1AA-D31B7C6F8D36}"/>
    <cellStyle name="Comma 3 2 4 4 2" xfId="12797" xr:uid="{8CEA4C92-A7AF-43DE-9BA0-1C29AAA1DB39}"/>
    <cellStyle name="Comma 3 2 4 4 3" xfId="15050" xr:uid="{B01C0A67-E082-4EBB-B7C2-FA3BF320396F}"/>
    <cellStyle name="Comma 3 2 4 4 4" xfId="17303" xr:uid="{23483024-6866-4720-9486-41C22AC7F848}"/>
    <cellStyle name="Comma 3 2 4 5" xfId="2639" xr:uid="{1DBDC198-2091-4349-87FA-153B6476B3DC}"/>
    <cellStyle name="Comma 3 2 4 6" xfId="3765" xr:uid="{10B5477B-85C0-4895-8B9A-0188841C5926}"/>
    <cellStyle name="Comma 3 2 4 7" xfId="4891" xr:uid="{69FCA2F4-C2A1-401C-A730-7479436A922C}"/>
    <cellStyle name="Comma 3 2 4 8" xfId="6018" xr:uid="{A7F05AC0-D7CD-451C-9F7D-604B6978E796}"/>
    <cellStyle name="Comma 3 2 4 9" xfId="7148" xr:uid="{F07D0AAC-76B9-41D9-86F8-C6F636276899}"/>
    <cellStyle name="Comma 3 2 5" xfId="382" xr:uid="{F091D753-DAF1-44BB-BC4B-CAA9807FA4AC}"/>
    <cellStyle name="Comma 3 2 5 10" xfId="10957" xr:uid="{59A0F826-65AD-4646-BD64-6CCA9AC52386}"/>
    <cellStyle name="Comma 3 2 5 11" xfId="11673" xr:uid="{3923198A-EEB6-4B6B-A091-6B03214E621B}"/>
    <cellStyle name="Comma 3 2 5 12" xfId="13926" xr:uid="{C4B66425-BF3A-4C8C-BFCB-A913BEF6F51A}"/>
    <cellStyle name="Comma 3 2 5 13" xfId="16179" xr:uid="{FA4CC493-CDD2-4FCB-8869-40974457EC8A}"/>
    <cellStyle name="Comma 3 2 5 2" xfId="1516" xr:uid="{B8CB89D9-7506-447C-8977-432B46FA4094}"/>
    <cellStyle name="Comma 3 2 5 2 2" xfId="12800" xr:uid="{2CCC47FF-DF5E-4521-9CF4-A642AB1182DA}"/>
    <cellStyle name="Comma 3 2 5 2 3" xfId="15053" xr:uid="{C2E43804-268B-45EA-BAA7-A32BBA582B8C}"/>
    <cellStyle name="Comma 3 2 5 2 4" xfId="17306" xr:uid="{076C4FC2-4068-41EB-A289-4685E251229C}"/>
    <cellStyle name="Comma 3 2 5 3" xfId="2642" xr:uid="{FCB7FE62-D679-48A8-8715-A65B2630EA8C}"/>
    <cellStyle name="Comma 3 2 5 4" xfId="3768" xr:uid="{87727FD0-D5D2-471F-A3DE-B2A33C15C83A}"/>
    <cellStyle name="Comma 3 2 5 5" xfId="4894" xr:uid="{AE1B2E7F-830C-418D-A7E6-8BF92E5C07B9}"/>
    <cellStyle name="Comma 3 2 5 6" xfId="6021" xr:uid="{30DC5268-8EBD-41CA-9D0A-AB045CAECA2F}"/>
    <cellStyle name="Comma 3 2 5 7" xfId="7151" xr:uid="{7B6C69F5-4857-4423-8343-47C0139B2097}"/>
    <cellStyle name="Comma 3 2 5 8" xfId="8693" xr:uid="{52E2674C-9CBB-4F17-8C41-57554B110EED}"/>
    <cellStyle name="Comma 3 2 5 9" xfId="9830" xr:uid="{AC04A3BD-9668-41C4-9490-319D79CF25B0}"/>
    <cellStyle name="Comma 3 2 6" xfId="383" xr:uid="{F9C6BE5F-3E2B-40F6-A67E-10BC3A63D15A}"/>
    <cellStyle name="Comma 3 2 6 10" xfId="10956" xr:uid="{08C1B204-9393-431B-AE10-94CDC53D6311}"/>
    <cellStyle name="Comma 3 2 6 11" xfId="11674" xr:uid="{C86F3DB8-A766-466A-9457-0A42D4F3B804}"/>
    <cellStyle name="Comma 3 2 6 12" xfId="13927" xr:uid="{0DB85D48-7628-4AA1-9EA9-BA9C54F54CB5}"/>
    <cellStyle name="Comma 3 2 6 13" xfId="16180" xr:uid="{5866D0FD-C892-4216-BCDD-28D85B693F89}"/>
    <cellStyle name="Comma 3 2 6 2" xfId="1517" xr:uid="{65884CF7-0963-4149-8FD6-739413069C4D}"/>
    <cellStyle name="Comma 3 2 6 2 2" xfId="12801" xr:uid="{CA206717-5D22-4E25-A832-9227E03110C7}"/>
    <cellStyle name="Comma 3 2 6 2 3" xfId="15054" xr:uid="{AC4CA23D-73E2-434B-A099-EF9AEA731C71}"/>
    <cellStyle name="Comma 3 2 6 2 4" xfId="17307" xr:uid="{412E8E5F-BEA1-4201-AFBC-1D99CFE08472}"/>
    <cellStyle name="Comma 3 2 6 3" xfId="2643" xr:uid="{F349DA70-019E-4BAD-BE37-9C4E950C8F99}"/>
    <cellStyle name="Comma 3 2 6 4" xfId="3769" xr:uid="{89BD9720-4B3E-4276-98BD-FBB681CE2B11}"/>
    <cellStyle name="Comma 3 2 6 5" xfId="4895" xr:uid="{DD0BBAD2-78FF-4F8D-98C2-D30092B9B3E0}"/>
    <cellStyle name="Comma 3 2 6 6" xfId="6022" xr:uid="{8674537C-A2BF-4D00-99D0-57216B5F3324}"/>
    <cellStyle name="Comma 3 2 6 7" xfId="7152" xr:uid="{6603774B-CC5E-4F63-BC9D-9076BE313FDB}"/>
    <cellStyle name="Comma 3 2 6 8" xfId="8692" xr:uid="{771758A9-1702-4DFF-9307-D42943624809}"/>
    <cellStyle name="Comma 3 2 6 9" xfId="9829" xr:uid="{E3D63EBD-D1AB-4619-880B-7136A2ED3AAD}"/>
    <cellStyle name="Comma 3 2 7" xfId="1494" xr:uid="{1CD1E155-2471-46D7-A74B-384561B84ECA}"/>
    <cellStyle name="Comma 3 2 7 2" xfId="12778" xr:uid="{8F51464B-73F8-45DC-98D8-B28050F8C6B2}"/>
    <cellStyle name="Comma 3 2 7 3" xfId="15031" xr:uid="{8CBF599B-12A3-4F86-A5A5-46BE7192DBB3}"/>
    <cellStyle name="Comma 3 2 7 4" xfId="17284" xr:uid="{6F371774-510C-465A-88BD-5B1229B95CBB}"/>
    <cellStyle name="Comma 3 2 8" xfId="2620" xr:uid="{07EDD5A0-8C41-4CD7-9B1F-54AFA9DE4D46}"/>
    <cellStyle name="Comma 3 2 9" xfId="3746" xr:uid="{A729FD57-FC1B-4384-9D04-04490A503B5D}"/>
    <cellStyle name="Comma 3 20" xfId="16156" xr:uid="{02B0FE6D-08D0-4A9A-A8F6-A19C65CD8EDC}"/>
    <cellStyle name="Comma 3 3" xfId="384" xr:uid="{840EA38A-2525-4CC3-89C8-E790EFB40481}"/>
    <cellStyle name="Comma 3 3 10" xfId="6023" xr:uid="{B40B056D-116D-4B0B-9020-76A51B9532E0}"/>
    <cellStyle name="Comma 3 3 11" xfId="7153" xr:uid="{BCD703CE-1E7B-4D35-B976-624F395FFF42}"/>
    <cellStyle name="Comma 3 3 12" xfId="8691" xr:uid="{0500C872-3367-46A0-9D9E-D9B745B2B7E6}"/>
    <cellStyle name="Comma 3 3 13" xfId="9828" xr:uid="{6FB14269-8ECF-4421-9C6B-DFD6FB2C57A2}"/>
    <cellStyle name="Comma 3 3 14" xfId="10955" xr:uid="{6B11A07C-5CB6-4005-B755-424F4BE3BB75}"/>
    <cellStyle name="Comma 3 3 15" xfId="11675" xr:uid="{82316AE9-D873-412E-B492-CB4585B9E447}"/>
    <cellStyle name="Comma 3 3 16" xfId="13928" xr:uid="{E4CAE043-997F-4482-8A26-3B284D0F466F}"/>
    <cellStyle name="Comma 3 3 17" xfId="16181" xr:uid="{A0675256-C1DD-4A5A-8589-95488379A06D}"/>
    <cellStyle name="Comma 3 3 2" xfId="385" xr:uid="{F2AB1377-B7BF-4F96-9160-1C8C51625127}"/>
    <cellStyle name="Comma 3 3 2 10" xfId="7154" xr:uid="{BA997E18-5FF5-4CFB-BDA4-1BB5F32B0CAB}"/>
    <cellStyle name="Comma 3 3 2 11" xfId="8690" xr:uid="{2A96DB71-71F6-4517-BF83-3EFE3F71E6FC}"/>
    <cellStyle name="Comma 3 3 2 12" xfId="9827" xr:uid="{15B983A3-A0E5-4266-9357-BB500DFB2978}"/>
    <cellStyle name="Comma 3 3 2 13" xfId="10954" xr:uid="{D066B77F-206E-41C3-84EC-CE1E7DFC37CE}"/>
    <cellStyle name="Comma 3 3 2 14" xfId="11676" xr:uid="{50B3854F-7AAE-4B99-A600-C8DC9AB2191F}"/>
    <cellStyle name="Comma 3 3 2 15" xfId="13929" xr:uid="{B4E87298-FBF9-45D8-A30E-C454F59464E9}"/>
    <cellStyle name="Comma 3 3 2 16" xfId="16182" xr:uid="{47C3F3AA-5D4D-4639-B40E-A5ADF15721CC}"/>
    <cellStyle name="Comma 3 3 2 2" xfId="386" xr:uid="{C861CC8C-A1F3-49F0-ACB0-B17E5D1C452D}"/>
    <cellStyle name="Comma 3 3 2 2 10" xfId="8689" xr:uid="{8929D51E-B966-410E-AFF4-0571D45474E6}"/>
    <cellStyle name="Comma 3 3 2 2 11" xfId="9826" xr:uid="{12E80112-B5AD-4DDF-B1D9-3B81D98F8994}"/>
    <cellStyle name="Comma 3 3 2 2 12" xfId="10953" xr:uid="{DFDC1DD6-1504-48BE-8C81-A6F1E0DEFF13}"/>
    <cellStyle name="Comma 3 3 2 2 13" xfId="11677" xr:uid="{B7D1B575-8964-46BD-BDEA-11E1426D6680}"/>
    <cellStyle name="Comma 3 3 2 2 14" xfId="13930" xr:uid="{A3C664FF-49B2-4FF5-834B-F6AD6D1F7093}"/>
    <cellStyle name="Comma 3 3 2 2 15" xfId="16183" xr:uid="{B2033BB8-7C54-4142-AA07-0C0B53A2B240}"/>
    <cellStyle name="Comma 3 3 2 2 2" xfId="387" xr:uid="{08B96777-8EE4-483A-9039-6AB142CEDE6F}"/>
    <cellStyle name="Comma 3 3 2 2 2 10" xfId="10952" xr:uid="{8FDB76BB-912C-47D5-B3BD-158D77B0D96D}"/>
    <cellStyle name="Comma 3 3 2 2 2 11" xfId="11678" xr:uid="{7829D47C-2AEA-4996-844D-F5EF33D443E9}"/>
    <cellStyle name="Comma 3 3 2 2 2 12" xfId="13931" xr:uid="{58D57E94-9B9D-487D-BF28-E8C94CED929E}"/>
    <cellStyle name="Comma 3 3 2 2 2 13" xfId="16184" xr:uid="{E78CE206-387B-4D25-9B75-770807454A15}"/>
    <cellStyle name="Comma 3 3 2 2 2 2" xfId="1521" xr:uid="{ACA23BD3-AFC3-4460-92A5-0FA2C43528F8}"/>
    <cellStyle name="Comma 3 3 2 2 2 2 2" xfId="12805" xr:uid="{40F95338-6B70-4F64-BC71-2506B61261E1}"/>
    <cellStyle name="Comma 3 3 2 2 2 2 3" xfId="15058" xr:uid="{865DC9DD-C917-4672-8F37-7B2395EE07D4}"/>
    <cellStyle name="Comma 3 3 2 2 2 2 4" xfId="17311" xr:uid="{C2B68E5F-C93F-49CD-A918-611D69FB7EBD}"/>
    <cellStyle name="Comma 3 3 2 2 2 3" xfId="2647" xr:uid="{0DD181F0-A112-40ED-9AE5-767A106D2327}"/>
    <cellStyle name="Comma 3 3 2 2 2 4" xfId="3773" xr:uid="{7A30F17C-0053-45B7-A924-4CA896426276}"/>
    <cellStyle name="Comma 3 3 2 2 2 5" xfId="4899" xr:uid="{8697F643-2BF7-416C-8C40-1A3200565D93}"/>
    <cellStyle name="Comma 3 3 2 2 2 6" xfId="6026" xr:uid="{BAD5693F-91AA-4C4A-9B40-6891B04D4832}"/>
    <cellStyle name="Comma 3 3 2 2 2 7" xfId="7156" xr:uid="{A3AC8D01-EA0A-49A6-A3DE-3FEC16DAA7D4}"/>
    <cellStyle name="Comma 3 3 2 2 2 8" xfId="8688" xr:uid="{A45BAEE5-6637-431B-BA95-90CB1538F998}"/>
    <cellStyle name="Comma 3 3 2 2 2 9" xfId="9825" xr:uid="{D098D44A-F9FD-4E4B-9F10-454FE515EFCF}"/>
    <cellStyle name="Comma 3 3 2 2 3" xfId="388" xr:uid="{DCBBDEC2-A8F5-4CDF-B6ED-A2770667397E}"/>
    <cellStyle name="Comma 3 3 2 2 3 10" xfId="10951" xr:uid="{C9519703-48BF-4EB9-BB3B-B4DEC1E1EE8C}"/>
    <cellStyle name="Comma 3 3 2 2 3 11" xfId="11679" xr:uid="{BC955678-5FA1-430A-BD42-7358B30EDC24}"/>
    <cellStyle name="Comma 3 3 2 2 3 12" xfId="13932" xr:uid="{97228F53-E4EB-4F73-9F75-2C40B4508B6F}"/>
    <cellStyle name="Comma 3 3 2 2 3 13" xfId="16185" xr:uid="{3775C692-62DC-4BC0-8D9B-42010096EFF0}"/>
    <cellStyle name="Comma 3 3 2 2 3 2" xfId="1522" xr:uid="{7EA4A489-50CA-45C5-B51B-CF4B9FAB2833}"/>
    <cellStyle name="Comma 3 3 2 2 3 2 2" xfId="12806" xr:uid="{5300774D-D76D-4AAA-8248-A052646AAAD7}"/>
    <cellStyle name="Comma 3 3 2 2 3 2 3" xfId="15059" xr:uid="{0C834F43-7B79-42DB-99BD-8F036CA59C44}"/>
    <cellStyle name="Comma 3 3 2 2 3 2 4" xfId="17312" xr:uid="{5B0BC9E2-7209-41D7-B12E-836883FC8D14}"/>
    <cellStyle name="Comma 3 3 2 2 3 3" xfId="2648" xr:uid="{4776E648-3069-41BE-967C-1427FD65962B}"/>
    <cellStyle name="Comma 3 3 2 2 3 4" xfId="3774" xr:uid="{E5E0C231-C98A-4D44-BD55-EEEA5B65419F}"/>
    <cellStyle name="Comma 3 3 2 2 3 5" xfId="4900" xr:uid="{035D57E8-8C1F-445C-BA75-C998768BF99A}"/>
    <cellStyle name="Comma 3 3 2 2 3 6" xfId="6027" xr:uid="{8CEB75D4-E706-419E-8869-12E12D70C8FD}"/>
    <cellStyle name="Comma 3 3 2 2 3 7" xfId="7157" xr:uid="{F5674FD3-F8B1-4DC8-BBCE-B229630F4808}"/>
    <cellStyle name="Comma 3 3 2 2 3 8" xfId="8687" xr:uid="{E850119E-753E-4A61-B0E7-DD38527444E8}"/>
    <cellStyle name="Comma 3 3 2 2 3 9" xfId="9824" xr:uid="{6B0AFFFD-B264-44EE-A5BE-3C849055B49C}"/>
    <cellStyle name="Comma 3 3 2 2 4" xfId="1520" xr:uid="{2E53E449-4D41-41BF-9CF9-CBB3330EED2C}"/>
    <cellStyle name="Comma 3 3 2 2 4 2" xfId="12804" xr:uid="{DE558676-2320-41EF-B1AA-C3814EB9D88B}"/>
    <cellStyle name="Comma 3 3 2 2 4 3" xfId="15057" xr:uid="{5FC19095-6238-4FBB-9973-BF7B6AEF8EF8}"/>
    <cellStyle name="Comma 3 3 2 2 4 4" xfId="17310" xr:uid="{A13EB69A-7BDB-443A-800D-E6FD289C3353}"/>
    <cellStyle name="Comma 3 3 2 2 5" xfId="2646" xr:uid="{21B96BDF-F5FC-4761-8EEE-63A3CE2C759C}"/>
    <cellStyle name="Comma 3 3 2 2 6" xfId="3772" xr:uid="{915E6678-581B-4389-B695-0E257EEB88E2}"/>
    <cellStyle name="Comma 3 3 2 2 7" xfId="4898" xr:uid="{BF3821FC-9956-4742-B99C-CDA56C3960FB}"/>
    <cellStyle name="Comma 3 3 2 2 8" xfId="6025" xr:uid="{7FB02635-C995-47FE-BD98-7869810B12D7}"/>
    <cellStyle name="Comma 3 3 2 2 9" xfId="7155" xr:uid="{D11A4CE8-E264-4036-83AF-8C417C4B3F44}"/>
    <cellStyle name="Comma 3 3 2 3" xfId="389" xr:uid="{61D819FC-9121-4DDB-8C32-376792F702DC}"/>
    <cellStyle name="Comma 3 3 2 3 10" xfId="10950" xr:uid="{C19F10F3-C2CE-4459-AFC5-077316E962F4}"/>
    <cellStyle name="Comma 3 3 2 3 11" xfId="11680" xr:uid="{EC017956-0A30-496E-94B6-FDF2361AD49E}"/>
    <cellStyle name="Comma 3 3 2 3 12" xfId="13933" xr:uid="{0CD1834E-2B41-4395-A0CB-C7CA6125EDE8}"/>
    <cellStyle name="Comma 3 3 2 3 13" xfId="16186" xr:uid="{6B78CED0-01DF-4A21-BE76-266DF81C2507}"/>
    <cellStyle name="Comma 3 3 2 3 2" xfId="1523" xr:uid="{0B81F064-82F9-48A8-9578-DC7E39508A76}"/>
    <cellStyle name="Comma 3 3 2 3 2 2" xfId="12807" xr:uid="{93F59878-151F-4BDD-B483-363557731337}"/>
    <cellStyle name="Comma 3 3 2 3 2 3" xfId="15060" xr:uid="{0C8500FD-ECBB-4D66-8621-3745DCADA8E8}"/>
    <cellStyle name="Comma 3 3 2 3 2 4" xfId="17313" xr:uid="{5EF4F765-4724-4466-966D-E41888545AB3}"/>
    <cellStyle name="Comma 3 3 2 3 3" xfId="2649" xr:uid="{E62228A9-9B55-49DD-932D-1CA593FC2FF8}"/>
    <cellStyle name="Comma 3 3 2 3 4" xfId="3775" xr:uid="{72CC4398-60AF-4D74-B19C-20907A9E5FAC}"/>
    <cellStyle name="Comma 3 3 2 3 5" xfId="4901" xr:uid="{49D6E16A-DFC3-4B60-8EB1-3B696DCD6A46}"/>
    <cellStyle name="Comma 3 3 2 3 6" xfId="6028" xr:uid="{03CA44A2-D4BE-4183-BEE8-60F0AB2AC70B}"/>
    <cellStyle name="Comma 3 3 2 3 7" xfId="7158" xr:uid="{ADD4FC45-141D-4AA4-AE5B-A9251B7C5414}"/>
    <cellStyle name="Comma 3 3 2 3 8" xfId="8686" xr:uid="{1A6825E7-207D-485A-85E5-58D81CBCD6BC}"/>
    <cellStyle name="Comma 3 3 2 3 9" xfId="9823" xr:uid="{5AEA9908-89ED-4CFD-A49A-E47B9B3F803F}"/>
    <cellStyle name="Comma 3 3 2 4" xfId="390" xr:uid="{3865DDAC-7928-45E1-A0F2-6DA8C41BBFB1}"/>
    <cellStyle name="Comma 3 3 2 4 10" xfId="10949" xr:uid="{8E075D04-E25E-43D5-965A-54EC9184D955}"/>
    <cellStyle name="Comma 3 3 2 4 11" xfId="11681" xr:uid="{8E5275FB-3DF9-4B24-9503-D2428F853F1D}"/>
    <cellStyle name="Comma 3 3 2 4 12" xfId="13934" xr:uid="{637DD47A-2A0E-46A6-8C89-83A1A4199F46}"/>
    <cellStyle name="Comma 3 3 2 4 13" xfId="16187" xr:uid="{C19E4166-534D-4321-8E91-D740D9FF9630}"/>
    <cellStyle name="Comma 3 3 2 4 2" xfId="1524" xr:uid="{6A2E1CEA-2FD5-4D53-9F10-13F53674BAEB}"/>
    <cellStyle name="Comma 3 3 2 4 2 2" xfId="12808" xr:uid="{9C85B242-9165-499D-A1B1-BC4F3E9EB0E5}"/>
    <cellStyle name="Comma 3 3 2 4 2 3" xfId="15061" xr:uid="{68E8DF56-2B26-46EF-96A5-11056465256D}"/>
    <cellStyle name="Comma 3 3 2 4 2 4" xfId="17314" xr:uid="{39702BD0-F563-4AE6-8B89-42F1FE4B1CE0}"/>
    <cellStyle name="Comma 3 3 2 4 3" xfId="2650" xr:uid="{7B2E92E7-19BD-4AE1-A1A0-FF051F374BFB}"/>
    <cellStyle name="Comma 3 3 2 4 4" xfId="3776" xr:uid="{FE7B832E-FCF6-4AA8-ADA3-978AD8F39865}"/>
    <cellStyle name="Comma 3 3 2 4 5" xfId="4902" xr:uid="{262FF540-691A-4AE5-A10C-0AEB4965DA3C}"/>
    <cellStyle name="Comma 3 3 2 4 6" xfId="6029" xr:uid="{3C2E58DC-8D36-445A-9920-EBD48F5FB90B}"/>
    <cellStyle name="Comma 3 3 2 4 7" xfId="7159" xr:uid="{E44DFD1F-9768-4B7C-8B99-894CE0FD9E04}"/>
    <cellStyle name="Comma 3 3 2 4 8" xfId="8685" xr:uid="{C2BD060A-052A-4DBD-8F04-8D9915571C1F}"/>
    <cellStyle name="Comma 3 3 2 4 9" xfId="9822" xr:uid="{50266EA8-E577-428C-A191-9E63D52E08E4}"/>
    <cellStyle name="Comma 3 3 2 5" xfId="1519" xr:uid="{74213E08-0998-40A0-8673-E96DD35A7DDC}"/>
    <cellStyle name="Comma 3 3 2 5 2" xfId="12803" xr:uid="{0B9D0AEC-18D8-4542-A8C8-9BBF46BF8EF0}"/>
    <cellStyle name="Comma 3 3 2 5 3" xfId="15056" xr:uid="{45CD4665-88A4-4F88-9785-893B73BB1F39}"/>
    <cellStyle name="Comma 3 3 2 5 4" xfId="17309" xr:uid="{26D52E70-CACC-45BC-8319-BE28DF67BD77}"/>
    <cellStyle name="Comma 3 3 2 6" xfId="2645" xr:uid="{D8159E2F-356E-485B-AF04-BD84AFF00E4C}"/>
    <cellStyle name="Comma 3 3 2 7" xfId="3771" xr:uid="{0445622D-86B2-4091-BE4C-09F9750A521C}"/>
    <cellStyle name="Comma 3 3 2 8" xfId="4897" xr:uid="{8634BBFB-C6AE-44FC-9809-93D6D9A99766}"/>
    <cellStyle name="Comma 3 3 2 9" xfId="6024" xr:uid="{C66044AC-B08F-4D6E-B001-98CC8DBFBD53}"/>
    <cellStyle name="Comma 3 3 3" xfId="391" xr:uid="{3A6D6F71-277E-4AAA-B2CC-A44AD5FCE3A5}"/>
    <cellStyle name="Comma 3 3 3 10" xfId="8684" xr:uid="{3AE1AB24-1667-40B2-919D-215E5902E166}"/>
    <cellStyle name="Comma 3 3 3 11" xfId="9821" xr:uid="{8ED23C4D-6D3A-4FA9-ABB1-11D89B870881}"/>
    <cellStyle name="Comma 3 3 3 12" xfId="10948" xr:uid="{83110B12-1771-4013-9CC4-8E6DAF403766}"/>
    <cellStyle name="Comma 3 3 3 13" xfId="11682" xr:uid="{C5AA6F52-FD59-4990-A4AD-63074EF46D1F}"/>
    <cellStyle name="Comma 3 3 3 14" xfId="13935" xr:uid="{76FBFB96-030D-4305-9CF8-3B1185BF81AE}"/>
    <cellStyle name="Comma 3 3 3 15" xfId="16188" xr:uid="{3352D1AC-027C-46E2-B328-0C209D18E7C4}"/>
    <cellStyle name="Comma 3 3 3 2" xfId="392" xr:uid="{84537FC7-ACDE-4522-9CBF-F03C99F65FCF}"/>
    <cellStyle name="Comma 3 3 3 2 10" xfId="10947" xr:uid="{60A8340F-53C9-4705-B3FB-7136F5C1DA2B}"/>
    <cellStyle name="Comma 3 3 3 2 11" xfId="11683" xr:uid="{82258B8F-835D-4AD4-BE6A-D3F19D23120B}"/>
    <cellStyle name="Comma 3 3 3 2 12" xfId="13936" xr:uid="{F880F29B-5885-4724-AD08-4D8676F4AC17}"/>
    <cellStyle name="Comma 3 3 3 2 13" xfId="16189" xr:uid="{6D90BFF0-C4FC-4EF1-B81D-F6ABDC7ACB21}"/>
    <cellStyle name="Comma 3 3 3 2 2" xfId="1526" xr:uid="{8573CCA1-A8AF-4726-B380-1951E4A1852C}"/>
    <cellStyle name="Comma 3 3 3 2 2 2" xfId="12810" xr:uid="{A8F1370E-35D2-42F0-AEDB-CEEB1B7D9517}"/>
    <cellStyle name="Comma 3 3 3 2 2 3" xfId="15063" xr:uid="{F6036210-27A0-41E4-AB77-D27C4D83568D}"/>
    <cellStyle name="Comma 3 3 3 2 2 4" xfId="17316" xr:uid="{1656525F-068D-4341-875A-82ADF0D7B1B3}"/>
    <cellStyle name="Comma 3 3 3 2 3" xfId="2652" xr:uid="{62D93B0E-D3AF-466C-B6C7-79637905525D}"/>
    <cellStyle name="Comma 3 3 3 2 4" xfId="3778" xr:uid="{5DE4115B-9423-45F1-B4B7-068BEDADB004}"/>
    <cellStyle name="Comma 3 3 3 2 5" xfId="4904" xr:uid="{DFC3846A-8F3C-40BB-94B5-EF041F69D5E1}"/>
    <cellStyle name="Comma 3 3 3 2 6" xfId="6031" xr:uid="{D393E560-81DA-4BF4-AAD3-E1046B125D7D}"/>
    <cellStyle name="Comma 3 3 3 2 7" xfId="7161" xr:uid="{89C57E9B-B686-465A-975E-001677541A55}"/>
    <cellStyle name="Comma 3 3 3 2 8" xfId="8683" xr:uid="{A7C61FC9-7825-4FF0-A353-DAC78EB0E489}"/>
    <cellStyle name="Comma 3 3 3 2 9" xfId="9820" xr:uid="{AD2C7E01-704C-4C19-9921-EA68EEE270A1}"/>
    <cellStyle name="Comma 3 3 3 3" xfId="393" xr:uid="{6F2624ED-346A-4102-AD65-397B7DC450AB}"/>
    <cellStyle name="Comma 3 3 3 3 10" xfId="10946" xr:uid="{82ED57C4-6ECF-4C41-80CD-92A1B4C32ACA}"/>
    <cellStyle name="Comma 3 3 3 3 11" xfId="11684" xr:uid="{87F9E2BA-07A0-4231-AEB0-62CEA11B4D5B}"/>
    <cellStyle name="Comma 3 3 3 3 12" xfId="13937" xr:uid="{E5DC472E-A9F8-4691-8D1B-4B307DBE9CEA}"/>
    <cellStyle name="Comma 3 3 3 3 13" xfId="16190" xr:uid="{D95186CA-5F16-4DED-8FFF-C939312F17D2}"/>
    <cellStyle name="Comma 3 3 3 3 2" xfId="1527" xr:uid="{E70CB3B9-FD18-4072-B50C-50DEFD960148}"/>
    <cellStyle name="Comma 3 3 3 3 2 2" xfId="12811" xr:uid="{32082AF5-8D4C-4689-8FD2-57C4154F1D1E}"/>
    <cellStyle name="Comma 3 3 3 3 2 3" xfId="15064" xr:uid="{1494FDFA-9310-4E0E-B97C-9EBE2AA8B06A}"/>
    <cellStyle name="Comma 3 3 3 3 2 4" xfId="17317" xr:uid="{C39A7FA4-5955-4CD3-AF55-3B0A61D73AF1}"/>
    <cellStyle name="Comma 3 3 3 3 3" xfId="2653" xr:uid="{CD1D9C53-BF23-426B-BD9A-5EA53DB2C826}"/>
    <cellStyle name="Comma 3 3 3 3 4" xfId="3779" xr:uid="{4CF5685D-B865-4FFF-B746-93A8C4FFD1DD}"/>
    <cellStyle name="Comma 3 3 3 3 5" xfId="4905" xr:uid="{723AA130-42D1-456D-BE65-BA74D0CDAEF5}"/>
    <cellStyle name="Comma 3 3 3 3 6" xfId="6032" xr:uid="{F183BE70-C1D1-4C65-AEDA-F3E97946B68C}"/>
    <cellStyle name="Comma 3 3 3 3 7" xfId="7162" xr:uid="{9688781B-0EE8-4C84-B18D-89A9E3E9387D}"/>
    <cellStyle name="Comma 3 3 3 3 8" xfId="8682" xr:uid="{C286D8E1-EC4C-49EA-88B1-AB1C98539038}"/>
    <cellStyle name="Comma 3 3 3 3 9" xfId="9819" xr:uid="{DF5D6BE7-D3CB-4FF3-8604-3EA55826C3A8}"/>
    <cellStyle name="Comma 3 3 3 4" xfId="1525" xr:uid="{315D1D7E-D3F9-4B26-A73C-CCE6F9C980F2}"/>
    <cellStyle name="Comma 3 3 3 4 2" xfId="12809" xr:uid="{83F5DA28-4989-4EDC-8C2B-821F3768B5C5}"/>
    <cellStyle name="Comma 3 3 3 4 3" xfId="15062" xr:uid="{603732DB-2F10-469A-9D9F-026A5284B910}"/>
    <cellStyle name="Comma 3 3 3 4 4" xfId="17315" xr:uid="{4697B60F-3C93-46F0-9D33-77C13511732E}"/>
    <cellStyle name="Comma 3 3 3 5" xfId="2651" xr:uid="{AF838E31-4DE0-42AF-9655-0B6A725183C3}"/>
    <cellStyle name="Comma 3 3 3 6" xfId="3777" xr:uid="{E38AFB1A-5CCC-46BC-BCD8-E5E8E2431CAF}"/>
    <cellStyle name="Comma 3 3 3 7" xfId="4903" xr:uid="{AA5A4DB3-4365-4C7A-82A0-214B8DB8D260}"/>
    <cellStyle name="Comma 3 3 3 8" xfId="6030" xr:uid="{9967FD33-6475-4E43-8F16-FA0D7AEFB9F4}"/>
    <cellStyle name="Comma 3 3 3 9" xfId="7160" xr:uid="{29066B0E-0FF5-4D89-B05D-021FC68EAC64}"/>
    <cellStyle name="Comma 3 3 4" xfId="394" xr:uid="{22797428-51F3-48F4-A5D4-4A62C4A6C3D5}"/>
    <cellStyle name="Comma 3 3 4 10" xfId="10945" xr:uid="{82DBDB93-5546-40DE-AF98-8F1CA51805A4}"/>
    <cellStyle name="Comma 3 3 4 11" xfId="11685" xr:uid="{87184CAD-A940-494D-B3FA-2DA2028B4790}"/>
    <cellStyle name="Comma 3 3 4 12" xfId="13938" xr:uid="{1BB264C6-48EC-4FAF-A716-4621F0809F08}"/>
    <cellStyle name="Comma 3 3 4 13" xfId="16191" xr:uid="{8FF74B0C-6A17-451C-87FF-E32E5F72AA5C}"/>
    <cellStyle name="Comma 3 3 4 2" xfId="1528" xr:uid="{6F44198F-BD0E-4726-AF97-F76300BC6BC1}"/>
    <cellStyle name="Comma 3 3 4 2 2" xfId="12812" xr:uid="{A6F3382A-0632-4F9C-A2EE-D5E88B38914D}"/>
    <cellStyle name="Comma 3 3 4 2 3" xfId="15065" xr:uid="{304CF37B-C439-461E-84D0-567EB1B4E345}"/>
    <cellStyle name="Comma 3 3 4 2 4" xfId="17318" xr:uid="{551F9ED0-EDF7-42C7-BA46-92E18F048853}"/>
    <cellStyle name="Comma 3 3 4 3" xfId="2654" xr:uid="{1E93A2A3-BB68-4623-A850-03F092006B3C}"/>
    <cellStyle name="Comma 3 3 4 4" xfId="3780" xr:uid="{69E7EC89-6944-4DD9-B3C1-DEA03A845802}"/>
    <cellStyle name="Comma 3 3 4 5" xfId="4906" xr:uid="{C9B88B02-582C-45F2-8D90-39249ED394E2}"/>
    <cellStyle name="Comma 3 3 4 6" xfId="6033" xr:uid="{A7F3CF69-29E9-4A02-BECF-2E61E8501D2C}"/>
    <cellStyle name="Comma 3 3 4 7" xfId="7163" xr:uid="{2C83A22B-DC61-4878-A3A6-9B0953C7ED67}"/>
    <cellStyle name="Comma 3 3 4 8" xfId="8681" xr:uid="{DD549934-12DB-46F3-9A38-2696BA4ABDC0}"/>
    <cellStyle name="Comma 3 3 4 9" xfId="9818" xr:uid="{471C18AF-979C-4F15-9696-E169FA03E740}"/>
    <cellStyle name="Comma 3 3 5" xfId="395" xr:uid="{58E99161-0FC3-41B8-A6D4-1E65206BC1FF}"/>
    <cellStyle name="Comma 3 3 5 10" xfId="10944" xr:uid="{01F2E7B4-23F8-4A13-A6FC-4B61DF2839AA}"/>
    <cellStyle name="Comma 3 3 5 11" xfId="11686" xr:uid="{6DA8ABF7-DAE3-4088-A046-93CB4E86DF0E}"/>
    <cellStyle name="Comma 3 3 5 12" xfId="13939" xr:uid="{A3B5AF88-750A-4886-ACE1-532BF92472EA}"/>
    <cellStyle name="Comma 3 3 5 13" xfId="16192" xr:uid="{69FDBEF9-0FB7-41EC-A1E0-ACAFEA27A6E2}"/>
    <cellStyle name="Comma 3 3 5 2" xfId="1529" xr:uid="{3F9574E8-D743-4110-9214-AA73D9B800E0}"/>
    <cellStyle name="Comma 3 3 5 2 2" xfId="12813" xr:uid="{D73880BD-592C-4A53-A9B6-78EB9A03EE75}"/>
    <cellStyle name="Comma 3 3 5 2 3" xfId="15066" xr:uid="{BC30B019-DA18-4872-8618-98F378E24317}"/>
    <cellStyle name="Comma 3 3 5 2 4" xfId="17319" xr:uid="{E7F14DFF-9C12-4B2D-B89E-92271AE63591}"/>
    <cellStyle name="Comma 3 3 5 3" xfId="2655" xr:uid="{C2EA9C78-567A-4B3B-9561-807A54A02FE9}"/>
    <cellStyle name="Comma 3 3 5 4" xfId="3781" xr:uid="{A56F205B-B4DB-4BDB-8DDF-B2C5C3A15F79}"/>
    <cellStyle name="Comma 3 3 5 5" xfId="4907" xr:uid="{B5CBC9CD-DBB9-437A-85F1-B183C2F92F3C}"/>
    <cellStyle name="Comma 3 3 5 6" xfId="6034" xr:uid="{F93306D8-8554-46B4-83EF-951393D5416C}"/>
    <cellStyle name="Comma 3 3 5 7" xfId="7164" xr:uid="{F7D409B9-2840-4739-AA56-0A2103E0862D}"/>
    <cellStyle name="Comma 3 3 5 8" xfId="8680" xr:uid="{7B8851E6-C7D2-411D-97E4-F01ADE0399CB}"/>
    <cellStyle name="Comma 3 3 5 9" xfId="9817" xr:uid="{DB2F678A-1EAB-4427-8343-CC742DF36E05}"/>
    <cellStyle name="Comma 3 3 6" xfId="1518" xr:uid="{218CBA75-B4C3-425C-9E47-43172B6BB64B}"/>
    <cellStyle name="Comma 3 3 6 2" xfId="12802" xr:uid="{1DC6B006-988D-40F6-8CE3-F1D0F4F73610}"/>
    <cellStyle name="Comma 3 3 6 3" xfId="15055" xr:uid="{0B9FCB2D-25A7-45E2-A049-5549972FCF6C}"/>
    <cellStyle name="Comma 3 3 6 4" xfId="17308" xr:uid="{2B36D158-3AAE-48DE-8429-133234EACDCB}"/>
    <cellStyle name="Comma 3 3 7" xfId="2644" xr:uid="{05803DCC-EBD0-4176-B6DF-3FFA0EEA693F}"/>
    <cellStyle name="Comma 3 3 8" xfId="3770" xr:uid="{174CFF87-1C9E-4270-BA2F-317243F84FC8}"/>
    <cellStyle name="Comma 3 3 9" xfId="4896" xr:uid="{BB4BA1D3-7B9B-4CB5-8909-8C0B6960966C}"/>
    <cellStyle name="Comma 3 4" xfId="396" xr:uid="{3F8649A9-B965-4B9E-BB49-939039551950}"/>
    <cellStyle name="Comma 3 4 10" xfId="7165" xr:uid="{77156B64-1DE4-4C16-8888-C42E4ECD26F6}"/>
    <cellStyle name="Comma 3 4 11" xfId="8679" xr:uid="{ECC85843-430C-4695-B2EF-0A64A81122B9}"/>
    <cellStyle name="Comma 3 4 12" xfId="9816" xr:uid="{DEB474D6-0F7E-484C-B3F4-FB376F21BE50}"/>
    <cellStyle name="Comma 3 4 13" xfId="10943" xr:uid="{9B820354-94FA-4176-936A-4F31E3C853CC}"/>
    <cellStyle name="Comma 3 4 14" xfId="11687" xr:uid="{A3135B40-CE29-4A2F-86C6-023511A06CC3}"/>
    <cellStyle name="Comma 3 4 15" xfId="13940" xr:uid="{CFE82DD1-8BFC-4FD5-8BF2-15DB94863845}"/>
    <cellStyle name="Comma 3 4 16" xfId="16193" xr:uid="{0006A74F-DD73-4104-92DB-310D219E2416}"/>
    <cellStyle name="Comma 3 4 2" xfId="397" xr:uid="{DFC80138-A9FF-41E0-AE3E-C4F0066910C6}"/>
    <cellStyle name="Comma 3 4 2 10" xfId="8678" xr:uid="{0C6A7916-4918-4CC9-A717-44E9AE3D5AEB}"/>
    <cellStyle name="Comma 3 4 2 11" xfId="9815" xr:uid="{B979DC42-577F-40BC-B5A2-758021F7F91A}"/>
    <cellStyle name="Comma 3 4 2 12" xfId="10942" xr:uid="{EA047309-8A8C-47D3-8236-94DEA0355E89}"/>
    <cellStyle name="Comma 3 4 2 13" xfId="11688" xr:uid="{73C06649-01C8-4161-9D25-1FEA9BCB8068}"/>
    <cellStyle name="Comma 3 4 2 14" xfId="13941" xr:uid="{C4650755-DFF6-4AC4-B5F4-F2DC4E078926}"/>
    <cellStyle name="Comma 3 4 2 15" xfId="16194" xr:uid="{FCEEDE47-67A5-4A47-B3A7-E4D67A4BD51F}"/>
    <cellStyle name="Comma 3 4 2 2" xfId="398" xr:uid="{8DA2D53B-DD1B-4EB9-9D90-CB1C22C60A14}"/>
    <cellStyle name="Comma 3 4 2 2 10" xfId="10941" xr:uid="{984C3CC5-2A7C-4395-AF95-71978FF606C7}"/>
    <cellStyle name="Comma 3 4 2 2 11" xfId="11689" xr:uid="{6650D415-2EEC-43A3-B461-CBD99B015A05}"/>
    <cellStyle name="Comma 3 4 2 2 12" xfId="13942" xr:uid="{0DA8B97F-927B-42CD-9F0C-70211ED78A8F}"/>
    <cellStyle name="Comma 3 4 2 2 13" xfId="16195" xr:uid="{BBBD09F6-B541-4FA3-8E9A-D1D0D977B7FF}"/>
    <cellStyle name="Comma 3 4 2 2 2" xfId="1532" xr:uid="{E6CB3B43-3421-4E82-810F-99A57AD5DDCC}"/>
    <cellStyle name="Comma 3 4 2 2 2 2" xfId="12816" xr:uid="{EF8A8778-9957-4CFB-9C14-DD274199B94E}"/>
    <cellStyle name="Comma 3 4 2 2 2 3" xfId="15069" xr:uid="{CAA649EE-2CB8-4F3B-B4CA-6DFDC8D24EA0}"/>
    <cellStyle name="Comma 3 4 2 2 2 4" xfId="17322" xr:uid="{08747072-5690-42D8-9861-0FFB3927F967}"/>
    <cellStyle name="Comma 3 4 2 2 3" xfId="2658" xr:uid="{BA4B3146-3DFE-4521-A7B4-CC68341C38D4}"/>
    <cellStyle name="Comma 3 4 2 2 4" xfId="3784" xr:uid="{0035BCC6-9C68-47D2-AD7D-1E497F83CC91}"/>
    <cellStyle name="Comma 3 4 2 2 5" xfId="4910" xr:uid="{2CB59F07-0704-4D8E-90F7-E489167F2186}"/>
    <cellStyle name="Comma 3 4 2 2 6" xfId="6037" xr:uid="{5DB4FD17-64EA-4D01-9AC5-FA8FABAB25B4}"/>
    <cellStyle name="Comma 3 4 2 2 7" xfId="7167" xr:uid="{3E984C51-6F50-422F-8F23-42D61A980A76}"/>
    <cellStyle name="Comma 3 4 2 2 8" xfId="8677" xr:uid="{F886280B-9EEB-4735-80AB-05561A062354}"/>
    <cellStyle name="Comma 3 4 2 2 9" xfId="9814" xr:uid="{2EE99B4B-1E41-4BB2-B0B0-A2EA0DB36E00}"/>
    <cellStyle name="Comma 3 4 2 3" xfId="399" xr:uid="{9FBAF89B-1418-4BA4-AF5C-CF427933A1A1}"/>
    <cellStyle name="Comma 3 4 2 3 10" xfId="10940" xr:uid="{C8FF60EC-549C-42F7-BC59-5B1F56B2E46F}"/>
    <cellStyle name="Comma 3 4 2 3 11" xfId="11690" xr:uid="{CF69DD8D-9AE9-4988-BC55-4A6846350021}"/>
    <cellStyle name="Comma 3 4 2 3 12" xfId="13943" xr:uid="{390C4832-CAA5-41C6-A2AD-A8F1134575E0}"/>
    <cellStyle name="Comma 3 4 2 3 13" xfId="16196" xr:uid="{950E36AE-7B7E-4BE3-BF5A-4678AF2FC5E9}"/>
    <cellStyle name="Comma 3 4 2 3 2" xfId="1533" xr:uid="{AF144102-1ABA-4F3B-AD19-A2D9DD6EE376}"/>
    <cellStyle name="Comma 3 4 2 3 2 2" xfId="12817" xr:uid="{EA7A7126-9FBB-4DEA-9A23-F53926E581D8}"/>
    <cellStyle name="Comma 3 4 2 3 2 3" xfId="15070" xr:uid="{363CCBBE-8CFA-40BD-A359-045AC50A6CE0}"/>
    <cellStyle name="Comma 3 4 2 3 2 4" xfId="17323" xr:uid="{AD99693B-5356-46D0-AC13-57B661FDF115}"/>
    <cellStyle name="Comma 3 4 2 3 3" xfId="2659" xr:uid="{F2D70928-6B24-4916-84BC-8E078934B37E}"/>
    <cellStyle name="Comma 3 4 2 3 4" xfId="3785" xr:uid="{ED907485-BF91-4D3F-96FF-EAA213A7373A}"/>
    <cellStyle name="Comma 3 4 2 3 5" xfId="4911" xr:uid="{4F0B7F6E-E2DE-477F-8037-66FE92D392FF}"/>
    <cellStyle name="Comma 3 4 2 3 6" xfId="6038" xr:uid="{7D3AB7E4-D001-4EB9-A58B-969E9A32B0D0}"/>
    <cellStyle name="Comma 3 4 2 3 7" xfId="7168" xr:uid="{211B4DE7-6088-4668-82A0-BD35FDBD8006}"/>
    <cellStyle name="Comma 3 4 2 3 8" xfId="8676" xr:uid="{3FAE80F2-3654-453D-9055-A78C28AF15D7}"/>
    <cellStyle name="Comma 3 4 2 3 9" xfId="9813" xr:uid="{AB85FB72-0189-4E4C-B72D-944227919042}"/>
    <cellStyle name="Comma 3 4 2 4" xfId="1531" xr:uid="{6A50349A-510E-4C0D-88A1-17710BF5A9D5}"/>
    <cellStyle name="Comma 3 4 2 4 2" xfId="12815" xr:uid="{8030D8AB-3C51-4D88-84EE-675174F8C9AB}"/>
    <cellStyle name="Comma 3 4 2 4 3" xfId="15068" xr:uid="{5F89B3FC-1533-4843-9D42-1DA3F4631753}"/>
    <cellStyle name="Comma 3 4 2 4 4" xfId="17321" xr:uid="{B0C2CDD0-80D6-4F5C-A87E-E3DAED932F13}"/>
    <cellStyle name="Comma 3 4 2 5" xfId="2657" xr:uid="{883B5F78-C6CD-403F-AADC-489A9283BBE5}"/>
    <cellStyle name="Comma 3 4 2 6" xfId="3783" xr:uid="{02968781-0D73-4592-AD5B-1C02BFF6C096}"/>
    <cellStyle name="Comma 3 4 2 7" xfId="4909" xr:uid="{0F52CE24-BA3E-4A9E-AA8E-2515C3EEB75F}"/>
    <cellStyle name="Comma 3 4 2 8" xfId="6036" xr:uid="{13A59E1B-77D3-4FF8-B7B0-7B12EE7E39E2}"/>
    <cellStyle name="Comma 3 4 2 9" xfId="7166" xr:uid="{53EDD960-FE5E-4E6F-9557-566147FFEB78}"/>
    <cellStyle name="Comma 3 4 3" xfId="400" xr:uid="{B8D3BDB8-85BF-4E92-B3DD-24A2B6F0D357}"/>
    <cellStyle name="Comma 3 4 3 10" xfId="10939" xr:uid="{A05A12CD-B7CE-4AEB-B88D-983EE4B41ACF}"/>
    <cellStyle name="Comma 3 4 3 11" xfId="11691" xr:uid="{233FD714-CE25-4ADB-9CA7-FEF523595D2F}"/>
    <cellStyle name="Comma 3 4 3 12" xfId="13944" xr:uid="{A00C7207-1C16-4E84-B376-1FB0A94DA0BB}"/>
    <cellStyle name="Comma 3 4 3 13" xfId="16197" xr:uid="{ED93700F-575D-4A76-8213-E3D8CD2D90D5}"/>
    <cellStyle name="Comma 3 4 3 2" xfId="1534" xr:uid="{CCC35745-ECB2-4DB8-9612-2F80D67A3582}"/>
    <cellStyle name="Comma 3 4 3 2 2" xfId="12818" xr:uid="{9932A39F-9BF4-4248-BBFF-7434B80C2F04}"/>
    <cellStyle name="Comma 3 4 3 2 3" xfId="15071" xr:uid="{81E4A317-404A-45E1-97EA-6A03E88F53C6}"/>
    <cellStyle name="Comma 3 4 3 2 4" xfId="17324" xr:uid="{7385FC01-1012-49B4-9DE4-6142E07A1240}"/>
    <cellStyle name="Comma 3 4 3 3" xfId="2660" xr:uid="{661AAF91-0924-422C-A26F-6AC5D8515C31}"/>
    <cellStyle name="Comma 3 4 3 4" xfId="3786" xr:uid="{97759563-6E0D-46D8-920D-46912BF42E5B}"/>
    <cellStyle name="Comma 3 4 3 5" xfId="4912" xr:uid="{530C2702-F8B8-4570-8CCA-D6B6E0F67126}"/>
    <cellStyle name="Comma 3 4 3 6" xfId="6039" xr:uid="{D8B448D3-5543-458A-A759-CCBBB21C6AB7}"/>
    <cellStyle name="Comma 3 4 3 7" xfId="7169" xr:uid="{9D54F5FB-B972-4F76-A08D-37BF5FA653B0}"/>
    <cellStyle name="Comma 3 4 3 8" xfId="8675" xr:uid="{9B492219-104E-4941-B4FA-5D344DF47760}"/>
    <cellStyle name="Comma 3 4 3 9" xfId="9812" xr:uid="{A2AE5A9A-1C3F-4DC5-A683-91CD27B734C3}"/>
    <cellStyle name="Comma 3 4 4" xfId="401" xr:uid="{BB6D509D-AA6A-4F76-8634-C5B71BC8766A}"/>
    <cellStyle name="Comma 3 4 4 10" xfId="10938" xr:uid="{FE9BC76B-6256-44D1-8BCD-0306E95F1B22}"/>
    <cellStyle name="Comma 3 4 4 11" xfId="11692" xr:uid="{D034DC09-C810-47B3-AA16-4D10740D52E1}"/>
    <cellStyle name="Comma 3 4 4 12" xfId="13945" xr:uid="{31AE95CA-305C-4CF6-BD6F-3D3481420A34}"/>
    <cellStyle name="Comma 3 4 4 13" xfId="16198" xr:uid="{B533440A-B940-46CA-B84A-2D097E0D58EC}"/>
    <cellStyle name="Comma 3 4 4 2" xfId="1535" xr:uid="{07568AB6-7A1B-4287-A12E-B43C7C50A9BE}"/>
    <cellStyle name="Comma 3 4 4 2 2" xfId="12819" xr:uid="{EE5A1FA7-25EF-4E56-9ABF-2093BC6546F2}"/>
    <cellStyle name="Comma 3 4 4 2 3" xfId="15072" xr:uid="{8703D1B9-AD13-4C7D-A173-FB623BFC1199}"/>
    <cellStyle name="Comma 3 4 4 2 4" xfId="17325" xr:uid="{ECE3A39F-C0E3-4786-A696-F81C608ABFFC}"/>
    <cellStyle name="Comma 3 4 4 3" xfId="2661" xr:uid="{E0836503-8396-4BC6-BC5B-22F878D8F1DB}"/>
    <cellStyle name="Comma 3 4 4 4" xfId="3787" xr:uid="{394472EC-29F5-4390-AC3C-D2370C4238AF}"/>
    <cellStyle name="Comma 3 4 4 5" xfId="4913" xr:uid="{7747E9B4-8496-4EE0-89FC-B490A481EEF0}"/>
    <cellStyle name="Comma 3 4 4 6" xfId="6040" xr:uid="{D4DD3BBF-FA4A-4DBB-99FE-B26EF6E692E5}"/>
    <cellStyle name="Comma 3 4 4 7" xfId="7170" xr:uid="{91DDF550-B04C-4A52-85A5-C7086E4D9075}"/>
    <cellStyle name="Comma 3 4 4 8" xfId="8674" xr:uid="{33B2A4F1-9E9E-44EE-B7A6-0BA6E07D813D}"/>
    <cellStyle name="Comma 3 4 4 9" xfId="9811" xr:uid="{237E41EE-E4E3-4337-B29A-E49F86E54238}"/>
    <cellStyle name="Comma 3 4 5" xfId="1530" xr:uid="{0AA60233-AC49-4F52-8FD1-1F0F5B979EDF}"/>
    <cellStyle name="Comma 3 4 5 2" xfId="12814" xr:uid="{397251A0-FB5E-4B56-BD68-1229365C6BE3}"/>
    <cellStyle name="Comma 3 4 5 3" xfId="15067" xr:uid="{B59D6B9E-8EEC-44D3-BE98-59320A143EDD}"/>
    <cellStyle name="Comma 3 4 5 4" xfId="17320" xr:uid="{622F56B0-D733-423A-97E7-0742FB943DB1}"/>
    <cellStyle name="Comma 3 4 6" xfId="2656" xr:uid="{DB9D8F30-291A-45F1-B3ED-645B50D5EB2C}"/>
    <cellStyle name="Comma 3 4 7" xfId="3782" xr:uid="{4AD36840-84B0-4710-8B61-A4479A2266EE}"/>
    <cellStyle name="Comma 3 4 8" xfId="4908" xr:uid="{0AD743EF-BD4E-4C87-BF37-FC4D21382E89}"/>
    <cellStyle name="Comma 3 4 9" xfId="6035" xr:uid="{CD6CE8F8-A1DD-4E22-B25B-6C58EC0C7BDA}"/>
    <cellStyle name="Comma 3 5" xfId="402" xr:uid="{92F8649A-67D2-47DB-A92A-2EB1C0383C95}"/>
    <cellStyle name="Comma 3 5 10" xfId="8673" xr:uid="{3EE3FE61-6AFB-4A68-BE9C-00C843917E7B}"/>
    <cellStyle name="Comma 3 5 11" xfId="9810" xr:uid="{59F5AE86-0501-434C-85C4-185E7D76A60B}"/>
    <cellStyle name="Comma 3 5 12" xfId="10937" xr:uid="{8F959946-6E32-45AB-9C6B-5A0D143F69D4}"/>
    <cellStyle name="Comma 3 5 13" xfId="11693" xr:uid="{FD490F1E-B977-4755-90A5-A472376E0F54}"/>
    <cellStyle name="Comma 3 5 14" xfId="13946" xr:uid="{B70B9D6D-3F12-4C8E-B25B-39CBBA2BA0F1}"/>
    <cellStyle name="Comma 3 5 15" xfId="16199" xr:uid="{1F4016BF-944E-443F-927A-E529DBFC893F}"/>
    <cellStyle name="Comma 3 5 2" xfId="403" xr:uid="{ED1A5D4F-010B-4E6E-8CA9-6B26C239552A}"/>
    <cellStyle name="Comma 3 5 2 10" xfId="10936" xr:uid="{BA299F1E-C1BA-4B8B-A601-8B8D7C2FB985}"/>
    <cellStyle name="Comma 3 5 2 11" xfId="11694" xr:uid="{D3E42925-9D4F-4592-94E7-E16AACA7A29A}"/>
    <cellStyle name="Comma 3 5 2 12" xfId="13947" xr:uid="{5BEF435F-6B4E-4DE0-81C2-A78C45F33CF9}"/>
    <cellStyle name="Comma 3 5 2 13" xfId="16200" xr:uid="{16943C15-58D2-4682-A7C0-9021A53D0B0A}"/>
    <cellStyle name="Comma 3 5 2 2" xfId="1537" xr:uid="{EFABCA74-62A4-4100-8D68-48EC89579579}"/>
    <cellStyle name="Comma 3 5 2 2 2" xfId="12821" xr:uid="{C52C892C-45E7-411A-B922-FCE433E4F30F}"/>
    <cellStyle name="Comma 3 5 2 2 3" xfId="15074" xr:uid="{AC9B1E7E-CDB1-4121-9983-AD3F2F18E09D}"/>
    <cellStyle name="Comma 3 5 2 2 4" xfId="17327" xr:uid="{7E877A68-EB12-4A9A-A900-C9726271D2BE}"/>
    <cellStyle name="Comma 3 5 2 3" xfId="2663" xr:uid="{B240E912-8570-497A-B495-C893252461C0}"/>
    <cellStyle name="Comma 3 5 2 4" xfId="3789" xr:uid="{0E9C969E-E062-42EF-A99F-CF7CD221709C}"/>
    <cellStyle name="Comma 3 5 2 5" xfId="4915" xr:uid="{985AB8C8-25BE-4D03-93D6-BBE3FB3EF463}"/>
    <cellStyle name="Comma 3 5 2 6" xfId="6042" xr:uid="{E1D719A8-D646-4F62-A656-E82F1E5B11A9}"/>
    <cellStyle name="Comma 3 5 2 7" xfId="7172" xr:uid="{EB8A52EB-75CA-4D46-9861-2CCC5CDA41CC}"/>
    <cellStyle name="Comma 3 5 2 8" xfId="8672" xr:uid="{38C782F5-014A-40D7-BF06-88D108329B78}"/>
    <cellStyle name="Comma 3 5 2 9" xfId="9809" xr:uid="{FFA436F5-7DA0-4CE5-B7BF-16F83C47230E}"/>
    <cellStyle name="Comma 3 5 3" xfId="404" xr:uid="{41191A49-B636-4362-9287-F87CE0EA92B7}"/>
    <cellStyle name="Comma 3 5 3 10" xfId="10935" xr:uid="{B3B5857F-F61E-4009-AB6E-2EE1C29CD6CF}"/>
    <cellStyle name="Comma 3 5 3 11" xfId="11695" xr:uid="{910E0DE2-CDF7-40E3-8BA5-64DC66A8B2F2}"/>
    <cellStyle name="Comma 3 5 3 12" xfId="13948" xr:uid="{79D40AD0-E4CC-4058-9996-BCA30A37033C}"/>
    <cellStyle name="Comma 3 5 3 13" xfId="16201" xr:uid="{BBEF121F-628C-4823-A317-40BF1D840F93}"/>
    <cellStyle name="Comma 3 5 3 2" xfId="1538" xr:uid="{6144BFEB-1FFC-428D-A115-CEACAF9E725D}"/>
    <cellStyle name="Comma 3 5 3 2 2" xfId="12822" xr:uid="{9D4E6BC2-2F7A-4ACE-82D0-BF3BF9A351B4}"/>
    <cellStyle name="Comma 3 5 3 2 3" xfId="15075" xr:uid="{18EB31EF-1863-4C28-ADDB-912C12152F0E}"/>
    <cellStyle name="Comma 3 5 3 2 4" xfId="17328" xr:uid="{F754D17C-84AF-4DCE-9860-BF553EA894D9}"/>
    <cellStyle name="Comma 3 5 3 3" xfId="2664" xr:uid="{0EE2C6D5-1D03-4BD4-97F9-2550FCA73E44}"/>
    <cellStyle name="Comma 3 5 3 4" xfId="3790" xr:uid="{371C6975-549B-4305-AEB0-013E40AE1B56}"/>
    <cellStyle name="Comma 3 5 3 5" xfId="4916" xr:uid="{2D4B061F-CA03-4EA8-A89A-3F4B2D9F510E}"/>
    <cellStyle name="Comma 3 5 3 6" xfId="6043" xr:uid="{DBA66DCA-F158-42E5-AC65-BCA2DDB8F0C7}"/>
    <cellStyle name="Comma 3 5 3 7" xfId="7173" xr:uid="{9314422E-2E20-44F0-B271-3D97F06D9754}"/>
    <cellStyle name="Comma 3 5 3 8" xfId="8671" xr:uid="{01AD57F9-859F-4263-8829-B91B683735F4}"/>
    <cellStyle name="Comma 3 5 3 9" xfId="9808" xr:uid="{7D3434C5-91CC-40EB-99C7-CFA3DFD16317}"/>
    <cellStyle name="Comma 3 5 4" xfId="1536" xr:uid="{E562AC65-B8D6-40F6-9385-94E02B8852B0}"/>
    <cellStyle name="Comma 3 5 4 2" xfId="12820" xr:uid="{D2DD7814-F529-45AE-A8C1-9DD4AAFA0558}"/>
    <cellStyle name="Comma 3 5 4 3" xfId="15073" xr:uid="{1F70BEEA-2327-479F-A7B7-59F5AA2F9798}"/>
    <cellStyle name="Comma 3 5 4 4" xfId="17326" xr:uid="{1C10A9E3-5CED-41C2-8FBD-5D8386BAF4D9}"/>
    <cellStyle name="Comma 3 5 5" xfId="2662" xr:uid="{F454BFEB-CCAD-4E1E-AA64-F2EB4F4A5219}"/>
    <cellStyle name="Comma 3 5 6" xfId="3788" xr:uid="{7DA33DA8-9913-4AB3-8EA9-138EC99285A2}"/>
    <cellStyle name="Comma 3 5 7" xfId="4914" xr:uid="{30E02485-1618-4363-8551-88173CC56700}"/>
    <cellStyle name="Comma 3 5 8" xfId="6041" xr:uid="{7BBED7EB-A67E-457B-851C-57A3081A15DB}"/>
    <cellStyle name="Comma 3 5 9" xfId="7171" xr:uid="{44AB18C0-95B7-4182-983E-AC1C8AFA8B0F}"/>
    <cellStyle name="Comma 3 6" xfId="405" xr:uid="{C6C981EB-362A-4980-A172-A025DFEB8AD5}"/>
    <cellStyle name="Comma 3 6 10" xfId="10934" xr:uid="{9B6416D9-7D55-4F9C-9867-E4FD13C04D81}"/>
    <cellStyle name="Comma 3 6 11" xfId="11696" xr:uid="{C61FBADD-2807-4291-87FF-284908747D2B}"/>
    <cellStyle name="Comma 3 6 12" xfId="13949" xr:uid="{E9D112F0-0E55-46D1-8FD9-1014A44B36FD}"/>
    <cellStyle name="Comma 3 6 13" xfId="16202" xr:uid="{D3AC22F0-5410-43A6-A969-E80A7A044505}"/>
    <cellStyle name="Comma 3 6 2" xfId="1539" xr:uid="{6D23ABCF-A064-4F0E-AA5E-8BEA17C19A67}"/>
    <cellStyle name="Comma 3 6 2 2" xfId="12823" xr:uid="{A5E7C75E-D416-481D-8C52-A98C0F5D2308}"/>
    <cellStyle name="Comma 3 6 2 3" xfId="15076" xr:uid="{4E55726A-8D3F-4B89-BD36-E79D4FE53286}"/>
    <cellStyle name="Comma 3 6 2 4" xfId="17329" xr:uid="{396E3626-5629-434E-8ACE-2E6A0189B1B3}"/>
    <cellStyle name="Comma 3 6 3" xfId="2665" xr:uid="{76949624-8533-4C56-992C-3A91C612AEE2}"/>
    <cellStyle name="Comma 3 6 4" xfId="3791" xr:uid="{545885B6-08A6-4835-B0CD-675DBEB5EB4C}"/>
    <cellStyle name="Comma 3 6 5" xfId="4917" xr:uid="{B3E04F54-7533-47BC-BA14-9C7BFD1DAD94}"/>
    <cellStyle name="Comma 3 6 6" xfId="6044" xr:uid="{6F6A473E-A5FD-4BFE-A35B-CB679F202846}"/>
    <cellStyle name="Comma 3 6 7" xfId="7174" xr:uid="{DBD2AC88-B0CD-4170-919A-E0DDBFB13573}"/>
    <cellStyle name="Comma 3 6 8" xfId="8670" xr:uid="{2F036EBF-DC39-4349-A9FC-992A2849492B}"/>
    <cellStyle name="Comma 3 6 9" xfId="9807" xr:uid="{4B7D5FD8-15BE-4F7B-BAD1-5CD625B780AC}"/>
    <cellStyle name="Comma 3 7" xfId="406" xr:uid="{6D327C22-36E8-4190-911B-A6944930407F}"/>
    <cellStyle name="Comma 3 7 10" xfId="10933" xr:uid="{D8AE7D38-0D50-481B-A6A6-6F69B76E6A86}"/>
    <cellStyle name="Comma 3 7 11" xfId="11697" xr:uid="{DAABCFAF-1210-4722-A4E7-733FB483730D}"/>
    <cellStyle name="Comma 3 7 12" xfId="13950" xr:uid="{18F19A58-8A49-43E9-9B4D-0A13F4C3D013}"/>
    <cellStyle name="Comma 3 7 13" xfId="16203" xr:uid="{8327CF94-06F4-4A1F-B27C-002F6385A330}"/>
    <cellStyle name="Comma 3 7 2" xfId="1540" xr:uid="{E6AEA2B5-DC79-4426-BDBC-2AE9443C2C80}"/>
    <cellStyle name="Comma 3 7 2 2" xfId="12824" xr:uid="{E8E67131-758F-47ED-8C7A-0072AE37B622}"/>
    <cellStyle name="Comma 3 7 2 3" xfId="15077" xr:uid="{07E38BB3-6FD0-4D43-BAAC-5D5EA2F396FC}"/>
    <cellStyle name="Comma 3 7 2 4" xfId="17330" xr:uid="{756D6C6A-5A70-4ABD-A41F-22157028BD50}"/>
    <cellStyle name="Comma 3 7 3" xfId="2666" xr:uid="{AA555EB6-5813-44A3-A5CF-2B3BE485C1A4}"/>
    <cellStyle name="Comma 3 7 4" xfId="3792" xr:uid="{8DE19E1F-9986-4919-85F7-611F11F68C05}"/>
    <cellStyle name="Comma 3 7 5" xfId="4918" xr:uid="{0FA530C0-9083-4D95-86A1-7D5EDE0A6824}"/>
    <cellStyle name="Comma 3 7 6" xfId="6045" xr:uid="{A22E1AB8-020E-4935-B4BD-C699486B2C9F}"/>
    <cellStyle name="Comma 3 7 7" xfId="7175" xr:uid="{D4E9D927-8396-42D4-B614-E7722B0A7AEF}"/>
    <cellStyle name="Comma 3 7 8" xfId="8669" xr:uid="{AE37903D-03DA-4226-AD97-566D77ED9BA6}"/>
    <cellStyle name="Comma 3 7 9" xfId="9806" xr:uid="{4D5C589E-43D5-4F71-B3EE-8360AC11A07A}"/>
    <cellStyle name="Comma 3 8" xfId="359" xr:uid="{719C9458-0184-45CB-9BC1-19D4560BD395}"/>
    <cellStyle name="Comma 3 8 2" xfId="12777" xr:uid="{AEA6E8E8-E125-4BE6-AC64-EBFEB784D9EE}"/>
    <cellStyle name="Comma 3 8 3" xfId="15030" xr:uid="{AD2CC7DF-8154-44E6-B98A-1A00AA4B1135}"/>
    <cellStyle name="Comma 3 8 4" xfId="17283" xr:uid="{91B77ECC-5143-4134-A45B-EFAC4AAEB611}"/>
    <cellStyle name="Comma 3 9" xfId="1493" xr:uid="{920C0AAC-0C55-43FC-BBC4-9EEFE4AE5E71}"/>
    <cellStyle name="Comma 30" xfId="11313" xr:uid="{71A11716-9B36-45FE-AB49-FC184751F370}"/>
    <cellStyle name="Comma 31" xfId="11316" xr:uid="{81ADE56E-4D44-4041-98EE-F5566EBFA1CA}"/>
    <cellStyle name="Comma 32" xfId="13569" xr:uid="{F67976B4-1CC1-45F3-9D94-9DD1E49BF196}"/>
    <cellStyle name="Comma 33" xfId="15822" xr:uid="{FA2AC297-562F-459E-900B-D9DF4A83D446}"/>
    <cellStyle name="Comma 4" xfId="407" xr:uid="{6194171A-721F-43B4-BA1F-230CC21C6D24}"/>
    <cellStyle name="Comma 4 10" xfId="3793" xr:uid="{FF57A79A-AC64-46CB-AF2A-BE688803E121}"/>
    <cellStyle name="Comma 4 11" xfId="4919" xr:uid="{34177BB6-2EB6-42A5-9E74-44B3EFAC47E7}"/>
    <cellStyle name="Comma 4 12" xfId="6046" xr:uid="{A7C3637D-885A-4A23-AB1B-D8FE3F6AF920}"/>
    <cellStyle name="Comma 4 13" xfId="7176" xr:uid="{93B3EA7E-9974-4EB5-9714-C4E26243CAE1}"/>
    <cellStyle name="Comma 4 14" xfId="8668" xr:uid="{13717096-5E95-4E46-8951-55EE5511D8E9}"/>
    <cellStyle name="Comma 4 15" xfId="9805" xr:uid="{3EB7D639-94A4-42EC-86E9-8676EF979EDE}"/>
    <cellStyle name="Comma 4 16" xfId="10932" xr:uid="{96F3F410-DED7-43A9-AD05-6E3F790D0738}"/>
    <cellStyle name="Comma 4 17" xfId="11698" xr:uid="{4B8786F4-814D-4B6F-9FE9-7516695C875F}"/>
    <cellStyle name="Comma 4 18" xfId="13951" xr:uid="{2E8BA674-909A-459A-974F-BEB1DDA24612}"/>
    <cellStyle name="Comma 4 19" xfId="16204" xr:uid="{F078822E-FE9D-45D9-8467-9F25C6A47E90}"/>
    <cellStyle name="Comma 4 2" xfId="408" xr:uid="{EF2CD7CD-9084-43F9-9BA3-9F3BF9668D1D}"/>
    <cellStyle name="Comma 4 2 10" xfId="4920" xr:uid="{3757F2AA-E22B-4687-B837-265EB915030E}"/>
    <cellStyle name="Comma 4 2 11" xfId="6047" xr:uid="{C4E4DF99-104B-49B7-9B15-0888295AF42A}"/>
    <cellStyle name="Comma 4 2 12" xfId="7177" xr:uid="{EF54343D-6EDB-483D-9134-5C82C2A7AC3E}"/>
    <cellStyle name="Comma 4 2 13" xfId="8667" xr:uid="{64FBFF89-55BF-46AB-86A5-53BE6BFF93A1}"/>
    <cellStyle name="Comma 4 2 14" xfId="9804" xr:uid="{662BE5A8-924D-412A-8AC6-F364E655DB66}"/>
    <cellStyle name="Comma 4 2 15" xfId="10931" xr:uid="{0F96FD38-4F96-4B50-ACFC-A4A8ED9ED74F}"/>
    <cellStyle name="Comma 4 2 16" xfId="11699" xr:uid="{7550E906-0F02-4485-AFDD-BDCAFD4A090E}"/>
    <cellStyle name="Comma 4 2 17" xfId="13952" xr:uid="{EAF12425-EF04-491E-9F46-AAD263966F4D}"/>
    <cellStyle name="Comma 4 2 18" xfId="16205" xr:uid="{5A70D9E7-212C-48B0-8CC1-32C845148771}"/>
    <cellStyle name="Comma 4 2 2" xfId="409" xr:uid="{594A1945-1EEB-41BB-AD32-6758A2198D84}"/>
    <cellStyle name="Comma 4 2 2 10" xfId="6048" xr:uid="{E208CB44-D480-492B-B67E-E30A6FE450A9}"/>
    <cellStyle name="Comma 4 2 2 11" xfId="7178" xr:uid="{291B52FC-817C-4F09-A83C-39A96F8EA18F}"/>
    <cellStyle name="Comma 4 2 2 12" xfId="8666" xr:uid="{D0680EDC-97B7-43CB-8DD8-35F9F98A09B4}"/>
    <cellStyle name="Comma 4 2 2 13" xfId="9803" xr:uid="{99733A62-121E-4D41-B8C8-8937D76CD0CA}"/>
    <cellStyle name="Comma 4 2 2 14" xfId="10930" xr:uid="{C89BC1E1-2F7B-44F3-A1C4-C854136C470D}"/>
    <cellStyle name="Comma 4 2 2 15" xfId="11700" xr:uid="{B4B4787B-541A-4098-BD3F-266CBDFF425E}"/>
    <cellStyle name="Comma 4 2 2 16" xfId="13953" xr:uid="{03A041E7-53CC-48FE-80AC-EF0A9CA94292}"/>
    <cellStyle name="Comma 4 2 2 17" xfId="16206" xr:uid="{B95A1191-1974-4BDA-A483-20405F664E90}"/>
    <cellStyle name="Comma 4 2 2 2" xfId="410" xr:uid="{3458020B-B5D4-4B68-9D9C-132F67D3F306}"/>
    <cellStyle name="Comma 4 2 2 2 10" xfId="7179" xr:uid="{AFD6E5A0-9263-4D62-9361-5975F6761311}"/>
    <cellStyle name="Comma 4 2 2 2 11" xfId="8665" xr:uid="{9660C262-13AB-4111-8546-CA5A02C4C02C}"/>
    <cellStyle name="Comma 4 2 2 2 12" xfId="9802" xr:uid="{8837F505-A7D4-4D12-9380-4B8C4F5BAD70}"/>
    <cellStyle name="Comma 4 2 2 2 13" xfId="10929" xr:uid="{9CD3AA52-9BAE-43DC-A30F-61A2E790CF91}"/>
    <cellStyle name="Comma 4 2 2 2 14" xfId="11701" xr:uid="{1DD5AB34-47A0-46AB-B866-CB3806DB60FE}"/>
    <cellStyle name="Comma 4 2 2 2 15" xfId="13954" xr:uid="{06500CF9-8B18-4F9F-A8AC-1DB7B672178E}"/>
    <cellStyle name="Comma 4 2 2 2 16" xfId="16207" xr:uid="{A528DDAB-D73C-4B09-870D-145295ECC832}"/>
    <cellStyle name="Comma 4 2 2 2 2" xfId="411" xr:uid="{812BA10A-5780-4DB5-B7F7-C0F5C3B951D3}"/>
    <cellStyle name="Comma 4 2 2 2 2 10" xfId="8664" xr:uid="{320E98BD-F269-43C6-BF97-8DB3B5619223}"/>
    <cellStyle name="Comma 4 2 2 2 2 11" xfId="9801" xr:uid="{DE7C39EC-6FA1-4911-B7AB-EDA1AA449C8C}"/>
    <cellStyle name="Comma 4 2 2 2 2 12" xfId="10928" xr:uid="{A0E6FFF3-90C4-4F09-ABC4-632E9598403F}"/>
    <cellStyle name="Comma 4 2 2 2 2 13" xfId="11702" xr:uid="{AC60A6D0-9038-4E81-AD04-CA806E85FE4E}"/>
    <cellStyle name="Comma 4 2 2 2 2 14" xfId="13955" xr:uid="{77A37FDE-51E5-446D-9056-CF076551F6E2}"/>
    <cellStyle name="Comma 4 2 2 2 2 15" xfId="16208" xr:uid="{432D2E41-E142-4217-A32D-ACF6C74C1A2E}"/>
    <cellStyle name="Comma 4 2 2 2 2 2" xfId="412" xr:uid="{AA78462B-640F-419F-AF2D-BD7D6E6CE373}"/>
    <cellStyle name="Comma 4 2 2 2 2 2 10" xfId="10927" xr:uid="{C9C153B0-A02C-4CF1-BF9B-2C457F643549}"/>
    <cellStyle name="Comma 4 2 2 2 2 2 11" xfId="11703" xr:uid="{A9F5618D-DAC1-44E9-B319-8E82B1B132F7}"/>
    <cellStyle name="Comma 4 2 2 2 2 2 12" xfId="13956" xr:uid="{5C005F42-EFB5-4581-A7C4-727813E026D5}"/>
    <cellStyle name="Comma 4 2 2 2 2 2 13" xfId="16209" xr:uid="{4CF13F53-E091-4711-805E-A17C34FD2876}"/>
    <cellStyle name="Comma 4 2 2 2 2 2 2" xfId="1546" xr:uid="{00B0EE5E-AC0B-4850-96B8-9CA68837CC4A}"/>
    <cellStyle name="Comma 4 2 2 2 2 2 2 2" xfId="12830" xr:uid="{2D39DEB5-BBA5-4E35-8C5E-B4071B78268B}"/>
    <cellStyle name="Comma 4 2 2 2 2 2 2 3" xfId="15083" xr:uid="{25739947-4A18-42DD-9476-9725692F0F9E}"/>
    <cellStyle name="Comma 4 2 2 2 2 2 2 4" xfId="17336" xr:uid="{35CA043A-9860-4818-9A9F-0E0C434130C5}"/>
    <cellStyle name="Comma 4 2 2 2 2 2 3" xfId="2672" xr:uid="{A157BF81-E095-4ABB-BF5B-F015B51E728E}"/>
    <cellStyle name="Comma 4 2 2 2 2 2 4" xfId="3798" xr:uid="{1899C2B0-66A6-479D-8269-8AA55B3EF0C0}"/>
    <cellStyle name="Comma 4 2 2 2 2 2 5" xfId="4924" xr:uid="{FABB17D6-4956-46FF-9053-C7EBDC2BDB09}"/>
    <cellStyle name="Comma 4 2 2 2 2 2 6" xfId="6051" xr:uid="{C4C23294-D85B-40E3-A208-94187309739A}"/>
    <cellStyle name="Comma 4 2 2 2 2 2 7" xfId="7181" xr:uid="{39EAA1D6-B00D-46F4-9E9B-AF14E7C46F28}"/>
    <cellStyle name="Comma 4 2 2 2 2 2 8" xfId="8663" xr:uid="{D16970CC-DCC8-4836-8E5C-6EED05718B1E}"/>
    <cellStyle name="Comma 4 2 2 2 2 2 9" xfId="9800" xr:uid="{BBC094F5-5715-4B75-BA8A-5B6C765DF427}"/>
    <cellStyle name="Comma 4 2 2 2 2 3" xfId="413" xr:uid="{83052BD0-8597-46D2-87A9-8496FA0E91CE}"/>
    <cellStyle name="Comma 4 2 2 2 2 3 10" xfId="10926" xr:uid="{47ACECBB-8741-4932-813E-3DE88BB56840}"/>
    <cellStyle name="Comma 4 2 2 2 2 3 11" xfId="11704" xr:uid="{65F37692-515D-4F13-8BB6-13D0B949B1BC}"/>
    <cellStyle name="Comma 4 2 2 2 2 3 12" xfId="13957" xr:uid="{3B40990B-707C-49C3-BA4B-3ED5D8E0B340}"/>
    <cellStyle name="Comma 4 2 2 2 2 3 13" xfId="16210" xr:uid="{C752AC1A-F054-4B2E-8D54-8E8767277FB3}"/>
    <cellStyle name="Comma 4 2 2 2 2 3 2" xfId="1547" xr:uid="{F51BBD38-637A-4344-86F3-8A6FFD79CCCE}"/>
    <cellStyle name="Comma 4 2 2 2 2 3 2 2" xfId="12831" xr:uid="{91918C00-4A4F-433B-8707-E2CDF06950E9}"/>
    <cellStyle name="Comma 4 2 2 2 2 3 2 3" xfId="15084" xr:uid="{070DD035-5DA7-43D4-8394-C0C9B8A657E6}"/>
    <cellStyle name="Comma 4 2 2 2 2 3 2 4" xfId="17337" xr:uid="{9DF7440F-106A-458A-84D4-E9FF5A4EE844}"/>
    <cellStyle name="Comma 4 2 2 2 2 3 3" xfId="2673" xr:uid="{2758F6E0-653C-40C9-94C6-D6994AAEB262}"/>
    <cellStyle name="Comma 4 2 2 2 2 3 4" xfId="3799" xr:uid="{488D4B27-F023-476F-92AF-7228F04780A4}"/>
    <cellStyle name="Comma 4 2 2 2 2 3 5" xfId="4925" xr:uid="{8FA4F096-CDBC-4874-AF24-AD05A4BE30F8}"/>
    <cellStyle name="Comma 4 2 2 2 2 3 6" xfId="6052" xr:uid="{CA53AFEF-0AC8-4E35-A6DC-CC9CAE54845D}"/>
    <cellStyle name="Comma 4 2 2 2 2 3 7" xfId="7182" xr:uid="{87BCD005-8E44-4368-813E-40F3A6D20B96}"/>
    <cellStyle name="Comma 4 2 2 2 2 3 8" xfId="8662" xr:uid="{F5054EFE-5AC4-4EEF-BD98-1C6C41613849}"/>
    <cellStyle name="Comma 4 2 2 2 2 3 9" xfId="9799" xr:uid="{430540F7-34C6-45A2-B0CC-D1224CF4D629}"/>
    <cellStyle name="Comma 4 2 2 2 2 4" xfId="1545" xr:uid="{042F1B1E-9C7E-42C6-A944-4ED44F465847}"/>
    <cellStyle name="Comma 4 2 2 2 2 4 2" xfId="12829" xr:uid="{BED82A31-3788-472C-85C2-5948834B09C0}"/>
    <cellStyle name="Comma 4 2 2 2 2 4 3" xfId="15082" xr:uid="{09D6A2FE-C4AC-4A24-8C5C-CEAEC0AF71F3}"/>
    <cellStyle name="Comma 4 2 2 2 2 4 4" xfId="17335" xr:uid="{4FF3CEAB-0796-44DD-8868-895FB0AB50A4}"/>
    <cellStyle name="Comma 4 2 2 2 2 5" xfId="2671" xr:uid="{8D37F829-2AFF-430D-A4F7-1941A05AD81B}"/>
    <cellStyle name="Comma 4 2 2 2 2 6" xfId="3797" xr:uid="{37F1E4E7-19C1-4C69-A2B3-A5C0FBBA22D6}"/>
    <cellStyle name="Comma 4 2 2 2 2 7" xfId="4923" xr:uid="{BADA188E-B81D-4A94-99AD-A7D0FCBB08E6}"/>
    <cellStyle name="Comma 4 2 2 2 2 8" xfId="6050" xr:uid="{52E43766-397D-4E2D-B869-4E718C26B006}"/>
    <cellStyle name="Comma 4 2 2 2 2 9" xfId="7180" xr:uid="{61EB9519-E577-420F-ADC8-BEAE47D494D3}"/>
    <cellStyle name="Comma 4 2 2 2 3" xfId="414" xr:uid="{B6292F90-0414-49C1-B11F-B0F11CC86712}"/>
    <cellStyle name="Comma 4 2 2 2 3 10" xfId="10925" xr:uid="{B8AE6D97-3D68-42ED-9304-71F0D63E1771}"/>
    <cellStyle name="Comma 4 2 2 2 3 11" xfId="11705" xr:uid="{A823BA5A-F85A-41FD-9766-821C92DBC2D7}"/>
    <cellStyle name="Comma 4 2 2 2 3 12" xfId="13958" xr:uid="{2D38F90F-6FBE-4D5F-A0CC-008CF99F1F75}"/>
    <cellStyle name="Comma 4 2 2 2 3 13" xfId="16211" xr:uid="{8AF6D0EF-9312-4573-BB79-8443DA9D4E1D}"/>
    <cellStyle name="Comma 4 2 2 2 3 2" xfId="1548" xr:uid="{AA455234-8F92-4ED3-AFED-06DACB21B5AB}"/>
    <cellStyle name="Comma 4 2 2 2 3 2 2" xfId="12832" xr:uid="{73C2732F-3E2A-4C76-AB46-100402AFF967}"/>
    <cellStyle name="Comma 4 2 2 2 3 2 3" xfId="15085" xr:uid="{04890B28-D40E-4DCA-82CC-25023D85DD23}"/>
    <cellStyle name="Comma 4 2 2 2 3 2 4" xfId="17338" xr:uid="{86DF09D4-CE0A-4259-BA7A-B218BBDA9098}"/>
    <cellStyle name="Comma 4 2 2 2 3 3" xfId="2674" xr:uid="{2E3DD7EC-543B-4878-AC53-13F01DC30E7A}"/>
    <cellStyle name="Comma 4 2 2 2 3 4" xfId="3800" xr:uid="{9D58325C-FD19-4BD0-9183-13AF4A54608E}"/>
    <cellStyle name="Comma 4 2 2 2 3 5" xfId="4926" xr:uid="{20F78406-623C-46CE-9FC8-A723BFBF3731}"/>
    <cellStyle name="Comma 4 2 2 2 3 6" xfId="6053" xr:uid="{A13A3FB9-BEB8-4D29-A4EC-BDD9F609A7C0}"/>
    <cellStyle name="Comma 4 2 2 2 3 7" xfId="7183" xr:uid="{4662EFEE-066B-4109-ADD2-FA6A7845ACCC}"/>
    <cellStyle name="Comma 4 2 2 2 3 8" xfId="8661" xr:uid="{A11F7A49-5E36-4344-B5C7-3351400C9D3C}"/>
    <cellStyle name="Comma 4 2 2 2 3 9" xfId="9798" xr:uid="{47F31990-7875-4F8F-8DCA-F66C8E886B48}"/>
    <cellStyle name="Comma 4 2 2 2 4" xfId="415" xr:uid="{69B5FE01-41ED-44AE-93DA-FBDC3783BE76}"/>
    <cellStyle name="Comma 4 2 2 2 4 10" xfId="10924" xr:uid="{CD587EE1-1E58-49F7-A13C-2C4321F7DC14}"/>
    <cellStyle name="Comma 4 2 2 2 4 11" xfId="11706" xr:uid="{12181129-6843-4507-9232-C344FB0BD8CB}"/>
    <cellStyle name="Comma 4 2 2 2 4 12" xfId="13959" xr:uid="{80B5B43B-795B-46A9-885E-62CF4F5E1A8D}"/>
    <cellStyle name="Comma 4 2 2 2 4 13" xfId="16212" xr:uid="{510E4143-6E8D-4D33-A09F-57256C7C27A9}"/>
    <cellStyle name="Comma 4 2 2 2 4 2" xfId="1549" xr:uid="{AC3B9F77-B5A9-4B3B-BD93-EA8694690E31}"/>
    <cellStyle name="Comma 4 2 2 2 4 2 2" xfId="12833" xr:uid="{7B02FFAF-7E3A-49C0-B34B-7D6344A68F3C}"/>
    <cellStyle name="Comma 4 2 2 2 4 2 3" xfId="15086" xr:uid="{AC95B991-B95D-48A0-A385-7D2A9334DD67}"/>
    <cellStyle name="Comma 4 2 2 2 4 2 4" xfId="17339" xr:uid="{A77B71FA-8E7A-45DD-BC6D-37FF3CE3B088}"/>
    <cellStyle name="Comma 4 2 2 2 4 3" xfId="2675" xr:uid="{18811536-3E3E-44F1-84E0-FBF8EA0DBD67}"/>
    <cellStyle name="Comma 4 2 2 2 4 4" xfId="3801" xr:uid="{3C2826B3-7979-496F-AF61-0449E221733C}"/>
    <cellStyle name="Comma 4 2 2 2 4 5" xfId="4927" xr:uid="{24105FC8-F25C-4FBC-B4F2-17067C7DD9D2}"/>
    <cellStyle name="Comma 4 2 2 2 4 6" xfId="6054" xr:uid="{9A3B9738-305B-494C-8EF6-D0AA31F809E0}"/>
    <cellStyle name="Comma 4 2 2 2 4 7" xfId="7184" xr:uid="{5BAE8274-1FCE-4316-A1BB-3393AE408046}"/>
    <cellStyle name="Comma 4 2 2 2 4 8" xfId="8660" xr:uid="{A68803A6-C96C-4681-A532-4169CD07FD66}"/>
    <cellStyle name="Comma 4 2 2 2 4 9" xfId="9797" xr:uid="{E25C2299-E98F-49BF-BA5B-CCDA443320C6}"/>
    <cellStyle name="Comma 4 2 2 2 5" xfId="1544" xr:uid="{C249A231-622A-48EB-B781-E43363EAD5DA}"/>
    <cellStyle name="Comma 4 2 2 2 5 2" xfId="12828" xr:uid="{B435FC6E-6B6E-4A23-8F20-1D294FB44CA1}"/>
    <cellStyle name="Comma 4 2 2 2 5 3" xfId="15081" xr:uid="{AFE01C9A-0BB5-437B-8784-9BC4026FFBF2}"/>
    <cellStyle name="Comma 4 2 2 2 5 4" xfId="17334" xr:uid="{30EEE694-C8B7-4BC8-8889-7BEF58FFAD5F}"/>
    <cellStyle name="Comma 4 2 2 2 6" xfId="2670" xr:uid="{329B2712-F7EB-496E-92C0-754F335DD950}"/>
    <cellStyle name="Comma 4 2 2 2 7" xfId="3796" xr:uid="{D86C202E-072B-44E5-A587-D68732CA990F}"/>
    <cellStyle name="Comma 4 2 2 2 8" xfId="4922" xr:uid="{9EC9E2E2-8593-4E40-A23B-D6DF89F5F3AD}"/>
    <cellStyle name="Comma 4 2 2 2 9" xfId="6049" xr:uid="{84B9DEAD-7C07-4EA1-80D7-156773C8305D}"/>
    <cellStyle name="Comma 4 2 2 3" xfId="416" xr:uid="{99149301-3F9C-49DE-A0C1-D5B2ECC11793}"/>
    <cellStyle name="Comma 4 2 2 3 10" xfId="8659" xr:uid="{5DC5CC03-034B-472B-8EB1-B5097B3AC439}"/>
    <cellStyle name="Comma 4 2 2 3 11" xfId="9796" xr:uid="{B94E9B4A-FDFE-4686-89A7-3E352003635F}"/>
    <cellStyle name="Comma 4 2 2 3 12" xfId="10923" xr:uid="{8CF98B87-DE3A-48B5-A851-309241EDA1D0}"/>
    <cellStyle name="Comma 4 2 2 3 13" xfId="11707" xr:uid="{D9DB9498-39CB-4A54-9B77-D5A86664F77F}"/>
    <cellStyle name="Comma 4 2 2 3 14" xfId="13960" xr:uid="{F991C7BF-D49E-443A-B196-A8C652BF07DF}"/>
    <cellStyle name="Comma 4 2 2 3 15" xfId="16213" xr:uid="{B6C7E3E1-0651-4FB6-B756-B1B84B2DA924}"/>
    <cellStyle name="Comma 4 2 2 3 2" xfId="417" xr:uid="{93DB1BE3-AAC7-479D-B940-E4442D655350}"/>
    <cellStyle name="Comma 4 2 2 3 2 10" xfId="10922" xr:uid="{61D3B237-BDF4-4DDA-9BC5-4AFA8F80E738}"/>
    <cellStyle name="Comma 4 2 2 3 2 11" xfId="11708" xr:uid="{1AE8F54A-8998-4BC3-9228-9488A6FECD42}"/>
    <cellStyle name="Comma 4 2 2 3 2 12" xfId="13961" xr:uid="{873B5B72-5F97-438F-B363-168EBA198AC1}"/>
    <cellStyle name="Comma 4 2 2 3 2 13" xfId="16214" xr:uid="{26EE72FA-C6AC-4F1B-9B3A-DAAD7AE1C421}"/>
    <cellStyle name="Comma 4 2 2 3 2 2" xfId="1551" xr:uid="{A1D3ECCD-2777-4767-B945-CF85D0355C72}"/>
    <cellStyle name="Comma 4 2 2 3 2 2 2" xfId="12835" xr:uid="{D9C9531E-F229-430D-8CBE-337ECFDE32BB}"/>
    <cellStyle name="Comma 4 2 2 3 2 2 3" xfId="15088" xr:uid="{09DF03A1-F0ED-4754-8F0D-63630A704124}"/>
    <cellStyle name="Comma 4 2 2 3 2 2 4" xfId="17341" xr:uid="{25F2AAE5-8751-425F-A8E0-E395E9576DDF}"/>
    <cellStyle name="Comma 4 2 2 3 2 3" xfId="2677" xr:uid="{212DA6C3-202D-44C4-830A-CF851F8394EE}"/>
    <cellStyle name="Comma 4 2 2 3 2 4" xfId="3803" xr:uid="{171F228A-6F04-4A24-8813-FA83F7B35024}"/>
    <cellStyle name="Comma 4 2 2 3 2 5" xfId="4929" xr:uid="{F3B9B059-99E9-4603-A5C8-9407F0A4FF05}"/>
    <cellStyle name="Comma 4 2 2 3 2 6" xfId="6056" xr:uid="{9DA56484-9502-4415-89FF-1780978DA4D7}"/>
    <cellStyle name="Comma 4 2 2 3 2 7" xfId="7186" xr:uid="{62798CAF-C0A0-4058-8F7E-6F1BC4CAFDEB}"/>
    <cellStyle name="Comma 4 2 2 3 2 8" xfId="8658" xr:uid="{3FFC7C1E-E5B2-4251-B767-91E9263FB561}"/>
    <cellStyle name="Comma 4 2 2 3 2 9" xfId="9795" xr:uid="{FA4C677B-C33F-486B-B120-526F23A2F5BA}"/>
    <cellStyle name="Comma 4 2 2 3 3" xfId="418" xr:uid="{7696BBE7-CA68-42B7-9287-2C57715FAEF8}"/>
    <cellStyle name="Comma 4 2 2 3 3 10" xfId="10921" xr:uid="{65AB7FD9-2FDC-49AE-8958-9C441562B5F2}"/>
    <cellStyle name="Comma 4 2 2 3 3 11" xfId="11709" xr:uid="{473A991A-CD2A-4930-81CF-D9EAFE46E67E}"/>
    <cellStyle name="Comma 4 2 2 3 3 12" xfId="13962" xr:uid="{BA2F8D18-99CF-466F-976A-D4E90FD00DCC}"/>
    <cellStyle name="Comma 4 2 2 3 3 13" xfId="16215" xr:uid="{A0B339B0-B9D9-4821-B654-BB787DD029D8}"/>
    <cellStyle name="Comma 4 2 2 3 3 2" xfId="1552" xr:uid="{A6C326F0-AE55-4567-9675-7B6C9751B766}"/>
    <cellStyle name="Comma 4 2 2 3 3 2 2" xfId="12836" xr:uid="{12171A92-CF0B-4E99-B953-61E2546C63B0}"/>
    <cellStyle name="Comma 4 2 2 3 3 2 3" xfId="15089" xr:uid="{FE1A81DD-FCDF-43A1-8F26-54FC6C33CE27}"/>
    <cellStyle name="Comma 4 2 2 3 3 2 4" xfId="17342" xr:uid="{1B08EB07-6782-415E-9395-2ECAFC4DC8E9}"/>
    <cellStyle name="Comma 4 2 2 3 3 3" xfId="2678" xr:uid="{1BCEB41C-AFAA-4A6D-A378-D005C7E5EC1A}"/>
    <cellStyle name="Comma 4 2 2 3 3 4" xfId="3804" xr:uid="{7A2033C8-3383-41CD-859F-E6B4826DBB84}"/>
    <cellStyle name="Comma 4 2 2 3 3 5" xfId="4930" xr:uid="{F686B403-B18B-451D-932B-74C65392520B}"/>
    <cellStyle name="Comma 4 2 2 3 3 6" xfId="6057" xr:uid="{01A705B2-6EF5-4789-813C-D26B714061D0}"/>
    <cellStyle name="Comma 4 2 2 3 3 7" xfId="7187" xr:uid="{16225A79-313A-4463-AC79-99A8107E6A7E}"/>
    <cellStyle name="Comma 4 2 2 3 3 8" xfId="8657" xr:uid="{A1B326E9-5635-46A0-B2E0-3409129955B8}"/>
    <cellStyle name="Comma 4 2 2 3 3 9" xfId="9794" xr:uid="{031C8683-AFA9-4235-BB9F-DDAF49CE0F6B}"/>
    <cellStyle name="Comma 4 2 2 3 4" xfId="1550" xr:uid="{46264B31-92A8-4BFC-AB14-2B9A1F2C949C}"/>
    <cellStyle name="Comma 4 2 2 3 4 2" xfId="12834" xr:uid="{335CE25D-A215-4317-9BEC-551E6E152CCA}"/>
    <cellStyle name="Comma 4 2 2 3 4 3" xfId="15087" xr:uid="{037E8BA2-2C71-454D-A279-2C1EA8000A6E}"/>
    <cellStyle name="Comma 4 2 2 3 4 4" xfId="17340" xr:uid="{275E0F81-B918-4FC9-A401-7D9C72FE4915}"/>
    <cellStyle name="Comma 4 2 2 3 5" xfId="2676" xr:uid="{82E84649-80A8-4059-8141-6DFAD40AEF51}"/>
    <cellStyle name="Comma 4 2 2 3 6" xfId="3802" xr:uid="{9A129748-2EEC-4BDE-9540-93C4001CCA41}"/>
    <cellStyle name="Comma 4 2 2 3 7" xfId="4928" xr:uid="{9BC947C4-8149-40BE-8E89-B97586F01878}"/>
    <cellStyle name="Comma 4 2 2 3 8" xfId="6055" xr:uid="{464740B6-69FF-416A-A9F0-E7CF23B0F096}"/>
    <cellStyle name="Comma 4 2 2 3 9" xfId="7185" xr:uid="{D58A1B95-F75A-401C-BECB-BD0B6277D2E0}"/>
    <cellStyle name="Comma 4 2 2 4" xfId="419" xr:uid="{2C1C095A-770A-41B0-BF82-08B985B3B629}"/>
    <cellStyle name="Comma 4 2 2 4 10" xfId="10920" xr:uid="{F37A0934-2710-4770-9BB9-CF9976183898}"/>
    <cellStyle name="Comma 4 2 2 4 11" xfId="11710" xr:uid="{0451B2F8-81EA-4A94-8897-E01D8B1F8657}"/>
    <cellStyle name="Comma 4 2 2 4 12" xfId="13963" xr:uid="{8607E6D9-B2F8-4EC7-81A1-70C4B6A41A1F}"/>
    <cellStyle name="Comma 4 2 2 4 13" xfId="16216" xr:uid="{E219C296-FDBC-4BEB-8975-536417630CD5}"/>
    <cellStyle name="Comma 4 2 2 4 2" xfId="1553" xr:uid="{C46509E3-5AC5-4980-B2F0-ACC410FD9708}"/>
    <cellStyle name="Comma 4 2 2 4 2 2" xfId="12837" xr:uid="{BA017343-61DC-4106-BB1A-B467A558DA5B}"/>
    <cellStyle name="Comma 4 2 2 4 2 3" xfId="15090" xr:uid="{5B8453B5-3D8F-4E9B-B0D3-96E230918082}"/>
    <cellStyle name="Comma 4 2 2 4 2 4" xfId="17343" xr:uid="{2883EB4E-CE61-41C8-B8AE-849B5C3ECA52}"/>
    <cellStyle name="Comma 4 2 2 4 3" xfId="2679" xr:uid="{1123BA92-849A-4535-91AB-ACAB2D9F2169}"/>
    <cellStyle name="Comma 4 2 2 4 4" xfId="3805" xr:uid="{5F5B5932-FA0D-4DA9-A010-F1081FDE6D61}"/>
    <cellStyle name="Comma 4 2 2 4 5" xfId="4931" xr:uid="{364DE497-E939-41A6-A27C-844B4133D1FF}"/>
    <cellStyle name="Comma 4 2 2 4 6" xfId="6058" xr:uid="{29E9ED8C-2A91-497B-B894-E12F856FEEE9}"/>
    <cellStyle name="Comma 4 2 2 4 7" xfId="7188" xr:uid="{FA76A3D7-4774-449E-A43E-F8D134F9865A}"/>
    <cellStyle name="Comma 4 2 2 4 8" xfId="8656" xr:uid="{FEA9DB47-562C-4969-8C69-929220583BC0}"/>
    <cellStyle name="Comma 4 2 2 4 9" xfId="9793" xr:uid="{18006D9B-CB4B-454B-8968-41080D47E8AB}"/>
    <cellStyle name="Comma 4 2 2 5" xfId="420" xr:uid="{6386E508-0050-456D-BAB3-004CE3E7ACC5}"/>
    <cellStyle name="Comma 4 2 2 5 10" xfId="10919" xr:uid="{F1A0CC25-F3A9-4DE6-AEA4-C2E9B5D222D1}"/>
    <cellStyle name="Comma 4 2 2 5 11" xfId="11711" xr:uid="{37B7DFD4-D668-474B-AAD7-16243053557F}"/>
    <cellStyle name="Comma 4 2 2 5 12" xfId="13964" xr:uid="{ABE4332B-3C09-421E-A5B3-D44ED1A161D0}"/>
    <cellStyle name="Comma 4 2 2 5 13" xfId="16217" xr:uid="{1EF71D12-6730-455A-9A8D-A63912AC9138}"/>
    <cellStyle name="Comma 4 2 2 5 2" xfId="1554" xr:uid="{CFD20859-C329-4AC0-B570-24593C5F2660}"/>
    <cellStyle name="Comma 4 2 2 5 2 2" xfId="12838" xr:uid="{9F591A54-2AD6-4C67-B2D8-A0335189EF82}"/>
    <cellStyle name="Comma 4 2 2 5 2 3" xfId="15091" xr:uid="{B02743FE-866F-48A6-AFBF-6104586CFBD4}"/>
    <cellStyle name="Comma 4 2 2 5 2 4" xfId="17344" xr:uid="{A52C1CAC-44D6-4271-889A-9184695F9DAE}"/>
    <cellStyle name="Comma 4 2 2 5 3" xfId="2680" xr:uid="{60259FCA-A290-48ED-860C-1FACB3818A80}"/>
    <cellStyle name="Comma 4 2 2 5 4" xfId="3806" xr:uid="{9B707518-549C-4E78-9FEC-E0AB994DE2DF}"/>
    <cellStyle name="Comma 4 2 2 5 5" xfId="4932" xr:uid="{BBC0AA97-A31B-492E-AF0D-947D4ACC7600}"/>
    <cellStyle name="Comma 4 2 2 5 6" xfId="6059" xr:uid="{F52298D6-6D57-462F-BA29-8411839AC54F}"/>
    <cellStyle name="Comma 4 2 2 5 7" xfId="7189" xr:uid="{C2B4BA2A-7FCF-414F-80F3-6BE8FC8F75D9}"/>
    <cellStyle name="Comma 4 2 2 5 8" xfId="8655" xr:uid="{A3C79065-1F3C-498D-A3D9-4C88DD452263}"/>
    <cellStyle name="Comma 4 2 2 5 9" xfId="9792" xr:uid="{16A8DE8F-5D2F-4637-B116-4EBD3283EB80}"/>
    <cellStyle name="Comma 4 2 2 6" xfId="1543" xr:uid="{65564B88-C6A8-4A1A-A371-4711C2611D40}"/>
    <cellStyle name="Comma 4 2 2 6 2" xfId="12827" xr:uid="{CBA33052-013A-48EB-A022-FD28C32185E8}"/>
    <cellStyle name="Comma 4 2 2 6 3" xfId="15080" xr:uid="{645BFB2E-A76B-4ECE-A853-3C8C1EE87BB5}"/>
    <cellStyle name="Comma 4 2 2 6 4" xfId="17333" xr:uid="{B8A0B458-9350-4265-8FA1-E4A7CD6AE741}"/>
    <cellStyle name="Comma 4 2 2 7" xfId="2669" xr:uid="{AB0CA79F-C0E6-4E44-8371-F0634294B5C7}"/>
    <cellStyle name="Comma 4 2 2 8" xfId="3795" xr:uid="{ED5A8ADE-08CF-481E-BE98-0441F558BB00}"/>
    <cellStyle name="Comma 4 2 2 9" xfId="4921" xr:uid="{AEB06D2D-F2AE-4FD0-A535-E32AE97D5801}"/>
    <cellStyle name="Comma 4 2 3" xfId="421" xr:uid="{363810A2-1008-4BD3-9FF3-7116091742DC}"/>
    <cellStyle name="Comma 4 2 3 10" xfId="7190" xr:uid="{166B0B1B-3857-486B-8D19-01889EF1B557}"/>
    <cellStyle name="Comma 4 2 3 11" xfId="8654" xr:uid="{97F68446-00DC-4E82-BFF5-A9380F63266F}"/>
    <cellStyle name="Comma 4 2 3 12" xfId="9791" xr:uid="{759B169D-40A7-46AC-8420-18E22D3C75A2}"/>
    <cellStyle name="Comma 4 2 3 13" xfId="10918" xr:uid="{03C4EDC1-D6A3-494C-88D6-1513D75EA931}"/>
    <cellStyle name="Comma 4 2 3 14" xfId="11712" xr:uid="{42E9BF56-A466-47FC-B2D1-450B9D5A9D17}"/>
    <cellStyle name="Comma 4 2 3 15" xfId="13965" xr:uid="{0008151D-1E6D-4C7F-8DAA-76011163C9F7}"/>
    <cellStyle name="Comma 4 2 3 16" xfId="16218" xr:uid="{4746ACC6-C05D-4953-AAD1-CE1012EAE7C6}"/>
    <cellStyle name="Comma 4 2 3 2" xfId="422" xr:uid="{02DDAC71-9259-48C1-A871-4B2F4797C154}"/>
    <cellStyle name="Comma 4 2 3 2 10" xfId="8653" xr:uid="{8B7073E7-FCC6-44D2-8CDA-E6336338C12D}"/>
    <cellStyle name="Comma 4 2 3 2 11" xfId="9790" xr:uid="{83B9A27D-F020-4A88-A912-339F282CC2A9}"/>
    <cellStyle name="Comma 4 2 3 2 12" xfId="10917" xr:uid="{42C0348F-B08D-41D0-B536-1A1A160E9190}"/>
    <cellStyle name="Comma 4 2 3 2 13" xfId="11713" xr:uid="{1936BA02-A5D7-47F7-8313-0E7B968C5FC8}"/>
    <cellStyle name="Comma 4 2 3 2 14" xfId="13966" xr:uid="{39FCDF0E-A48F-493F-BACF-0A62F144B58D}"/>
    <cellStyle name="Comma 4 2 3 2 15" xfId="16219" xr:uid="{3582D36C-337C-40FE-B2D3-319FBC852D50}"/>
    <cellStyle name="Comma 4 2 3 2 2" xfId="423" xr:uid="{11414801-1E55-48E1-8DD8-95E59ACFDF72}"/>
    <cellStyle name="Comma 4 2 3 2 2 10" xfId="10916" xr:uid="{81824489-68E7-40C9-867D-5815AA1FDCCF}"/>
    <cellStyle name="Comma 4 2 3 2 2 11" xfId="11714" xr:uid="{E58258AA-B8A7-466B-B24A-7DED916FC901}"/>
    <cellStyle name="Comma 4 2 3 2 2 12" xfId="13967" xr:uid="{E5F65685-E19D-446A-A574-4DB18D68BC36}"/>
    <cellStyle name="Comma 4 2 3 2 2 13" xfId="16220" xr:uid="{DF87F2BD-74AD-42FD-9E38-6C9DBF88B128}"/>
    <cellStyle name="Comma 4 2 3 2 2 2" xfId="1557" xr:uid="{3F3A791B-8C50-4A86-8DD4-D9B23CE28D41}"/>
    <cellStyle name="Comma 4 2 3 2 2 2 2" xfId="12841" xr:uid="{612522DE-4978-47FA-9F8B-40EE46F52620}"/>
    <cellStyle name="Comma 4 2 3 2 2 2 3" xfId="15094" xr:uid="{2EA0644F-0B36-4B2C-9D1D-7C03BB6B749E}"/>
    <cellStyle name="Comma 4 2 3 2 2 2 4" xfId="17347" xr:uid="{94B00C60-2473-4647-B5B6-13AB7FC5FC35}"/>
    <cellStyle name="Comma 4 2 3 2 2 3" xfId="2683" xr:uid="{36E0E3AF-A32A-4C6E-9CDE-6FC690C84ACE}"/>
    <cellStyle name="Comma 4 2 3 2 2 4" xfId="3809" xr:uid="{68C8ED37-6DA3-474F-9E7C-78F61531392A}"/>
    <cellStyle name="Comma 4 2 3 2 2 5" xfId="4935" xr:uid="{78F11269-2B39-480D-9EC6-1D1B88B977FC}"/>
    <cellStyle name="Comma 4 2 3 2 2 6" xfId="6062" xr:uid="{D782E823-6F5F-4DB6-91C8-00846CA13602}"/>
    <cellStyle name="Comma 4 2 3 2 2 7" xfId="7192" xr:uid="{8BB31D74-EF77-4157-B149-D0152FB9FB35}"/>
    <cellStyle name="Comma 4 2 3 2 2 8" xfId="8652" xr:uid="{0306E6C1-4C91-4F6D-9155-BC54316D70CA}"/>
    <cellStyle name="Comma 4 2 3 2 2 9" xfId="9789" xr:uid="{700F9FD0-86F8-4A83-8BC3-DB2868AF61F0}"/>
    <cellStyle name="Comma 4 2 3 2 3" xfId="424" xr:uid="{C573E9C9-B8C0-4465-9D69-282D9812FBE1}"/>
    <cellStyle name="Comma 4 2 3 2 3 10" xfId="10915" xr:uid="{10C14252-19FC-4230-84C7-4BA6D6C66E57}"/>
    <cellStyle name="Comma 4 2 3 2 3 11" xfId="11715" xr:uid="{418D359C-45BE-433F-B8DE-1862C28652D1}"/>
    <cellStyle name="Comma 4 2 3 2 3 12" xfId="13968" xr:uid="{5AC38884-6817-42FC-91DD-FA61CE661555}"/>
    <cellStyle name="Comma 4 2 3 2 3 13" xfId="16221" xr:uid="{8505E7BE-F7C1-48F9-B5BF-1630242DBBBA}"/>
    <cellStyle name="Comma 4 2 3 2 3 2" xfId="1558" xr:uid="{2FF5EB48-B988-425E-BBB3-2B3568BB7A70}"/>
    <cellStyle name="Comma 4 2 3 2 3 2 2" xfId="12842" xr:uid="{0EDC6F76-1FFC-4473-AC53-BCBF787F05CD}"/>
    <cellStyle name="Comma 4 2 3 2 3 2 3" xfId="15095" xr:uid="{5B8CFD9A-0625-4292-B8A4-CA67F0BD16E4}"/>
    <cellStyle name="Comma 4 2 3 2 3 2 4" xfId="17348" xr:uid="{342C79BA-BFCA-4ABF-91B1-3D19EDB5FC40}"/>
    <cellStyle name="Comma 4 2 3 2 3 3" xfId="2684" xr:uid="{18648C27-A831-4E56-B0E4-E5743D251B74}"/>
    <cellStyle name="Comma 4 2 3 2 3 4" xfId="3810" xr:uid="{610CADA4-7CFC-4F46-B826-98C12F696505}"/>
    <cellStyle name="Comma 4 2 3 2 3 5" xfId="4936" xr:uid="{2D3A5D85-4784-4A7E-8A80-D799A3697097}"/>
    <cellStyle name="Comma 4 2 3 2 3 6" xfId="6063" xr:uid="{BD54F902-7944-4922-B6FA-3FF2A5E219EE}"/>
    <cellStyle name="Comma 4 2 3 2 3 7" xfId="7193" xr:uid="{4D665C2E-8AAB-4CDA-B89C-CCE1B86F715C}"/>
    <cellStyle name="Comma 4 2 3 2 3 8" xfId="8651" xr:uid="{E7E48983-F747-4F99-9DE1-16FDAE76DE9B}"/>
    <cellStyle name="Comma 4 2 3 2 3 9" xfId="9788" xr:uid="{46CD128F-9969-40EA-8191-D2AF8501990A}"/>
    <cellStyle name="Comma 4 2 3 2 4" xfId="1556" xr:uid="{B69242AD-849F-4624-92E5-BD2569FF9C2D}"/>
    <cellStyle name="Comma 4 2 3 2 4 2" xfId="12840" xr:uid="{6EF8B4F0-D1B4-46A0-8BF8-87584AB902B8}"/>
    <cellStyle name="Comma 4 2 3 2 4 3" xfId="15093" xr:uid="{16F149D1-FB38-4049-ADB0-8A494AA9F5E7}"/>
    <cellStyle name="Comma 4 2 3 2 4 4" xfId="17346" xr:uid="{7B96EAA3-E41C-40F3-A225-7B3F0A4E6639}"/>
    <cellStyle name="Comma 4 2 3 2 5" xfId="2682" xr:uid="{FA81BBD5-360A-4B3D-808D-569239649F31}"/>
    <cellStyle name="Comma 4 2 3 2 6" xfId="3808" xr:uid="{FC8F4845-59B6-4E4C-B8FB-31F7ED764B82}"/>
    <cellStyle name="Comma 4 2 3 2 7" xfId="4934" xr:uid="{9A0BEB12-DFA9-4516-AB91-930E55DC608A}"/>
    <cellStyle name="Comma 4 2 3 2 8" xfId="6061" xr:uid="{038D4131-67E8-49DB-9C9A-39E0DEEC0AFE}"/>
    <cellStyle name="Comma 4 2 3 2 9" xfId="7191" xr:uid="{F11548CA-F457-4F21-9F49-D56D611527FF}"/>
    <cellStyle name="Comma 4 2 3 3" xfId="425" xr:uid="{2F81DEA7-A23D-4A73-B9DD-3EC775A65CA1}"/>
    <cellStyle name="Comma 4 2 3 3 10" xfId="10914" xr:uid="{5ABCF973-BE51-4A95-9E51-5F2BCB2741AB}"/>
    <cellStyle name="Comma 4 2 3 3 11" xfId="11716" xr:uid="{DF2F0DF3-804F-484A-B83C-661C56E2B8B6}"/>
    <cellStyle name="Comma 4 2 3 3 12" xfId="13969" xr:uid="{487F0837-DB9C-4735-8BC9-66F079530D93}"/>
    <cellStyle name="Comma 4 2 3 3 13" xfId="16222" xr:uid="{3F93B499-604C-4163-92DF-F9920A854530}"/>
    <cellStyle name="Comma 4 2 3 3 2" xfId="1559" xr:uid="{4B695D2B-3D98-497E-BF4A-C11AFCD387DE}"/>
    <cellStyle name="Comma 4 2 3 3 2 2" xfId="12843" xr:uid="{C982D809-53DA-4C8B-9BE7-A31C2A11DDA3}"/>
    <cellStyle name="Comma 4 2 3 3 2 3" xfId="15096" xr:uid="{E6D3A72D-5DDE-402E-9549-677A88BC000D}"/>
    <cellStyle name="Comma 4 2 3 3 2 4" xfId="17349" xr:uid="{D59A41B4-1501-4771-B758-1B4C36D86BCA}"/>
    <cellStyle name="Comma 4 2 3 3 3" xfId="2685" xr:uid="{BE3C4B02-EF92-4D69-9E82-DBC973FE0598}"/>
    <cellStyle name="Comma 4 2 3 3 4" xfId="3811" xr:uid="{253A7474-D6AD-46DA-BF58-7796B21770B4}"/>
    <cellStyle name="Comma 4 2 3 3 5" xfId="4937" xr:uid="{2F84D4BF-F757-40D7-A5D6-DB6045D86418}"/>
    <cellStyle name="Comma 4 2 3 3 6" xfId="6064" xr:uid="{7D738FE6-DACF-46A0-9E86-B769355D1EDC}"/>
    <cellStyle name="Comma 4 2 3 3 7" xfId="7194" xr:uid="{E5165769-E7DE-4490-9956-FCE6986BFE94}"/>
    <cellStyle name="Comma 4 2 3 3 8" xfId="8650" xr:uid="{1D5B658A-A69D-46F2-804B-B23F819E288A}"/>
    <cellStyle name="Comma 4 2 3 3 9" xfId="9787" xr:uid="{BDE9B293-4CA6-45D3-B6FB-72A6F27E6C25}"/>
    <cellStyle name="Comma 4 2 3 4" xfId="426" xr:uid="{73CAF06E-E395-496F-94FF-A8BCD6486CCC}"/>
    <cellStyle name="Comma 4 2 3 4 10" xfId="10913" xr:uid="{DC4ED0CF-6547-4B33-81CC-28B793E30295}"/>
    <cellStyle name="Comma 4 2 3 4 11" xfId="11717" xr:uid="{2FE6A1EB-1703-4DAE-8A06-649D7E71EFFB}"/>
    <cellStyle name="Comma 4 2 3 4 12" xfId="13970" xr:uid="{F55168E5-2131-47F3-B25C-B2D0E30A5952}"/>
    <cellStyle name="Comma 4 2 3 4 13" xfId="16223" xr:uid="{CE817D88-087F-4ADE-9797-3FDC55ADF3B7}"/>
    <cellStyle name="Comma 4 2 3 4 2" xfId="1560" xr:uid="{F90A84E6-3F19-4CA6-93CC-49AA780F1F0D}"/>
    <cellStyle name="Comma 4 2 3 4 2 2" xfId="12844" xr:uid="{18F71F8B-0879-4E45-9E4C-19E23F9B081E}"/>
    <cellStyle name="Comma 4 2 3 4 2 3" xfId="15097" xr:uid="{7315F50E-4166-4557-B06B-D8680F72E260}"/>
    <cellStyle name="Comma 4 2 3 4 2 4" xfId="17350" xr:uid="{0F8E44D2-1C08-4381-8861-D7B679BFB8D3}"/>
    <cellStyle name="Comma 4 2 3 4 3" xfId="2686" xr:uid="{F9FDD752-C584-43D1-863A-8E46D7746485}"/>
    <cellStyle name="Comma 4 2 3 4 4" xfId="3812" xr:uid="{CFB98290-E242-44A7-BEAC-974536C9EE1E}"/>
    <cellStyle name="Comma 4 2 3 4 5" xfId="4938" xr:uid="{0199130F-220B-44D8-8FA9-9D54E214B5FB}"/>
    <cellStyle name="Comma 4 2 3 4 6" xfId="6065" xr:uid="{75A9B391-37BA-4ABA-A9C7-8F85D7674E10}"/>
    <cellStyle name="Comma 4 2 3 4 7" xfId="7195" xr:uid="{03549624-9797-4B2F-BFB2-41C2D32298D8}"/>
    <cellStyle name="Comma 4 2 3 4 8" xfId="8649" xr:uid="{E4E120D8-8072-4BAA-8509-7A13D2AC6759}"/>
    <cellStyle name="Comma 4 2 3 4 9" xfId="9786" xr:uid="{67CD81D2-1925-4EFB-892D-ED94A86F3F29}"/>
    <cellStyle name="Comma 4 2 3 5" xfId="1555" xr:uid="{0778F5BA-269A-4F2C-8F8F-DFE9CAFBC2AE}"/>
    <cellStyle name="Comma 4 2 3 5 2" xfId="12839" xr:uid="{9B527383-8249-4241-BB59-06B4004347DD}"/>
    <cellStyle name="Comma 4 2 3 5 3" xfId="15092" xr:uid="{84E76096-88A3-4934-953D-5BE675DC2EBD}"/>
    <cellStyle name="Comma 4 2 3 5 4" xfId="17345" xr:uid="{0ED67A1A-C89E-4F03-95DC-CCFA197C3992}"/>
    <cellStyle name="Comma 4 2 3 6" xfId="2681" xr:uid="{46AB95DE-F3B4-47C5-ABB1-AE6AA26F9722}"/>
    <cellStyle name="Comma 4 2 3 7" xfId="3807" xr:uid="{E168C654-C377-492E-B202-7AE71BFEA162}"/>
    <cellStyle name="Comma 4 2 3 8" xfId="4933" xr:uid="{C84EAB8B-F8DA-462E-86DC-7711995A7361}"/>
    <cellStyle name="Comma 4 2 3 9" xfId="6060" xr:uid="{63523EA6-CE27-4AAC-8BD5-0F32727CA52E}"/>
    <cellStyle name="Comma 4 2 4" xfId="427" xr:uid="{05D31F67-A411-4181-BC5F-1AD4F812AB88}"/>
    <cellStyle name="Comma 4 2 4 10" xfId="8648" xr:uid="{C8E011C2-CDC6-4D4A-AE2C-A7B2526BE0FE}"/>
    <cellStyle name="Comma 4 2 4 11" xfId="9785" xr:uid="{B754D1A2-F63F-4DF4-BDAB-00618F8F0B4C}"/>
    <cellStyle name="Comma 4 2 4 12" xfId="10912" xr:uid="{7F9E361B-93C4-4BF8-9745-413C551DC203}"/>
    <cellStyle name="Comma 4 2 4 13" xfId="11718" xr:uid="{6EEBA118-6416-49C6-B1C5-92CD81014793}"/>
    <cellStyle name="Comma 4 2 4 14" xfId="13971" xr:uid="{CC0AC1F3-AAD4-463B-8912-7D67AE79A132}"/>
    <cellStyle name="Comma 4 2 4 15" xfId="16224" xr:uid="{87C9CC8B-77CD-4A4B-BED5-2B896473778C}"/>
    <cellStyle name="Comma 4 2 4 2" xfId="428" xr:uid="{4C80B1BF-9498-4D2B-B7EE-2CA12ECC4317}"/>
    <cellStyle name="Comma 4 2 4 2 10" xfId="10911" xr:uid="{2EABB937-227C-43B0-B488-C7DF320040BB}"/>
    <cellStyle name="Comma 4 2 4 2 11" xfId="11719" xr:uid="{68B15F3D-9CAF-43D4-AF2E-80B4BD242C20}"/>
    <cellStyle name="Comma 4 2 4 2 12" xfId="13972" xr:uid="{8C3D7B2E-4189-474A-A742-7660CE39EF57}"/>
    <cellStyle name="Comma 4 2 4 2 13" xfId="16225" xr:uid="{9075297D-DDF4-467B-87F3-FAFA2FD32445}"/>
    <cellStyle name="Comma 4 2 4 2 2" xfId="1562" xr:uid="{F46E88B7-0E1F-43DF-A26D-3A161E22786E}"/>
    <cellStyle name="Comma 4 2 4 2 2 2" xfId="12846" xr:uid="{47DB7F3D-00CA-4870-9DB2-769B6399EB8B}"/>
    <cellStyle name="Comma 4 2 4 2 2 3" xfId="15099" xr:uid="{35BD9724-704E-4DEA-9851-CE6330508E44}"/>
    <cellStyle name="Comma 4 2 4 2 2 4" xfId="17352" xr:uid="{97CBEC16-FCEA-4449-BC56-82CB61443684}"/>
    <cellStyle name="Comma 4 2 4 2 3" xfId="2688" xr:uid="{78074F9F-1A59-409E-BC8D-EFE901F56796}"/>
    <cellStyle name="Comma 4 2 4 2 4" xfId="3814" xr:uid="{E2FADAF1-1E0F-46C5-9A04-3977AD2B9550}"/>
    <cellStyle name="Comma 4 2 4 2 5" xfId="4940" xr:uid="{38CCB936-48BF-4B24-AA43-B33B3B8BB246}"/>
    <cellStyle name="Comma 4 2 4 2 6" xfId="6067" xr:uid="{F2BEA390-9851-4736-864C-0120A02D4476}"/>
    <cellStyle name="Comma 4 2 4 2 7" xfId="7197" xr:uid="{8EED80A7-118F-4094-A5D4-BA5C6A1F9FA8}"/>
    <cellStyle name="Comma 4 2 4 2 8" xfId="8647" xr:uid="{EAAF2FC1-6564-4F32-BC3B-E51A19BDFAC4}"/>
    <cellStyle name="Comma 4 2 4 2 9" xfId="9784" xr:uid="{6215CB66-5812-413B-B17A-B3D788CC3BDC}"/>
    <cellStyle name="Comma 4 2 4 3" xfId="429" xr:uid="{585842A1-0EBB-4261-B030-C7B8D5F60D11}"/>
    <cellStyle name="Comma 4 2 4 3 10" xfId="10910" xr:uid="{0576670C-C684-48E5-AB0B-12C1F9FD614C}"/>
    <cellStyle name="Comma 4 2 4 3 11" xfId="11720" xr:uid="{168B47BD-E876-4F26-B2AE-F65B577C3DEB}"/>
    <cellStyle name="Comma 4 2 4 3 12" xfId="13973" xr:uid="{92663FED-1BA3-4C8C-9CFE-2D6CC2A21B24}"/>
    <cellStyle name="Comma 4 2 4 3 13" xfId="16226" xr:uid="{758B2B16-0AF3-44FB-8EF8-5F0BA84FFC24}"/>
    <cellStyle name="Comma 4 2 4 3 2" xfId="1563" xr:uid="{04E49E34-66B9-40EB-AA94-2F1036AE478C}"/>
    <cellStyle name="Comma 4 2 4 3 2 2" xfId="12847" xr:uid="{F2ACB92B-A5F5-47A8-855C-763584ADB028}"/>
    <cellStyle name="Comma 4 2 4 3 2 3" xfId="15100" xr:uid="{38C7DFF2-F317-46D2-8C25-BF0C62632E98}"/>
    <cellStyle name="Comma 4 2 4 3 2 4" xfId="17353" xr:uid="{BE5E8412-1B33-47E4-B1F0-6C224B675D59}"/>
    <cellStyle name="Comma 4 2 4 3 3" xfId="2689" xr:uid="{CCBB9B44-8913-4013-87CD-B03D436C43AB}"/>
    <cellStyle name="Comma 4 2 4 3 4" xfId="3815" xr:uid="{162C3A92-426C-4E7B-8414-CFD8231A4230}"/>
    <cellStyle name="Comma 4 2 4 3 5" xfId="4941" xr:uid="{E5841937-9090-4263-A750-58BC323D075A}"/>
    <cellStyle name="Comma 4 2 4 3 6" xfId="6068" xr:uid="{904C5AC3-2964-4BEB-916E-92782B5DF364}"/>
    <cellStyle name="Comma 4 2 4 3 7" xfId="7198" xr:uid="{AF853B56-6D6F-4071-A676-A64984CEE932}"/>
    <cellStyle name="Comma 4 2 4 3 8" xfId="8646" xr:uid="{EBC7EE86-7E66-46DB-883D-893E2213AC8A}"/>
    <cellStyle name="Comma 4 2 4 3 9" xfId="9783" xr:uid="{9FF96850-BE6D-488A-9C9A-564BBC7050F0}"/>
    <cellStyle name="Comma 4 2 4 4" xfId="1561" xr:uid="{97ED824A-A733-47DA-B62E-B55C77E3DE0D}"/>
    <cellStyle name="Comma 4 2 4 4 2" xfId="12845" xr:uid="{31108331-9D32-49A4-B0B3-9FC3C3D14E9F}"/>
    <cellStyle name="Comma 4 2 4 4 3" xfId="15098" xr:uid="{C5F56C79-0892-4BFF-B2C3-0E107C7724D0}"/>
    <cellStyle name="Comma 4 2 4 4 4" xfId="17351" xr:uid="{0B9E7B3B-E046-432D-8CDD-0E4EF80453FF}"/>
    <cellStyle name="Comma 4 2 4 5" xfId="2687" xr:uid="{80E553AD-4268-421B-B3A0-5807D02AEF4D}"/>
    <cellStyle name="Comma 4 2 4 6" xfId="3813" xr:uid="{58748B5C-31B3-48F4-849D-05960BE412F4}"/>
    <cellStyle name="Comma 4 2 4 7" xfId="4939" xr:uid="{E6149AF6-4172-4F7A-84E9-31107FA56BA9}"/>
    <cellStyle name="Comma 4 2 4 8" xfId="6066" xr:uid="{3418729B-A14D-439C-B8CC-4BFC4257AA74}"/>
    <cellStyle name="Comma 4 2 4 9" xfId="7196" xr:uid="{90FDDAB9-3768-4BFF-83AE-55CC05AD65CA}"/>
    <cellStyle name="Comma 4 2 5" xfId="430" xr:uid="{6C9C9AFB-64CD-49D0-A9D4-D8D6905D69A1}"/>
    <cellStyle name="Comma 4 2 5 10" xfId="10909" xr:uid="{F5FC10A5-4F29-43D3-8A8B-D9399EF1FF98}"/>
    <cellStyle name="Comma 4 2 5 11" xfId="11721" xr:uid="{6ABCF793-C3F1-4D51-AAF2-3C798AA1B19D}"/>
    <cellStyle name="Comma 4 2 5 12" xfId="13974" xr:uid="{60CA873C-F357-4D2A-A051-ABC8394187F6}"/>
    <cellStyle name="Comma 4 2 5 13" xfId="16227" xr:uid="{2C8D50AB-A0E1-446B-82C4-C9B03D31016D}"/>
    <cellStyle name="Comma 4 2 5 2" xfId="1564" xr:uid="{6DF9979B-EB14-447B-A6C9-BF92C0FB58ED}"/>
    <cellStyle name="Comma 4 2 5 2 2" xfId="12848" xr:uid="{7CB57C40-713F-4457-9C3D-BF02D8540B75}"/>
    <cellStyle name="Comma 4 2 5 2 3" xfId="15101" xr:uid="{123E757A-F397-4983-A907-B3C63AFBD6D8}"/>
    <cellStyle name="Comma 4 2 5 2 4" xfId="17354" xr:uid="{F9244E79-6769-49DA-AC46-C07D3EC45176}"/>
    <cellStyle name="Comma 4 2 5 3" xfId="2690" xr:uid="{934491FB-A566-44E1-B499-2409D2AE7AA6}"/>
    <cellStyle name="Comma 4 2 5 4" xfId="3816" xr:uid="{A313BE78-A1E6-4451-B194-0589FF3F3392}"/>
    <cellStyle name="Comma 4 2 5 5" xfId="4942" xr:uid="{8EEACF53-B44A-40C0-AC3B-CCD2F2A6F039}"/>
    <cellStyle name="Comma 4 2 5 6" xfId="6069" xr:uid="{01E3FF1B-0CE6-44AB-9D6A-B06782A554EE}"/>
    <cellStyle name="Comma 4 2 5 7" xfId="7199" xr:uid="{190BF3BF-462D-4F59-95ED-A729FB6A8FA2}"/>
    <cellStyle name="Comma 4 2 5 8" xfId="8645" xr:uid="{B9A8F66C-F097-44B1-B4EE-DA399088860D}"/>
    <cellStyle name="Comma 4 2 5 9" xfId="9782" xr:uid="{19520A67-93D5-4608-89BF-DC18CC99496C}"/>
    <cellStyle name="Comma 4 2 6" xfId="431" xr:uid="{8862A105-BE7B-4CA6-8FCD-1E43A65F7625}"/>
    <cellStyle name="Comma 4 2 6 10" xfId="10908" xr:uid="{4860B2D0-44A1-4672-BF6A-A89A0A03C0FC}"/>
    <cellStyle name="Comma 4 2 6 11" xfId="11722" xr:uid="{2657309D-E0F0-4C60-A658-27B5140B341A}"/>
    <cellStyle name="Comma 4 2 6 12" xfId="13975" xr:uid="{443908C2-1BFC-4C53-986F-80F68C7FC009}"/>
    <cellStyle name="Comma 4 2 6 13" xfId="16228" xr:uid="{1F578E4E-2258-44EF-811C-D0A573C0F19D}"/>
    <cellStyle name="Comma 4 2 6 2" xfId="1565" xr:uid="{498A3753-7778-435B-BE49-9EFF946A8727}"/>
    <cellStyle name="Comma 4 2 6 2 2" xfId="12849" xr:uid="{7E3E9CFB-D59A-43C7-9E4C-20B802E214EA}"/>
    <cellStyle name="Comma 4 2 6 2 3" xfId="15102" xr:uid="{8CAEA36B-0A31-4B74-BE9B-7F68DC6A888C}"/>
    <cellStyle name="Comma 4 2 6 2 4" xfId="17355" xr:uid="{0A89A8CD-BF42-4012-9792-33497DE57737}"/>
    <cellStyle name="Comma 4 2 6 3" xfId="2691" xr:uid="{C46AAA9B-3FFF-4E9A-92AF-4452C5130542}"/>
    <cellStyle name="Comma 4 2 6 4" xfId="3817" xr:uid="{15A7CA1E-B04C-4FCF-81B7-1830FD4DF6AE}"/>
    <cellStyle name="Comma 4 2 6 5" xfId="4943" xr:uid="{D52C506F-AC73-43B8-AC62-3D9EA056E814}"/>
    <cellStyle name="Comma 4 2 6 6" xfId="6070" xr:uid="{56C9FBF2-422B-47E2-81E6-83EC73E1943F}"/>
    <cellStyle name="Comma 4 2 6 7" xfId="7200" xr:uid="{D5B3C28C-829F-4EE3-A98E-2F1BF6DAB258}"/>
    <cellStyle name="Comma 4 2 6 8" xfId="8644" xr:uid="{9427AA30-957C-4CC3-8528-BDAF7FE95032}"/>
    <cellStyle name="Comma 4 2 6 9" xfId="9781" xr:uid="{05C64AD9-CAF2-4AC6-849F-AD0690AE5D9E}"/>
    <cellStyle name="Comma 4 2 7" xfId="1542" xr:uid="{4C04697A-8B81-49CA-BDD4-F25B241ABB99}"/>
    <cellStyle name="Comma 4 2 7 2" xfId="12826" xr:uid="{84C14194-DFFD-4338-B4BA-4C9A6F28AD73}"/>
    <cellStyle name="Comma 4 2 7 3" xfId="15079" xr:uid="{289099F4-2A9B-4B46-B02D-FBDBB2564632}"/>
    <cellStyle name="Comma 4 2 7 4" xfId="17332" xr:uid="{F6AD196A-B334-4554-8EEB-DEA5195B289B}"/>
    <cellStyle name="Comma 4 2 8" xfId="2668" xr:uid="{6C781F7A-CEB8-47A9-A67F-626F28932CFD}"/>
    <cellStyle name="Comma 4 2 9" xfId="3794" xr:uid="{C8357F74-C8F3-4F13-9886-4402FC63BB79}"/>
    <cellStyle name="Comma 4 3" xfId="432" xr:uid="{92350716-0A35-4232-B26F-867532237815}"/>
    <cellStyle name="Comma 4 3 10" xfId="6071" xr:uid="{2C8E4E51-1787-4857-8817-4ADCC542E2A3}"/>
    <cellStyle name="Comma 4 3 11" xfId="7201" xr:uid="{A390786F-25E9-49D9-8F30-84D8172E94C4}"/>
    <cellStyle name="Comma 4 3 12" xfId="8643" xr:uid="{1C62C5F9-25C6-4F68-AB1A-E3A9CA52DC94}"/>
    <cellStyle name="Comma 4 3 13" xfId="9780" xr:uid="{754D6026-A2AC-43B9-8F7F-4C7FEA98F614}"/>
    <cellStyle name="Comma 4 3 14" xfId="10907" xr:uid="{7CE34E02-0F14-4E55-A646-90899C1D7A02}"/>
    <cellStyle name="Comma 4 3 15" xfId="11723" xr:uid="{92656D7B-8F2D-43A3-8127-2A0032F88ACC}"/>
    <cellStyle name="Comma 4 3 16" xfId="13976" xr:uid="{F649856B-DE99-4B90-90D1-6C45B6FB897C}"/>
    <cellStyle name="Comma 4 3 17" xfId="16229" xr:uid="{A4DB7C49-EBA7-4389-AEC5-F4AEE8D09B89}"/>
    <cellStyle name="Comma 4 3 2" xfId="433" xr:uid="{0F4660B8-F854-4DE1-AFCD-6A8A8439D09E}"/>
    <cellStyle name="Comma 4 3 2 10" xfId="7202" xr:uid="{8283B8A5-363F-46A9-B61E-6809695CAAD5}"/>
    <cellStyle name="Comma 4 3 2 11" xfId="8642" xr:uid="{80882A8A-EC64-4809-9FC9-53B71148EE3D}"/>
    <cellStyle name="Comma 4 3 2 12" xfId="9779" xr:uid="{8C74C232-C713-4A46-B564-E7129F6DC0D5}"/>
    <cellStyle name="Comma 4 3 2 13" xfId="10906" xr:uid="{FA12F272-8966-43B9-9C6D-5DBAF2B9BD8F}"/>
    <cellStyle name="Comma 4 3 2 14" xfId="11724" xr:uid="{20F978D9-1841-4518-92A6-F803813CD323}"/>
    <cellStyle name="Comma 4 3 2 15" xfId="13977" xr:uid="{88DA4ABE-61AF-42AB-B247-F14223C3BA6F}"/>
    <cellStyle name="Comma 4 3 2 16" xfId="16230" xr:uid="{1595AB3E-5946-42D6-86D8-9A169B52F33C}"/>
    <cellStyle name="Comma 4 3 2 2" xfId="434" xr:uid="{0F1A6F07-2EA9-458F-A8F8-1C59349FC35A}"/>
    <cellStyle name="Comma 4 3 2 2 10" xfId="8641" xr:uid="{38CACD09-254C-4424-8AA9-488EAD822347}"/>
    <cellStyle name="Comma 4 3 2 2 11" xfId="9778" xr:uid="{10C596B1-ACCE-4E67-AD60-9F75743B201A}"/>
    <cellStyle name="Comma 4 3 2 2 12" xfId="10905" xr:uid="{407482AB-8585-49A5-A83D-D309AEA98C88}"/>
    <cellStyle name="Comma 4 3 2 2 13" xfId="11725" xr:uid="{82606A64-9179-492E-A3D8-5A3932AAB261}"/>
    <cellStyle name="Comma 4 3 2 2 14" xfId="13978" xr:uid="{F4CB29C3-F3F8-466E-91CC-CDF68C83B745}"/>
    <cellStyle name="Comma 4 3 2 2 15" xfId="16231" xr:uid="{2B5B719E-FFEF-4224-8BC5-ADD71EE0344F}"/>
    <cellStyle name="Comma 4 3 2 2 2" xfId="435" xr:uid="{B8383D81-5712-4A43-982E-6AE5AB3D13A5}"/>
    <cellStyle name="Comma 4 3 2 2 2 10" xfId="10904" xr:uid="{D27DFE6F-8A48-40CA-A367-537EA4BCA3FE}"/>
    <cellStyle name="Comma 4 3 2 2 2 11" xfId="11726" xr:uid="{3492B93A-3AF5-4868-AECB-009BD5CF64B4}"/>
    <cellStyle name="Comma 4 3 2 2 2 12" xfId="13979" xr:uid="{6957F567-5F21-4362-8D90-6252DED8716B}"/>
    <cellStyle name="Comma 4 3 2 2 2 13" xfId="16232" xr:uid="{889DCE3F-BB2B-4F66-A892-E538CF536098}"/>
    <cellStyle name="Comma 4 3 2 2 2 2" xfId="1569" xr:uid="{C0B0B165-03EB-4257-9E2A-D3BE330584E7}"/>
    <cellStyle name="Comma 4 3 2 2 2 2 2" xfId="12853" xr:uid="{9BC9E6C5-616E-4680-823F-82C908CBF8CA}"/>
    <cellStyle name="Comma 4 3 2 2 2 2 3" xfId="15106" xr:uid="{039CE954-8DE2-4257-8340-1D43C636361F}"/>
    <cellStyle name="Comma 4 3 2 2 2 2 4" xfId="17359" xr:uid="{81F64B38-FB55-4F31-81AC-0F253596DF88}"/>
    <cellStyle name="Comma 4 3 2 2 2 3" xfId="2695" xr:uid="{D7A296BC-723A-4BCB-9851-DC06A9950982}"/>
    <cellStyle name="Comma 4 3 2 2 2 4" xfId="3821" xr:uid="{9C32DAB1-8D7F-4D35-AF3F-3CBF60C12027}"/>
    <cellStyle name="Comma 4 3 2 2 2 5" xfId="4947" xr:uid="{AEA5878F-04C8-44B9-8AF3-880388CC091E}"/>
    <cellStyle name="Comma 4 3 2 2 2 6" xfId="6074" xr:uid="{F6197463-2858-4F33-8BEE-EB8AD4616A12}"/>
    <cellStyle name="Comma 4 3 2 2 2 7" xfId="7204" xr:uid="{D24EC170-1B31-4A9E-9BC1-D078CFB50864}"/>
    <cellStyle name="Comma 4 3 2 2 2 8" xfId="8640" xr:uid="{510744F2-72C6-41D7-895B-8331B50C771D}"/>
    <cellStyle name="Comma 4 3 2 2 2 9" xfId="9777" xr:uid="{DEE1F431-9604-425A-864A-2946F5F5C556}"/>
    <cellStyle name="Comma 4 3 2 2 3" xfId="436" xr:uid="{64B5AB00-8FBA-44A2-BD80-F2E4BEB4897B}"/>
    <cellStyle name="Comma 4 3 2 2 3 10" xfId="10903" xr:uid="{7A6E06D5-A95B-4BC7-899E-026455FC841C}"/>
    <cellStyle name="Comma 4 3 2 2 3 11" xfId="11727" xr:uid="{58D6DBD9-9BAD-4B2C-961A-6127D0E49C13}"/>
    <cellStyle name="Comma 4 3 2 2 3 12" xfId="13980" xr:uid="{B1E8B850-240F-4776-9388-4C1D5015C187}"/>
    <cellStyle name="Comma 4 3 2 2 3 13" xfId="16233" xr:uid="{ABFAF979-CCA1-43C1-BACD-A8F78CEEED0A}"/>
    <cellStyle name="Comma 4 3 2 2 3 2" xfId="1570" xr:uid="{ECE89908-5EA5-4CC1-9DFC-CE9BB846A2FC}"/>
    <cellStyle name="Comma 4 3 2 2 3 2 2" xfId="12854" xr:uid="{DDDEE032-794F-4929-A97B-4457DB7999A2}"/>
    <cellStyle name="Comma 4 3 2 2 3 2 3" xfId="15107" xr:uid="{B83FB99A-D40C-4C59-8FE9-3BD9FB40BE2F}"/>
    <cellStyle name="Comma 4 3 2 2 3 2 4" xfId="17360" xr:uid="{4E6E9AB0-793D-4FFF-B234-CC60B480D49B}"/>
    <cellStyle name="Comma 4 3 2 2 3 3" xfId="2696" xr:uid="{44014392-461E-4C9A-B1EF-FD4F70EA6817}"/>
    <cellStyle name="Comma 4 3 2 2 3 4" xfId="3822" xr:uid="{0A8A9C59-CB1E-4F5C-86BB-DA71F37C18C3}"/>
    <cellStyle name="Comma 4 3 2 2 3 5" xfId="4948" xr:uid="{43BB03AE-D7CD-4A15-9EB5-2D055BF74BD1}"/>
    <cellStyle name="Comma 4 3 2 2 3 6" xfId="6075" xr:uid="{9A18276F-D03F-49EC-8251-6517102ED90E}"/>
    <cellStyle name="Comma 4 3 2 2 3 7" xfId="7205" xr:uid="{AD09687F-7805-4B5E-B80C-16DAC1F359B9}"/>
    <cellStyle name="Comma 4 3 2 2 3 8" xfId="8639" xr:uid="{BCD3D73C-69DF-4F0E-B553-251855598A94}"/>
    <cellStyle name="Comma 4 3 2 2 3 9" xfId="9776" xr:uid="{2045E7D1-E26F-4C80-841C-2930AA7CCE9B}"/>
    <cellStyle name="Comma 4 3 2 2 4" xfId="1568" xr:uid="{90DEEDB9-F6AE-4779-8FA3-6E23004B12C4}"/>
    <cellStyle name="Comma 4 3 2 2 4 2" xfId="12852" xr:uid="{C74015FF-BFBC-488B-9B2A-0022B40BA039}"/>
    <cellStyle name="Comma 4 3 2 2 4 3" xfId="15105" xr:uid="{1ED4A881-9AFD-4B7D-BD13-BB4C8E2152AB}"/>
    <cellStyle name="Comma 4 3 2 2 4 4" xfId="17358" xr:uid="{EB4E9515-BF0F-400C-9569-C4A973AED792}"/>
    <cellStyle name="Comma 4 3 2 2 5" xfId="2694" xr:uid="{A68A9076-85E2-413F-A3EB-331F65B0D271}"/>
    <cellStyle name="Comma 4 3 2 2 6" xfId="3820" xr:uid="{3CA40D60-E7DF-4D7C-B423-242FEE4CB8EC}"/>
    <cellStyle name="Comma 4 3 2 2 7" xfId="4946" xr:uid="{DB071B12-7F77-4A62-A045-F840ABC9E293}"/>
    <cellStyle name="Comma 4 3 2 2 8" xfId="6073" xr:uid="{B436C4F9-0D82-404F-81DA-46099D20BED1}"/>
    <cellStyle name="Comma 4 3 2 2 9" xfId="7203" xr:uid="{AC9C3026-9956-4EC7-B9FD-8314A8463091}"/>
    <cellStyle name="Comma 4 3 2 3" xfId="437" xr:uid="{A26317AC-12E5-420E-9A03-D2B0249731D9}"/>
    <cellStyle name="Comma 4 3 2 3 10" xfId="10902" xr:uid="{EEDC6621-738F-4E8B-9F6F-7157ED7BEEEA}"/>
    <cellStyle name="Comma 4 3 2 3 11" xfId="11728" xr:uid="{6C4C2A2E-9253-4077-8FC8-8A0CDAF3688D}"/>
    <cellStyle name="Comma 4 3 2 3 12" xfId="13981" xr:uid="{10D3E350-FC09-4484-AB5B-9A88F64065AF}"/>
    <cellStyle name="Comma 4 3 2 3 13" xfId="16234" xr:uid="{A7F0CBC3-C3D9-417E-A1FE-1FE33496D0E7}"/>
    <cellStyle name="Comma 4 3 2 3 2" xfId="1571" xr:uid="{0579A71E-11D3-49C3-BB7B-6C943B6E1EE3}"/>
    <cellStyle name="Comma 4 3 2 3 2 2" xfId="12855" xr:uid="{CE6A6840-413E-49E4-B1CE-BDC16C55DF5D}"/>
    <cellStyle name="Comma 4 3 2 3 2 3" xfId="15108" xr:uid="{2604411E-A005-4702-AC28-0E88FA7ACA3D}"/>
    <cellStyle name="Comma 4 3 2 3 2 4" xfId="17361" xr:uid="{063A9E46-4920-4FF8-B07E-95F68030930B}"/>
    <cellStyle name="Comma 4 3 2 3 3" xfId="2697" xr:uid="{37C657CB-A644-44AF-97DE-EBE026E91971}"/>
    <cellStyle name="Comma 4 3 2 3 4" xfId="3823" xr:uid="{8CF4C79B-162C-4115-8C4C-2C8ADCB20C24}"/>
    <cellStyle name="Comma 4 3 2 3 5" xfId="4949" xr:uid="{0BEE880E-5B08-4DD6-A8DC-5E39D0A0F669}"/>
    <cellStyle name="Comma 4 3 2 3 6" xfId="6076" xr:uid="{BA2E068D-B065-4FBD-A848-87C594162AF7}"/>
    <cellStyle name="Comma 4 3 2 3 7" xfId="7206" xr:uid="{A7223E51-7D86-4EE6-A66C-D8112F4A8EAB}"/>
    <cellStyle name="Comma 4 3 2 3 8" xfId="8638" xr:uid="{A1C27823-F486-43FA-8255-E429ABDAEFED}"/>
    <cellStyle name="Comma 4 3 2 3 9" xfId="9775" xr:uid="{CC065539-FBCA-4C5F-B210-D1AFABFF28CB}"/>
    <cellStyle name="Comma 4 3 2 4" xfId="438" xr:uid="{F57A0671-CF79-45A8-90B2-75372D50D40C}"/>
    <cellStyle name="Comma 4 3 2 4 10" xfId="10901" xr:uid="{824A364A-3FAB-4430-A542-09E6B458E6A1}"/>
    <cellStyle name="Comma 4 3 2 4 11" xfId="11729" xr:uid="{82EF0692-F611-4952-8A4A-6996759CAF0D}"/>
    <cellStyle name="Comma 4 3 2 4 12" xfId="13982" xr:uid="{8B75900C-90FE-4443-904B-8851B546C2E3}"/>
    <cellStyle name="Comma 4 3 2 4 13" xfId="16235" xr:uid="{01304740-BD30-4D82-B029-7E9FF2C5C8EF}"/>
    <cellStyle name="Comma 4 3 2 4 2" xfId="1572" xr:uid="{756D8615-B871-4809-B80D-7549D4D8BFB1}"/>
    <cellStyle name="Comma 4 3 2 4 2 2" xfId="12856" xr:uid="{C02A3870-9779-49D7-9687-44B7459D271D}"/>
    <cellStyle name="Comma 4 3 2 4 2 3" xfId="15109" xr:uid="{D6D1434E-2735-4EB7-87E9-F4D8824F7CE6}"/>
    <cellStyle name="Comma 4 3 2 4 2 4" xfId="17362" xr:uid="{A3C886AC-B468-4CEF-B9A7-E6D58AD89EBA}"/>
    <cellStyle name="Comma 4 3 2 4 3" xfId="2698" xr:uid="{0AB306D3-9F2F-451D-8B00-63CDCFCA435F}"/>
    <cellStyle name="Comma 4 3 2 4 4" xfId="3824" xr:uid="{12875180-13C6-43A3-85A2-3B318B24F3DD}"/>
    <cellStyle name="Comma 4 3 2 4 5" xfId="4950" xr:uid="{2BCD3821-EAD0-4650-AAEB-4FF4DFE7852F}"/>
    <cellStyle name="Comma 4 3 2 4 6" xfId="6077" xr:uid="{A4D8636C-1DB5-45CD-8826-9ED572CCC791}"/>
    <cellStyle name="Comma 4 3 2 4 7" xfId="7207" xr:uid="{6B25296F-BC5D-469C-A559-8F8D35EA6DFB}"/>
    <cellStyle name="Comma 4 3 2 4 8" xfId="8637" xr:uid="{AF365633-8A1A-4DF6-862C-F30B55D49D2A}"/>
    <cellStyle name="Comma 4 3 2 4 9" xfId="9774" xr:uid="{F5A027B1-03C0-45A5-8F76-716EBE05B0F9}"/>
    <cellStyle name="Comma 4 3 2 5" xfId="1567" xr:uid="{A00B9198-87B6-4293-8F2B-57AD2004D449}"/>
    <cellStyle name="Comma 4 3 2 5 2" xfId="12851" xr:uid="{E1623EFD-FB7B-4CDE-B340-47B9289E2005}"/>
    <cellStyle name="Comma 4 3 2 5 3" xfId="15104" xr:uid="{73FF8ED6-B4DE-422F-9B6D-49FFEE1E9393}"/>
    <cellStyle name="Comma 4 3 2 5 4" xfId="17357" xr:uid="{A1F0EAC6-3FD7-4488-997A-E073F282850A}"/>
    <cellStyle name="Comma 4 3 2 6" xfId="2693" xr:uid="{4C4E93DC-B988-4AA5-8959-4E7B1327540F}"/>
    <cellStyle name="Comma 4 3 2 7" xfId="3819" xr:uid="{E4760FB4-58F4-413B-B7AA-2A1C2AA3A4A2}"/>
    <cellStyle name="Comma 4 3 2 8" xfId="4945" xr:uid="{D3A72F35-2AD3-4A85-9FCA-7C63904824D4}"/>
    <cellStyle name="Comma 4 3 2 9" xfId="6072" xr:uid="{83106009-CA9C-492D-8FAD-49E15B714004}"/>
    <cellStyle name="Comma 4 3 3" xfId="439" xr:uid="{C48669EB-2E9D-4D54-8644-978B76194846}"/>
    <cellStyle name="Comma 4 3 3 10" xfId="8636" xr:uid="{63182A63-A582-429F-ABEB-27337E5BBBF5}"/>
    <cellStyle name="Comma 4 3 3 11" xfId="9773" xr:uid="{7FEA35CB-BC43-4EFD-854B-19529B663B19}"/>
    <cellStyle name="Comma 4 3 3 12" xfId="10900" xr:uid="{3E673C48-33F1-4618-B616-4A459A301828}"/>
    <cellStyle name="Comma 4 3 3 13" xfId="11730" xr:uid="{F84D1A92-0D9E-4451-93EA-E2560CCDC559}"/>
    <cellStyle name="Comma 4 3 3 14" xfId="13983" xr:uid="{9321FDCB-6B29-4401-9356-DC36FF2D762F}"/>
    <cellStyle name="Comma 4 3 3 15" xfId="16236" xr:uid="{2A687867-C502-4C98-AA22-8FACE432C23B}"/>
    <cellStyle name="Comma 4 3 3 2" xfId="440" xr:uid="{9F67C703-55CD-46BA-A772-771686E03312}"/>
    <cellStyle name="Comma 4 3 3 2 10" xfId="10899" xr:uid="{C4270663-22B2-435A-82A6-7731E654D774}"/>
    <cellStyle name="Comma 4 3 3 2 11" xfId="11731" xr:uid="{ED662B7B-704C-4ECD-8362-00A29218AD38}"/>
    <cellStyle name="Comma 4 3 3 2 12" xfId="13984" xr:uid="{A1420CEE-B867-4571-9BB7-18E8B49263E1}"/>
    <cellStyle name="Comma 4 3 3 2 13" xfId="16237" xr:uid="{23C3BDB7-3BA5-4028-9613-7E46BBFFF797}"/>
    <cellStyle name="Comma 4 3 3 2 2" xfId="1574" xr:uid="{B99DA784-0ECF-40C0-A6C2-2954C7775FC9}"/>
    <cellStyle name="Comma 4 3 3 2 2 2" xfId="12858" xr:uid="{3C1F58DC-940D-428D-9FD1-D85DB1E74FB9}"/>
    <cellStyle name="Comma 4 3 3 2 2 3" xfId="15111" xr:uid="{3B1F5AB6-F608-478A-A9D5-00C45F0F61D0}"/>
    <cellStyle name="Comma 4 3 3 2 2 4" xfId="17364" xr:uid="{B8888F79-7E2C-4ED2-9D66-4DB67D73F2EA}"/>
    <cellStyle name="Comma 4 3 3 2 3" xfId="2700" xr:uid="{0778A9AF-5E23-4B8F-B542-4ABE139C8835}"/>
    <cellStyle name="Comma 4 3 3 2 4" xfId="3826" xr:uid="{77B3A85E-C467-48BF-A536-2AFFEF695558}"/>
    <cellStyle name="Comma 4 3 3 2 5" xfId="4952" xr:uid="{7DC97268-3F09-4D62-B45F-D10E8A746124}"/>
    <cellStyle name="Comma 4 3 3 2 6" xfId="6079" xr:uid="{FE817DC2-E57A-4FC7-9250-2DED0383BC79}"/>
    <cellStyle name="Comma 4 3 3 2 7" xfId="7209" xr:uid="{8430681E-9976-48A4-A7D4-6B6CBC695455}"/>
    <cellStyle name="Comma 4 3 3 2 8" xfId="8635" xr:uid="{19197DA2-EEC1-40B4-938C-02A683924AA2}"/>
    <cellStyle name="Comma 4 3 3 2 9" xfId="9772" xr:uid="{F59AE138-1062-4114-AF95-37D42A6B3176}"/>
    <cellStyle name="Comma 4 3 3 3" xfId="441" xr:uid="{B6CF04A1-9AD5-4C9C-B96D-ECAFB7A6C255}"/>
    <cellStyle name="Comma 4 3 3 3 10" xfId="10898" xr:uid="{E3D9D647-49F2-4F26-9963-3FC79F74E095}"/>
    <cellStyle name="Comma 4 3 3 3 11" xfId="11732" xr:uid="{3BD16F23-9545-496B-BB43-5AC5A8535204}"/>
    <cellStyle name="Comma 4 3 3 3 12" xfId="13985" xr:uid="{C3964BCA-72F3-4062-BE78-D04BB5394A64}"/>
    <cellStyle name="Comma 4 3 3 3 13" xfId="16238" xr:uid="{31149840-82E3-4E6F-84E0-9B251B977C35}"/>
    <cellStyle name="Comma 4 3 3 3 2" xfId="1575" xr:uid="{54716317-6E9D-44C1-83D0-FC6435344514}"/>
    <cellStyle name="Comma 4 3 3 3 2 2" xfId="12859" xr:uid="{4F993A41-6DFC-4578-B3AB-219A27746FDD}"/>
    <cellStyle name="Comma 4 3 3 3 2 3" xfId="15112" xr:uid="{2C822522-766C-4236-8F9E-7B6B0B07DDF2}"/>
    <cellStyle name="Comma 4 3 3 3 2 4" xfId="17365" xr:uid="{66319E24-921A-4FCB-9EE8-D2335A0CD95B}"/>
    <cellStyle name="Comma 4 3 3 3 3" xfId="2701" xr:uid="{48810D7F-3BFB-41A7-BFAD-0F8CA98C521D}"/>
    <cellStyle name="Comma 4 3 3 3 4" xfId="3827" xr:uid="{FAB6CB45-EA4F-4A5C-B58C-4739F193CF9E}"/>
    <cellStyle name="Comma 4 3 3 3 5" xfId="4953" xr:uid="{11E55AE0-3D13-4964-8A3F-D4E3D195A18A}"/>
    <cellStyle name="Comma 4 3 3 3 6" xfId="6080" xr:uid="{D73379B1-5DE5-4282-AC4A-E119010960FA}"/>
    <cellStyle name="Comma 4 3 3 3 7" xfId="7210" xr:uid="{A38A530E-CF52-48F1-918B-CD8629134BD3}"/>
    <cellStyle name="Comma 4 3 3 3 8" xfId="8634" xr:uid="{4C03A051-EE03-4BFB-8F8A-BAFF574DFD89}"/>
    <cellStyle name="Comma 4 3 3 3 9" xfId="9771" xr:uid="{4EBB52F9-51C0-4927-B4C7-774978755D35}"/>
    <cellStyle name="Comma 4 3 3 4" xfId="1573" xr:uid="{23B6DF64-E5D1-4C54-9986-8A921C735529}"/>
    <cellStyle name="Comma 4 3 3 4 2" xfId="12857" xr:uid="{8924EF25-199A-4D1C-93DE-6ADB315B218B}"/>
    <cellStyle name="Comma 4 3 3 4 3" xfId="15110" xr:uid="{DD05BC58-1093-41FF-9987-677FBBA98E7A}"/>
    <cellStyle name="Comma 4 3 3 4 4" xfId="17363" xr:uid="{19BC2428-5DBF-4B63-995B-6B0FF569A7BD}"/>
    <cellStyle name="Comma 4 3 3 5" xfId="2699" xr:uid="{1DC29416-63A0-4006-BC79-97ABEA0C6D98}"/>
    <cellStyle name="Comma 4 3 3 6" xfId="3825" xr:uid="{772517E6-2541-418D-926B-4DBD6372A680}"/>
    <cellStyle name="Comma 4 3 3 7" xfId="4951" xr:uid="{DBDF9E7F-9C9D-4A6D-94FB-C02D86C67497}"/>
    <cellStyle name="Comma 4 3 3 8" xfId="6078" xr:uid="{09752445-23DA-4828-B84D-F63C6536DA2B}"/>
    <cellStyle name="Comma 4 3 3 9" xfId="7208" xr:uid="{01AF15CD-B707-4A71-AD4E-BAB85FA16335}"/>
    <cellStyle name="Comma 4 3 4" xfId="442" xr:uid="{A37EB4C2-43D5-4D47-8D85-E847D62C8FAD}"/>
    <cellStyle name="Comma 4 3 4 10" xfId="10897" xr:uid="{077E6AE8-4E53-40B2-9347-CED067A45765}"/>
    <cellStyle name="Comma 4 3 4 11" xfId="11733" xr:uid="{E6B5E9BD-7B32-496D-A83D-50B4F04D81A7}"/>
    <cellStyle name="Comma 4 3 4 12" xfId="13986" xr:uid="{D02EE89D-7EA1-4F43-8587-B764D075BD54}"/>
    <cellStyle name="Comma 4 3 4 13" xfId="16239" xr:uid="{6700821B-369F-4428-AE24-82F31D6C7A1F}"/>
    <cellStyle name="Comma 4 3 4 2" xfId="1576" xr:uid="{0D789F3A-B042-44DD-B591-A583ADA32906}"/>
    <cellStyle name="Comma 4 3 4 2 2" xfId="12860" xr:uid="{A0CCEE4B-B4C2-4417-90FC-7556F9D7985F}"/>
    <cellStyle name="Comma 4 3 4 2 3" xfId="15113" xr:uid="{DE3D6657-6D1C-4EB6-A00C-6C50D9FE135F}"/>
    <cellStyle name="Comma 4 3 4 2 4" xfId="17366" xr:uid="{7343BD1D-DBD1-49C2-A629-B7A424FF2DC9}"/>
    <cellStyle name="Comma 4 3 4 3" xfId="2702" xr:uid="{4EB9C239-4238-4512-96D9-6BC2161D93C4}"/>
    <cellStyle name="Comma 4 3 4 4" xfId="3828" xr:uid="{15FB2423-1A59-41A3-A6BD-5AEAAE6259BD}"/>
    <cellStyle name="Comma 4 3 4 5" xfId="4954" xr:uid="{E070394A-B3AA-4260-8F5E-3221A2C8A257}"/>
    <cellStyle name="Comma 4 3 4 6" xfId="6081" xr:uid="{29236C35-6E25-4305-9C4B-B13AB69A1773}"/>
    <cellStyle name="Comma 4 3 4 7" xfId="7211" xr:uid="{52695789-10E6-4619-92CF-C2EBDFCB417A}"/>
    <cellStyle name="Comma 4 3 4 8" xfId="8633" xr:uid="{85851C33-27A0-4274-A133-5D35A89862DC}"/>
    <cellStyle name="Comma 4 3 4 9" xfId="9770" xr:uid="{DAF78271-197D-441B-B15A-8F34049F9591}"/>
    <cellStyle name="Comma 4 3 5" xfId="443" xr:uid="{C4B7E637-56EF-45C6-85FB-0FDAAAC9D28D}"/>
    <cellStyle name="Comma 4 3 5 10" xfId="10896" xr:uid="{AF7E0846-E9DF-4850-BAAD-736D3AB77EBF}"/>
    <cellStyle name="Comma 4 3 5 11" xfId="11734" xr:uid="{A6B94FF6-5DE5-4188-8A9E-CC1084C8FF71}"/>
    <cellStyle name="Comma 4 3 5 12" xfId="13987" xr:uid="{D1AE47BB-2D8C-4B0C-A99A-BF09B09FE69B}"/>
    <cellStyle name="Comma 4 3 5 13" xfId="16240" xr:uid="{73D735AE-75A5-45F8-9F18-A70C319E0A3A}"/>
    <cellStyle name="Comma 4 3 5 2" xfId="1577" xr:uid="{96DCBA9A-6ABB-455D-951A-81400E2DDC21}"/>
    <cellStyle name="Comma 4 3 5 2 2" xfId="12861" xr:uid="{2794E44D-7580-462C-B0FB-B4DECBC96D7C}"/>
    <cellStyle name="Comma 4 3 5 2 3" xfId="15114" xr:uid="{A9249493-7758-4EE5-B52C-CFCB7A766F0D}"/>
    <cellStyle name="Comma 4 3 5 2 4" xfId="17367" xr:uid="{DE8863A9-3DDF-4C3A-A28A-B5998386DCA0}"/>
    <cellStyle name="Comma 4 3 5 3" xfId="2703" xr:uid="{C92A2876-224A-42E3-8BBC-AE8B7400C701}"/>
    <cellStyle name="Comma 4 3 5 4" xfId="3829" xr:uid="{42C37F20-B25E-40FE-AB83-416616A7EAFF}"/>
    <cellStyle name="Comma 4 3 5 5" xfId="4955" xr:uid="{8C0997FB-AC7E-49B9-99C8-C0936769555F}"/>
    <cellStyle name="Comma 4 3 5 6" xfId="6082" xr:uid="{988B602A-2B42-436C-A2A2-213D79DB3853}"/>
    <cellStyle name="Comma 4 3 5 7" xfId="7212" xr:uid="{DBB1C895-9594-4A15-A0D0-16600E8FA702}"/>
    <cellStyle name="Comma 4 3 5 8" xfId="8632" xr:uid="{1F7F1318-B1EF-47A9-87DF-E767D09367A1}"/>
    <cellStyle name="Comma 4 3 5 9" xfId="9769" xr:uid="{20AA9625-4C07-4107-965C-7DA6E9F801DC}"/>
    <cellStyle name="Comma 4 3 6" xfId="1566" xr:uid="{671572DA-EC8F-4BD8-815F-1C418C61477C}"/>
    <cellStyle name="Comma 4 3 6 2" xfId="12850" xr:uid="{12002E11-BF7C-4105-96A3-F7D0047A4EF5}"/>
    <cellStyle name="Comma 4 3 6 3" xfId="15103" xr:uid="{0AFCD328-5E1F-4EAF-B650-A2B1E84DEEA4}"/>
    <cellStyle name="Comma 4 3 6 4" xfId="17356" xr:uid="{E910776A-4B99-4F81-A0A0-166A0CFB43D5}"/>
    <cellStyle name="Comma 4 3 7" xfId="2692" xr:uid="{39C86D51-8101-4BF5-8E6C-4FD3DA65DB5C}"/>
    <cellStyle name="Comma 4 3 8" xfId="3818" xr:uid="{27A034D6-99BB-4228-8807-984C07789126}"/>
    <cellStyle name="Comma 4 3 9" xfId="4944" xr:uid="{47CE360A-5813-48AE-A277-AB7C104DF650}"/>
    <cellStyle name="Comma 4 4" xfId="444" xr:uid="{182A0FB8-7AF6-484A-957F-B90C64ADD4E1}"/>
    <cellStyle name="Comma 4 4 10" xfId="7213" xr:uid="{B7885270-3F60-4590-A74F-3A85AF093830}"/>
    <cellStyle name="Comma 4 4 11" xfId="8631" xr:uid="{EEAADCAF-D131-4F84-BB62-6583516580A1}"/>
    <cellStyle name="Comma 4 4 12" xfId="9768" xr:uid="{5BE454CA-CB8E-4D10-B5FC-6F07802B5961}"/>
    <cellStyle name="Comma 4 4 13" xfId="10895" xr:uid="{3CA799B3-BDCE-46DA-A353-18E8C0F4B32D}"/>
    <cellStyle name="Comma 4 4 14" xfId="11735" xr:uid="{2500598A-F30C-44E8-8277-0DBAC88E7A90}"/>
    <cellStyle name="Comma 4 4 15" xfId="13988" xr:uid="{A9B997E1-A028-473D-958A-D9522B70DB7C}"/>
    <cellStyle name="Comma 4 4 16" xfId="16241" xr:uid="{BE12B716-8C90-44AF-A0D4-5EF2C2B523AE}"/>
    <cellStyle name="Comma 4 4 2" xfId="445" xr:uid="{A5E454DC-CCA5-4FAE-8118-BB26764CB983}"/>
    <cellStyle name="Comma 4 4 2 10" xfId="8630" xr:uid="{66EB77C8-2BD6-427C-A5F2-6F9FFCE833E4}"/>
    <cellStyle name="Comma 4 4 2 11" xfId="9767" xr:uid="{317C78BF-4169-49BA-B123-85DA3502DC9A}"/>
    <cellStyle name="Comma 4 4 2 12" xfId="10894" xr:uid="{43A56679-F25A-4012-8893-1BEF46F64218}"/>
    <cellStyle name="Comma 4 4 2 13" xfId="11736" xr:uid="{15CD3980-89D2-41F1-AEDB-FA7FCA54B3E0}"/>
    <cellStyle name="Comma 4 4 2 14" xfId="13989" xr:uid="{4A99640D-FFD6-4D0C-B16E-5636203AEA2B}"/>
    <cellStyle name="Comma 4 4 2 15" xfId="16242" xr:uid="{6B4C325B-A631-4E41-B61C-C4B9ECEE04F6}"/>
    <cellStyle name="Comma 4 4 2 2" xfId="446" xr:uid="{95AB0D50-DAFA-44E9-A4B1-E15A11C91C5F}"/>
    <cellStyle name="Comma 4 4 2 2 10" xfId="10893" xr:uid="{C26A77E4-3BA9-4C4E-AE44-7B44666FB730}"/>
    <cellStyle name="Comma 4 4 2 2 11" xfId="11737" xr:uid="{DC4CB5AF-78F3-412A-A116-3838E47AFB74}"/>
    <cellStyle name="Comma 4 4 2 2 12" xfId="13990" xr:uid="{62DA387B-9A8C-4A54-9131-AC83DFBB897A}"/>
    <cellStyle name="Comma 4 4 2 2 13" xfId="16243" xr:uid="{5EF2AF21-A0B3-4910-8192-666A4329BDB2}"/>
    <cellStyle name="Comma 4 4 2 2 2" xfId="1580" xr:uid="{2324DFBC-9922-419F-BCFB-CF938483CAC1}"/>
    <cellStyle name="Comma 4 4 2 2 2 2" xfId="12864" xr:uid="{18ABB0B7-4E5C-4FD0-8692-56383E249FF5}"/>
    <cellStyle name="Comma 4 4 2 2 2 3" xfId="15117" xr:uid="{9CB730A8-E8F8-4820-9830-5B034EAD0157}"/>
    <cellStyle name="Comma 4 4 2 2 2 4" xfId="17370" xr:uid="{5C7A3F6A-5C4B-42D4-B96A-0013BF31BC22}"/>
    <cellStyle name="Comma 4 4 2 2 3" xfId="2706" xr:uid="{E981CBBB-E2B0-4F15-8C19-447DAC5197B0}"/>
    <cellStyle name="Comma 4 4 2 2 4" xfId="3832" xr:uid="{7A9A06A2-2EA2-4ADC-9AFB-B230F9DD6BD2}"/>
    <cellStyle name="Comma 4 4 2 2 5" xfId="4958" xr:uid="{D58E7510-F106-408B-8E4C-A4D41FABF68F}"/>
    <cellStyle name="Comma 4 4 2 2 6" xfId="6085" xr:uid="{7E607A5F-E8E5-4BC2-93A0-D4EE1CA7D837}"/>
    <cellStyle name="Comma 4 4 2 2 7" xfId="7215" xr:uid="{A96D5CC4-766F-4401-840B-7B3FE6A37E71}"/>
    <cellStyle name="Comma 4 4 2 2 8" xfId="8629" xr:uid="{B6585742-E48B-486F-B6FF-558C1BA02FB5}"/>
    <cellStyle name="Comma 4 4 2 2 9" xfId="9766" xr:uid="{BCDC8C76-8789-4BB0-8481-D686EDB0F71C}"/>
    <cellStyle name="Comma 4 4 2 3" xfId="447" xr:uid="{C756BF10-E423-495D-8968-243B83C510FD}"/>
    <cellStyle name="Comma 4 4 2 3 10" xfId="10892" xr:uid="{EBAB9853-4177-4C23-82EE-3ED566E29478}"/>
    <cellStyle name="Comma 4 4 2 3 11" xfId="11738" xr:uid="{F1B53F73-5990-450D-8C51-1CA766F314C6}"/>
    <cellStyle name="Comma 4 4 2 3 12" xfId="13991" xr:uid="{DE4B2F44-5054-4886-8D09-EF871EA8C8F7}"/>
    <cellStyle name="Comma 4 4 2 3 13" xfId="16244" xr:uid="{180424CF-EB4A-4BA6-918E-9DBF7D19F05C}"/>
    <cellStyle name="Comma 4 4 2 3 2" xfId="1581" xr:uid="{1C3AB67C-A20A-4502-80CE-C61B8FA3CF0C}"/>
    <cellStyle name="Comma 4 4 2 3 2 2" xfId="12865" xr:uid="{18C452AC-3B54-46AA-809B-2354C2C7A766}"/>
    <cellStyle name="Comma 4 4 2 3 2 3" xfId="15118" xr:uid="{834EA8A0-149C-46A6-8929-6D38ABE15659}"/>
    <cellStyle name="Comma 4 4 2 3 2 4" xfId="17371" xr:uid="{ABB7FEC9-F6C3-4D3C-9331-EC514DD89F78}"/>
    <cellStyle name="Comma 4 4 2 3 3" xfId="2707" xr:uid="{28EC09C9-FB8C-45A8-A135-9AD124B0D1DF}"/>
    <cellStyle name="Comma 4 4 2 3 4" xfId="3833" xr:uid="{C9DE2555-612E-4F17-9C78-41FB78543164}"/>
    <cellStyle name="Comma 4 4 2 3 5" xfId="4959" xr:uid="{26D7F165-5682-45BD-9C3C-708B2E2F455A}"/>
    <cellStyle name="Comma 4 4 2 3 6" xfId="6086" xr:uid="{B1013823-A02F-4194-A5D6-C6D7F67725A3}"/>
    <cellStyle name="Comma 4 4 2 3 7" xfId="7216" xr:uid="{50E120B2-BB05-4317-ABD7-B19AFE8B4ACE}"/>
    <cellStyle name="Comma 4 4 2 3 8" xfId="8628" xr:uid="{BC655575-BA32-4638-A1D4-B1D28532B3C7}"/>
    <cellStyle name="Comma 4 4 2 3 9" xfId="9765" xr:uid="{8BD5346D-7999-428F-B342-A1E257BAD570}"/>
    <cellStyle name="Comma 4 4 2 4" xfId="1579" xr:uid="{87487E74-3C2F-4DAF-A576-FC46B25BB735}"/>
    <cellStyle name="Comma 4 4 2 4 2" xfId="12863" xr:uid="{25307143-3A41-40E0-A1DB-4621EE1C99EC}"/>
    <cellStyle name="Comma 4 4 2 4 3" xfId="15116" xr:uid="{1797996B-D2D4-4F51-B36D-8D8B14162F3E}"/>
    <cellStyle name="Comma 4 4 2 4 4" xfId="17369" xr:uid="{F01E87AA-D06A-47E4-A257-8BCFB11CDBFB}"/>
    <cellStyle name="Comma 4 4 2 5" xfId="2705" xr:uid="{54DB1E20-01D9-47E5-8C26-93F4FC8C4B3F}"/>
    <cellStyle name="Comma 4 4 2 6" xfId="3831" xr:uid="{905851E0-D3F6-46BF-BF33-DC2D7F20C615}"/>
    <cellStyle name="Comma 4 4 2 7" xfId="4957" xr:uid="{D4B5FA48-C19D-4100-AAF7-8E7D28842D84}"/>
    <cellStyle name="Comma 4 4 2 8" xfId="6084" xr:uid="{D47DC8F0-C6F5-475D-B78B-0680BCD4C94D}"/>
    <cellStyle name="Comma 4 4 2 9" xfId="7214" xr:uid="{6BE25C5C-4D6A-4F08-A6A3-6DC6CF821A1E}"/>
    <cellStyle name="Comma 4 4 3" xfId="448" xr:uid="{F5BCD3B5-1147-4668-8392-67BB3BC1A388}"/>
    <cellStyle name="Comma 4 4 3 10" xfId="10891" xr:uid="{85C9517C-E706-4EC4-8ADA-41AD4253A6BD}"/>
    <cellStyle name="Comma 4 4 3 11" xfId="11739" xr:uid="{B16457BF-708C-4F06-99E5-461EE765085B}"/>
    <cellStyle name="Comma 4 4 3 12" xfId="13992" xr:uid="{F652C7D9-6B1F-49BE-A796-52A598324C37}"/>
    <cellStyle name="Comma 4 4 3 13" xfId="16245" xr:uid="{7ECF64BC-15DF-4329-9334-488A6E5AC7D7}"/>
    <cellStyle name="Comma 4 4 3 2" xfId="1582" xr:uid="{16B85607-92DE-4387-AB97-B3AB480068AA}"/>
    <cellStyle name="Comma 4 4 3 2 2" xfId="12866" xr:uid="{1876D8F5-4732-49F4-95C0-4A35218D4E6A}"/>
    <cellStyle name="Comma 4 4 3 2 3" xfId="15119" xr:uid="{430F802E-8466-401F-AD07-DE8755BF4C2C}"/>
    <cellStyle name="Comma 4 4 3 2 4" xfId="17372" xr:uid="{6F247317-2A34-4BD6-ADBD-E5C2F149E0CA}"/>
    <cellStyle name="Comma 4 4 3 3" xfId="2708" xr:uid="{06AF6C22-DEC0-4A5D-B6B9-135299347CAF}"/>
    <cellStyle name="Comma 4 4 3 4" xfId="3834" xr:uid="{B175EF6D-19FC-41AC-B9F8-D45E2539C6B6}"/>
    <cellStyle name="Comma 4 4 3 5" xfId="4960" xr:uid="{42ED2D8A-FA45-435E-A725-1B3E561090FD}"/>
    <cellStyle name="Comma 4 4 3 6" xfId="6087" xr:uid="{08D5C2BE-F532-4775-846B-22F17ABBB3BC}"/>
    <cellStyle name="Comma 4 4 3 7" xfId="7217" xr:uid="{E22EF89A-A251-4F63-951F-42C81B4CF03B}"/>
    <cellStyle name="Comma 4 4 3 8" xfId="8627" xr:uid="{62A65B84-3A36-4609-BC04-DF774BC153EC}"/>
    <cellStyle name="Comma 4 4 3 9" xfId="9764" xr:uid="{E002FF28-4490-41BF-8138-A413149B82E4}"/>
    <cellStyle name="Comma 4 4 4" xfId="449" xr:uid="{86CAC994-0D26-423C-9EDD-B705F2A72C44}"/>
    <cellStyle name="Comma 4 4 4 10" xfId="10890" xr:uid="{1DFA2B2F-3468-4E0A-A697-AD085F85BB8F}"/>
    <cellStyle name="Comma 4 4 4 11" xfId="11740" xr:uid="{A7006BE6-5DAD-4E76-ACE1-1B01CC9F1563}"/>
    <cellStyle name="Comma 4 4 4 12" xfId="13993" xr:uid="{B51586A9-A5DC-4482-8A18-BCF6B9127908}"/>
    <cellStyle name="Comma 4 4 4 13" xfId="16246" xr:uid="{4F6A39B7-9097-4181-AA23-3270C8904DF3}"/>
    <cellStyle name="Comma 4 4 4 2" xfId="1583" xr:uid="{CFA5934F-C5BF-4283-B45D-5FE612634C0B}"/>
    <cellStyle name="Comma 4 4 4 2 2" xfId="12867" xr:uid="{36AC26F7-DA43-49BD-B9A5-41B15700FB37}"/>
    <cellStyle name="Comma 4 4 4 2 3" xfId="15120" xr:uid="{53102CA6-F6D3-451A-95DD-66B753BAFD72}"/>
    <cellStyle name="Comma 4 4 4 2 4" xfId="17373" xr:uid="{2D58F201-2838-410C-91CB-EDEBE561E9DF}"/>
    <cellStyle name="Comma 4 4 4 3" xfId="2709" xr:uid="{23DFD6C9-CF05-4C62-988D-28220FA07CF2}"/>
    <cellStyle name="Comma 4 4 4 4" xfId="3835" xr:uid="{65603708-DD2B-4C07-87ED-E7537A70EAC4}"/>
    <cellStyle name="Comma 4 4 4 5" xfId="4961" xr:uid="{0796B931-1220-4E70-AA22-2C1B579CE5CD}"/>
    <cellStyle name="Comma 4 4 4 6" xfId="6088" xr:uid="{F07E6D47-3E42-4D1E-AD62-C6EC826D1C7E}"/>
    <cellStyle name="Comma 4 4 4 7" xfId="7218" xr:uid="{72F40AA9-96B9-4F43-AEE9-7B81E97BE3D2}"/>
    <cellStyle name="Comma 4 4 4 8" xfId="8626" xr:uid="{1E171000-43FB-41C6-BCBA-EC496D2BA3D0}"/>
    <cellStyle name="Comma 4 4 4 9" xfId="9763" xr:uid="{69DC081E-D614-493B-A087-9A1A456CC738}"/>
    <cellStyle name="Comma 4 4 5" xfId="1578" xr:uid="{EF5B9E3E-DF5B-4D69-B909-1271B9A00AFA}"/>
    <cellStyle name="Comma 4 4 5 2" xfId="12862" xr:uid="{298C98CF-F5A6-474F-AD40-728EE1A8DE18}"/>
    <cellStyle name="Comma 4 4 5 3" xfId="15115" xr:uid="{202C8909-4985-47BE-9486-D0A093DFA39E}"/>
    <cellStyle name="Comma 4 4 5 4" xfId="17368" xr:uid="{2B73CB23-378C-4E6D-96F2-72CD590A0EFF}"/>
    <cellStyle name="Comma 4 4 6" xfId="2704" xr:uid="{DDA86F59-D944-4D11-A140-BFFD052C5193}"/>
    <cellStyle name="Comma 4 4 7" xfId="3830" xr:uid="{4D5AD0B6-DED2-42A6-AF19-93FF0A228CC2}"/>
    <cellStyle name="Comma 4 4 8" xfId="4956" xr:uid="{FD5D110A-F88E-4B59-8882-6979810F96D3}"/>
    <cellStyle name="Comma 4 4 9" xfId="6083" xr:uid="{7E7C66CC-88E0-4083-B10B-046020A0E416}"/>
    <cellStyle name="Comma 4 5" xfId="450" xr:uid="{357E70FA-F0C9-4DB7-BD81-9A6AC4804CFF}"/>
    <cellStyle name="Comma 4 5 10" xfId="8625" xr:uid="{2E93B376-499E-48E6-B666-7678BB23FEAB}"/>
    <cellStyle name="Comma 4 5 11" xfId="9762" xr:uid="{ED8E7549-4713-4A6D-BCC8-70122706780A}"/>
    <cellStyle name="Comma 4 5 12" xfId="10889" xr:uid="{448ADDAE-FF60-4439-80FF-ED32D62F7CB7}"/>
    <cellStyle name="Comma 4 5 13" xfId="11741" xr:uid="{1A994F76-A98E-4A8E-A5D6-C4936BCCB3AF}"/>
    <cellStyle name="Comma 4 5 14" xfId="13994" xr:uid="{3251CAF3-5201-4E26-AABA-9DBEC36A4B3F}"/>
    <cellStyle name="Comma 4 5 15" xfId="16247" xr:uid="{F85CDA0D-A80B-4784-99C8-4F01BEEE2ECA}"/>
    <cellStyle name="Comma 4 5 2" xfId="451" xr:uid="{F6D1E2B1-BF41-474F-99F6-165FDB31DF41}"/>
    <cellStyle name="Comma 4 5 2 10" xfId="10888" xr:uid="{15EC30B4-F5D3-4D67-8645-4C8C0551A32C}"/>
    <cellStyle name="Comma 4 5 2 11" xfId="11742" xr:uid="{C77C3963-179D-4BAE-B645-F8F152957B62}"/>
    <cellStyle name="Comma 4 5 2 12" xfId="13995" xr:uid="{68EFBA2C-5EFD-402F-AEB1-5A6331F84087}"/>
    <cellStyle name="Comma 4 5 2 13" xfId="16248" xr:uid="{C79C3FD8-80D0-4869-932E-4D3C4085472E}"/>
    <cellStyle name="Comma 4 5 2 2" xfId="1585" xr:uid="{F9C8ABA0-B4E0-4771-9830-CA73D0313B3F}"/>
    <cellStyle name="Comma 4 5 2 2 2" xfId="12869" xr:uid="{247CB2DA-4457-403F-9AF8-7C6B92841D2C}"/>
    <cellStyle name="Comma 4 5 2 2 3" xfId="15122" xr:uid="{34779D7D-8ACA-45AA-ADC6-BE59FE41EAC9}"/>
    <cellStyle name="Comma 4 5 2 2 4" xfId="17375" xr:uid="{57EC611B-029E-4401-B594-E196CF339967}"/>
    <cellStyle name="Comma 4 5 2 3" xfId="2711" xr:uid="{A517E58B-F519-4F64-B7FC-3FDABBB4754B}"/>
    <cellStyle name="Comma 4 5 2 4" xfId="3837" xr:uid="{C0A26D84-7D13-4113-84B8-7C964A87CBA5}"/>
    <cellStyle name="Comma 4 5 2 5" xfId="4963" xr:uid="{AAA51E33-42EA-455B-87A5-2B3BB503D457}"/>
    <cellStyle name="Comma 4 5 2 6" xfId="6090" xr:uid="{677CC974-EF16-4469-A066-0513F67DBD8B}"/>
    <cellStyle name="Comma 4 5 2 7" xfId="7220" xr:uid="{6DBFB744-2FCE-4B82-A92B-34A583B97F91}"/>
    <cellStyle name="Comma 4 5 2 8" xfId="8624" xr:uid="{644EC983-A24A-4322-A23C-6A6E42230B6D}"/>
    <cellStyle name="Comma 4 5 2 9" xfId="9761" xr:uid="{4B856060-8B29-412D-92A9-33E93869E08A}"/>
    <cellStyle name="Comma 4 5 3" xfId="452" xr:uid="{AA2B0849-A950-45DD-BD40-0266D096FF5C}"/>
    <cellStyle name="Comma 4 5 3 10" xfId="10887" xr:uid="{5CB0B4F2-ABAA-449C-B251-B65AB1E708F7}"/>
    <cellStyle name="Comma 4 5 3 11" xfId="11743" xr:uid="{AD369D6C-A929-4A8F-9647-2225F6BB72A0}"/>
    <cellStyle name="Comma 4 5 3 12" xfId="13996" xr:uid="{234E0A96-3E35-43CE-B01E-35EB534EC748}"/>
    <cellStyle name="Comma 4 5 3 13" xfId="16249" xr:uid="{DBF6CA89-5BF3-4445-AFD3-EFF33B069DD8}"/>
    <cellStyle name="Comma 4 5 3 2" xfId="1586" xr:uid="{B8FA1C6F-C222-4921-8233-4C739284C7CC}"/>
    <cellStyle name="Comma 4 5 3 2 2" xfId="12870" xr:uid="{49F56169-9C15-4A04-9372-CCD7D400EF1B}"/>
    <cellStyle name="Comma 4 5 3 2 3" xfId="15123" xr:uid="{AEEE49CE-F565-4BB6-9E6E-A7A9B785F970}"/>
    <cellStyle name="Comma 4 5 3 2 4" xfId="17376" xr:uid="{0609EB64-2469-49D5-B923-C76EFD13744E}"/>
    <cellStyle name="Comma 4 5 3 3" xfId="2712" xr:uid="{421A53BD-EDFC-4EC8-8B3F-7C20071C2EDB}"/>
    <cellStyle name="Comma 4 5 3 4" xfId="3838" xr:uid="{EFB9D6D2-510F-4871-B50C-BD28606B476A}"/>
    <cellStyle name="Comma 4 5 3 5" xfId="4964" xr:uid="{7DDAAB21-1B0B-4FBE-8470-104E23AB39B5}"/>
    <cellStyle name="Comma 4 5 3 6" xfId="6091" xr:uid="{A17C5528-CA69-45FA-83B3-4B7DF43C9F1B}"/>
    <cellStyle name="Comma 4 5 3 7" xfId="7221" xr:uid="{B0E6AF11-3780-4897-ACAF-8BF5B620E76B}"/>
    <cellStyle name="Comma 4 5 3 8" xfId="8623" xr:uid="{6D7E8F76-8BB8-4485-B622-BEB2C47411EB}"/>
    <cellStyle name="Comma 4 5 3 9" xfId="9760" xr:uid="{D0B73803-6784-4176-981B-C1F624CA6B71}"/>
    <cellStyle name="Comma 4 5 4" xfId="1584" xr:uid="{B14917AA-910C-446F-8106-2B308A5E4BF6}"/>
    <cellStyle name="Comma 4 5 4 2" xfId="12868" xr:uid="{85868420-0275-4D58-849B-5CC0A18F02FC}"/>
    <cellStyle name="Comma 4 5 4 3" xfId="15121" xr:uid="{AAC50B85-EBE8-4A5B-9831-7D65C68D121D}"/>
    <cellStyle name="Comma 4 5 4 4" xfId="17374" xr:uid="{8E8C44AF-90A8-48A6-82C4-4E0238377A15}"/>
    <cellStyle name="Comma 4 5 5" xfId="2710" xr:uid="{4C89AD2F-6623-4E37-8906-618B961AB41B}"/>
    <cellStyle name="Comma 4 5 6" xfId="3836" xr:uid="{B0902842-7CA0-4E32-8F89-C78371875709}"/>
    <cellStyle name="Comma 4 5 7" xfId="4962" xr:uid="{0B8F3E72-5728-461A-8E97-BA6E77716995}"/>
    <cellStyle name="Comma 4 5 8" xfId="6089" xr:uid="{F35315E1-1423-4F4C-9921-1E225B560981}"/>
    <cellStyle name="Comma 4 5 9" xfId="7219" xr:uid="{70300ADE-8146-44A7-BBDB-F70C7802F2D3}"/>
    <cellStyle name="Comma 4 6" xfId="453" xr:uid="{DF60A339-E227-4539-A72F-BD92D6F0DB6C}"/>
    <cellStyle name="Comma 4 6 10" xfId="10886" xr:uid="{69BFAC05-67B5-49BF-B240-B6E6D55DD707}"/>
    <cellStyle name="Comma 4 6 11" xfId="11744" xr:uid="{C1FF0465-00B3-4C6A-B889-362B5C73C682}"/>
    <cellStyle name="Comma 4 6 12" xfId="13997" xr:uid="{CF0E6470-0B6C-4F81-9455-16726EEE6CE1}"/>
    <cellStyle name="Comma 4 6 13" xfId="16250" xr:uid="{7411D363-2E3F-488D-A017-754764C817B6}"/>
    <cellStyle name="Comma 4 6 2" xfId="1587" xr:uid="{F6610B71-C6C4-4D60-9E86-D3C6A22D08D9}"/>
    <cellStyle name="Comma 4 6 2 2" xfId="12871" xr:uid="{BF1F5F45-1038-42DE-A293-3AA62638231F}"/>
    <cellStyle name="Comma 4 6 2 3" xfId="15124" xr:uid="{BFAEF685-C110-4952-B91E-3489E4BA7999}"/>
    <cellStyle name="Comma 4 6 2 4" xfId="17377" xr:uid="{346EF6F9-95CF-48C1-AB7C-FB94EC2CFBD3}"/>
    <cellStyle name="Comma 4 6 3" xfId="2713" xr:uid="{1DB460F0-82EB-4646-9E1B-6F25CD42E6DB}"/>
    <cellStyle name="Comma 4 6 4" xfId="3839" xr:uid="{1A84C53A-E0E2-4ED8-9EF4-4E9EBB5B63F2}"/>
    <cellStyle name="Comma 4 6 5" xfId="4965" xr:uid="{CEA12164-7C4C-4218-9DAD-43A28CC17627}"/>
    <cellStyle name="Comma 4 6 6" xfId="6092" xr:uid="{C48A95F8-11A8-4B6F-B2D1-AE7E6120324E}"/>
    <cellStyle name="Comma 4 6 7" xfId="7222" xr:uid="{353A6770-9A4B-4199-8CB7-9906A2C84EAA}"/>
    <cellStyle name="Comma 4 6 8" xfId="8622" xr:uid="{CF3D8EA3-427E-4CF5-B4F1-AC89FC0F9441}"/>
    <cellStyle name="Comma 4 6 9" xfId="9759" xr:uid="{899EB65F-27B2-4869-A9CB-B416C4AB7B1A}"/>
    <cellStyle name="Comma 4 7" xfId="454" xr:uid="{C11E9A41-31B1-4D3D-90F3-B10117BAB3F3}"/>
    <cellStyle name="Comma 4 7 10" xfId="10885" xr:uid="{34A51FE9-991A-426F-92DD-D2ABE08A1C6D}"/>
    <cellStyle name="Comma 4 7 11" xfId="11745" xr:uid="{D8A69CF8-E8C5-43B9-8FE2-6A7EB7453A32}"/>
    <cellStyle name="Comma 4 7 12" xfId="13998" xr:uid="{7A4AE92F-161F-4623-9BD2-1F1E174FDDA2}"/>
    <cellStyle name="Comma 4 7 13" xfId="16251" xr:uid="{5DF870B7-FDA9-46CF-8C52-BE57D2FC4305}"/>
    <cellStyle name="Comma 4 7 2" xfId="1588" xr:uid="{BBE69901-8557-479E-AEC2-A3EB85241130}"/>
    <cellStyle name="Comma 4 7 2 2" xfId="12872" xr:uid="{67674741-0F37-4FC7-8283-A8FB299E2AB9}"/>
    <cellStyle name="Comma 4 7 2 3" xfId="15125" xr:uid="{D197E947-C4BD-471E-83F5-BC2ECBE354A5}"/>
    <cellStyle name="Comma 4 7 2 4" xfId="17378" xr:uid="{10321CDF-7649-4220-A2B9-D45047CCF8BE}"/>
    <cellStyle name="Comma 4 7 3" xfId="2714" xr:uid="{5DC9ADAA-2567-40AF-B0E8-1BE77F0475E5}"/>
    <cellStyle name="Comma 4 7 4" xfId="3840" xr:uid="{3AEA63F3-88E2-4788-BE6B-7C43F9FE799E}"/>
    <cellStyle name="Comma 4 7 5" xfId="4966" xr:uid="{34A3823E-C5E0-444B-B5B4-235F8E2616EC}"/>
    <cellStyle name="Comma 4 7 6" xfId="6093" xr:uid="{2F9F9531-7035-45BC-8F7B-DE7EB2EFCAA9}"/>
    <cellStyle name="Comma 4 7 7" xfId="7223" xr:uid="{E5D22E0C-C87C-41C3-8129-5507240D9D61}"/>
    <cellStyle name="Comma 4 7 8" xfId="8621" xr:uid="{72D24AB6-8107-4387-9F6E-3567FE4C684D}"/>
    <cellStyle name="Comma 4 7 9" xfId="9758" xr:uid="{0F56D64F-56AD-4BBB-A708-B87164F859B6}"/>
    <cellStyle name="Comma 4 8" xfId="1541" xr:uid="{6627C5BD-7533-4B2D-B038-88F358907B69}"/>
    <cellStyle name="Comma 4 8 2" xfId="12825" xr:uid="{6FCEB18A-8C39-492F-9D13-F6022B418FD1}"/>
    <cellStyle name="Comma 4 8 3" xfId="15078" xr:uid="{90B753E3-3343-4672-9877-2ADA7C476B07}"/>
    <cellStyle name="Comma 4 8 4" xfId="17331" xr:uid="{BFC308B2-0B99-4E55-964A-2B06443EEC01}"/>
    <cellStyle name="Comma 4 9" xfId="2667" xr:uid="{F65D9EDA-C1DC-486C-9AE8-9570DE148C15}"/>
    <cellStyle name="Comma 5" xfId="455" xr:uid="{957C5EAE-E63A-43AA-99A4-96E252070A22}"/>
    <cellStyle name="Comma 5 10" xfId="4967" xr:uid="{B0EAEFEF-00D7-4899-9B6D-78E70D9441F6}"/>
    <cellStyle name="Comma 5 11" xfId="6094" xr:uid="{58A25AB2-B642-47E7-A214-B490CB8958CC}"/>
    <cellStyle name="Comma 5 12" xfId="7224" xr:uid="{E4C4265A-6F5C-483B-96C6-1EC7887C6283}"/>
    <cellStyle name="Comma 5 13" xfId="8620" xr:uid="{98CC82FF-8C0C-41ED-899D-D0BD98D3536C}"/>
    <cellStyle name="Comma 5 14" xfId="9757" xr:uid="{D1F61C1E-63A0-47F1-A8D0-7B1E81BA4501}"/>
    <cellStyle name="Comma 5 15" xfId="10884" xr:uid="{9BCE5CEC-6FF3-4E03-9F0D-8AC1B75F34D2}"/>
    <cellStyle name="Comma 5 16" xfId="11746" xr:uid="{A8BD3625-619E-4B9B-8A8D-BB934DF61AD7}"/>
    <cellStyle name="Comma 5 17" xfId="13999" xr:uid="{274088ED-F801-4D69-80C0-28E9A31F3671}"/>
    <cellStyle name="Comma 5 18" xfId="16252" xr:uid="{25844205-AE89-419B-A036-D66BCF43A59C}"/>
    <cellStyle name="Comma 5 2" xfId="456" xr:uid="{B34B0D60-14EE-41DE-B7B1-2FC15518A1B9}"/>
    <cellStyle name="Comma 5 2 10" xfId="6095" xr:uid="{6A988322-549A-4ECF-8098-1DC110135ADC}"/>
    <cellStyle name="Comma 5 2 11" xfId="7225" xr:uid="{5B9D20C5-90CA-4898-9A81-1F6E671B9D24}"/>
    <cellStyle name="Comma 5 2 12" xfId="8619" xr:uid="{089D0E79-F98F-4FAA-8143-FE0125FD58A8}"/>
    <cellStyle name="Comma 5 2 13" xfId="9756" xr:uid="{E7E71D6D-7019-4464-93BD-10D0AB59A053}"/>
    <cellStyle name="Comma 5 2 14" xfId="10883" xr:uid="{1B28D18E-5D9C-49E9-878E-970F00B31774}"/>
    <cellStyle name="Comma 5 2 15" xfId="11747" xr:uid="{0CCCA69D-BAB2-46A4-B37C-6AE95CD41D1A}"/>
    <cellStyle name="Comma 5 2 16" xfId="14000" xr:uid="{C2952C2D-7CCE-41F7-9F42-44BFDA77A03A}"/>
    <cellStyle name="Comma 5 2 17" xfId="16253" xr:uid="{B2BA4A74-993F-4A4E-94BE-F7478AD5E6D4}"/>
    <cellStyle name="Comma 5 2 2" xfId="457" xr:uid="{687A1B1D-E9DA-4AD9-A328-C45FB31025A9}"/>
    <cellStyle name="Comma 5 2 2 10" xfId="7226" xr:uid="{2FF4B468-49CB-465D-A38C-1E701904513A}"/>
    <cellStyle name="Comma 5 2 2 11" xfId="8618" xr:uid="{D0652F18-EE3C-45D8-A6F0-49DB32B369A2}"/>
    <cellStyle name="Comma 5 2 2 12" xfId="9755" xr:uid="{E7B69FA4-97A4-4D21-B7B3-977523CD7B09}"/>
    <cellStyle name="Comma 5 2 2 13" xfId="10882" xr:uid="{FB1D4563-AF47-4E1A-8CF7-590457A3277C}"/>
    <cellStyle name="Comma 5 2 2 14" xfId="11748" xr:uid="{B300D81E-F23E-4E04-922E-6D4D7DEE283A}"/>
    <cellStyle name="Comma 5 2 2 15" xfId="14001" xr:uid="{0D3CF340-DF1A-4220-BC6E-9443C0326EEB}"/>
    <cellStyle name="Comma 5 2 2 16" xfId="16254" xr:uid="{7FF0E14F-A715-403C-A954-C83E748034BF}"/>
    <cellStyle name="Comma 5 2 2 2" xfId="458" xr:uid="{A9B3D76C-4171-4BCF-9949-A4556D404724}"/>
    <cellStyle name="Comma 5 2 2 2 10" xfId="8617" xr:uid="{AD14B665-D873-4D06-8332-A7E039CAA313}"/>
    <cellStyle name="Comma 5 2 2 2 11" xfId="9754" xr:uid="{75793DFC-66E7-498B-96AB-A6E43C55BFC6}"/>
    <cellStyle name="Comma 5 2 2 2 12" xfId="10881" xr:uid="{21D4CD7A-DD02-4F74-8082-E3453BD8C6DE}"/>
    <cellStyle name="Comma 5 2 2 2 13" xfId="11749" xr:uid="{11F8036B-0100-4D14-BD2A-E5AD1F7AAC65}"/>
    <cellStyle name="Comma 5 2 2 2 14" xfId="14002" xr:uid="{781DCD87-9D37-4B2E-AF62-1CF9C5E620B0}"/>
    <cellStyle name="Comma 5 2 2 2 15" xfId="16255" xr:uid="{9E0A1C62-CE4E-4031-B4F4-62BA84B503FE}"/>
    <cellStyle name="Comma 5 2 2 2 2" xfId="459" xr:uid="{793064B9-029D-4290-BD62-BCDA5FCEB2AE}"/>
    <cellStyle name="Comma 5 2 2 2 2 10" xfId="10880" xr:uid="{3508A344-79EF-46CD-9DA2-42A9571149D4}"/>
    <cellStyle name="Comma 5 2 2 2 2 11" xfId="11750" xr:uid="{C37D85DF-1D7D-4C6F-B6D7-76214279F25A}"/>
    <cellStyle name="Comma 5 2 2 2 2 12" xfId="14003" xr:uid="{5A1C57D3-1C4C-4B3C-80E7-D9458ED35976}"/>
    <cellStyle name="Comma 5 2 2 2 2 13" xfId="16256" xr:uid="{547F79D8-37F4-4E5C-8306-45434AC75F56}"/>
    <cellStyle name="Comma 5 2 2 2 2 2" xfId="1593" xr:uid="{DFB8C752-0A11-4CDE-BB6E-73637DAD68B5}"/>
    <cellStyle name="Comma 5 2 2 2 2 2 2" xfId="12877" xr:uid="{45BBC452-BC01-4A0A-847F-7C3CF8FF1C63}"/>
    <cellStyle name="Comma 5 2 2 2 2 2 3" xfId="15130" xr:uid="{8E81A38F-61FB-4D01-B615-D174C4F9F9A3}"/>
    <cellStyle name="Comma 5 2 2 2 2 2 4" xfId="17383" xr:uid="{91000ADA-70C4-4694-87F9-BA178DA00744}"/>
    <cellStyle name="Comma 5 2 2 2 2 3" xfId="2719" xr:uid="{B1A103C8-D185-4C2B-95CD-B2C0DAB1D04D}"/>
    <cellStyle name="Comma 5 2 2 2 2 4" xfId="3845" xr:uid="{B736D40D-C50A-4DD0-AC96-8A791BF5D497}"/>
    <cellStyle name="Comma 5 2 2 2 2 5" xfId="4971" xr:uid="{8DFBAF7B-B325-4A40-97D8-5BB330EBDB4F}"/>
    <cellStyle name="Comma 5 2 2 2 2 6" xfId="6098" xr:uid="{6E829109-F828-4784-8C5F-6CE79D2BA290}"/>
    <cellStyle name="Comma 5 2 2 2 2 7" xfId="7228" xr:uid="{6BEA39B4-92C1-4F55-ABC8-DBFDB58DD5C9}"/>
    <cellStyle name="Comma 5 2 2 2 2 8" xfId="8616" xr:uid="{1D4B4369-CBA2-4E08-B175-F4BB75845606}"/>
    <cellStyle name="Comma 5 2 2 2 2 9" xfId="9753" xr:uid="{8BBAFB52-34F2-4AF2-B025-14BC535F11EC}"/>
    <cellStyle name="Comma 5 2 2 2 3" xfId="460" xr:uid="{8664C1E2-B59A-436F-B537-7064F78FA206}"/>
    <cellStyle name="Comma 5 2 2 2 3 10" xfId="10879" xr:uid="{77118A9E-1358-40A0-97AD-876F3C8D915A}"/>
    <cellStyle name="Comma 5 2 2 2 3 11" xfId="11751" xr:uid="{94283642-0195-4887-A933-044C98F119EB}"/>
    <cellStyle name="Comma 5 2 2 2 3 12" xfId="14004" xr:uid="{CE4FDF58-56C2-4619-99B7-CEC6D9A98D7D}"/>
    <cellStyle name="Comma 5 2 2 2 3 13" xfId="16257" xr:uid="{0E710FB0-C1AF-4F5B-A4BB-E40BE52823C2}"/>
    <cellStyle name="Comma 5 2 2 2 3 2" xfId="1594" xr:uid="{0A32D848-7E4F-4EEF-BFC3-1967CB13BA2B}"/>
    <cellStyle name="Comma 5 2 2 2 3 2 2" xfId="12878" xr:uid="{5A098DE8-4E12-465A-96A2-D8D3D556E0D0}"/>
    <cellStyle name="Comma 5 2 2 2 3 2 3" xfId="15131" xr:uid="{07A13A2C-B9C3-4E5C-8DDA-45BFB5947298}"/>
    <cellStyle name="Comma 5 2 2 2 3 2 4" xfId="17384" xr:uid="{491969AC-EFAB-4919-8970-1D7D0B3D2187}"/>
    <cellStyle name="Comma 5 2 2 2 3 3" xfId="2720" xr:uid="{FF85A4F2-D0D7-4798-8E14-79D6CF554C14}"/>
    <cellStyle name="Comma 5 2 2 2 3 4" xfId="3846" xr:uid="{7017EBB6-E39E-413A-8688-AE50747E6754}"/>
    <cellStyle name="Comma 5 2 2 2 3 5" xfId="4972" xr:uid="{9777238A-7A03-4637-9EB9-AB6EC749A033}"/>
    <cellStyle name="Comma 5 2 2 2 3 6" xfId="6099" xr:uid="{D8FE81D9-5F58-43F1-B920-5160385267EA}"/>
    <cellStyle name="Comma 5 2 2 2 3 7" xfId="7229" xr:uid="{290A7B17-AFA8-441B-AC15-7B1BBF81551F}"/>
    <cellStyle name="Comma 5 2 2 2 3 8" xfId="8615" xr:uid="{CD2E92F1-9D5A-4374-A16E-A9F576EA58DB}"/>
    <cellStyle name="Comma 5 2 2 2 3 9" xfId="9752" xr:uid="{DE0D7FBD-5992-481F-8ACB-9DAFF21AD712}"/>
    <cellStyle name="Comma 5 2 2 2 4" xfId="1592" xr:uid="{277757A1-4503-4CDA-8D4C-3505578737FA}"/>
    <cellStyle name="Comma 5 2 2 2 4 2" xfId="12876" xr:uid="{D62816D4-2C02-4EAC-B48F-A56D176E47B3}"/>
    <cellStyle name="Comma 5 2 2 2 4 3" xfId="15129" xr:uid="{6436D8DB-3247-4556-80FE-59AB3EB083A8}"/>
    <cellStyle name="Comma 5 2 2 2 4 4" xfId="17382" xr:uid="{541332ED-223D-4FFD-B5D7-ADE07DDA5040}"/>
    <cellStyle name="Comma 5 2 2 2 5" xfId="2718" xr:uid="{957C1FC3-AC81-4669-82E4-94B2F95C786F}"/>
    <cellStyle name="Comma 5 2 2 2 6" xfId="3844" xr:uid="{8D301321-BAFC-47C0-899F-437BCBDC25ED}"/>
    <cellStyle name="Comma 5 2 2 2 7" xfId="4970" xr:uid="{E98FBCE4-32C8-497B-A31A-BA46286B0D41}"/>
    <cellStyle name="Comma 5 2 2 2 8" xfId="6097" xr:uid="{6E3BFF56-CFC4-4528-9538-8D4432B5712C}"/>
    <cellStyle name="Comma 5 2 2 2 9" xfId="7227" xr:uid="{88D71B2F-E58C-4AA4-A95D-416FD5545590}"/>
    <cellStyle name="Comma 5 2 2 3" xfId="461" xr:uid="{6721513C-2B06-4ACB-9F4D-2D1B53AF6562}"/>
    <cellStyle name="Comma 5 2 2 3 10" xfId="10878" xr:uid="{CC399569-2E17-4ECF-BBBD-C614F165BB79}"/>
    <cellStyle name="Comma 5 2 2 3 11" xfId="11752" xr:uid="{4F5E1952-E8A6-49DC-9BFC-16AB13C4CE15}"/>
    <cellStyle name="Comma 5 2 2 3 12" xfId="14005" xr:uid="{5861D266-7437-4A6F-8153-3EF7524D9071}"/>
    <cellStyle name="Comma 5 2 2 3 13" xfId="16258" xr:uid="{3E43821D-DB2B-41F0-8E45-84650FC639D9}"/>
    <cellStyle name="Comma 5 2 2 3 2" xfId="1595" xr:uid="{BF71FB3C-4503-44EB-817F-CB2DB4CC0BAA}"/>
    <cellStyle name="Comma 5 2 2 3 2 2" xfId="12879" xr:uid="{B6DF3EEC-C60D-42A3-B5BB-711E85901263}"/>
    <cellStyle name="Comma 5 2 2 3 2 3" xfId="15132" xr:uid="{CE1AABC3-8734-461A-9237-2B922B56B5F0}"/>
    <cellStyle name="Comma 5 2 2 3 2 4" xfId="17385" xr:uid="{F7CEF041-5AF8-4964-86E1-E604B6350D45}"/>
    <cellStyle name="Comma 5 2 2 3 3" xfId="2721" xr:uid="{741B79A1-7DEF-4B0C-B228-BC49125517D3}"/>
    <cellStyle name="Comma 5 2 2 3 4" xfId="3847" xr:uid="{5B9B1923-FD55-46B9-9044-28C0AF56171D}"/>
    <cellStyle name="Comma 5 2 2 3 5" xfId="4973" xr:uid="{CC90D5A6-032B-41AC-81CC-429BBD70B22B}"/>
    <cellStyle name="Comma 5 2 2 3 6" xfId="6100" xr:uid="{413D1A30-E70A-477C-ABDF-903DF6F596A6}"/>
    <cellStyle name="Comma 5 2 2 3 7" xfId="7230" xr:uid="{D186FAD7-017A-434A-86EA-62E490BC3437}"/>
    <cellStyle name="Comma 5 2 2 3 8" xfId="8614" xr:uid="{1198CB62-B806-43C5-A24D-E8EC4E402E53}"/>
    <cellStyle name="Comma 5 2 2 3 9" xfId="9751" xr:uid="{6CB0C49F-A6B2-41AC-B9A1-3B2807368EEB}"/>
    <cellStyle name="Comma 5 2 2 4" xfId="462" xr:uid="{B0CF1F70-CB13-4862-B2BC-A3048FF1154B}"/>
    <cellStyle name="Comma 5 2 2 4 10" xfId="10877" xr:uid="{32D4D497-AB22-424B-B2D3-F3C5BF82CB47}"/>
    <cellStyle name="Comma 5 2 2 4 11" xfId="11753" xr:uid="{609D88A0-08BD-4265-A2C8-F6ED6965740D}"/>
    <cellStyle name="Comma 5 2 2 4 12" xfId="14006" xr:uid="{97957AA7-897D-4433-86C0-C60041827DB4}"/>
    <cellStyle name="Comma 5 2 2 4 13" xfId="16259" xr:uid="{9741D084-D0DC-4C85-AB90-5BDF269BD870}"/>
    <cellStyle name="Comma 5 2 2 4 2" xfId="1596" xr:uid="{43083BA2-17E6-4AAD-BBD8-8E8C2C5E9A47}"/>
    <cellStyle name="Comma 5 2 2 4 2 2" xfId="12880" xr:uid="{77B3509C-F289-4AEE-84F9-47B92C81B416}"/>
    <cellStyle name="Comma 5 2 2 4 2 3" xfId="15133" xr:uid="{7CD77B32-5292-498D-96DE-346C36CCCD6B}"/>
    <cellStyle name="Comma 5 2 2 4 2 4" xfId="17386" xr:uid="{CB9CA89A-6537-4EF1-8482-1A777FB89A63}"/>
    <cellStyle name="Comma 5 2 2 4 3" xfId="2722" xr:uid="{E9C30848-6E24-4FA2-B401-57A6E4695E79}"/>
    <cellStyle name="Comma 5 2 2 4 4" xfId="3848" xr:uid="{E0194424-EE35-4FED-8DE0-357520479131}"/>
    <cellStyle name="Comma 5 2 2 4 5" xfId="4974" xr:uid="{E89D1013-9F5C-49C1-A34A-AF0F69805AE5}"/>
    <cellStyle name="Comma 5 2 2 4 6" xfId="6101" xr:uid="{55912E6C-6E4E-458A-AFC8-A31422F3066B}"/>
    <cellStyle name="Comma 5 2 2 4 7" xfId="7231" xr:uid="{90CF7A4B-005A-42F8-89D6-3C110B546F21}"/>
    <cellStyle name="Comma 5 2 2 4 8" xfId="8613" xr:uid="{859E3FDB-4338-4FB7-85D4-B84FD1F63958}"/>
    <cellStyle name="Comma 5 2 2 4 9" xfId="9750" xr:uid="{DD966CE7-0614-4558-9BBE-37643F4BCA30}"/>
    <cellStyle name="Comma 5 2 2 5" xfId="1591" xr:uid="{CC92012D-0083-4146-9A87-75CA6493FF47}"/>
    <cellStyle name="Comma 5 2 2 5 2" xfId="12875" xr:uid="{D55B36CE-7D18-4462-A00D-B92D59D28F89}"/>
    <cellStyle name="Comma 5 2 2 5 3" xfId="15128" xr:uid="{2B7B1CCD-059D-4B6A-A38A-FE313CF6E636}"/>
    <cellStyle name="Comma 5 2 2 5 4" xfId="17381" xr:uid="{C31DDC03-970A-4F3C-BC52-5A325E386408}"/>
    <cellStyle name="Comma 5 2 2 6" xfId="2717" xr:uid="{246F97A5-A505-4D83-8087-3E94071377A5}"/>
    <cellStyle name="Comma 5 2 2 7" xfId="3843" xr:uid="{86096BAB-69D9-4146-BBCA-1A193FDEEF56}"/>
    <cellStyle name="Comma 5 2 2 8" xfId="4969" xr:uid="{60CB6914-A66A-44B6-AD5D-F0FEBD835D19}"/>
    <cellStyle name="Comma 5 2 2 9" xfId="6096" xr:uid="{9ECD743F-B809-4E65-80E8-B72873750F75}"/>
    <cellStyle name="Comma 5 2 3" xfId="463" xr:uid="{5F95947E-42A1-4603-99F6-B7A8EE748479}"/>
    <cellStyle name="Comma 5 2 3 10" xfId="8612" xr:uid="{2F05159F-629B-41D4-B247-455E4A0AA61B}"/>
    <cellStyle name="Comma 5 2 3 11" xfId="9749" xr:uid="{6E86685E-7096-4BF3-8CDB-2FF33EDC964D}"/>
    <cellStyle name="Comma 5 2 3 12" xfId="10876" xr:uid="{7491DCCF-B102-4866-8955-671CD6D7240C}"/>
    <cellStyle name="Comma 5 2 3 13" xfId="11754" xr:uid="{4F499ED0-1B26-4763-8110-00C213B78018}"/>
    <cellStyle name="Comma 5 2 3 14" xfId="14007" xr:uid="{86467637-A416-4544-8C3B-D58E96994FEF}"/>
    <cellStyle name="Comma 5 2 3 15" xfId="16260" xr:uid="{5564DB20-E835-440F-9823-5A8EE9BF3F2C}"/>
    <cellStyle name="Comma 5 2 3 2" xfId="464" xr:uid="{76ADD87B-0E0E-49B0-9F8E-3DAFCFE2146F}"/>
    <cellStyle name="Comma 5 2 3 2 10" xfId="10875" xr:uid="{58F6A998-4A9B-4B84-8009-04FCA51A357D}"/>
    <cellStyle name="Comma 5 2 3 2 11" xfId="11755" xr:uid="{D2E0BAB1-6274-4EA9-AC91-7DB44F935170}"/>
    <cellStyle name="Comma 5 2 3 2 12" xfId="14008" xr:uid="{63900F9F-B85F-421D-8D5D-CDFCB78D53DA}"/>
    <cellStyle name="Comma 5 2 3 2 13" xfId="16261" xr:uid="{9F997DDB-4674-450B-8630-904EBC472461}"/>
    <cellStyle name="Comma 5 2 3 2 2" xfId="1598" xr:uid="{7171266F-0119-49ED-B60D-F85C91D69218}"/>
    <cellStyle name="Comma 5 2 3 2 2 2" xfId="12882" xr:uid="{08D20B86-F951-4BE6-B9BC-CDD2FDBEE3F9}"/>
    <cellStyle name="Comma 5 2 3 2 2 3" xfId="15135" xr:uid="{10061EF8-F092-41B1-BF03-F2C2DB75432C}"/>
    <cellStyle name="Comma 5 2 3 2 2 4" xfId="17388" xr:uid="{D4C30C40-D586-45BD-8C4E-4626D990B400}"/>
    <cellStyle name="Comma 5 2 3 2 3" xfId="2724" xr:uid="{863132BC-A84E-4A46-95B1-5FB225B7EB13}"/>
    <cellStyle name="Comma 5 2 3 2 4" xfId="3850" xr:uid="{37CF1E7F-7D17-47B1-A392-F8116B0BE8F3}"/>
    <cellStyle name="Comma 5 2 3 2 5" xfId="4976" xr:uid="{A2FC2AF2-56FD-474F-990E-1863D3A51E26}"/>
    <cellStyle name="Comma 5 2 3 2 6" xfId="6103" xr:uid="{2B23CF78-F88F-4951-8224-30A82CF645C2}"/>
    <cellStyle name="Comma 5 2 3 2 7" xfId="7233" xr:uid="{F605E0A4-9574-4CAB-A290-5896ADC5EC85}"/>
    <cellStyle name="Comma 5 2 3 2 8" xfId="8611" xr:uid="{F9958788-63A3-4F0A-B31E-E7207CC754BA}"/>
    <cellStyle name="Comma 5 2 3 2 9" xfId="9748" xr:uid="{4BA709C8-7389-4CB1-9E16-9E2995BC9C56}"/>
    <cellStyle name="Comma 5 2 3 3" xfId="465" xr:uid="{46A6BBA0-7541-4C4F-A5F2-92CAC1B63002}"/>
    <cellStyle name="Comma 5 2 3 3 10" xfId="10874" xr:uid="{95D0D74F-BE52-48AF-B284-F19D0D6EF83F}"/>
    <cellStyle name="Comma 5 2 3 3 11" xfId="11756" xr:uid="{4A26FC44-08B0-413B-B36F-95F0720FA034}"/>
    <cellStyle name="Comma 5 2 3 3 12" xfId="14009" xr:uid="{8C6A9381-9899-4ABB-8F78-61DA152ADFF8}"/>
    <cellStyle name="Comma 5 2 3 3 13" xfId="16262" xr:uid="{2D4E0DA9-42E5-470A-8FDB-069D474AB8A3}"/>
    <cellStyle name="Comma 5 2 3 3 2" xfId="1599" xr:uid="{CB3389FC-BE31-45CC-AF3F-FDF0AB6011DD}"/>
    <cellStyle name="Comma 5 2 3 3 2 2" xfId="12883" xr:uid="{2D503F14-2617-4EF7-A99A-A5C2DF21236C}"/>
    <cellStyle name="Comma 5 2 3 3 2 3" xfId="15136" xr:uid="{649107B4-BF45-452B-BAD0-A2A05AB08E43}"/>
    <cellStyle name="Comma 5 2 3 3 2 4" xfId="17389" xr:uid="{DFCB7194-3EF7-4894-B541-17D1787BFC50}"/>
    <cellStyle name="Comma 5 2 3 3 3" xfId="2725" xr:uid="{BBAA5033-57E2-431E-9DDD-2ABADB7F28DB}"/>
    <cellStyle name="Comma 5 2 3 3 4" xfId="3851" xr:uid="{DAA5621F-92EC-4445-8960-CEFBCDA9D14C}"/>
    <cellStyle name="Comma 5 2 3 3 5" xfId="4977" xr:uid="{8A7647A0-9D7C-4BAE-9449-AA7D93B1CAF5}"/>
    <cellStyle name="Comma 5 2 3 3 6" xfId="6104" xr:uid="{7519A88D-E777-4B99-80DE-DF097C5B6AB1}"/>
    <cellStyle name="Comma 5 2 3 3 7" xfId="7234" xr:uid="{B0FF57B2-DC2B-4056-B38C-B2D7AF9C5550}"/>
    <cellStyle name="Comma 5 2 3 3 8" xfId="8610" xr:uid="{68ED7644-CCAA-466B-81CE-A89339731F44}"/>
    <cellStyle name="Comma 5 2 3 3 9" xfId="9747" xr:uid="{94F3954C-E692-4C13-9615-0847D9B5615E}"/>
    <cellStyle name="Comma 5 2 3 4" xfId="1597" xr:uid="{BA198887-3FA5-415E-A41D-5B3DF21268BB}"/>
    <cellStyle name="Comma 5 2 3 4 2" xfId="12881" xr:uid="{E6626865-3FC1-4DCF-ABF7-4B50345D4D01}"/>
    <cellStyle name="Comma 5 2 3 4 3" xfId="15134" xr:uid="{B29194E8-DD8C-4279-9C2A-AE97ED3140EE}"/>
    <cellStyle name="Comma 5 2 3 4 4" xfId="17387" xr:uid="{5F91AA9F-4E56-46E8-8769-72583703BFCE}"/>
    <cellStyle name="Comma 5 2 3 5" xfId="2723" xr:uid="{BCCCA610-1C9D-4D92-92B9-CAB5C6D74825}"/>
    <cellStyle name="Comma 5 2 3 6" xfId="3849" xr:uid="{9125226D-843F-4551-8A8A-BA5EE7C340ED}"/>
    <cellStyle name="Comma 5 2 3 7" xfId="4975" xr:uid="{148BC6A8-FF47-4950-8473-FD1B830CEF84}"/>
    <cellStyle name="Comma 5 2 3 8" xfId="6102" xr:uid="{E7190C31-DD78-49A3-BBCE-DA4003468F3A}"/>
    <cellStyle name="Comma 5 2 3 9" xfId="7232" xr:uid="{3C2ADD77-32D1-4A72-85B4-2AA92F9F585B}"/>
    <cellStyle name="Comma 5 2 4" xfId="466" xr:uid="{284F118D-B0B2-4F53-9BE7-7B140FDD09DD}"/>
    <cellStyle name="Comma 5 2 4 10" xfId="10873" xr:uid="{21833B2D-0B42-456B-AE0F-AEE2D04AFC3A}"/>
    <cellStyle name="Comma 5 2 4 11" xfId="11757" xr:uid="{B8085849-3017-42C4-8723-A454BB7BCA47}"/>
    <cellStyle name="Comma 5 2 4 12" xfId="14010" xr:uid="{D90AEB34-4BC1-4878-8922-A73FE0E816FF}"/>
    <cellStyle name="Comma 5 2 4 13" xfId="16263" xr:uid="{B878020A-7946-4FDF-A0B9-8455045FB62B}"/>
    <cellStyle name="Comma 5 2 4 2" xfId="1600" xr:uid="{A124E095-F210-498A-9D94-81B2F18CB2BF}"/>
    <cellStyle name="Comma 5 2 4 2 2" xfId="12884" xr:uid="{7E13A5C7-DBE9-4DA7-AA0D-3EBEB44603DB}"/>
    <cellStyle name="Comma 5 2 4 2 3" xfId="15137" xr:uid="{8D815327-CE34-4877-BA7C-4ADB2A9FDA98}"/>
    <cellStyle name="Comma 5 2 4 2 4" xfId="17390" xr:uid="{F34D11FE-156F-40AE-9D30-1CACF1489B6E}"/>
    <cellStyle name="Comma 5 2 4 3" xfId="2726" xr:uid="{B0B7F95E-2906-4A0F-B15E-BA7EDECEF2F1}"/>
    <cellStyle name="Comma 5 2 4 4" xfId="3852" xr:uid="{D97F415A-233F-4894-85FD-D4400361E92B}"/>
    <cellStyle name="Comma 5 2 4 5" xfId="4978" xr:uid="{77A6BB40-95E7-42B8-B820-74E795754414}"/>
    <cellStyle name="Comma 5 2 4 6" xfId="6105" xr:uid="{3CA577C6-EDB7-4DFA-AB8F-A989E7B3704F}"/>
    <cellStyle name="Comma 5 2 4 7" xfId="7235" xr:uid="{235D8CC9-6A68-4711-9658-4E5FC3A8E233}"/>
    <cellStyle name="Comma 5 2 4 8" xfId="8609" xr:uid="{F4B9AC39-AC23-4B72-BB8C-8B00B91BEFA5}"/>
    <cellStyle name="Comma 5 2 4 9" xfId="9746" xr:uid="{E58C0843-23FD-430D-919E-C042EAAE8E25}"/>
    <cellStyle name="Comma 5 2 5" xfId="467" xr:uid="{4B95AFDD-0D2A-44A4-B49C-9ED1E08F562E}"/>
    <cellStyle name="Comma 5 2 5 10" xfId="10872" xr:uid="{DD843D6B-5072-497D-BF01-5A9319C6F701}"/>
    <cellStyle name="Comma 5 2 5 11" xfId="11758" xr:uid="{D29ED6BE-975E-4331-892D-F43F069E0A5A}"/>
    <cellStyle name="Comma 5 2 5 12" xfId="14011" xr:uid="{5B2A36ED-00DD-459C-BEDA-17AA7B12CA15}"/>
    <cellStyle name="Comma 5 2 5 13" xfId="16264" xr:uid="{A8F51632-C330-4414-B4F1-F84FACE00C47}"/>
    <cellStyle name="Comma 5 2 5 2" xfId="1601" xr:uid="{F29E8051-5332-40FB-9F94-08805F8CBF85}"/>
    <cellStyle name="Comma 5 2 5 2 2" xfId="12885" xr:uid="{C308BA99-8FFE-4F09-A824-AAA283DD6FAE}"/>
    <cellStyle name="Comma 5 2 5 2 3" xfId="15138" xr:uid="{0268F736-38A9-42F6-B217-A9A0F1FEDCD7}"/>
    <cellStyle name="Comma 5 2 5 2 4" xfId="17391" xr:uid="{3E200C41-EBAB-4810-9CAC-C33D8C29C830}"/>
    <cellStyle name="Comma 5 2 5 3" xfId="2727" xr:uid="{43311A8B-B165-4E66-9C6B-5F6B0A1C4E55}"/>
    <cellStyle name="Comma 5 2 5 4" xfId="3853" xr:uid="{D3FD511B-F991-421A-8444-01A03B94E6D7}"/>
    <cellStyle name="Comma 5 2 5 5" xfId="4979" xr:uid="{807F1BB3-0E05-4393-AE1F-1D16A3388C88}"/>
    <cellStyle name="Comma 5 2 5 6" xfId="6106" xr:uid="{7121C80D-C241-4514-8C18-CF8E3B1FCE21}"/>
    <cellStyle name="Comma 5 2 5 7" xfId="7236" xr:uid="{9E5B527B-74F3-4A4F-A113-16A032E1B2D7}"/>
    <cellStyle name="Comma 5 2 5 8" xfId="8608" xr:uid="{F85A7CA9-516D-4450-85F3-0EF109C72107}"/>
    <cellStyle name="Comma 5 2 5 9" xfId="9745" xr:uid="{EED13721-47B2-4520-8F1F-637D0D61A7FB}"/>
    <cellStyle name="Comma 5 2 6" xfId="1590" xr:uid="{1D64F1C2-8748-4A33-94AB-3E61E1114802}"/>
    <cellStyle name="Comma 5 2 6 2" xfId="12874" xr:uid="{73AB4441-AB25-4E92-9706-160FDC97AE67}"/>
    <cellStyle name="Comma 5 2 6 3" xfId="15127" xr:uid="{112ABD60-F287-4483-A843-0A45D91EBB90}"/>
    <cellStyle name="Comma 5 2 6 4" xfId="17380" xr:uid="{F5972BF3-CD30-414B-9376-F312B1FF7747}"/>
    <cellStyle name="Comma 5 2 7" xfId="2716" xr:uid="{CC07428E-A9C1-494A-971A-F9B888A93552}"/>
    <cellStyle name="Comma 5 2 8" xfId="3842" xr:uid="{3617AE2E-F32F-4F98-AEBD-8537BA28562C}"/>
    <cellStyle name="Comma 5 2 9" xfId="4968" xr:uid="{6CA91235-513E-4FD0-986E-1AB995032F45}"/>
    <cellStyle name="Comma 5 3" xfId="468" xr:uid="{0E49A72D-2B84-4F9B-BB4C-44C9B8EEF447}"/>
    <cellStyle name="Comma 5 3 10" xfId="7237" xr:uid="{A9AEDD76-0E58-45BC-BFAA-0A9D1E371AD0}"/>
    <cellStyle name="Comma 5 3 11" xfId="8607" xr:uid="{05A91810-1A7B-4345-9DDE-165E916DAA16}"/>
    <cellStyle name="Comma 5 3 12" xfId="9744" xr:uid="{B1A05AC9-F776-4F24-9417-6073BD91A09A}"/>
    <cellStyle name="Comma 5 3 13" xfId="10871" xr:uid="{58496F91-AC39-467D-A8BF-F4734486924D}"/>
    <cellStyle name="Comma 5 3 14" xfId="11759" xr:uid="{30336174-00A3-42F1-B64F-5D9D7E4C063F}"/>
    <cellStyle name="Comma 5 3 15" xfId="14012" xr:uid="{E9BF6728-E993-4E01-AE1A-C4D1F1FED910}"/>
    <cellStyle name="Comma 5 3 16" xfId="16265" xr:uid="{86037F1E-DDE8-4662-BB01-3E9AA19CE136}"/>
    <cellStyle name="Comma 5 3 2" xfId="469" xr:uid="{575DB6D0-565A-4500-BA7F-49F896695C2B}"/>
    <cellStyle name="Comma 5 3 2 10" xfId="8606" xr:uid="{C1EB4F98-42FD-453D-8483-9B98F481E5E3}"/>
    <cellStyle name="Comma 5 3 2 11" xfId="9743" xr:uid="{399C4A1F-5D37-4527-A339-41623792ECC5}"/>
    <cellStyle name="Comma 5 3 2 12" xfId="10870" xr:uid="{EE9F5D2D-5AE7-4EE6-9198-BA421891D0C9}"/>
    <cellStyle name="Comma 5 3 2 13" xfId="11760" xr:uid="{641F6418-4CB3-4D0A-96FA-2E7003D41413}"/>
    <cellStyle name="Comma 5 3 2 14" xfId="14013" xr:uid="{50586C24-AEF1-46E3-8B85-92496E29DEFB}"/>
    <cellStyle name="Comma 5 3 2 15" xfId="16266" xr:uid="{0AC70DF2-6C9C-4A67-982E-F50358F1157C}"/>
    <cellStyle name="Comma 5 3 2 2" xfId="470" xr:uid="{8BFCB389-88DF-43F6-9161-F02962DFCB7C}"/>
    <cellStyle name="Comma 5 3 2 2 10" xfId="10869" xr:uid="{C4DFFAB1-07FA-45AB-82D8-73002D43C16E}"/>
    <cellStyle name="Comma 5 3 2 2 11" xfId="11761" xr:uid="{2E3206B4-E3A7-4092-BFA1-9C19C2277C72}"/>
    <cellStyle name="Comma 5 3 2 2 12" xfId="14014" xr:uid="{C91C64B2-25A2-40F4-ACE3-BA1168DB19DA}"/>
    <cellStyle name="Comma 5 3 2 2 13" xfId="16267" xr:uid="{E491D5D1-C655-4071-B164-CCCF525433AF}"/>
    <cellStyle name="Comma 5 3 2 2 2" xfId="1604" xr:uid="{97D77EE5-D2BC-4045-B016-AF867BD899F3}"/>
    <cellStyle name="Comma 5 3 2 2 2 2" xfId="12888" xr:uid="{27FBA189-E87D-4EC9-AB38-291F81C4852D}"/>
    <cellStyle name="Comma 5 3 2 2 2 3" xfId="15141" xr:uid="{20DBB586-24FB-45CC-BFD6-039C08C62445}"/>
    <cellStyle name="Comma 5 3 2 2 2 4" xfId="17394" xr:uid="{26A9A738-C3E3-4279-8FDB-2C7E7C0F2F79}"/>
    <cellStyle name="Comma 5 3 2 2 3" xfId="2730" xr:uid="{777588AD-59E4-44A8-B658-7F7F533B42BF}"/>
    <cellStyle name="Comma 5 3 2 2 4" xfId="3856" xr:uid="{927A2FDA-38DC-4CD0-B7F0-D8F626A53304}"/>
    <cellStyle name="Comma 5 3 2 2 5" xfId="4982" xr:uid="{D6FCFAB8-7287-479D-9090-CCD079178C6E}"/>
    <cellStyle name="Comma 5 3 2 2 6" xfId="6109" xr:uid="{E8E2F458-4DCA-4B09-8A45-D69B781A3927}"/>
    <cellStyle name="Comma 5 3 2 2 7" xfId="7239" xr:uid="{26D10C1D-FF16-4EA8-A89C-45CCEE3C2FEF}"/>
    <cellStyle name="Comma 5 3 2 2 8" xfId="8605" xr:uid="{F981D23F-5292-4657-8398-68C99EF64EF4}"/>
    <cellStyle name="Comma 5 3 2 2 9" xfId="9742" xr:uid="{3479D737-39FD-4BC3-AE32-DCB38360F70E}"/>
    <cellStyle name="Comma 5 3 2 3" xfId="471" xr:uid="{EE998BAA-20F3-4E57-B2BE-712B801C4F77}"/>
    <cellStyle name="Comma 5 3 2 3 10" xfId="10868" xr:uid="{F8808590-F7F3-4914-9FE8-D4B79F682283}"/>
    <cellStyle name="Comma 5 3 2 3 11" xfId="11762" xr:uid="{F335B716-CCA0-4849-B752-45970A076293}"/>
    <cellStyle name="Comma 5 3 2 3 12" xfId="14015" xr:uid="{3C90656A-F528-4964-AB3E-9ECF9654BD17}"/>
    <cellStyle name="Comma 5 3 2 3 13" xfId="16268" xr:uid="{F211404E-1BB0-4278-B08A-5A40C7BD7CC4}"/>
    <cellStyle name="Comma 5 3 2 3 2" xfId="1605" xr:uid="{2FDE8691-528D-4EF5-8D27-9E931AC42778}"/>
    <cellStyle name="Comma 5 3 2 3 2 2" xfId="12889" xr:uid="{457ADD3E-CB6E-4371-903C-801D0BACE8DE}"/>
    <cellStyle name="Comma 5 3 2 3 2 3" xfId="15142" xr:uid="{8945C331-9753-4063-809B-3DEA444ED789}"/>
    <cellStyle name="Comma 5 3 2 3 2 4" xfId="17395" xr:uid="{15C42EDA-F787-4594-9D65-450ADECEC1F5}"/>
    <cellStyle name="Comma 5 3 2 3 3" xfId="2731" xr:uid="{C114399A-269A-47C0-BDC8-8AE76337CFE7}"/>
    <cellStyle name="Comma 5 3 2 3 4" xfId="3857" xr:uid="{1C385F65-FF7D-4B1C-8790-D4B62329B473}"/>
    <cellStyle name="Comma 5 3 2 3 5" xfId="4983" xr:uid="{F0E120E3-A42B-4A29-ABE6-71D9DC4353BC}"/>
    <cellStyle name="Comma 5 3 2 3 6" xfId="6110" xr:uid="{D4924726-E4CB-4747-97E7-34541EC4D7F7}"/>
    <cellStyle name="Comma 5 3 2 3 7" xfId="7240" xr:uid="{21F849EB-5B68-4EBF-9DC1-30845EF69F77}"/>
    <cellStyle name="Comma 5 3 2 3 8" xfId="8604" xr:uid="{59681298-2FAC-4C21-8083-1B7C1333C84C}"/>
    <cellStyle name="Comma 5 3 2 3 9" xfId="9741" xr:uid="{58B21B8D-6EDC-4414-AF49-0D5F66559359}"/>
    <cellStyle name="Comma 5 3 2 4" xfId="1603" xr:uid="{BB9F194E-D3A2-4922-AAAA-68FB41DD9D45}"/>
    <cellStyle name="Comma 5 3 2 4 2" xfId="12887" xr:uid="{D7A5283C-E89E-4D67-97D6-907A76BEE134}"/>
    <cellStyle name="Comma 5 3 2 4 3" xfId="15140" xr:uid="{1CA816EB-3547-4747-865E-0B3A08EAE494}"/>
    <cellStyle name="Comma 5 3 2 4 4" xfId="17393" xr:uid="{FE739757-4B92-49CB-8DFC-9C13E05D243F}"/>
    <cellStyle name="Comma 5 3 2 5" xfId="2729" xr:uid="{8393CBE0-280A-4DE2-A1CF-D9B44C8411DC}"/>
    <cellStyle name="Comma 5 3 2 6" xfId="3855" xr:uid="{D17B777E-2F36-4920-BA56-D209F3C41A0F}"/>
    <cellStyle name="Comma 5 3 2 7" xfId="4981" xr:uid="{AEB81291-2FCE-4E18-A0FA-6190572D3CCD}"/>
    <cellStyle name="Comma 5 3 2 8" xfId="6108" xr:uid="{FB0A2049-C93C-4F7D-9DAF-4BD0A44079A1}"/>
    <cellStyle name="Comma 5 3 2 9" xfId="7238" xr:uid="{BC842950-395A-49CB-8BFC-9A9540FCB8B1}"/>
    <cellStyle name="Comma 5 3 3" xfId="472" xr:uid="{1AD86772-3C0D-486B-AD97-6A681375B053}"/>
    <cellStyle name="Comma 5 3 3 10" xfId="10867" xr:uid="{138185F0-D6C6-4357-B2FA-8D84BB548B39}"/>
    <cellStyle name="Comma 5 3 3 11" xfId="11763" xr:uid="{34E6ABF1-AC6B-4709-91C2-BACB1FC62408}"/>
    <cellStyle name="Comma 5 3 3 12" xfId="14016" xr:uid="{6C281AEE-2421-4E1E-8CE8-6A3DF1B3D4F8}"/>
    <cellStyle name="Comma 5 3 3 13" xfId="16269" xr:uid="{354115FC-3F61-4388-BFCC-3222C3C434E3}"/>
    <cellStyle name="Comma 5 3 3 2" xfId="1606" xr:uid="{B9B1011E-CC1A-47C8-BD25-4DC64FAABC9D}"/>
    <cellStyle name="Comma 5 3 3 2 2" xfId="12890" xr:uid="{361289CB-3781-4C0F-AF72-4AFBC5905878}"/>
    <cellStyle name="Comma 5 3 3 2 3" xfId="15143" xr:uid="{49A49478-F317-4F5D-ABA9-13255D9B5320}"/>
    <cellStyle name="Comma 5 3 3 2 4" xfId="17396" xr:uid="{CAFAF1DA-7C34-4288-B60E-437309689C66}"/>
    <cellStyle name="Comma 5 3 3 3" xfId="2732" xr:uid="{58D20FB9-5433-46BF-B1C0-BBB74CB2100D}"/>
    <cellStyle name="Comma 5 3 3 4" xfId="3858" xr:uid="{CBC4E664-9170-4EAB-8C05-196B88965717}"/>
    <cellStyle name="Comma 5 3 3 5" xfId="4984" xr:uid="{436C1078-99A6-4298-95CE-85A1A4CAB358}"/>
    <cellStyle name="Comma 5 3 3 6" xfId="6111" xr:uid="{D1342D0A-168A-4A55-8A40-7287A243C11D}"/>
    <cellStyle name="Comma 5 3 3 7" xfId="7241" xr:uid="{9AED68D7-BA4C-48CD-9716-500D08E2DE94}"/>
    <cellStyle name="Comma 5 3 3 8" xfId="8603" xr:uid="{BD04D8AD-0CF0-4B5E-B652-3B9ADA00EB9E}"/>
    <cellStyle name="Comma 5 3 3 9" xfId="9740" xr:uid="{BC1AD600-3F0B-42A2-9CB4-EFCCC52F0151}"/>
    <cellStyle name="Comma 5 3 4" xfId="473" xr:uid="{ED05570D-CB27-4F7A-B7CF-8F7CB4E0244B}"/>
    <cellStyle name="Comma 5 3 4 10" xfId="10866" xr:uid="{BCE1D65E-6A5F-470D-A09B-43E0624995D4}"/>
    <cellStyle name="Comma 5 3 4 11" xfId="11764" xr:uid="{9EF3C2D2-0802-4E57-BCE4-EEF3B8AFA5C9}"/>
    <cellStyle name="Comma 5 3 4 12" xfId="14017" xr:uid="{21BBB96C-45D0-4E09-A2BF-06CFD4B27A26}"/>
    <cellStyle name="Comma 5 3 4 13" xfId="16270" xr:uid="{4906F44A-34FA-479A-B08B-54250F44B247}"/>
    <cellStyle name="Comma 5 3 4 2" xfId="1607" xr:uid="{1DABEE92-4982-43D3-8038-2FFFBA91037E}"/>
    <cellStyle name="Comma 5 3 4 2 2" xfId="12891" xr:uid="{5193304E-A02E-4020-A1A7-322F7438C1C9}"/>
    <cellStyle name="Comma 5 3 4 2 3" xfId="15144" xr:uid="{725443F0-DFF1-4CA4-99B5-A7AFFB4ACD57}"/>
    <cellStyle name="Comma 5 3 4 2 4" xfId="17397" xr:uid="{97965916-0F68-45CB-B3BE-CECBC590B7ED}"/>
    <cellStyle name="Comma 5 3 4 3" xfId="2733" xr:uid="{118D0424-6AEE-49B1-B4DD-A2141E3425A2}"/>
    <cellStyle name="Comma 5 3 4 4" xfId="3859" xr:uid="{C5BA434B-0577-4D3A-9FBE-A9F5B04A42D9}"/>
    <cellStyle name="Comma 5 3 4 5" xfId="4985" xr:uid="{00604E10-910D-4707-A7DF-DFF66F81AA5F}"/>
    <cellStyle name="Comma 5 3 4 6" xfId="6112" xr:uid="{6EA40578-458C-4B75-92B8-4614383C744B}"/>
    <cellStyle name="Comma 5 3 4 7" xfId="7242" xr:uid="{872E7907-2F84-4EBA-87D0-1113F7793982}"/>
    <cellStyle name="Comma 5 3 4 8" xfId="8602" xr:uid="{881966D0-0A6E-45DE-9420-761A15308C36}"/>
    <cellStyle name="Comma 5 3 4 9" xfId="9739" xr:uid="{828DD205-A14D-4255-9B88-7C8A22F4D5D2}"/>
    <cellStyle name="Comma 5 3 5" xfId="1602" xr:uid="{975367F2-8CD8-4868-B001-8F8C878F9142}"/>
    <cellStyle name="Comma 5 3 5 2" xfId="12886" xr:uid="{CB667C26-E650-4420-A08C-7A02E2435C41}"/>
    <cellStyle name="Comma 5 3 5 3" xfId="15139" xr:uid="{E6FB23E1-CDA7-4FC2-85CE-B30F497363E0}"/>
    <cellStyle name="Comma 5 3 5 4" xfId="17392" xr:uid="{CD9EF767-BB6C-47D2-BEB9-32E34893A040}"/>
    <cellStyle name="Comma 5 3 6" xfId="2728" xr:uid="{638FE38C-51E4-4F15-BC5E-9A9496ECAEB5}"/>
    <cellStyle name="Comma 5 3 7" xfId="3854" xr:uid="{4D23CC03-C5F5-4357-A8A1-F9D3CA082724}"/>
    <cellStyle name="Comma 5 3 8" xfId="4980" xr:uid="{BAD907EA-3A33-41C4-8330-DD93ABE8DD9A}"/>
    <cellStyle name="Comma 5 3 9" xfId="6107" xr:uid="{976E5968-9C2B-4946-983A-52D6EFC8F4F6}"/>
    <cellStyle name="Comma 5 4" xfId="474" xr:uid="{2504537B-6062-4D0D-8E1F-96BBA335F037}"/>
    <cellStyle name="Comma 5 4 10" xfId="8601" xr:uid="{F9FE7BB8-D24C-48FF-A373-CE16982C943E}"/>
    <cellStyle name="Comma 5 4 11" xfId="9738" xr:uid="{3E2F3410-8ED8-4CA3-8A22-5BC2DEA6C7DC}"/>
    <cellStyle name="Comma 5 4 12" xfId="10865" xr:uid="{AFC6188A-FA8C-457F-9605-D909EA371803}"/>
    <cellStyle name="Comma 5 4 13" xfId="11765" xr:uid="{C5BD5B56-AE46-4D27-9AE0-FAC638786762}"/>
    <cellStyle name="Comma 5 4 14" xfId="14018" xr:uid="{05A79304-9249-4EA0-9A33-54437181328E}"/>
    <cellStyle name="Comma 5 4 15" xfId="16271" xr:uid="{5E38A99A-2187-4D67-A132-FC987F0FFBA9}"/>
    <cellStyle name="Comma 5 4 2" xfId="475" xr:uid="{059F2AD1-4E55-4721-BFB4-99A5AA8D11C3}"/>
    <cellStyle name="Comma 5 4 2 10" xfId="10864" xr:uid="{55FB2BE0-AD6A-4172-9822-5E9B7F457C99}"/>
    <cellStyle name="Comma 5 4 2 11" xfId="11766" xr:uid="{D04509AE-5B6B-42D2-B78F-A5E5A0E49479}"/>
    <cellStyle name="Comma 5 4 2 12" xfId="14019" xr:uid="{D80C4DDB-AEA2-46FB-B139-FC6328B6A482}"/>
    <cellStyle name="Comma 5 4 2 13" xfId="16272" xr:uid="{D7501963-9F59-4714-94F1-33874FE4C732}"/>
    <cellStyle name="Comma 5 4 2 2" xfId="1609" xr:uid="{A9DA169F-D2DE-4FFA-AA6D-E9F9384A343C}"/>
    <cellStyle name="Comma 5 4 2 2 2" xfId="12893" xr:uid="{DA51AF13-7380-413D-A756-EE95142ADA15}"/>
    <cellStyle name="Comma 5 4 2 2 3" xfId="15146" xr:uid="{225FC3AB-28EA-445D-BF69-F9BBBD152501}"/>
    <cellStyle name="Comma 5 4 2 2 4" xfId="17399" xr:uid="{25C7F6DE-3889-42EE-8E33-1BA5E4444BDF}"/>
    <cellStyle name="Comma 5 4 2 3" xfId="2735" xr:uid="{7ACC636F-3682-4608-AF70-7BE146661368}"/>
    <cellStyle name="Comma 5 4 2 4" xfId="3861" xr:uid="{EABB2786-BEB6-4F0C-A99D-3555CAABD311}"/>
    <cellStyle name="Comma 5 4 2 5" xfId="4987" xr:uid="{F036669E-9524-4750-BB1B-E642B5557296}"/>
    <cellStyle name="Comma 5 4 2 6" xfId="6114" xr:uid="{4D3B5430-FA18-4F78-A03D-D65F8C41A93A}"/>
    <cellStyle name="Comma 5 4 2 7" xfId="7244" xr:uid="{6C2C7353-FB82-46BA-B144-E559C038CF93}"/>
    <cellStyle name="Comma 5 4 2 8" xfId="8600" xr:uid="{E7447853-1AE8-43F0-A5B1-788099619D80}"/>
    <cellStyle name="Comma 5 4 2 9" xfId="9737" xr:uid="{2CAB21AF-2D91-4E7C-BB3F-A923D23DE764}"/>
    <cellStyle name="Comma 5 4 3" xfId="476" xr:uid="{BF921755-7D32-4096-989E-3BBA4D0F486E}"/>
    <cellStyle name="Comma 5 4 3 10" xfId="10863" xr:uid="{B44BE106-CB31-4D51-9C4F-4D1AD4D8FA70}"/>
    <cellStyle name="Comma 5 4 3 11" xfId="11767" xr:uid="{B2FF512A-D6DC-46C3-9228-A00F6F3A5942}"/>
    <cellStyle name="Comma 5 4 3 12" xfId="14020" xr:uid="{E17C3314-8B2C-435F-A657-2B5251BEE29B}"/>
    <cellStyle name="Comma 5 4 3 13" xfId="16273" xr:uid="{46E2033A-FEA2-41A3-8F1F-8590D49EADEA}"/>
    <cellStyle name="Comma 5 4 3 2" xfId="1610" xr:uid="{79B623A6-4E02-44F7-AAC6-09B3677150C0}"/>
    <cellStyle name="Comma 5 4 3 2 2" xfId="12894" xr:uid="{54BB4149-D2AB-4EF9-ABAA-3D513CB164AD}"/>
    <cellStyle name="Comma 5 4 3 2 3" xfId="15147" xr:uid="{E3B24263-C754-42AC-9664-65076FB99B70}"/>
    <cellStyle name="Comma 5 4 3 2 4" xfId="17400" xr:uid="{17A67F47-52DC-42BF-A188-AABAA7322E8A}"/>
    <cellStyle name="Comma 5 4 3 3" xfId="2736" xr:uid="{EC971FDD-30BD-4C61-91AF-BC7B1F45639A}"/>
    <cellStyle name="Comma 5 4 3 4" xfId="3862" xr:uid="{D316D1CB-9F95-4822-86EC-9BAFAAD930F8}"/>
    <cellStyle name="Comma 5 4 3 5" xfId="4988" xr:uid="{3066C8F5-F72A-4D58-89AB-8C204A070221}"/>
    <cellStyle name="Comma 5 4 3 6" xfId="6115" xr:uid="{AA521E2F-9D8A-42E7-9480-8132DDA8F663}"/>
    <cellStyle name="Comma 5 4 3 7" xfId="7245" xr:uid="{6177349D-25EB-4FE7-905A-7B35D02063C2}"/>
    <cellStyle name="Comma 5 4 3 8" xfId="8599" xr:uid="{51DBAAAD-C894-4234-9E3B-9AB9EE7ACD7F}"/>
    <cellStyle name="Comma 5 4 3 9" xfId="9736" xr:uid="{70E571DF-0FDC-4360-957B-C8C8B85CD0FE}"/>
    <cellStyle name="Comma 5 4 4" xfId="1608" xr:uid="{8CD5A1B0-C55B-4DED-B9D6-40D51D10AC72}"/>
    <cellStyle name="Comma 5 4 4 2" xfId="12892" xr:uid="{6F9B7BFA-B382-40E8-95C4-682C2D539E52}"/>
    <cellStyle name="Comma 5 4 4 3" xfId="15145" xr:uid="{9C2BADD1-78A9-4521-8532-24BB0BEA4232}"/>
    <cellStyle name="Comma 5 4 4 4" xfId="17398" xr:uid="{0E53B63D-F2CF-4E19-A9EA-C5AB62E4A4D8}"/>
    <cellStyle name="Comma 5 4 5" xfId="2734" xr:uid="{543DE9A1-F515-43BF-9A53-FDB5BB6646B4}"/>
    <cellStyle name="Comma 5 4 6" xfId="3860" xr:uid="{FBB64C4F-AF55-4184-BE98-EB81F6107506}"/>
    <cellStyle name="Comma 5 4 7" xfId="4986" xr:uid="{6C2A1FA8-8440-4EC2-AA96-C72B1C85610D}"/>
    <cellStyle name="Comma 5 4 8" xfId="6113" xr:uid="{A1DA7DCA-3D74-4273-8D36-A55DB3CA3152}"/>
    <cellStyle name="Comma 5 4 9" xfId="7243" xr:uid="{169E7571-0315-4F83-B46C-08CEBA12FEEE}"/>
    <cellStyle name="Comma 5 5" xfId="477" xr:uid="{4C3E19E2-CCF4-4EB1-8729-0993B8037360}"/>
    <cellStyle name="Comma 5 5 10" xfId="10862" xr:uid="{306A21C6-4809-4B52-9078-072942F2A408}"/>
    <cellStyle name="Comma 5 5 11" xfId="11768" xr:uid="{62A95590-DC95-4B37-B055-8B55EDF76F1F}"/>
    <cellStyle name="Comma 5 5 12" xfId="14021" xr:uid="{6C2B383E-C765-44D2-B828-54B78CFDF4CE}"/>
    <cellStyle name="Comma 5 5 13" xfId="16274" xr:uid="{22A103C8-B912-472F-92A8-B57288197B1C}"/>
    <cellStyle name="Comma 5 5 2" xfId="1611" xr:uid="{CC8A362A-91D6-449D-8E81-B9D3E8C430A8}"/>
    <cellStyle name="Comma 5 5 2 2" xfId="12895" xr:uid="{4721C3EB-7382-467B-8A35-FF86C499EDF0}"/>
    <cellStyle name="Comma 5 5 2 3" xfId="15148" xr:uid="{ED080453-ABD8-4AC6-81EC-377BD5B8D077}"/>
    <cellStyle name="Comma 5 5 2 4" xfId="17401" xr:uid="{3491A61D-D85F-4F58-8E10-11B9D9A76C10}"/>
    <cellStyle name="Comma 5 5 3" xfId="2737" xr:uid="{861A09AB-EC9F-4620-89DD-F36516AB1DB6}"/>
    <cellStyle name="Comma 5 5 4" xfId="3863" xr:uid="{692A1F6A-2D6E-4091-81C5-E95DE4282168}"/>
    <cellStyle name="Comma 5 5 5" xfId="4989" xr:uid="{167FD7A2-B28D-4E6C-AB7E-A448D8A2C3AD}"/>
    <cellStyle name="Comma 5 5 6" xfId="6116" xr:uid="{032E53AB-A955-4956-8798-372242A388E1}"/>
    <cellStyle name="Comma 5 5 7" xfId="7246" xr:uid="{C2398925-CC90-4208-BB9D-F8B1A288ABE9}"/>
    <cellStyle name="Comma 5 5 8" xfId="8598" xr:uid="{6363A3B5-7FAD-4CB5-B541-8BC1661033A9}"/>
    <cellStyle name="Comma 5 5 9" xfId="9735" xr:uid="{2A11F4F7-E81A-4ABD-99AE-45E236F3F254}"/>
    <cellStyle name="Comma 5 6" xfId="478" xr:uid="{885D71D4-C515-4999-9211-DC585197CCC5}"/>
    <cellStyle name="Comma 5 6 10" xfId="10861" xr:uid="{CCE0FDCC-44B3-4DF6-9F50-8B9E8CCD57A8}"/>
    <cellStyle name="Comma 5 6 11" xfId="11769" xr:uid="{0A0BB9EF-4F17-4110-BCA0-DF7F61ABA78C}"/>
    <cellStyle name="Comma 5 6 12" xfId="14022" xr:uid="{BEBB4087-9484-485C-B6B7-9C04CCFE19A1}"/>
    <cellStyle name="Comma 5 6 13" xfId="16275" xr:uid="{C3DCF2C9-AAAB-493E-BB05-B9ED67E46511}"/>
    <cellStyle name="Comma 5 6 2" xfId="1612" xr:uid="{E98A046A-6F37-4E9F-AE99-1EC31529E6E3}"/>
    <cellStyle name="Comma 5 6 2 2" xfId="12896" xr:uid="{31C446A9-6AAC-49BB-B6AE-1B3FDC5AB24E}"/>
    <cellStyle name="Comma 5 6 2 3" xfId="15149" xr:uid="{8DA46ECB-88C4-4FCC-BC78-7A61BAA28906}"/>
    <cellStyle name="Comma 5 6 2 4" xfId="17402" xr:uid="{67EA1CDB-3813-4E0A-9B26-9A533F172B37}"/>
    <cellStyle name="Comma 5 6 3" xfId="2738" xr:uid="{0C42DBC1-7011-4E25-8ABF-9C01C1D7ADD6}"/>
    <cellStyle name="Comma 5 6 4" xfId="3864" xr:uid="{32C2B3A3-9C3D-4607-B99C-A7861C79E21C}"/>
    <cellStyle name="Comma 5 6 5" xfId="4990" xr:uid="{E01BBB07-4F98-4F60-ABEA-F1F3DCE7EF5A}"/>
    <cellStyle name="Comma 5 6 6" xfId="6117" xr:uid="{69571268-BF39-45B5-A684-3CF16688D07F}"/>
    <cellStyle name="Comma 5 6 7" xfId="7247" xr:uid="{E623A917-FE89-409A-AF94-386933040EAE}"/>
    <cellStyle name="Comma 5 6 8" xfId="8597" xr:uid="{5C53DAAC-8B06-4AC2-B4F0-7B1A3173BE11}"/>
    <cellStyle name="Comma 5 6 9" xfId="9734" xr:uid="{40340156-BAA4-45E4-B272-52A1BF10988A}"/>
    <cellStyle name="Comma 5 7" xfId="1589" xr:uid="{3756BDB9-29F6-4FF5-9DA0-F3D6C4D1ACF1}"/>
    <cellStyle name="Comma 5 7 2" xfId="12873" xr:uid="{45A45E5E-4B44-49E8-8979-1F87B003EB99}"/>
    <cellStyle name="Comma 5 7 3" xfId="15126" xr:uid="{E958B863-A918-44E5-A94F-04B33173169F}"/>
    <cellStyle name="Comma 5 7 4" xfId="17379" xr:uid="{05B98DEE-A43D-45FE-8ABB-E20F2325FA91}"/>
    <cellStyle name="Comma 5 8" xfId="2715" xr:uid="{397158C0-EF6A-48A9-AE6A-28975A8D9FFD}"/>
    <cellStyle name="Comma 5 9" xfId="3841" xr:uid="{3535D4A0-C3E7-4F3A-BB05-04ACCD103CFC}"/>
    <cellStyle name="Comma 6" xfId="479" xr:uid="{1FE8D81F-BC5E-42E9-BE29-A7A88D96E373}"/>
    <cellStyle name="Comma 6 10" xfId="3865" xr:uid="{2ACE8480-E5D7-4BAE-BB58-01209E5CA3A2}"/>
    <cellStyle name="Comma 6 11" xfId="4991" xr:uid="{D9C72F95-6412-4C4F-88E8-C791EEED2D76}"/>
    <cellStyle name="Comma 6 12" xfId="6118" xr:uid="{69500A05-9967-4C84-A62C-14DA6E13CF6D}"/>
    <cellStyle name="Comma 6 13" xfId="7248" xr:uid="{68099B76-B723-419C-96B7-2CE97A7F8342}"/>
    <cellStyle name="Comma 6 14" xfId="8596" xr:uid="{1DC744F2-9D79-4EAA-B9E9-3A729A5B3BC8}"/>
    <cellStyle name="Comma 6 15" xfId="9733" xr:uid="{0D2CD7C4-7028-44F9-A472-6710EB421C68}"/>
    <cellStyle name="Comma 6 16" xfId="10860" xr:uid="{1D2EE4CE-BB55-4E68-9406-60BE3CC5DCC8}"/>
    <cellStyle name="Comma 6 17" xfId="11770" xr:uid="{7A25349D-8A1A-4967-90D3-F08BA985FB63}"/>
    <cellStyle name="Comma 6 18" xfId="14023" xr:uid="{D9CF6FA2-22B2-4729-9B78-A8BD76187894}"/>
    <cellStyle name="Comma 6 19" xfId="16276" xr:uid="{1E8499C0-4793-4E97-885E-D3E28CDA1981}"/>
    <cellStyle name="Comma 6 2" xfId="480" xr:uid="{78DF28C7-E1CD-46EF-BD3B-5F99C4FA6F93}"/>
    <cellStyle name="Comma 6 2 10" xfId="4992" xr:uid="{9EBC9DF7-E744-4AAB-BA4B-59E8FB377AEC}"/>
    <cellStyle name="Comma 6 2 11" xfId="6119" xr:uid="{3B49CC0C-7ED3-4A51-993C-03C3027132A5}"/>
    <cellStyle name="Comma 6 2 12" xfId="7249" xr:uid="{1B5FAD87-D2D9-4B3F-B513-E977F2F9F69D}"/>
    <cellStyle name="Comma 6 2 13" xfId="8595" xr:uid="{D6E4D1BE-BB8A-4C91-BDD5-DA02DF802FEE}"/>
    <cellStyle name="Comma 6 2 14" xfId="9732" xr:uid="{D3516265-B76B-4C96-AC03-A752FE49D9A7}"/>
    <cellStyle name="Comma 6 2 15" xfId="10859" xr:uid="{19B32DE5-B51A-418A-B589-FA45FEAF2F31}"/>
    <cellStyle name="Comma 6 2 16" xfId="11771" xr:uid="{B97AE696-C3A6-40B1-A217-34CBA653520A}"/>
    <cellStyle name="Comma 6 2 17" xfId="14024" xr:uid="{E76939EE-9C03-4E56-A01C-243B1FE8B24A}"/>
    <cellStyle name="Comma 6 2 18" xfId="16277" xr:uid="{3702A9AD-9DA3-4B98-971F-5EE57AA8D0BA}"/>
    <cellStyle name="Comma 6 2 2" xfId="481" xr:uid="{70F357BE-60ED-4B33-98FC-AA238E115912}"/>
    <cellStyle name="Comma 6 2 2 10" xfId="6120" xr:uid="{B0053F97-5D5F-4569-813C-92C445BDE960}"/>
    <cellStyle name="Comma 6 2 2 11" xfId="7250" xr:uid="{DCCED17F-2645-42E5-9266-44C7F373EBC4}"/>
    <cellStyle name="Comma 6 2 2 12" xfId="8594" xr:uid="{491F30D0-E8EE-41AC-BF99-CE1D4B8A9514}"/>
    <cellStyle name="Comma 6 2 2 13" xfId="9731" xr:uid="{B02E38ED-CCFB-481D-BA64-37ADBD5D5D03}"/>
    <cellStyle name="Comma 6 2 2 14" xfId="10858" xr:uid="{27A1B49A-1F2F-4AE9-AA3F-31EE62DAB83C}"/>
    <cellStyle name="Comma 6 2 2 15" xfId="11772" xr:uid="{EF19E659-163A-465C-A91C-0A0703F4E7F0}"/>
    <cellStyle name="Comma 6 2 2 16" xfId="14025" xr:uid="{38C54580-9136-4D90-9E68-ED832C656E42}"/>
    <cellStyle name="Comma 6 2 2 17" xfId="16278" xr:uid="{BD063C1D-D647-4B24-B2D8-4F549F29CA1D}"/>
    <cellStyle name="Comma 6 2 2 2" xfId="482" xr:uid="{299895D9-227C-405F-8597-5A0FF5B54AC4}"/>
    <cellStyle name="Comma 6 2 2 2 10" xfId="7251" xr:uid="{5A27E1F6-0407-40FF-90C1-9AD17AB3ECDE}"/>
    <cellStyle name="Comma 6 2 2 2 11" xfId="8593" xr:uid="{A51678B5-BB55-47E9-B06E-6FC17C375E7D}"/>
    <cellStyle name="Comma 6 2 2 2 12" xfId="9730" xr:uid="{90DF2572-D338-4D7D-9A15-0C29DE3B7BC5}"/>
    <cellStyle name="Comma 6 2 2 2 13" xfId="10857" xr:uid="{2DC755D0-2CC9-4CA9-A9F6-1C18AA90AC86}"/>
    <cellStyle name="Comma 6 2 2 2 14" xfId="11773" xr:uid="{5D001D58-C76B-48FA-B126-F9D3EB61B8F6}"/>
    <cellStyle name="Comma 6 2 2 2 15" xfId="14026" xr:uid="{579101D8-2C8D-4244-A6CE-D7A6631343FA}"/>
    <cellStyle name="Comma 6 2 2 2 16" xfId="16279" xr:uid="{D94C1C9F-80FF-4977-87AB-A00D1AA8D2C3}"/>
    <cellStyle name="Comma 6 2 2 2 2" xfId="483" xr:uid="{FF8B5BEC-2AE9-4D99-9856-56D94DCBC236}"/>
    <cellStyle name="Comma 6 2 2 2 2 10" xfId="8592" xr:uid="{C3AD957E-801F-444B-B77E-D574BA24B45F}"/>
    <cellStyle name="Comma 6 2 2 2 2 11" xfId="9729" xr:uid="{A673BD30-7522-40D8-81B2-E5417CEE3E08}"/>
    <cellStyle name="Comma 6 2 2 2 2 12" xfId="10856" xr:uid="{77DA8565-42C3-4C26-BA5D-DCE84E5B3929}"/>
    <cellStyle name="Comma 6 2 2 2 2 13" xfId="11774" xr:uid="{5E063CB3-4D6D-43FF-90C5-B5D95226481D}"/>
    <cellStyle name="Comma 6 2 2 2 2 14" xfId="14027" xr:uid="{C43D6403-2B2C-4EC4-92F6-66700FDDF0EA}"/>
    <cellStyle name="Comma 6 2 2 2 2 15" xfId="16280" xr:uid="{51CA586B-4155-45E5-B416-6138EFA9C31F}"/>
    <cellStyle name="Comma 6 2 2 2 2 2" xfId="484" xr:uid="{719511B0-292C-4DCC-AEF1-0C71512B6194}"/>
    <cellStyle name="Comma 6 2 2 2 2 2 10" xfId="10855" xr:uid="{35045582-722B-4754-A9A0-C052706741AF}"/>
    <cellStyle name="Comma 6 2 2 2 2 2 11" xfId="11775" xr:uid="{2179476A-0EE1-4472-9E1A-CFCCC51395CE}"/>
    <cellStyle name="Comma 6 2 2 2 2 2 12" xfId="14028" xr:uid="{982AE0DC-37B2-4A86-87A3-652BDED1BA70}"/>
    <cellStyle name="Comma 6 2 2 2 2 2 13" xfId="16281" xr:uid="{2F61078C-A865-4B79-BAB8-7F6D4C317B59}"/>
    <cellStyle name="Comma 6 2 2 2 2 2 2" xfId="1618" xr:uid="{BFA78538-E518-4763-AD11-7CA2B934413A}"/>
    <cellStyle name="Comma 6 2 2 2 2 2 2 2" xfId="12902" xr:uid="{86CC44B1-F1DD-4980-A0CA-B9F414EC7EBF}"/>
    <cellStyle name="Comma 6 2 2 2 2 2 2 3" xfId="15155" xr:uid="{AAD1EF37-0162-4BB0-A278-F70437CA5E35}"/>
    <cellStyle name="Comma 6 2 2 2 2 2 2 4" xfId="17408" xr:uid="{1BD8D0D9-5D10-4CF6-B6CC-60E0A0BB2327}"/>
    <cellStyle name="Comma 6 2 2 2 2 2 3" xfId="2744" xr:uid="{090C0CA4-6EDA-4511-8BDA-FFD55E8D5D87}"/>
    <cellStyle name="Comma 6 2 2 2 2 2 4" xfId="3870" xr:uid="{3038E422-A07F-41B2-815B-E25B6B5EBC6B}"/>
    <cellStyle name="Comma 6 2 2 2 2 2 5" xfId="4996" xr:uid="{0248DC02-6036-4678-A914-F6E4E6487332}"/>
    <cellStyle name="Comma 6 2 2 2 2 2 6" xfId="6123" xr:uid="{A7B286AF-A562-434D-A4D0-EE70D9C9A389}"/>
    <cellStyle name="Comma 6 2 2 2 2 2 7" xfId="7253" xr:uid="{C49C5990-BDA6-4471-AD54-56C49BAD5FAA}"/>
    <cellStyle name="Comma 6 2 2 2 2 2 8" xfId="8591" xr:uid="{F03D9C9F-4C73-4B9F-8BF1-C2B31CE27390}"/>
    <cellStyle name="Comma 6 2 2 2 2 2 9" xfId="9728" xr:uid="{AD2D7A5D-D8E8-4F1C-9DBF-B7206BCBAC52}"/>
    <cellStyle name="Comma 6 2 2 2 2 3" xfId="485" xr:uid="{10A45445-FC79-4AA7-AD85-ABFAA699353D}"/>
    <cellStyle name="Comma 6 2 2 2 2 3 10" xfId="10854" xr:uid="{8B7226C0-F874-4591-B807-D295D58C0BF9}"/>
    <cellStyle name="Comma 6 2 2 2 2 3 11" xfId="11776" xr:uid="{022DCECF-8B2D-40C1-9790-A9212BDFB9AD}"/>
    <cellStyle name="Comma 6 2 2 2 2 3 12" xfId="14029" xr:uid="{BA82C952-7A7A-4344-8C38-0F0BF14F0C66}"/>
    <cellStyle name="Comma 6 2 2 2 2 3 13" xfId="16282" xr:uid="{C9399958-314B-4151-8B09-3FC97F07E255}"/>
    <cellStyle name="Comma 6 2 2 2 2 3 2" xfId="1619" xr:uid="{97C23A49-2E0A-430D-9E61-23C3B277D603}"/>
    <cellStyle name="Comma 6 2 2 2 2 3 2 2" xfId="12903" xr:uid="{54D6BDB8-38A9-43EC-8829-D526F3F67511}"/>
    <cellStyle name="Comma 6 2 2 2 2 3 2 3" xfId="15156" xr:uid="{EE73F246-35CB-4420-8B5F-490C39E9D67F}"/>
    <cellStyle name="Comma 6 2 2 2 2 3 2 4" xfId="17409" xr:uid="{07CE339B-5BFA-4334-91C8-FF0D7A90073A}"/>
    <cellStyle name="Comma 6 2 2 2 2 3 3" xfId="2745" xr:uid="{C6ADE8AB-9075-40CA-B78A-970A17F61192}"/>
    <cellStyle name="Comma 6 2 2 2 2 3 4" xfId="3871" xr:uid="{A12B04CC-B36C-4D37-97C6-99D3A0B2D81D}"/>
    <cellStyle name="Comma 6 2 2 2 2 3 5" xfId="4997" xr:uid="{3FE9D1FD-F43C-4008-9E35-438A7698A5A7}"/>
    <cellStyle name="Comma 6 2 2 2 2 3 6" xfId="6124" xr:uid="{1F34726F-DD97-4286-B2F6-C4707BFEDE63}"/>
    <cellStyle name="Comma 6 2 2 2 2 3 7" xfId="7254" xr:uid="{1EB4667F-2B04-4367-9C09-AFD8EE070C99}"/>
    <cellStyle name="Comma 6 2 2 2 2 3 8" xfId="8590" xr:uid="{A7B24177-F02C-419C-BABE-F8EF24435A5E}"/>
    <cellStyle name="Comma 6 2 2 2 2 3 9" xfId="9727" xr:uid="{CC7497C6-77CC-4BF7-8D1E-09CF8DFF20D3}"/>
    <cellStyle name="Comma 6 2 2 2 2 4" xfId="1617" xr:uid="{9413255D-65F7-48C3-A895-9100CFCE2C27}"/>
    <cellStyle name="Comma 6 2 2 2 2 4 2" xfId="12901" xr:uid="{4B592AAC-8D9F-4599-8D53-2FEA4CBAF61D}"/>
    <cellStyle name="Comma 6 2 2 2 2 4 3" xfId="15154" xr:uid="{7F8FC1B4-712C-460E-9E45-0529B3E0D2B7}"/>
    <cellStyle name="Comma 6 2 2 2 2 4 4" xfId="17407" xr:uid="{650B8607-D9EC-47C4-967B-01530C8B0A6F}"/>
    <cellStyle name="Comma 6 2 2 2 2 5" xfId="2743" xr:uid="{0E6949E0-930D-4B83-8631-FB8DA0F321CA}"/>
    <cellStyle name="Comma 6 2 2 2 2 6" xfId="3869" xr:uid="{CCE00924-C014-4768-BAA3-4B10C10A6304}"/>
    <cellStyle name="Comma 6 2 2 2 2 7" xfId="4995" xr:uid="{05DB4615-8090-4DB4-BE2B-51232B2F041D}"/>
    <cellStyle name="Comma 6 2 2 2 2 8" xfId="6122" xr:uid="{A9A0D108-6428-41B2-AC70-F00B2E0323B5}"/>
    <cellStyle name="Comma 6 2 2 2 2 9" xfId="7252" xr:uid="{FE2CA540-1409-4592-9748-AD1BD3BC396C}"/>
    <cellStyle name="Comma 6 2 2 2 3" xfId="486" xr:uid="{50B2BCD2-4D49-4095-9A01-E93BC8ABEE5E}"/>
    <cellStyle name="Comma 6 2 2 2 3 10" xfId="10853" xr:uid="{135141D8-3210-4A85-84E4-CC93D4A39C1A}"/>
    <cellStyle name="Comma 6 2 2 2 3 11" xfId="11777" xr:uid="{F751D221-D847-45AC-89D5-16D2ABDC80C6}"/>
    <cellStyle name="Comma 6 2 2 2 3 12" xfId="14030" xr:uid="{1191E8F9-9A1B-4CE5-877B-BAB6308568DD}"/>
    <cellStyle name="Comma 6 2 2 2 3 13" xfId="16283" xr:uid="{48EBD0F2-D279-4BE0-82CE-760EF666C10C}"/>
    <cellStyle name="Comma 6 2 2 2 3 2" xfId="1620" xr:uid="{BBEC7884-526F-4570-B356-1BFC028221D6}"/>
    <cellStyle name="Comma 6 2 2 2 3 2 2" xfId="12904" xr:uid="{94D2892A-A3A3-423A-9662-DB4AA000F916}"/>
    <cellStyle name="Comma 6 2 2 2 3 2 3" xfId="15157" xr:uid="{15BE0BAC-C2D6-433E-A230-A46B0AE62CF3}"/>
    <cellStyle name="Comma 6 2 2 2 3 2 4" xfId="17410" xr:uid="{F309BC06-59AB-409E-9C5A-52912C07ADBB}"/>
    <cellStyle name="Comma 6 2 2 2 3 3" xfId="2746" xr:uid="{0DC6D9CD-53C1-4F81-ABCB-8A1B40164CEB}"/>
    <cellStyle name="Comma 6 2 2 2 3 4" xfId="3872" xr:uid="{7B0EA163-A142-4633-95A3-0E8D22EE8CA9}"/>
    <cellStyle name="Comma 6 2 2 2 3 5" xfId="4998" xr:uid="{48921E08-7957-4EC2-8D6E-2C4E3105D911}"/>
    <cellStyle name="Comma 6 2 2 2 3 6" xfId="6125" xr:uid="{2ABCAEDB-5048-4F76-86EB-CE09EED673B9}"/>
    <cellStyle name="Comma 6 2 2 2 3 7" xfId="7255" xr:uid="{2332BA42-BA06-494D-A5AA-7265C76C4F07}"/>
    <cellStyle name="Comma 6 2 2 2 3 8" xfId="8589" xr:uid="{CF810A8F-2753-4316-932C-63299B245B86}"/>
    <cellStyle name="Comma 6 2 2 2 3 9" xfId="9726" xr:uid="{88480C58-0F2A-4CA1-A66F-8832DB6CFA73}"/>
    <cellStyle name="Comma 6 2 2 2 4" xfId="487" xr:uid="{29C529DA-8FFD-4B74-82B9-8EE824857DEE}"/>
    <cellStyle name="Comma 6 2 2 2 4 10" xfId="10852" xr:uid="{1EC45DBC-AC5E-42CA-9911-4B8BAFCC9D19}"/>
    <cellStyle name="Comma 6 2 2 2 4 11" xfId="11778" xr:uid="{1F6681FB-3A9D-466C-821B-7F3631ECF9FF}"/>
    <cellStyle name="Comma 6 2 2 2 4 12" xfId="14031" xr:uid="{18CFBBFF-153F-410C-A846-BA9BF94EF809}"/>
    <cellStyle name="Comma 6 2 2 2 4 13" xfId="16284" xr:uid="{94C060E0-58F1-495C-9870-6FB4472880AC}"/>
    <cellStyle name="Comma 6 2 2 2 4 2" xfId="1621" xr:uid="{76218F42-959E-4078-B55D-81A28E879576}"/>
    <cellStyle name="Comma 6 2 2 2 4 2 2" xfId="12905" xr:uid="{B492F1EF-72CD-4FB8-84A8-305042219289}"/>
    <cellStyle name="Comma 6 2 2 2 4 2 3" xfId="15158" xr:uid="{4970B01D-56AA-47EB-9BF3-5FACFD8ADCC9}"/>
    <cellStyle name="Comma 6 2 2 2 4 2 4" xfId="17411" xr:uid="{A8809393-AE73-455B-9057-A8D33576E056}"/>
    <cellStyle name="Comma 6 2 2 2 4 3" xfId="2747" xr:uid="{A44C338F-04D0-478E-A7D2-F64F185C6559}"/>
    <cellStyle name="Comma 6 2 2 2 4 4" xfId="3873" xr:uid="{C2C29B53-3462-413F-B610-0BFC6168E4A1}"/>
    <cellStyle name="Comma 6 2 2 2 4 5" xfId="4999" xr:uid="{E5228B76-1572-4F03-8FC6-72D03847639B}"/>
    <cellStyle name="Comma 6 2 2 2 4 6" xfId="6126" xr:uid="{179D9DE6-6E25-46AA-9C00-C4ECC80292F3}"/>
    <cellStyle name="Comma 6 2 2 2 4 7" xfId="7256" xr:uid="{FD3DF991-B967-4416-9227-279C374E85C5}"/>
    <cellStyle name="Comma 6 2 2 2 4 8" xfId="8588" xr:uid="{FEEABEA6-10BF-42F2-9C39-67EA46F29720}"/>
    <cellStyle name="Comma 6 2 2 2 4 9" xfId="9725" xr:uid="{014F32C7-E41B-482B-9EB1-DEE5B9859AC8}"/>
    <cellStyle name="Comma 6 2 2 2 5" xfId="1616" xr:uid="{68B0EAFB-D181-4832-9116-B0A6986F6D18}"/>
    <cellStyle name="Comma 6 2 2 2 5 2" xfId="12900" xr:uid="{6893C7F7-0349-4082-8B1C-6B847C87BFD1}"/>
    <cellStyle name="Comma 6 2 2 2 5 3" xfId="15153" xr:uid="{70546F3A-7DB4-496E-9372-85C1E17A1D6B}"/>
    <cellStyle name="Comma 6 2 2 2 5 4" xfId="17406" xr:uid="{9033165A-A89A-4B03-BAFA-8AF6CC4FDDDB}"/>
    <cellStyle name="Comma 6 2 2 2 6" xfId="2742" xr:uid="{2CE6C5E6-8CD6-4856-8319-F5D026EBFFCE}"/>
    <cellStyle name="Comma 6 2 2 2 7" xfId="3868" xr:uid="{380A9AC8-24D6-4523-B0FF-3CFB9C9E39BB}"/>
    <cellStyle name="Comma 6 2 2 2 8" xfId="4994" xr:uid="{95E24E3D-28D2-4731-9A96-A89D1D55F2B4}"/>
    <cellStyle name="Comma 6 2 2 2 9" xfId="6121" xr:uid="{3C66DA00-E072-4262-9E68-EED5AD048868}"/>
    <cellStyle name="Comma 6 2 2 3" xfId="488" xr:uid="{31ABC361-7372-4853-A6DD-BECB2E4E3E3D}"/>
    <cellStyle name="Comma 6 2 2 3 10" xfId="8587" xr:uid="{CE9F458B-24A0-4C9D-82CB-091F90833009}"/>
    <cellStyle name="Comma 6 2 2 3 11" xfId="9724" xr:uid="{742563D5-903A-41EB-B426-5844BBE9FACC}"/>
    <cellStyle name="Comma 6 2 2 3 12" xfId="10851" xr:uid="{5AFA583B-5027-43D6-9F98-5D77F0C3281A}"/>
    <cellStyle name="Comma 6 2 2 3 13" xfId="11779" xr:uid="{0D53398B-C691-4801-87C6-CBAD7D0FEB46}"/>
    <cellStyle name="Comma 6 2 2 3 14" xfId="14032" xr:uid="{F2E7651B-A955-4212-BB46-C762AA4571A8}"/>
    <cellStyle name="Comma 6 2 2 3 15" xfId="16285" xr:uid="{60F444DA-5952-47AF-B9B7-4E99DB2346AD}"/>
    <cellStyle name="Comma 6 2 2 3 2" xfId="489" xr:uid="{FBB630EE-2009-4F5D-AC3F-A09E7807276C}"/>
    <cellStyle name="Comma 6 2 2 3 2 10" xfId="10850" xr:uid="{14AA1568-0E8C-4A4D-BC91-0AD1A14B8AE4}"/>
    <cellStyle name="Comma 6 2 2 3 2 11" xfId="11780" xr:uid="{2CC6C77D-9FBF-404D-9C4E-EF1BE5E73E7F}"/>
    <cellStyle name="Comma 6 2 2 3 2 12" xfId="14033" xr:uid="{FFC36B1A-C3EA-47D8-AF2D-22D7A8663FF1}"/>
    <cellStyle name="Comma 6 2 2 3 2 13" xfId="16286" xr:uid="{23FFCB2C-72F4-4F6B-9B04-ED71CC3A7FCC}"/>
    <cellStyle name="Comma 6 2 2 3 2 2" xfId="1623" xr:uid="{179D2805-AA06-4F96-BFF5-86077B30133D}"/>
    <cellStyle name="Comma 6 2 2 3 2 2 2" xfId="12907" xr:uid="{9A72BB7A-3E03-447B-8FA8-429A0D320598}"/>
    <cellStyle name="Comma 6 2 2 3 2 2 3" xfId="15160" xr:uid="{4BE1B79C-7A63-43C6-8158-E7D46B4C576D}"/>
    <cellStyle name="Comma 6 2 2 3 2 2 4" xfId="17413" xr:uid="{F74D5387-53B9-41CE-A129-0257303B3E81}"/>
    <cellStyle name="Comma 6 2 2 3 2 3" xfId="2749" xr:uid="{8E669235-CC34-4B55-8320-79FB4790EEB7}"/>
    <cellStyle name="Comma 6 2 2 3 2 4" xfId="3875" xr:uid="{786B5139-1264-46C5-B243-8F6BED14D304}"/>
    <cellStyle name="Comma 6 2 2 3 2 5" xfId="5001" xr:uid="{A6B37E08-844F-47F3-8415-F604D5C0F90B}"/>
    <cellStyle name="Comma 6 2 2 3 2 6" xfId="6128" xr:uid="{31CF59F2-4465-4F2C-AB30-6003D1C674A2}"/>
    <cellStyle name="Comma 6 2 2 3 2 7" xfId="7258" xr:uid="{938F8487-9C38-4C45-9AA1-B5046A8193E5}"/>
    <cellStyle name="Comma 6 2 2 3 2 8" xfId="8586" xr:uid="{1AACEF21-8B19-4C0E-976A-F03A4A09D43D}"/>
    <cellStyle name="Comma 6 2 2 3 2 9" xfId="9723" xr:uid="{42215DDF-5586-4C22-A6EC-5BBB417ECF6C}"/>
    <cellStyle name="Comma 6 2 2 3 3" xfId="490" xr:uid="{0CCA6CCF-5DB5-403C-8027-EA48F9EB7C0A}"/>
    <cellStyle name="Comma 6 2 2 3 3 10" xfId="10849" xr:uid="{05AED979-32AD-4D5C-995F-8320C154FD3A}"/>
    <cellStyle name="Comma 6 2 2 3 3 11" xfId="11781" xr:uid="{621DF58A-97EF-4BE7-907F-5300676F1C55}"/>
    <cellStyle name="Comma 6 2 2 3 3 12" xfId="14034" xr:uid="{D0C747A5-CD2F-4029-A0FD-DFEB78F5B8B0}"/>
    <cellStyle name="Comma 6 2 2 3 3 13" xfId="16287" xr:uid="{EE3681EF-E184-486E-8A99-16DC4A3980DD}"/>
    <cellStyle name="Comma 6 2 2 3 3 2" xfId="1624" xr:uid="{C3ACAE66-1C2A-4FB6-A58D-869B373B0D48}"/>
    <cellStyle name="Comma 6 2 2 3 3 2 2" xfId="12908" xr:uid="{5337603A-7206-4D39-8755-5751DF057BD5}"/>
    <cellStyle name="Comma 6 2 2 3 3 2 3" xfId="15161" xr:uid="{81917B6F-8640-4693-898E-2BB779DDB7C8}"/>
    <cellStyle name="Comma 6 2 2 3 3 2 4" xfId="17414" xr:uid="{B278EBD9-BCB0-43F8-AB1B-3CDF2B4639B3}"/>
    <cellStyle name="Comma 6 2 2 3 3 3" xfId="2750" xr:uid="{622BD1CB-1D12-4AE6-902D-4D04952E7134}"/>
    <cellStyle name="Comma 6 2 2 3 3 4" xfId="3876" xr:uid="{D4E79D0C-DD8C-4E22-9774-DB27B8839E1A}"/>
    <cellStyle name="Comma 6 2 2 3 3 5" xfId="5002" xr:uid="{AB135832-D121-49A8-9AB3-9E9584A55DEA}"/>
    <cellStyle name="Comma 6 2 2 3 3 6" xfId="6129" xr:uid="{7EEB4A1D-C91C-40C3-8689-B88EF15AC88C}"/>
    <cellStyle name="Comma 6 2 2 3 3 7" xfId="7259" xr:uid="{70387DC1-B000-406F-9344-996BBE3F4ADE}"/>
    <cellStyle name="Comma 6 2 2 3 3 8" xfId="8585" xr:uid="{F5375469-D3AB-41F9-9BF8-34977D3A9CB8}"/>
    <cellStyle name="Comma 6 2 2 3 3 9" xfId="9722" xr:uid="{912F1FA9-7B83-481D-B719-394ABE61A24D}"/>
    <cellStyle name="Comma 6 2 2 3 4" xfId="1622" xr:uid="{908AEFB5-8138-466E-888A-A673E0CEE427}"/>
    <cellStyle name="Comma 6 2 2 3 4 2" xfId="12906" xr:uid="{143397DB-08C6-4AD9-84D6-526A09BE5047}"/>
    <cellStyle name="Comma 6 2 2 3 4 3" xfId="15159" xr:uid="{B0FE75E6-D3E0-4224-A12C-CAC69E83A7A4}"/>
    <cellStyle name="Comma 6 2 2 3 4 4" xfId="17412" xr:uid="{6F476478-951A-4E77-A5DD-8EAC956163D4}"/>
    <cellStyle name="Comma 6 2 2 3 5" xfId="2748" xr:uid="{0A37FDA6-1A61-4AA7-B0D3-5A2F626031EF}"/>
    <cellStyle name="Comma 6 2 2 3 6" xfId="3874" xr:uid="{086A26F3-3395-47CD-88AE-223DAC5D5496}"/>
    <cellStyle name="Comma 6 2 2 3 7" xfId="5000" xr:uid="{EF52AD31-9F39-4591-B2A8-A773577E9A5B}"/>
    <cellStyle name="Comma 6 2 2 3 8" xfId="6127" xr:uid="{9B9A960A-4321-4713-8A38-21D1E0A360BD}"/>
    <cellStyle name="Comma 6 2 2 3 9" xfId="7257" xr:uid="{E5252C15-0404-47E6-9EE6-04F6EA5E2438}"/>
    <cellStyle name="Comma 6 2 2 4" xfId="491" xr:uid="{D37ACAE7-2F96-4522-86CB-B41552B769CF}"/>
    <cellStyle name="Comma 6 2 2 4 10" xfId="10848" xr:uid="{0F2137DD-4471-49DA-9895-1D47C675F19D}"/>
    <cellStyle name="Comma 6 2 2 4 11" xfId="11782" xr:uid="{05FEDB2E-C082-4FB9-941A-DF3831F03344}"/>
    <cellStyle name="Comma 6 2 2 4 12" xfId="14035" xr:uid="{935E43A2-7D51-4711-94E0-D2DC29DB1545}"/>
    <cellStyle name="Comma 6 2 2 4 13" xfId="16288" xr:uid="{607BC91B-0415-4D1C-9224-FFB0DDC439C2}"/>
    <cellStyle name="Comma 6 2 2 4 2" xfId="1625" xr:uid="{805B1160-9E06-48BE-8992-D1970F738C1B}"/>
    <cellStyle name="Comma 6 2 2 4 2 2" xfId="12909" xr:uid="{926B07D2-43E7-4679-ADCB-50F06A45B53A}"/>
    <cellStyle name="Comma 6 2 2 4 2 3" xfId="15162" xr:uid="{123781AA-3A21-4628-9130-F78EF972A078}"/>
    <cellStyle name="Comma 6 2 2 4 2 4" xfId="17415" xr:uid="{04EF1AE5-39F1-40F9-8F10-D4EBF55F3220}"/>
    <cellStyle name="Comma 6 2 2 4 3" xfId="2751" xr:uid="{B87182AD-2F9A-4426-BE4F-BE5D24114154}"/>
    <cellStyle name="Comma 6 2 2 4 4" xfId="3877" xr:uid="{EEDFF31E-10B6-46D4-8CAA-386B0BDDBE0C}"/>
    <cellStyle name="Comma 6 2 2 4 5" xfId="5003" xr:uid="{E9194D70-8B87-41AF-8E50-28333C3FA37A}"/>
    <cellStyle name="Comma 6 2 2 4 6" xfId="6130" xr:uid="{4BDEA104-BDA7-48E5-82E5-9F7B1EA21717}"/>
    <cellStyle name="Comma 6 2 2 4 7" xfId="7260" xr:uid="{F6156F4C-C22F-41D2-86E2-ED3192735FE8}"/>
    <cellStyle name="Comma 6 2 2 4 8" xfId="8584" xr:uid="{30477545-7A7B-427D-B49A-81570EF2F14F}"/>
    <cellStyle name="Comma 6 2 2 4 9" xfId="9721" xr:uid="{3076FAFA-037C-4E62-9C34-8EFBAD762AE2}"/>
    <cellStyle name="Comma 6 2 2 5" xfId="492" xr:uid="{05219644-C0AD-4710-A5CE-D0750CC347E7}"/>
    <cellStyle name="Comma 6 2 2 5 10" xfId="10847" xr:uid="{7C124618-95B2-42B9-9403-245610631899}"/>
    <cellStyle name="Comma 6 2 2 5 11" xfId="11783" xr:uid="{7857E3A3-A371-48DE-880D-F00D8AE5166B}"/>
    <cellStyle name="Comma 6 2 2 5 12" xfId="14036" xr:uid="{B19954C8-26DD-446D-8CFC-36A58022049C}"/>
    <cellStyle name="Comma 6 2 2 5 13" xfId="16289" xr:uid="{41423D8C-C337-44F5-9A96-2B76A1CC5750}"/>
    <cellStyle name="Comma 6 2 2 5 2" xfId="1626" xr:uid="{FE3E03FA-A6A3-4134-876D-E3CA3174CD88}"/>
    <cellStyle name="Comma 6 2 2 5 2 2" xfId="12910" xr:uid="{7E0D6486-EEF1-49DE-80C8-8A83F67F7998}"/>
    <cellStyle name="Comma 6 2 2 5 2 3" xfId="15163" xr:uid="{541539E3-C5F2-4443-B576-F8F878B5A62C}"/>
    <cellStyle name="Comma 6 2 2 5 2 4" xfId="17416" xr:uid="{F4B9178D-7260-49E4-9E35-563FF00D07D8}"/>
    <cellStyle name="Comma 6 2 2 5 3" xfId="2752" xr:uid="{233E83D4-0F25-4E2F-A101-4A52D8DECD47}"/>
    <cellStyle name="Comma 6 2 2 5 4" xfId="3878" xr:uid="{E6D44A86-2447-426E-B564-27A15F4412EE}"/>
    <cellStyle name="Comma 6 2 2 5 5" xfId="5004" xr:uid="{7448C4CC-D3C8-4FCE-AC85-6CDE1E7617A8}"/>
    <cellStyle name="Comma 6 2 2 5 6" xfId="6131" xr:uid="{6BBF1AA6-B908-429D-A325-6BEC0D7697E6}"/>
    <cellStyle name="Comma 6 2 2 5 7" xfId="7261" xr:uid="{17EE4124-3B34-42C5-9E39-145DE16CDD6F}"/>
    <cellStyle name="Comma 6 2 2 5 8" xfId="8583" xr:uid="{921568BE-EF88-43FB-BEF3-EE555F510746}"/>
    <cellStyle name="Comma 6 2 2 5 9" xfId="9720" xr:uid="{018458A5-3219-4E3F-A874-890B7C2369AE}"/>
    <cellStyle name="Comma 6 2 2 6" xfId="1615" xr:uid="{22529D29-1BFF-42E9-B571-1B0CC9507B7E}"/>
    <cellStyle name="Comma 6 2 2 6 2" xfId="12899" xr:uid="{0AAA1DAD-C804-4627-89F0-88F483DC59E8}"/>
    <cellStyle name="Comma 6 2 2 6 3" xfId="15152" xr:uid="{D9B9B241-EFEB-4CA3-8864-A52FCB23EE5F}"/>
    <cellStyle name="Comma 6 2 2 6 4" xfId="17405" xr:uid="{EE96749B-C5B0-4DA0-881E-80944CF01887}"/>
    <cellStyle name="Comma 6 2 2 7" xfId="2741" xr:uid="{4864F65E-CF80-4B9E-BBFB-7B0807C1FB87}"/>
    <cellStyle name="Comma 6 2 2 8" xfId="3867" xr:uid="{742FAFE0-AE3D-4F5D-AA0E-5F859695911C}"/>
    <cellStyle name="Comma 6 2 2 9" xfId="4993" xr:uid="{B084C323-BD6B-48AF-A457-DE2FA5FD6188}"/>
    <cellStyle name="Comma 6 2 3" xfId="493" xr:uid="{D5E658E1-85E0-4260-AC3D-ED15D1CB629B}"/>
    <cellStyle name="Comma 6 2 3 10" xfId="7262" xr:uid="{D055CD7C-339B-47FC-816F-50349597F4FA}"/>
    <cellStyle name="Comma 6 2 3 11" xfId="8582" xr:uid="{B3702F0D-5042-40BA-A2C1-96F774CA02FD}"/>
    <cellStyle name="Comma 6 2 3 12" xfId="9719" xr:uid="{F00E2650-274B-415A-90E7-7AEC2E389CED}"/>
    <cellStyle name="Comma 6 2 3 13" xfId="10846" xr:uid="{AC413977-414B-4D91-9A75-ACDBED25EE3B}"/>
    <cellStyle name="Comma 6 2 3 14" xfId="11784" xr:uid="{6D9BDEA9-A7BF-4B42-8D15-65916BBA0E30}"/>
    <cellStyle name="Comma 6 2 3 15" xfId="14037" xr:uid="{DB4B39F0-81B3-4033-87AF-227947D1CA18}"/>
    <cellStyle name="Comma 6 2 3 16" xfId="16290" xr:uid="{3CE1D992-A435-456E-BDEF-E766DB0E424F}"/>
    <cellStyle name="Comma 6 2 3 2" xfId="494" xr:uid="{3CA0E12B-76EA-468D-AAB4-85C80A313079}"/>
    <cellStyle name="Comma 6 2 3 2 10" xfId="8581" xr:uid="{161D7906-CBC7-4F30-848B-067ECBEF7CBC}"/>
    <cellStyle name="Comma 6 2 3 2 11" xfId="9718" xr:uid="{ADE36EBC-86EE-4FA0-9D03-23FC860D3C2B}"/>
    <cellStyle name="Comma 6 2 3 2 12" xfId="10845" xr:uid="{4DED7CAC-7898-4221-9CAC-37E59B53D932}"/>
    <cellStyle name="Comma 6 2 3 2 13" xfId="11785" xr:uid="{0ADF6A84-11DF-4155-BBC8-085051238B79}"/>
    <cellStyle name="Comma 6 2 3 2 14" xfId="14038" xr:uid="{692BCF5D-192F-44F5-980C-D14A1FDD3CDB}"/>
    <cellStyle name="Comma 6 2 3 2 15" xfId="16291" xr:uid="{BA2DB14D-781B-439A-B215-4A5BDC4661C8}"/>
    <cellStyle name="Comma 6 2 3 2 2" xfId="495" xr:uid="{9290C9D5-06C6-4141-B04F-0DDCE25B4A39}"/>
    <cellStyle name="Comma 6 2 3 2 2 10" xfId="10844" xr:uid="{35B13A00-5EFB-431E-9788-56765A5CC2D2}"/>
    <cellStyle name="Comma 6 2 3 2 2 11" xfId="11786" xr:uid="{A94ADB71-A2C4-46A8-B87D-7BE529A921AF}"/>
    <cellStyle name="Comma 6 2 3 2 2 12" xfId="14039" xr:uid="{A34FD61D-2298-42FF-A5A1-B72683F39CDC}"/>
    <cellStyle name="Comma 6 2 3 2 2 13" xfId="16292" xr:uid="{426E6669-DD76-48FF-BCA8-67A1FE378B4E}"/>
    <cellStyle name="Comma 6 2 3 2 2 2" xfId="1629" xr:uid="{70DB80DD-195D-4273-AF5D-597C1D0403D1}"/>
    <cellStyle name="Comma 6 2 3 2 2 2 2" xfId="12913" xr:uid="{F69255F5-49CA-4E6A-9D7C-980FF2818C32}"/>
    <cellStyle name="Comma 6 2 3 2 2 2 3" xfId="15166" xr:uid="{BB589B59-AFD0-4C0F-B5A9-03754334BBC1}"/>
    <cellStyle name="Comma 6 2 3 2 2 2 4" xfId="17419" xr:uid="{1BD889E9-AA83-4DBE-801C-5227FA8C105C}"/>
    <cellStyle name="Comma 6 2 3 2 2 3" xfId="2755" xr:uid="{66712ECA-4B52-46C2-8D25-51C774DB9EB0}"/>
    <cellStyle name="Comma 6 2 3 2 2 4" xfId="3881" xr:uid="{6A2B9EF7-DDBE-4A9E-B7D1-E908CDBB4F10}"/>
    <cellStyle name="Comma 6 2 3 2 2 5" xfId="5007" xr:uid="{CA6BAE7D-FB86-417F-B49F-3C59258A9A68}"/>
    <cellStyle name="Comma 6 2 3 2 2 6" xfId="6134" xr:uid="{BB875221-790D-4B7C-9D5D-AEB1E1577FAD}"/>
    <cellStyle name="Comma 6 2 3 2 2 7" xfId="7264" xr:uid="{91211375-838B-4D3E-8A4C-2D3E591FB547}"/>
    <cellStyle name="Comma 6 2 3 2 2 8" xfId="8580" xr:uid="{9ECF4372-07F0-4587-89A6-A93D008210E5}"/>
    <cellStyle name="Comma 6 2 3 2 2 9" xfId="9717" xr:uid="{E0BBC2CC-9BF2-4CAC-B29E-A243C7680CC8}"/>
    <cellStyle name="Comma 6 2 3 2 3" xfId="496" xr:uid="{D5484054-4470-41B0-B8C9-B173E0D0D95B}"/>
    <cellStyle name="Comma 6 2 3 2 3 10" xfId="10843" xr:uid="{4A2555E2-70F0-4C8A-BBBB-8C33905382CB}"/>
    <cellStyle name="Comma 6 2 3 2 3 11" xfId="11787" xr:uid="{E9423BEF-B9E1-43B1-B0DD-ED7D423EA38A}"/>
    <cellStyle name="Comma 6 2 3 2 3 12" xfId="14040" xr:uid="{F2D19280-8DD2-45DF-96CF-65C14BB07E9C}"/>
    <cellStyle name="Comma 6 2 3 2 3 13" xfId="16293" xr:uid="{7411D524-0A86-4775-82E5-2DC5B987D10C}"/>
    <cellStyle name="Comma 6 2 3 2 3 2" xfId="1630" xr:uid="{0169B672-58C9-4F88-AD60-307418FEAEB4}"/>
    <cellStyle name="Comma 6 2 3 2 3 2 2" xfId="12914" xr:uid="{309BD1D3-AF3C-4159-9734-166062FCD787}"/>
    <cellStyle name="Comma 6 2 3 2 3 2 3" xfId="15167" xr:uid="{19A12355-8A2B-45E6-A970-3560E6035176}"/>
    <cellStyle name="Comma 6 2 3 2 3 2 4" xfId="17420" xr:uid="{615A559C-4990-4AE9-9940-7BD3AB29E7C3}"/>
    <cellStyle name="Comma 6 2 3 2 3 3" xfId="2756" xr:uid="{E4911272-D276-427E-B75D-D6C8EDF9BB79}"/>
    <cellStyle name="Comma 6 2 3 2 3 4" xfId="3882" xr:uid="{53211062-899B-4969-8D3A-D18249DF2AD8}"/>
    <cellStyle name="Comma 6 2 3 2 3 5" xfId="5008" xr:uid="{016E6205-6211-4C3F-A46A-F75ECFA71FB7}"/>
    <cellStyle name="Comma 6 2 3 2 3 6" xfId="6135" xr:uid="{C5B97B32-3638-4AE0-9D2D-2214F68B4526}"/>
    <cellStyle name="Comma 6 2 3 2 3 7" xfId="7265" xr:uid="{662EEC2C-08C1-4BF3-8B02-3974224345D3}"/>
    <cellStyle name="Comma 6 2 3 2 3 8" xfId="8579" xr:uid="{1985B262-1B9B-4300-A7D8-6DB4D4DB7C5B}"/>
    <cellStyle name="Comma 6 2 3 2 3 9" xfId="9716" xr:uid="{3A014442-1EC7-478B-82CB-B19D825300C4}"/>
    <cellStyle name="Comma 6 2 3 2 4" xfId="1628" xr:uid="{2DFA781A-E06E-4A77-8C2C-F45C7CC89385}"/>
    <cellStyle name="Comma 6 2 3 2 4 2" xfId="12912" xr:uid="{D8FFCEDA-B796-4633-8835-A012FC4E4C84}"/>
    <cellStyle name="Comma 6 2 3 2 4 3" xfId="15165" xr:uid="{66AA623C-E3B5-4FE2-A30A-23E9ECB8964E}"/>
    <cellStyle name="Comma 6 2 3 2 4 4" xfId="17418" xr:uid="{61FCF540-2F83-4C08-873D-D50ECEDB2D21}"/>
    <cellStyle name="Comma 6 2 3 2 5" xfId="2754" xr:uid="{D84D5F3B-0888-4246-8AA0-91DF7B8CF329}"/>
    <cellStyle name="Comma 6 2 3 2 6" xfId="3880" xr:uid="{29773F22-F548-43B3-A81A-E6DE0E5C2767}"/>
    <cellStyle name="Comma 6 2 3 2 7" xfId="5006" xr:uid="{B44DF958-9E1E-4256-A6CC-07EADDA6AAFD}"/>
    <cellStyle name="Comma 6 2 3 2 8" xfId="6133" xr:uid="{AB02D7ED-4034-4DF6-B702-13AC39DEB9CE}"/>
    <cellStyle name="Comma 6 2 3 2 9" xfId="7263" xr:uid="{30742BA9-4090-406A-A834-0C1C180C1269}"/>
    <cellStyle name="Comma 6 2 3 3" xfId="497" xr:uid="{047B2B92-9284-47D1-97CF-962B4C46F96B}"/>
    <cellStyle name="Comma 6 2 3 3 10" xfId="10842" xr:uid="{61539577-EED9-4D58-8488-B43A223B2505}"/>
    <cellStyle name="Comma 6 2 3 3 11" xfId="11788" xr:uid="{CB556207-737D-4BAC-B3DC-88D0CFB30306}"/>
    <cellStyle name="Comma 6 2 3 3 12" xfId="14041" xr:uid="{AEC3FB9D-FDBC-4E4D-927B-7DEF594A9761}"/>
    <cellStyle name="Comma 6 2 3 3 13" xfId="16294" xr:uid="{1530E177-C73D-4B45-8F7F-25E5D8F81416}"/>
    <cellStyle name="Comma 6 2 3 3 2" xfId="1631" xr:uid="{62284512-8EC6-4D8F-9424-99558D5AB784}"/>
    <cellStyle name="Comma 6 2 3 3 2 2" xfId="12915" xr:uid="{396C26E3-D81D-400E-ABD8-CB4F8DDF9149}"/>
    <cellStyle name="Comma 6 2 3 3 2 3" xfId="15168" xr:uid="{8BE44A3C-4065-4039-8639-98FAF38687EE}"/>
    <cellStyle name="Comma 6 2 3 3 2 4" xfId="17421" xr:uid="{D2FA34D9-AA5F-4961-BBFD-17DB46CF1E64}"/>
    <cellStyle name="Comma 6 2 3 3 3" xfId="2757" xr:uid="{F770D61A-7498-4A2A-8A2C-1669E4DCC3CD}"/>
    <cellStyle name="Comma 6 2 3 3 4" xfId="3883" xr:uid="{667B6FEC-663B-452D-9902-6EC04159AE0D}"/>
    <cellStyle name="Comma 6 2 3 3 5" xfId="5009" xr:uid="{FE54D8C4-5A2E-425C-8AC3-B40E070AD25E}"/>
    <cellStyle name="Comma 6 2 3 3 6" xfId="6136" xr:uid="{456A0CBA-1CE3-475C-8285-8970E77326F2}"/>
    <cellStyle name="Comma 6 2 3 3 7" xfId="7266" xr:uid="{D5B077F7-6827-4B8F-9AA8-83CA69DA06A9}"/>
    <cellStyle name="Comma 6 2 3 3 8" xfId="8578" xr:uid="{47C198E1-01DE-4A6F-ADE2-EC9BCE156AB7}"/>
    <cellStyle name="Comma 6 2 3 3 9" xfId="9715" xr:uid="{E039460F-31A0-4637-AA89-83AB886C36F2}"/>
    <cellStyle name="Comma 6 2 3 4" xfId="498" xr:uid="{8FADB334-2745-458E-B54F-C5945DA0808D}"/>
    <cellStyle name="Comma 6 2 3 4 10" xfId="10841" xr:uid="{2A115002-C3C9-4610-8129-DFCA1B709CB3}"/>
    <cellStyle name="Comma 6 2 3 4 11" xfId="11789" xr:uid="{87D9CB95-4C37-499C-9753-C65944420121}"/>
    <cellStyle name="Comma 6 2 3 4 12" xfId="14042" xr:uid="{4B05CF67-3527-47BD-995B-616695D277D6}"/>
    <cellStyle name="Comma 6 2 3 4 13" xfId="16295" xr:uid="{ACF46CBE-5D4D-4157-8835-4C5A54DC4657}"/>
    <cellStyle name="Comma 6 2 3 4 2" xfId="1632" xr:uid="{E6B12FCC-0884-4C54-96B6-89DB86E2D4CA}"/>
    <cellStyle name="Comma 6 2 3 4 2 2" xfId="12916" xr:uid="{2CCAC785-E36B-4D83-AD6F-C256ACABF56C}"/>
    <cellStyle name="Comma 6 2 3 4 2 3" xfId="15169" xr:uid="{AA612986-8DE0-4A74-9C80-884BE148B256}"/>
    <cellStyle name="Comma 6 2 3 4 2 4" xfId="17422" xr:uid="{19683301-6A83-4621-891E-005ADF86EAA2}"/>
    <cellStyle name="Comma 6 2 3 4 3" xfId="2758" xr:uid="{13C17F7D-08D8-447B-9846-EC07B8A9B6BE}"/>
    <cellStyle name="Comma 6 2 3 4 4" xfId="3884" xr:uid="{0E9E8A6B-9E58-4099-9861-FD3504E8442C}"/>
    <cellStyle name="Comma 6 2 3 4 5" xfId="5010" xr:uid="{027F73C3-994B-4322-B8CC-C86C23134FCF}"/>
    <cellStyle name="Comma 6 2 3 4 6" xfId="6137" xr:uid="{CFD7B8AF-5C60-497F-A634-01190F074961}"/>
    <cellStyle name="Comma 6 2 3 4 7" xfId="7267" xr:uid="{99E7848C-CB8A-4A10-B424-B8EA9082489D}"/>
    <cellStyle name="Comma 6 2 3 4 8" xfId="8577" xr:uid="{C0177218-DDA8-40B2-BD7A-0AC1E910DCC0}"/>
    <cellStyle name="Comma 6 2 3 4 9" xfId="9714" xr:uid="{7360C307-E246-4838-9B51-C319F7845628}"/>
    <cellStyle name="Comma 6 2 3 5" xfId="1627" xr:uid="{CA9A9FC0-2412-42A3-8764-D0BA4C875E69}"/>
    <cellStyle name="Comma 6 2 3 5 2" xfId="12911" xr:uid="{1B52907C-2AAC-4D87-B14D-FCA3B0C0AC79}"/>
    <cellStyle name="Comma 6 2 3 5 3" xfId="15164" xr:uid="{0A793B88-9FA9-4B01-AABD-FF0AD695393C}"/>
    <cellStyle name="Comma 6 2 3 5 4" xfId="17417" xr:uid="{A34B9077-065C-4958-86D8-E601189F61C6}"/>
    <cellStyle name="Comma 6 2 3 6" xfId="2753" xr:uid="{B2869EB2-30EF-4D97-9535-4ED40820D455}"/>
    <cellStyle name="Comma 6 2 3 7" xfId="3879" xr:uid="{278D31AD-0821-4957-89F0-B3E78A4E3DB5}"/>
    <cellStyle name="Comma 6 2 3 8" xfId="5005" xr:uid="{0A4EE57B-0FE4-4160-868A-5AD4CA320557}"/>
    <cellStyle name="Comma 6 2 3 9" xfId="6132" xr:uid="{1CEA15AA-E4AD-4A20-A0ED-68DDA1AF15A2}"/>
    <cellStyle name="Comma 6 2 4" xfId="499" xr:uid="{6CB49166-1029-472A-BDF0-353D1CCB7FF5}"/>
    <cellStyle name="Comma 6 2 4 10" xfId="8576" xr:uid="{FBC69A89-9845-411E-B634-01A648C66955}"/>
    <cellStyle name="Comma 6 2 4 11" xfId="9713" xr:uid="{0D98AEB6-A8C7-414C-A6F3-3D30632706C7}"/>
    <cellStyle name="Comma 6 2 4 12" xfId="10840" xr:uid="{A86092CF-9358-4A79-956D-58BAEFF020E0}"/>
    <cellStyle name="Comma 6 2 4 13" xfId="11790" xr:uid="{0BAE0769-7FD1-4EE6-A9CE-5D6CADF27247}"/>
    <cellStyle name="Comma 6 2 4 14" xfId="14043" xr:uid="{1B326F2E-1888-4B5A-825A-482834CAAC59}"/>
    <cellStyle name="Comma 6 2 4 15" xfId="16296" xr:uid="{4CCF1BCA-2E0F-4454-BE49-52DD7C5F1A7A}"/>
    <cellStyle name="Comma 6 2 4 2" xfId="500" xr:uid="{AD8C1AFD-E0B2-4AEA-AE6C-2A815BA9A256}"/>
    <cellStyle name="Comma 6 2 4 2 10" xfId="10839" xr:uid="{D1668DE0-BFD3-4FCC-BAD1-79CDBAE32B6D}"/>
    <cellStyle name="Comma 6 2 4 2 11" xfId="11791" xr:uid="{6BE3C165-EEF7-4FEA-9A6A-703F49E20A0D}"/>
    <cellStyle name="Comma 6 2 4 2 12" xfId="14044" xr:uid="{B18552F7-1C6C-4A6B-9093-DCEB2318BC7E}"/>
    <cellStyle name="Comma 6 2 4 2 13" xfId="16297" xr:uid="{FC4AB0C0-61B5-41F7-8937-8F1A9B17BDFC}"/>
    <cellStyle name="Comma 6 2 4 2 2" xfId="1634" xr:uid="{873E1D61-3C04-4990-8864-5B6CC4F1687E}"/>
    <cellStyle name="Comma 6 2 4 2 2 2" xfId="12918" xr:uid="{FDA55BCD-F248-4362-88F3-9FA6644363B2}"/>
    <cellStyle name="Comma 6 2 4 2 2 3" xfId="15171" xr:uid="{028D805C-8515-4EAF-A663-4CB3ACBB74DA}"/>
    <cellStyle name="Comma 6 2 4 2 2 4" xfId="17424" xr:uid="{D47465BA-60BF-4995-A93E-98511897EEA1}"/>
    <cellStyle name="Comma 6 2 4 2 3" xfId="2760" xr:uid="{A67BA233-BE08-4FF1-82CE-9DC5AEEDFA2C}"/>
    <cellStyle name="Comma 6 2 4 2 4" xfId="3886" xr:uid="{16D595DB-F041-4362-8437-1385EECF88D0}"/>
    <cellStyle name="Comma 6 2 4 2 5" xfId="5012" xr:uid="{5752B099-225C-4446-9285-B641EF5F8EE8}"/>
    <cellStyle name="Comma 6 2 4 2 6" xfId="6139" xr:uid="{34506FEE-1725-4933-B254-EAA39926286C}"/>
    <cellStyle name="Comma 6 2 4 2 7" xfId="7269" xr:uid="{CD81A16D-3D99-4ADF-B0A4-5A5E90D18E01}"/>
    <cellStyle name="Comma 6 2 4 2 8" xfId="8575" xr:uid="{4B9533E2-0302-4FE1-BA14-9D66BA4CC763}"/>
    <cellStyle name="Comma 6 2 4 2 9" xfId="9712" xr:uid="{0F904181-7235-421C-AE73-9EFC1E7A522B}"/>
    <cellStyle name="Comma 6 2 4 3" xfId="501" xr:uid="{E3F8DF7D-FD0C-42DA-BE59-BDC6CA11F228}"/>
    <cellStyle name="Comma 6 2 4 3 10" xfId="10838" xr:uid="{DC0CA928-47C0-492B-A5B5-703DFAA185B0}"/>
    <cellStyle name="Comma 6 2 4 3 11" xfId="11792" xr:uid="{0D921006-8560-4A19-8BE2-2AE96AFAAE27}"/>
    <cellStyle name="Comma 6 2 4 3 12" xfId="14045" xr:uid="{F032E0C5-6C65-4056-987B-6F1C5B6AED73}"/>
    <cellStyle name="Comma 6 2 4 3 13" xfId="16298" xr:uid="{BFCEA8A4-A0FA-4A86-A39D-223E80F2ABC7}"/>
    <cellStyle name="Comma 6 2 4 3 2" xfId="1635" xr:uid="{525EB4A4-85D3-43E3-B16C-C4C1FC84552D}"/>
    <cellStyle name="Comma 6 2 4 3 2 2" xfId="12919" xr:uid="{699420DD-C61F-4DC0-A6DE-7A661F820AA1}"/>
    <cellStyle name="Comma 6 2 4 3 2 3" xfId="15172" xr:uid="{935EB8CE-C53C-4282-BB3E-5F3E8F491630}"/>
    <cellStyle name="Comma 6 2 4 3 2 4" xfId="17425" xr:uid="{4D7C1A7C-DF30-405B-B9C7-6688398492DE}"/>
    <cellStyle name="Comma 6 2 4 3 3" xfId="2761" xr:uid="{3C55DBFA-F962-41D9-9E59-340CB605D6DF}"/>
    <cellStyle name="Comma 6 2 4 3 4" xfId="3887" xr:uid="{4F82BB40-D01B-477E-A677-007226339319}"/>
    <cellStyle name="Comma 6 2 4 3 5" xfId="5013" xr:uid="{3E79FEE3-2C28-4EB0-9DC7-188D265AADD2}"/>
    <cellStyle name="Comma 6 2 4 3 6" xfId="6140" xr:uid="{EC5A6BC6-E6D3-467B-9584-6FC4AEF9BF27}"/>
    <cellStyle name="Comma 6 2 4 3 7" xfId="7270" xr:uid="{17F4BE72-C361-464D-9342-5EB828680A20}"/>
    <cellStyle name="Comma 6 2 4 3 8" xfId="8574" xr:uid="{E67F9DF6-7A6F-4E97-A4A5-04E44A595B30}"/>
    <cellStyle name="Comma 6 2 4 3 9" xfId="9711" xr:uid="{894C0DBB-0522-4AB1-8F85-240BB87DB054}"/>
    <cellStyle name="Comma 6 2 4 4" xfId="1633" xr:uid="{A6820498-2515-48DE-8685-2AEFB64C3528}"/>
    <cellStyle name="Comma 6 2 4 4 2" xfId="12917" xr:uid="{0F159D98-0816-47D1-909B-1F16635A930D}"/>
    <cellStyle name="Comma 6 2 4 4 3" xfId="15170" xr:uid="{282F3D10-5CB4-436A-832A-E3C96737D707}"/>
    <cellStyle name="Comma 6 2 4 4 4" xfId="17423" xr:uid="{5161098A-97E4-4C6E-878F-85B1E2DEDCF2}"/>
    <cellStyle name="Comma 6 2 4 5" xfId="2759" xr:uid="{BEC16B91-DDC9-4D66-83A3-28BFDB52C725}"/>
    <cellStyle name="Comma 6 2 4 6" xfId="3885" xr:uid="{DB05E5EA-8F52-4AF9-8389-2E1CA8684E95}"/>
    <cellStyle name="Comma 6 2 4 7" xfId="5011" xr:uid="{9040BC75-1E8B-411C-9B53-8689387DD75D}"/>
    <cellStyle name="Comma 6 2 4 8" xfId="6138" xr:uid="{91EF19D6-1866-4106-B5D8-993CB791996F}"/>
    <cellStyle name="Comma 6 2 4 9" xfId="7268" xr:uid="{7F2B73B3-519C-48BC-8A1B-6A06225E570C}"/>
    <cellStyle name="Comma 6 2 5" xfId="502" xr:uid="{C2244CE0-BB05-4C02-B9E1-1BB818D0E5C5}"/>
    <cellStyle name="Comma 6 2 5 10" xfId="10837" xr:uid="{16E4E540-F496-4543-93FC-FCCD8A3D9CB0}"/>
    <cellStyle name="Comma 6 2 5 11" xfId="11793" xr:uid="{AC3FD871-D129-4AF4-BE25-76E3145AFA76}"/>
    <cellStyle name="Comma 6 2 5 12" xfId="14046" xr:uid="{4FB99A6E-178B-4DAA-BBF6-09B854437AFB}"/>
    <cellStyle name="Comma 6 2 5 13" xfId="16299" xr:uid="{FDD8ABCD-A19E-447A-943B-7769D2430B05}"/>
    <cellStyle name="Comma 6 2 5 2" xfId="1636" xr:uid="{F5ED4C67-7543-42D5-93BC-171AF0968BE9}"/>
    <cellStyle name="Comma 6 2 5 2 2" xfId="12920" xr:uid="{2A6737E7-D740-4132-B4C5-57B5CD5CEDB3}"/>
    <cellStyle name="Comma 6 2 5 2 3" xfId="15173" xr:uid="{2107C988-6FE0-49A6-B161-08573D5A8D4A}"/>
    <cellStyle name="Comma 6 2 5 2 4" xfId="17426" xr:uid="{81C9F6F6-18E9-47E3-89C2-696A1373647A}"/>
    <cellStyle name="Comma 6 2 5 3" xfId="2762" xr:uid="{7EA98593-03A8-469C-AA8C-42CA28BCA667}"/>
    <cellStyle name="Comma 6 2 5 4" xfId="3888" xr:uid="{41EDDEB3-A5AD-4AB8-8584-5297CFFA0238}"/>
    <cellStyle name="Comma 6 2 5 5" xfId="5014" xr:uid="{328FE63D-A23C-4E00-AD25-89CD88420117}"/>
    <cellStyle name="Comma 6 2 5 6" xfId="6141" xr:uid="{D1F06333-E7EE-4FDD-8083-43056A46EB47}"/>
    <cellStyle name="Comma 6 2 5 7" xfId="7271" xr:uid="{AEB26864-7D10-47AC-92B6-3D8BE4E72D1F}"/>
    <cellStyle name="Comma 6 2 5 8" xfId="8573" xr:uid="{B0A46AAF-32A6-47AD-8625-D51A75937C53}"/>
    <cellStyle name="Comma 6 2 5 9" xfId="9710" xr:uid="{E0EA094F-790E-437D-84D2-383AB7317931}"/>
    <cellStyle name="Comma 6 2 6" xfId="503" xr:uid="{05DE84AF-F3E2-4211-97E4-2BA7375A60CF}"/>
    <cellStyle name="Comma 6 2 6 10" xfId="10836" xr:uid="{2A5FB589-94B7-415F-AD88-B1D34F5BCBBB}"/>
    <cellStyle name="Comma 6 2 6 11" xfId="11794" xr:uid="{5CD91B8B-B091-4E03-973A-9CE226FB75FA}"/>
    <cellStyle name="Comma 6 2 6 12" xfId="14047" xr:uid="{3DCF0A24-6BA7-4154-8449-A5BDCF5085D6}"/>
    <cellStyle name="Comma 6 2 6 13" xfId="16300" xr:uid="{8DF8AD9F-8B24-41AF-905E-093D51892561}"/>
    <cellStyle name="Comma 6 2 6 2" xfId="1637" xr:uid="{6618C4A0-C61B-477D-87FC-B58B9817B819}"/>
    <cellStyle name="Comma 6 2 6 2 2" xfId="12921" xr:uid="{952049F0-769F-4806-86C8-9FC0D3891CCF}"/>
    <cellStyle name="Comma 6 2 6 2 3" xfId="15174" xr:uid="{9477828A-8318-4F9C-9C64-BAE793B8782F}"/>
    <cellStyle name="Comma 6 2 6 2 4" xfId="17427" xr:uid="{FEF0411F-3616-4257-A4DD-56D9B1BD7D93}"/>
    <cellStyle name="Comma 6 2 6 3" xfId="2763" xr:uid="{BD58F930-E2BA-490E-B299-384AC8440AC2}"/>
    <cellStyle name="Comma 6 2 6 4" xfId="3889" xr:uid="{9B6370C8-CA82-46B9-BDAA-A78A44BD47AA}"/>
    <cellStyle name="Comma 6 2 6 5" xfId="5015" xr:uid="{0B56EFAD-2DA2-479C-A00D-FE003A9F53D7}"/>
    <cellStyle name="Comma 6 2 6 6" xfId="6142" xr:uid="{F3BBAACB-338E-4E7A-9646-54FF7AAAD0B3}"/>
    <cellStyle name="Comma 6 2 6 7" xfId="7272" xr:uid="{AE594FEA-9895-4C80-B5AC-F9D541FA2CEA}"/>
    <cellStyle name="Comma 6 2 6 8" xfId="8572" xr:uid="{E778D659-DBE0-4D36-A978-2BCD42202E7A}"/>
    <cellStyle name="Comma 6 2 6 9" xfId="9709" xr:uid="{2A64A1B2-8C92-423A-BEA3-B6E7AEC0B3BB}"/>
    <cellStyle name="Comma 6 2 7" xfId="1614" xr:uid="{E9C7FCB7-68EF-4DA4-B0B5-94D6FAF8569A}"/>
    <cellStyle name="Comma 6 2 7 2" xfId="12898" xr:uid="{B6F0991E-C9F3-4D50-AA4E-55DA2272D75E}"/>
    <cellStyle name="Comma 6 2 7 3" xfId="15151" xr:uid="{9F0F0AB9-D13D-4086-AD9C-A34DAFCF4BAF}"/>
    <cellStyle name="Comma 6 2 7 4" xfId="17404" xr:uid="{95A19763-7087-4A85-A98F-E3C7BA5915F2}"/>
    <cellStyle name="Comma 6 2 8" xfId="2740" xr:uid="{55500D8E-9A42-453B-B689-9C3858D7A928}"/>
    <cellStyle name="Comma 6 2 9" xfId="3866" xr:uid="{B5E3B034-1C6A-4E13-82D0-87FA86BC550B}"/>
    <cellStyle name="Comma 6 3" xfId="504" xr:uid="{D1254931-C2F6-4075-BE3E-05E6952195F0}"/>
    <cellStyle name="Comma 6 3 10" xfId="6143" xr:uid="{65625EE9-DFA2-4C39-9211-70F2F5F451C2}"/>
    <cellStyle name="Comma 6 3 11" xfId="7273" xr:uid="{3CAD4D5F-3CF2-4211-9717-589DBF2751B0}"/>
    <cellStyle name="Comma 6 3 12" xfId="8571" xr:uid="{16EDF17E-6716-486C-9884-38F367CB1C67}"/>
    <cellStyle name="Comma 6 3 13" xfId="9708" xr:uid="{C601D625-0E1A-402F-894A-39DF61CB688A}"/>
    <cellStyle name="Comma 6 3 14" xfId="10835" xr:uid="{91A1C698-5329-4863-B4CC-A24633328472}"/>
    <cellStyle name="Comma 6 3 15" xfId="11795" xr:uid="{6584F598-7A0E-45F8-9F3D-F43AFB46F521}"/>
    <cellStyle name="Comma 6 3 16" xfId="14048" xr:uid="{5D63C1BA-BC04-4D4F-B029-234D267FAC0D}"/>
    <cellStyle name="Comma 6 3 17" xfId="16301" xr:uid="{444D06FD-4321-4971-AEBD-1BAF2B4030A3}"/>
    <cellStyle name="Comma 6 3 2" xfId="505" xr:uid="{2753C30D-AF75-43C3-A8FC-46D70FB7ECE4}"/>
    <cellStyle name="Comma 6 3 2 10" xfId="7274" xr:uid="{505ACD83-4177-4D06-9713-1BCD228102EC}"/>
    <cellStyle name="Comma 6 3 2 11" xfId="8570" xr:uid="{0B803916-0932-4661-92F8-7C63FAAC9610}"/>
    <cellStyle name="Comma 6 3 2 12" xfId="9707" xr:uid="{154F828D-792C-4AD7-9634-231AB231B3F1}"/>
    <cellStyle name="Comma 6 3 2 13" xfId="10834" xr:uid="{465453A2-78A9-406F-89A2-7DF5233E273C}"/>
    <cellStyle name="Comma 6 3 2 14" xfId="11796" xr:uid="{92BFA065-3E6C-4F52-9BAC-AFDF3F652269}"/>
    <cellStyle name="Comma 6 3 2 15" xfId="14049" xr:uid="{21156299-4B46-4B09-A356-0FE910AEA551}"/>
    <cellStyle name="Comma 6 3 2 16" xfId="16302" xr:uid="{1A16D52B-415B-4919-8EAE-F7404361E9B3}"/>
    <cellStyle name="Comma 6 3 2 2" xfId="506" xr:uid="{8F614020-154D-47E4-8C81-38D6B32BE09D}"/>
    <cellStyle name="Comma 6 3 2 2 10" xfId="8569" xr:uid="{A9766AD0-0CD9-4CC5-B634-EE9EE24DE691}"/>
    <cellStyle name="Comma 6 3 2 2 11" xfId="9706" xr:uid="{3EA7FFD4-D6C4-4E35-8C95-68DBA2A08B3C}"/>
    <cellStyle name="Comma 6 3 2 2 12" xfId="10833" xr:uid="{AA5E4A35-BAEB-4F9E-AB35-5412593D6415}"/>
    <cellStyle name="Comma 6 3 2 2 13" xfId="11797" xr:uid="{ECD228A8-94E7-4F91-AB04-C3E200D6C287}"/>
    <cellStyle name="Comma 6 3 2 2 14" xfId="14050" xr:uid="{1AFF8BE2-1303-4362-963C-BE48B27F5BF4}"/>
    <cellStyle name="Comma 6 3 2 2 15" xfId="16303" xr:uid="{00C4056C-DC26-4C55-819A-AA3FF1371F6F}"/>
    <cellStyle name="Comma 6 3 2 2 2" xfId="507" xr:uid="{E51CEAE7-98D6-4BD8-A105-6206CA057B17}"/>
    <cellStyle name="Comma 6 3 2 2 2 10" xfId="10832" xr:uid="{B7ED5049-EFA6-43B1-97CB-F2913B625036}"/>
    <cellStyle name="Comma 6 3 2 2 2 11" xfId="11798" xr:uid="{14323DC4-B64F-41B3-8B71-7A00CF65B096}"/>
    <cellStyle name="Comma 6 3 2 2 2 12" xfId="14051" xr:uid="{D7CA1059-9583-40C7-B1C5-BDE1647DA567}"/>
    <cellStyle name="Comma 6 3 2 2 2 13" xfId="16304" xr:uid="{F51BFED1-BF3A-48DE-B63F-A7BA393F59C7}"/>
    <cellStyle name="Comma 6 3 2 2 2 2" xfId="1641" xr:uid="{EBEF9AB2-336B-46C4-8E1B-557A665CE180}"/>
    <cellStyle name="Comma 6 3 2 2 2 2 2" xfId="12925" xr:uid="{B39A88F3-AC57-4947-8D8D-2E187780EB3D}"/>
    <cellStyle name="Comma 6 3 2 2 2 2 3" xfId="15178" xr:uid="{42CA7016-46E3-40DB-B99F-5884506FD2B5}"/>
    <cellStyle name="Comma 6 3 2 2 2 2 4" xfId="17431" xr:uid="{2B0E4024-EEB9-4364-A9B7-B66845E83D2F}"/>
    <cellStyle name="Comma 6 3 2 2 2 3" xfId="2767" xr:uid="{F31F1D3E-AD46-4727-838B-2C4A83F87E41}"/>
    <cellStyle name="Comma 6 3 2 2 2 4" xfId="3893" xr:uid="{8E23A9CC-4A6D-4593-B381-03E20CDB8E06}"/>
    <cellStyle name="Comma 6 3 2 2 2 5" xfId="5019" xr:uid="{26BE7EEB-1D3C-49FC-821B-7457D7CD419A}"/>
    <cellStyle name="Comma 6 3 2 2 2 6" xfId="6146" xr:uid="{22ACFF1D-71C1-4B0D-A44A-18A5FC517FCD}"/>
    <cellStyle name="Comma 6 3 2 2 2 7" xfId="7276" xr:uid="{D95FACBD-0CE5-42E5-A3BC-C66AA235C50B}"/>
    <cellStyle name="Comma 6 3 2 2 2 8" xfId="8568" xr:uid="{537625A4-B235-4CBE-9F18-43A3815EA1D9}"/>
    <cellStyle name="Comma 6 3 2 2 2 9" xfId="9705" xr:uid="{FF683981-4480-4A38-BC12-FDE7A25D3FE3}"/>
    <cellStyle name="Comma 6 3 2 2 3" xfId="508" xr:uid="{88D6B3EE-7605-4BF7-9EDF-1D9A2CBACB95}"/>
    <cellStyle name="Comma 6 3 2 2 3 10" xfId="10831" xr:uid="{0F2A5156-E85F-4A9B-B8B6-1A54F9BAF4DA}"/>
    <cellStyle name="Comma 6 3 2 2 3 11" xfId="11799" xr:uid="{F593E71D-3FEA-4DBD-A1B3-B33A419D9C9B}"/>
    <cellStyle name="Comma 6 3 2 2 3 12" xfId="14052" xr:uid="{6D99F9F2-3066-4D0A-8AB5-72DF84AAA8AB}"/>
    <cellStyle name="Comma 6 3 2 2 3 13" xfId="16305" xr:uid="{23604DB5-CD30-4E8C-89B2-48073716CBEC}"/>
    <cellStyle name="Comma 6 3 2 2 3 2" xfId="1642" xr:uid="{346E5656-3416-4DB3-9DFC-C6E62D944B63}"/>
    <cellStyle name="Comma 6 3 2 2 3 2 2" xfId="12926" xr:uid="{5C9CCB84-2AB2-4576-B10A-47A6247CD150}"/>
    <cellStyle name="Comma 6 3 2 2 3 2 3" xfId="15179" xr:uid="{9B72B21E-8C11-4772-AC23-45AE435958BA}"/>
    <cellStyle name="Comma 6 3 2 2 3 2 4" xfId="17432" xr:uid="{7C9A9262-FAC9-446B-934D-A9550234CC02}"/>
    <cellStyle name="Comma 6 3 2 2 3 3" xfId="2768" xr:uid="{E9BC73D5-8B06-4585-A9AE-051CB4086979}"/>
    <cellStyle name="Comma 6 3 2 2 3 4" xfId="3894" xr:uid="{9DA04E5B-DB06-4438-B5E0-D3761E2327ED}"/>
    <cellStyle name="Comma 6 3 2 2 3 5" xfId="5020" xr:uid="{D802A381-72E7-474F-9045-E0594F052FF6}"/>
    <cellStyle name="Comma 6 3 2 2 3 6" xfId="6147" xr:uid="{FBB3789E-CEF9-42A5-8D8E-0C864DD8DC9E}"/>
    <cellStyle name="Comma 6 3 2 2 3 7" xfId="7277" xr:uid="{FE07C015-4232-4F18-A27C-1394B15A0DCF}"/>
    <cellStyle name="Comma 6 3 2 2 3 8" xfId="8567" xr:uid="{AC607A53-8ABF-46C9-98CF-604575DB37B5}"/>
    <cellStyle name="Comma 6 3 2 2 3 9" xfId="9704" xr:uid="{AB1B1851-BF76-4155-8101-6B59A1686A8E}"/>
    <cellStyle name="Comma 6 3 2 2 4" xfId="1640" xr:uid="{96ED8B6A-1579-44DD-B7C3-AF40CBACE62F}"/>
    <cellStyle name="Comma 6 3 2 2 4 2" xfId="12924" xr:uid="{62083AF1-5A86-4DB6-B2E4-714C509EBDDE}"/>
    <cellStyle name="Comma 6 3 2 2 4 3" xfId="15177" xr:uid="{FF8B27AF-2CCA-4229-89A4-48D24DE22C4F}"/>
    <cellStyle name="Comma 6 3 2 2 4 4" xfId="17430" xr:uid="{55D4FE4E-7FA2-4972-80A7-E27FD42F5B35}"/>
    <cellStyle name="Comma 6 3 2 2 5" xfId="2766" xr:uid="{65AE7FDB-7EB6-4FF8-BC0F-EAA2708C08DC}"/>
    <cellStyle name="Comma 6 3 2 2 6" xfId="3892" xr:uid="{13C2F122-D2AD-4A25-A40B-E6495979990F}"/>
    <cellStyle name="Comma 6 3 2 2 7" xfId="5018" xr:uid="{95D48E36-5C55-4ADE-AAA5-F42A48B9B515}"/>
    <cellStyle name="Comma 6 3 2 2 8" xfId="6145" xr:uid="{15886AE7-0345-4E2B-9C74-E6B06AA7CDE3}"/>
    <cellStyle name="Comma 6 3 2 2 9" xfId="7275" xr:uid="{92F80838-20D6-430F-9A0C-76342A84CB73}"/>
    <cellStyle name="Comma 6 3 2 3" xfId="509" xr:uid="{147510D0-6558-468F-A43E-742A7ED24C5B}"/>
    <cellStyle name="Comma 6 3 2 3 10" xfId="10830" xr:uid="{69373D75-B3CB-451E-A52D-BD8E99222B6C}"/>
    <cellStyle name="Comma 6 3 2 3 11" xfId="11800" xr:uid="{EE188F4A-386B-431F-ACAA-D4425992E707}"/>
    <cellStyle name="Comma 6 3 2 3 12" xfId="14053" xr:uid="{F9785FBF-7784-4F56-96BA-8DE9738A4680}"/>
    <cellStyle name="Comma 6 3 2 3 13" xfId="16306" xr:uid="{7F3B3DAB-E894-4767-B633-712238343296}"/>
    <cellStyle name="Comma 6 3 2 3 2" xfId="1643" xr:uid="{62C3C2CC-1F5C-4FAB-A141-49AAEE45BAD9}"/>
    <cellStyle name="Comma 6 3 2 3 2 2" xfId="12927" xr:uid="{B6EE0795-1397-414D-B98F-9FB943F8E618}"/>
    <cellStyle name="Comma 6 3 2 3 2 3" xfId="15180" xr:uid="{CC8E200D-75CC-469C-B9E8-8D8074A1722C}"/>
    <cellStyle name="Comma 6 3 2 3 2 4" xfId="17433" xr:uid="{C8935094-32BA-433B-BBDA-FA90BD675972}"/>
    <cellStyle name="Comma 6 3 2 3 3" xfId="2769" xr:uid="{993FA1FC-6056-419C-B618-EAA3894B0F40}"/>
    <cellStyle name="Comma 6 3 2 3 4" xfId="3895" xr:uid="{BFDBBE8F-08DB-4DF2-9E5C-E33CD3C5B6BB}"/>
    <cellStyle name="Comma 6 3 2 3 5" xfId="5021" xr:uid="{6997096C-BD22-49AA-97DD-2D3EA5F9B348}"/>
    <cellStyle name="Comma 6 3 2 3 6" xfId="6148" xr:uid="{95D58E63-5CEC-4027-9D8D-B9975F2D3B93}"/>
    <cellStyle name="Comma 6 3 2 3 7" xfId="7278" xr:uid="{ABD05746-37DD-4AE2-96FB-6674CB00B7DB}"/>
    <cellStyle name="Comma 6 3 2 3 8" xfId="8566" xr:uid="{D9F0600D-3076-467A-BAB7-2450C6D69BE2}"/>
    <cellStyle name="Comma 6 3 2 3 9" xfId="9703" xr:uid="{DABB1039-7B49-41D8-9FC5-75DF96539D02}"/>
    <cellStyle name="Comma 6 3 2 4" xfId="510" xr:uid="{020ACE3D-BE1D-404A-8729-0FE801F023D2}"/>
    <cellStyle name="Comma 6 3 2 4 10" xfId="10829" xr:uid="{6C7D0EDD-CEE6-4F4C-970B-CB23B69412FA}"/>
    <cellStyle name="Comma 6 3 2 4 11" xfId="11801" xr:uid="{D4564D5E-DFCC-4631-977A-FE02EBC9FF34}"/>
    <cellStyle name="Comma 6 3 2 4 12" xfId="14054" xr:uid="{8E0D73AF-A9A2-437D-9901-FA925C4BE0C4}"/>
    <cellStyle name="Comma 6 3 2 4 13" xfId="16307" xr:uid="{159124A4-1BF6-4D06-80A4-A728D62685AF}"/>
    <cellStyle name="Comma 6 3 2 4 2" xfId="1644" xr:uid="{E661BFBB-9FC5-4063-B585-DFC03D73DF86}"/>
    <cellStyle name="Comma 6 3 2 4 2 2" xfId="12928" xr:uid="{A8A2BC67-3A70-4EB9-B9D7-B1C311A36623}"/>
    <cellStyle name="Comma 6 3 2 4 2 3" xfId="15181" xr:uid="{C906B254-DEBA-46EA-96CE-7C5091F12297}"/>
    <cellStyle name="Comma 6 3 2 4 2 4" xfId="17434" xr:uid="{28B65B57-7624-483C-B66F-97B5A68B6B54}"/>
    <cellStyle name="Comma 6 3 2 4 3" xfId="2770" xr:uid="{049E6826-9A56-4A83-A240-9CA73396A152}"/>
    <cellStyle name="Comma 6 3 2 4 4" xfId="3896" xr:uid="{C21C2725-8D7A-4484-90B7-365B00A47167}"/>
    <cellStyle name="Comma 6 3 2 4 5" xfId="5022" xr:uid="{F1628826-5493-4F0F-979A-B7800B9E9AFA}"/>
    <cellStyle name="Comma 6 3 2 4 6" xfId="6149" xr:uid="{461DD602-B96A-498E-BDC5-3E2571B44045}"/>
    <cellStyle name="Comma 6 3 2 4 7" xfId="7279" xr:uid="{D7BB5E02-4436-44F8-9B93-BC9DD187449B}"/>
    <cellStyle name="Comma 6 3 2 4 8" xfId="8565" xr:uid="{2BDC9479-6789-4A1E-9435-50819C0BE7B4}"/>
    <cellStyle name="Comma 6 3 2 4 9" xfId="9702" xr:uid="{6440BE30-DF8A-4602-A2D8-2598AA7E76F7}"/>
    <cellStyle name="Comma 6 3 2 5" xfId="1639" xr:uid="{82842D68-5D5B-4B8C-A5F2-B82CF032910F}"/>
    <cellStyle name="Comma 6 3 2 5 2" xfId="12923" xr:uid="{6D99ACB6-828E-4A76-863D-0D8217D730AE}"/>
    <cellStyle name="Comma 6 3 2 5 3" xfId="15176" xr:uid="{922260B4-7529-4AD3-BF82-F983299EFACD}"/>
    <cellStyle name="Comma 6 3 2 5 4" xfId="17429" xr:uid="{DAFC9CC7-FFFD-4F4F-A5C1-4374304A3608}"/>
    <cellStyle name="Comma 6 3 2 6" xfId="2765" xr:uid="{ADBDA0FC-676D-4592-BA7A-F1F3CA0F222C}"/>
    <cellStyle name="Comma 6 3 2 7" xfId="3891" xr:uid="{21685D1F-E484-42E4-B1DF-6350BEF39A47}"/>
    <cellStyle name="Comma 6 3 2 8" xfId="5017" xr:uid="{35AD963C-10B8-42A2-AC76-767E9AE832EB}"/>
    <cellStyle name="Comma 6 3 2 9" xfId="6144" xr:uid="{73DBF214-BE43-4A17-A57F-5C76868C51B5}"/>
    <cellStyle name="Comma 6 3 3" xfId="511" xr:uid="{0F99B78B-5034-416D-BF68-7DEC822E7201}"/>
    <cellStyle name="Comma 6 3 3 10" xfId="8564" xr:uid="{5561A191-4ACE-4420-B851-323C49B21236}"/>
    <cellStyle name="Comma 6 3 3 11" xfId="9701" xr:uid="{B6C2A1BA-6941-4C9F-B8AA-5BA10F4EADA3}"/>
    <cellStyle name="Comma 6 3 3 12" xfId="10828" xr:uid="{0D831650-0C86-4F82-BB0D-655C5B68C827}"/>
    <cellStyle name="Comma 6 3 3 13" xfId="11802" xr:uid="{B9FC2004-0710-4032-B817-C3C5B76A4F28}"/>
    <cellStyle name="Comma 6 3 3 14" xfId="14055" xr:uid="{DE81426E-6F38-4D9E-9E4F-B694EE65B276}"/>
    <cellStyle name="Comma 6 3 3 15" xfId="16308" xr:uid="{FB595349-937D-4B1C-BBFB-1D0A53A5C686}"/>
    <cellStyle name="Comma 6 3 3 2" xfId="512" xr:uid="{89AC4047-735C-420D-9C77-153A06580CCF}"/>
    <cellStyle name="Comma 6 3 3 2 10" xfId="10827" xr:uid="{3F0A6649-2681-4E01-BFC4-2C800C09360A}"/>
    <cellStyle name="Comma 6 3 3 2 11" xfId="11803" xr:uid="{7BF67D3E-5FDA-492D-8607-3E841D86018B}"/>
    <cellStyle name="Comma 6 3 3 2 12" xfId="14056" xr:uid="{DAFD5DEA-DE1A-49DA-95AA-5B3E0D338C90}"/>
    <cellStyle name="Comma 6 3 3 2 13" xfId="16309" xr:uid="{ECCCDBFF-AAE3-43EE-BFD4-47CEBB9560AB}"/>
    <cellStyle name="Comma 6 3 3 2 2" xfId="1646" xr:uid="{CDBF339F-B0EE-49BD-9D37-95257CF46F57}"/>
    <cellStyle name="Comma 6 3 3 2 2 2" xfId="12930" xr:uid="{748CFAE2-84F6-4075-9CE7-5DE6D4AE8E0B}"/>
    <cellStyle name="Comma 6 3 3 2 2 3" xfId="15183" xr:uid="{355CC80A-E048-40AF-AD96-6B28D34F8638}"/>
    <cellStyle name="Comma 6 3 3 2 2 4" xfId="17436" xr:uid="{CC120770-19C9-47EB-9E26-0973DF80E025}"/>
    <cellStyle name="Comma 6 3 3 2 3" xfId="2772" xr:uid="{F7E0FA4C-745A-457F-9EBE-DE577F7FA00A}"/>
    <cellStyle name="Comma 6 3 3 2 4" xfId="3898" xr:uid="{8AE3A4B0-410B-4973-8712-9A8727B33812}"/>
    <cellStyle name="Comma 6 3 3 2 5" xfId="5024" xr:uid="{9501B17A-AB9C-47FC-AB8C-D0C8F0925AF0}"/>
    <cellStyle name="Comma 6 3 3 2 6" xfId="6151" xr:uid="{5E24CB5D-C867-498A-9B8F-62DAE5650102}"/>
    <cellStyle name="Comma 6 3 3 2 7" xfId="7281" xr:uid="{EE51C385-53D2-40DC-8142-C94979CA4CC1}"/>
    <cellStyle name="Comma 6 3 3 2 8" xfId="8563" xr:uid="{537FE53F-A8B0-47F4-A518-30B50C614672}"/>
    <cellStyle name="Comma 6 3 3 2 9" xfId="9700" xr:uid="{E1F8E98D-9A1C-4A9E-9F61-06BE880DE6B8}"/>
    <cellStyle name="Comma 6 3 3 3" xfId="513" xr:uid="{7719B963-C14A-430F-A4AC-F134BD1E8EE5}"/>
    <cellStyle name="Comma 6 3 3 3 10" xfId="10826" xr:uid="{3B3DA6B8-F41F-482D-BA65-78980336D464}"/>
    <cellStyle name="Comma 6 3 3 3 11" xfId="11804" xr:uid="{C5B22CB1-41E5-45BF-A03D-D7C72F8E65E2}"/>
    <cellStyle name="Comma 6 3 3 3 12" xfId="14057" xr:uid="{460D399A-7337-4F2C-A69E-86CF1DD53DFF}"/>
    <cellStyle name="Comma 6 3 3 3 13" xfId="16310" xr:uid="{C419CF2D-3A6A-4A45-A8DF-B80E23C61F86}"/>
    <cellStyle name="Comma 6 3 3 3 2" xfId="1647" xr:uid="{F187BF9E-7C9F-47E2-BE8C-36F258D23FD9}"/>
    <cellStyle name="Comma 6 3 3 3 2 2" xfId="12931" xr:uid="{9C9A03B2-E312-44A5-ABDD-84EAF8C581F6}"/>
    <cellStyle name="Comma 6 3 3 3 2 3" xfId="15184" xr:uid="{8BA8882F-17FB-4FF5-909D-6E0900E113C7}"/>
    <cellStyle name="Comma 6 3 3 3 2 4" xfId="17437" xr:uid="{3A3A5BE2-B56B-4230-A92A-3515A8F8607A}"/>
    <cellStyle name="Comma 6 3 3 3 3" xfId="2773" xr:uid="{1B0FCA8F-D4BD-46A5-9E97-B9B0822EB8AC}"/>
    <cellStyle name="Comma 6 3 3 3 4" xfId="3899" xr:uid="{2D7452E5-0520-47F2-AA6D-B9C0066E88E3}"/>
    <cellStyle name="Comma 6 3 3 3 5" xfId="5025" xr:uid="{4B43AB20-526E-4ACC-B177-63819A4B09A1}"/>
    <cellStyle name="Comma 6 3 3 3 6" xfId="6152" xr:uid="{E2704571-60B2-4C00-8AFA-8862C821EBBF}"/>
    <cellStyle name="Comma 6 3 3 3 7" xfId="7282" xr:uid="{091E52A0-23B2-4130-808A-12D68D0BA962}"/>
    <cellStyle name="Comma 6 3 3 3 8" xfId="8562" xr:uid="{3D0F0F8B-DF39-4121-BD5D-C39878F6B8E1}"/>
    <cellStyle name="Comma 6 3 3 3 9" xfId="9699" xr:uid="{0D5C32AE-3543-4A12-974E-EEEE84CD47F0}"/>
    <cellStyle name="Comma 6 3 3 4" xfId="1645" xr:uid="{317B01E3-7BA6-4F7B-9D8B-9CE849860BC0}"/>
    <cellStyle name="Comma 6 3 3 4 2" xfId="12929" xr:uid="{32B07B6F-72C2-4F9F-B358-441A513FDDE8}"/>
    <cellStyle name="Comma 6 3 3 4 3" xfId="15182" xr:uid="{BD617170-21B0-4952-AB50-26521B4C7DB3}"/>
    <cellStyle name="Comma 6 3 3 4 4" xfId="17435" xr:uid="{0F3B92C6-01A8-4A31-8F58-9B8B55D187F4}"/>
    <cellStyle name="Comma 6 3 3 5" xfId="2771" xr:uid="{DC1CAC80-E639-4602-825E-70443273EDC8}"/>
    <cellStyle name="Comma 6 3 3 6" xfId="3897" xr:uid="{6B6C9CBF-6F91-4299-8447-DB49A9608E87}"/>
    <cellStyle name="Comma 6 3 3 7" xfId="5023" xr:uid="{AD9AD011-B8CA-4C55-9A60-FE45077D1316}"/>
    <cellStyle name="Comma 6 3 3 8" xfId="6150" xr:uid="{FAB4B066-CBDF-4B33-BDEF-9E5C3BD980B2}"/>
    <cellStyle name="Comma 6 3 3 9" xfId="7280" xr:uid="{1C5C59EE-E49C-4155-9E03-3BF5E6E01133}"/>
    <cellStyle name="Comma 6 3 4" xfId="514" xr:uid="{1E86A2E1-7C47-4BBF-BC68-2CE042BDA517}"/>
    <cellStyle name="Comma 6 3 4 10" xfId="10825" xr:uid="{54FA2AED-5AE8-4431-83EC-ED002BFE0BB1}"/>
    <cellStyle name="Comma 6 3 4 11" xfId="11805" xr:uid="{B253E1C3-5103-4691-9894-DDBE18D58FAA}"/>
    <cellStyle name="Comma 6 3 4 12" xfId="14058" xr:uid="{4CFB8029-92C2-400E-AC99-883E59CD13CD}"/>
    <cellStyle name="Comma 6 3 4 13" xfId="16311" xr:uid="{DB77041E-3685-46F1-930B-F3B50A1FB886}"/>
    <cellStyle name="Comma 6 3 4 2" xfId="1648" xr:uid="{F1F13FD3-B870-42D7-8790-0E4D2CDAA240}"/>
    <cellStyle name="Comma 6 3 4 2 2" xfId="12932" xr:uid="{AE37DB9D-6F24-49E4-A01D-C273D90EC5F9}"/>
    <cellStyle name="Comma 6 3 4 2 3" xfId="15185" xr:uid="{C7739E74-3528-4FA3-B145-7BA886F27EE8}"/>
    <cellStyle name="Comma 6 3 4 2 4" xfId="17438" xr:uid="{D13A7139-3C3A-4E06-9102-A6FA2A9659A5}"/>
    <cellStyle name="Comma 6 3 4 3" xfId="2774" xr:uid="{545DE59F-47F7-45C4-A0C4-397CA7F6D317}"/>
    <cellStyle name="Comma 6 3 4 4" xfId="3900" xr:uid="{DCC9B0A7-C315-4B0E-B36E-A0A341221607}"/>
    <cellStyle name="Comma 6 3 4 5" xfId="5026" xr:uid="{8C36A807-A86A-409A-BD44-389D18A4CA04}"/>
    <cellStyle name="Comma 6 3 4 6" xfId="6153" xr:uid="{E9106BA8-B989-4747-8EDA-4E4639B8863E}"/>
    <cellStyle name="Comma 6 3 4 7" xfId="7283" xr:uid="{E063CB7A-D9FF-47E6-ABCC-9E3824147BB4}"/>
    <cellStyle name="Comma 6 3 4 8" xfId="8561" xr:uid="{9E95E725-78F8-4978-84B7-5AE0F1C1C12D}"/>
    <cellStyle name="Comma 6 3 4 9" xfId="9698" xr:uid="{0AE8C36F-78D0-4286-8674-03B87302A999}"/>
    <cellStyle name="Comma 6 3 5" xfId="515" xr:uid="{73ACF2D7-E3F5-460D-A450-9F8D0BAE9720}"/>
    <cellStyle name="Comma 6 3 5 10" xfId="10824" xr:uid="{92D6F22E-F3D3-4740-AD9C-CCB082B508B3}"/>
    <cellStyle name="Comma 6 3 5 11" xfId="11806" xr:uid="{7B167664-6A44-4653-AE75-8188F5548A37}"/>
    <cellStyle name="Comma 6 3 5 12" xfId="14059" xr:uid="{03D1801E-16FD-451D-82F8-5D48C6AD5DBE}"/>
    <cellStyle name="Comma 6 3 5 13" xfId="16312" xr:uid="{EECA7CB1-EA7A-4EC7-9BD2-69F787CB537A}"/>
    <cellStyle name="Comma 6 3 5 2" xfId="1649" xr:uid="{B9D703D1-5CE8-42F4-BBD8-1C552334632A}"/>
    <cellStyle name="Comma 6 3 5 2 2" xfId="12933" xr:uid="{76325F5E-F811-40A1-AE99-F69999680414}"/>
    <cellStyle name="Comma 6 3 5 2 3" xfId="15186" xr:uid="{68E15D06-1367-45EC-B86C-023832C502F0}"/>
    <cellStyle name="Comma 6 3 5 2 4" xfId="17439" xr:uid="{922BFD2B-F7E4-494F-ADE1-19F8AEED0C5F}"/>
    <cellStyle name="Comma 6 3 5 3" xfId="2775" xr:uid="{BBE8CD9F-25E9-40E7-81E6-7488D10BFFC8}"/>
    <cellStyle name="Comma 6 3 5 4" xfId="3901" xr:uid="{1B635383-9623-47C2-B0DC-F970BE3186D1}"/>
    <cellStyle name="Comma 6 3 5 5" xfId="5027" xr:uid="{767572AE-10AE-483F-9E0B-A786392A7623}"/>
    <cellStyle name="Comma 6 3 5 6" xfId="6154" xr:uid="{51554D29-3C7B-48DE-9F35-2DD5000AFA55}"/>
    <cellStyle name="Comma 6 3 5 7" xfId="7284" xr:uid="{2967250A-EBA2-4870-8CE7-F4CBB8B821FC}"/>
    <cellStyle name="Comma 6 3 5 8" xfId="8560" xr:uid="{4F1EAE5F-954A-4426-9BD4-D8BDF40E3527}"/>
    <cellStyle name="Comma 6 3 5 9" xfId="9697" xr:uid="{06199EF8-5C89-4639-A9F2-53DDB304CE8F}"/>
    <cellStyle name="Comma 6 3 6" xfId="1638" xr:uid="{0274DB55-4E3D-46C5-9130-47A450587C98}"/>
    <cellStyle name="Comma 6 3 6 2" xfId="12922" xr:uid="{893D6C94-547C-4C07-AF42-44C7C9B30B7C}"/>
    <cellStyle name="Comma 6 3 6 3" xfId="15175" xr:uid="{8029899D-1649-4972-828D-C44D8E0A84BB}"/>
    <cellStyle name="Comma 6 3 6 4" xfId="17428" xr:uid="{6EC4DD7A-2B4E-4D26-978E-1E7AB927389B}"/>
    <cellStyle name="Comma 6 3 7" xfId="2764" xr:uid="{9BA5BE35-37A7-4705-B31D-96BED0C690C5}"/>
    <cellStyle name="Comma 6 3 8" xfId="3890" xr:uid="{D2C75A35-70EE-49BF-BF54-5D5DCA388C02}"/>
    <cellStyle name="Comma 6 3 9" xfId="5016" xr:uid="{1EDA9D45-6D6D-4468-BBEA-76476219FE7F}"/>
    <cellStyle name="Comma 6 4" xfId="516" xr:uid="{F86EDB1A-C612-4E01-B776-8EA71D31A553}"/>
    <cellStyle name="Comma 6 4 10" xfId="7285" xr:uid="{8CF5E6CF-B13E-4B52-94F2-7D158C8A7188}"/>
    <cellStyle name="Comma 6 4 11" xfId="8559" xr:uid="{54B44B7B-9BD7-4B5E-BEDE-3C209B14AD23}"/>
    <cellStyle name="Comma 6 4 12" xfId="9696" xr:uid="{88221891-D7D7-4978-9908-C891D8D6D878}"/>
    <cellStyle name="Comma 6 4 13" xfId="10823" xr:uid="{ADBD9510-9149-40BA-AA03-B983ACCFDAFA}"/>
    <cellStyle name="Comma 6 4 14" xfId="11807" xr:uid="{4839062F-0159-4ED0-ABCD-7961806FA979}"/>
    <cellStyle name="Comma 6 4 15" xfId="14060" xr:uid="{B7332F71-9A25-4EFE-825D-F8BAF3662A74}"/>
    <cellStyle name="Comma 6 4 16" xfId="16313" xr:uid="{3B3B670E-4C5B-4D53-BE90-832AF62C168F}"/>
    <cellStyle name="Comma 6 4 2" xfId="517" xr:uid="{D5166829-5199-4036-95AB-0134DA4B6061}"/>
    <cellStyle name="Comma 6 4 2 10" xfId="8558" xr:uid="{2BCF21EA-D2B2-498D-8550-DC7D4F059502}"/>
    <cellStyle name="Comma 6 4 2 11" xfId="9695" xr:uid="{8F47B958-2A74-4452-A437-3E530BA20DFA}"/>
    <cellStyle name="Comma 6 4 2 12" xfId="10822" xr:uid="{0D8F0CAE-0AD8-4930-8D10-6959189A9588}"/>
    <cellStyle name="Comma 6 4 2 13" xfId="11808" xr:uid="{DF6642D3-1916-42A5-9C42-E55660635CE4}"/>
    <cellStyle name="Comma 6 4 2 14" xfId="14061" xr:uid="{8518E87A-DB66-4498-BDB1-8E6E3CA97CF7}"/>
    <cellStyle name="Comma 6 4 2 15" xfId="16314" xr:uid="{4C78F9E8-8875-4D1C-9E7A-E06A22801D31}"/>
    <cellStyle name="Comma 6 4 2 2" xfId="518" xr:uid="{96BDE932-1C0F-495C-B93D-33171D069EED}"/>
    <cellStyle name="Comma 6 4 2 2 10" xfId="10821" xr:uid="{B3A6B10B-E435-431A-B5C4-C44A56D6BB04}"/>
    <cellStyle name="Comma 6 4 2 2 11" xfId="11809" xr:uid="{97DEEFE4-20D5-4A50-B760-CCA7D44F0487}"/>
    <cellStyle name="Comma 6 4 2 2 12" xfId="14062" xr:uid="{9280266B-7B8A-4BBD-B0C5-F469256DDD10}"/>
    <cellStyle name="Comma 6 4 2 2 13" xfId="16315" xr:uid="{D70FEC4F-1CD4-48A9-99F5-A75E3FEE1FEA}"/>
    <cellStyle name="Comma 6 4 2 2 2" xfId="1652" xr:uid="{ADBE3A6A-777A-458D-B510-98C1B0085070}"/>
    <cellStyle name="Comma 6 4 2 2 2 2" xfId="12936" xr:uid="{4989AD82-8412-4B7E-8BC9-65C332DAAC5D}"/>
    <cellStyle name="Comma 6 4 2 2 2 3" xfId="15189" xr:uid="{2B49F3BB-E322-4DF2-807E-3D140592CE32}"/>
    <cellStyle name="Comma 6 4 2 2 2 4" xfId="17442" xr:uid="{58D7FC64-9FCA-427A-9303-B9905941E343}"/>
    <cellStyle name="Comma 6 4 2 2 3" xfId="2778" xr:uid="{586BB697-4D25-496E-A3D8-92568B0B8D41}"/>
    <cellStyle name="Comma 6 4 2 2 4" xfId="3904" xr:uid="{CED19442-6C07-4F69-B5E2-4226FB1BF301}"/>
    <cellStyle name="Comma 6 4 2 2 5" xfId="5030" xr:uid="{C8221EA0-E2F3-4FC6-B095-FBD1CCCE296B}"/>
    <cellStyle name="Comma 6 4 2 2 6" xfId="6157" xr:uid="{4C313A06-A9CD-4011-A0C7-1DC1651F06E5}"/>
    <cellStyle name="Comma 6 4 2 2 7" xfId="7287" xr:uid="{2A33884C-0B04-422B-BB8B-C41FE79A7138}"/>
    <cellStyle name="Comma 6 4 2 2 8" xfId="8557" xr:uid="{7E7C0574-29D9-4566-9DCA-B2D4812A5DA6}"/>
    <cellStyle name="Comma 6 4 2 2 9" xfId="9694" xr:uid="{44610E31-6EF3-4E4D-B35B-26E762849277}"/>
    <cellStyle name="Comma 6 4 2 3" xfId="519" xr:uid="{D8ED9A52-400A-450E-8CED-4C9EDB238D07}"/>
    <cellStyle name="Comma 6 4 2 3 10" xfId="10820" xr:uid="{B0F9B151-E196-4743-BD79-15F554C7A7D4}"/>
    <cellStyle name="Comma 6 4 2 3 11" xfId="11810" xr:uid="{3849EB1B-472B-42A4-94B8-10A85A929ECF}"/>
    <cellStyle name="Comma 6 4 2 3 12" xfId="14063" xr:uid="{1C07A95B-5353-475F-B881-5E42A8CEB7AA}"/>
    <cellStyle name="Comma 6 4 2 3 13" xfId="16316" xr:uid="{D8ACB096-A908-4B2A-B711-F3BFC2CBE924}"/>
    <cellStyle name="Comma 6 4 2 3 2" xfId="1653" xr:uid="{F95F166D-774D-4979-984D-4989986B4A7B}"/>
    <cellStyle name="Comma 6 4 2 3 2 2" xfId="12937" xr:uid="{093A621A-C5E0-4CD8-8ABB-E1A4FA7EBE4E}"/>
    <cellStyle name="Comma 6 4 2 3 2 3" xfId="15190" xr:uid="{17EFC271-D8B1-4F73-80AE-46E538DA4F04}"/>
    <cellStyle name="Comma 6 4 2 3 2 4" xfId="17443" xr:uid="{496EA5A2-DC70-453E-9A05-9C72E8A989AA}"/>
    <cellStyle name="Comma 6 4 2 3 3" xfId="2779" xr:uid="{024E2AE4-A74A-4735-918C-87E18C447573}"/>
    <cellStyle name="Comma 6 4 2 3 4" xfId="3905" xr:uid="{08300DEB-6696-4975-A977-A28CF816216F}"/>
    <cellStyle name="Comma 6 4 2 3 5" xfId="5031" xr:uid="{C058EA42-71D8-4AF0-8CA0-57A51596BC93}"/>
    <cellStyle name="Comma 6 4 2 3 6" xfId="6158" xr:uid="{6175710E-2D1D-4FB5-B524-5644CA47F71F}"/>
    <cellStyle name="Comma 6 4 2 3 7" xfId="7288" xr:uid="{2825B33B-1046-43F1-A7DB-5A8533CF75D1}"/>
    <cellStyle name="Comma 6 4 2 3 8" xfId="8556" xr:uid="{E2431A8E-8BF5-4F0C-B4EB-EAC82E6B2672}"/>
    <cellStyle name="Comma 6 4 2 3 9" xfId="9693" xr:uid="{CDC59AF3-BFB2-475F-894B-08E0E5071D02}"/>
    <cellStyle name="Comma 6 4 2 4" xfId="1651" xr:uid="{8DA7D151-EF53-446A-B7F9-405121D1CAC6}"/>
    <cellStyle name="Comma 6 4 2 4 2" xfId="12935" xr:uid="{6C6F1A44-5356-4860-86F6-0B5D8CB73FAB}"/>
    <cellStyle name="Comma 6 4 2 4 3" xfId="15188" xr:uid="{3147EAC1-5971-45D0-8F5A-042E87F13A75}"/>
    <cellStyle name="Comma 6 4 2 4 4" xfId="17441" xr:uid="{AC8911D6-BB43-43CB-B5C9-489F42F8D487}"/>
    <cellStyle name="Comma 6 4 2 5" xfId="2777" xr:uid="{C9F9AD25-5F55-4E31-BD81-D07C518134C2}"/>
    <cellStyle name="Comma 6 4 2 6" xfId="3903" xr:uid="{49A50CEC-4BD7-49B1-8ADE-EEA621BF2DED}"/>
    <cellStyle name="Comma 6 4 2 7" xfId="5029" xr:uid="{33033B98-D6A1-4E35-85D0-B06B37543A61}"/>
    <cellStyle name="Comma 6 4 2 8" xfId="6156" xr:uid="{83FE5812-5023-45FE-A19E-932302CC4DB4}"/>
    <cellStyle name="Comma 6 4 2 9" xfId="7286" xr:uid="{2DF13409-A50D-4D40-A0DE-0A325FF0DA85}"/>
    <cellStyle name="Comma 6 4 3" xfId="520" xr:uid="{A8F09D3B-93D0-440B-A71E-3262C77CE314}"/>
    <cellStyle name="Comma 6 4 3 10" xfId="10819" xr:uid="{820D4112-4535-4F97-BF3C-DD177970F5A3}"/>
    <cellStyle name="Comma 6 4 3 11" xfId="11811" xr:uid="{81EDF151-557F-413D-9D81-70308838CAC1}"/>
    <cellStyle name="Comma 6 4 3 12" xfId="14064" xr:uid="{EB4605D8-D9F7-4F53-8D20-76A41A306B23}"/>
    <cellStyle name="Comma 6 4 3 13" xfId="16317" xr:uid="{11DEF68D-DC82-43C1-B4D5-8C8E6AC220C8}"/>
    <cellStyle name="Comma 6 4 3 2" xfId="1654" xr:uid="{542C7EB3-8F4E-4ED5-9484-4E2EFF36B6F1}"/>
    <cellStyle name="Comma 6 4 3 2 2" xfId="12938" xr:uid="{CE464998-BA57-425A-94FA-DB94346AAAC1}"/>
    <cellStyle name="Comma 6 4 3 2 3" xfId="15191" xr:uid="{3059AE91-21FB-4DAE-A5DC-74812F2F5911}"/>
    <cellStyle name="Comma 6 4 3 2 4" xfId="17444" xr:uid="{06BDD0AA-1834-44F8-8FFC-5C597C66764E}"/>
    <cellStyle name="Comma 6 4 3 3" xfId="2780" xr:uid="{3E40B23D-BDD4-4B1D-8FD9-C3CD7D14C0E1}"/>
    <cellStyle name="Comma 6 4 3 4" xfId="3906" xr:uid="{CBAC7E72-289D-4EBD-B04F-D6D2313628FC}"/>
    <cellStyle name="Comma 6 4 3 5" xfId="5032" xr:uid="{015C3E29-11A0-47B6-9E34-75378F7C6D26}"/>
    <cellStyle name="Comma 6 4 3 6" xfId="6159" xr:uid="{73806C36-908B-4B8F-8780-C19C09052A0E}"/>
    <cellStyle name="Comma 6 4 3 7" xfId="7289" xr:uid="{D831B882-9787-4BA7-BC3E-7C1A1DE4E142}"/>
    <cellStyle name="Comma 6 4 3 8" xfId="8555" xr:uid="{9A24C213-BBF9-4D3E-88A7-619E5003A72F}"/>
    <cellStyle name="Comma 6 4 3 9" xfId="9692" xr:uid="{3D3FA4CD-5D11-463B-9A61-B61139BBA21D}"/>
    <cellStyle name="Comma 6 4 4" xfId="521" xr:uid="{9A206170-B139-49F0-9522-1835132050CF}"/>
    <cellStyle name="Comma 6 4 4 10" xfId="10818" xr:uid="{C3A6D968-7D55-4759-B719-C583507E323A}"/>
    <cellStyle name="Comma 6 4 4 11" xfId="11812" xr:uid="{53E80BBE-F60C-4CBA-8AD4-671F009AC582}"/>
    <cellStyle name="Comma 6 4 4 12" xfId="14065" xr:uid="{C036F484-F344-4616-9EB4-3D318FB59AFF}"/>
    <cellStyle name="Comma 6 4 4 13" xfId="16318" xr:uid="{193B3A65-F94A-4BBD-A61A-29ADC81DC074}"/>
    <cellStyle name="Comma 6 4 4 2" xfId="1655" xr:uid="{B201B406-8ADE-46E5-A209-3FB92981A0C9}"/>
    <cellStyle name="Comma 6 4 4 2 2" xfId="12939" xr:uid="{83A31A55-8441-4452-99EE-572702362095}"/>
    <cellStyle name="Comma 6 4 4 2 3" xfId="15192" xr:uid="{9AD6B48C-E1DB-4024-9A64-A3781EE4C2CD}"/>
    <cellStyle name="Comma 6 4 4 2 4" xfId="17445" xr:uid="{C65BBD58-779D-43E2-8C9B-43D966597C08}"/>
    <cellStyle name="Comma 6 4 4 3" xfId="2781" xr:uid="{7D4B5B92-AAB9-438B-AC04-39D13B5D18C7}"/>
    <cellStyle name="Comma 6 4 4 4" xfId="3907" xr:uid="{A2F9B43F-0386-4E81-962A-DBE5C6B45986}"/>
    <cellStyle name="Comma 6 4 4 5" xfId="5033" xr:uid="{AFD4FAD9-7FD8-4579-86A9-1BE93C8FC787}"/>
    <cellStyle name="Comma 6 4 4 6" xfId="6160" xr:uid="{F772B720-79C9-41E3-988F-31E602FA549D}"/>
    <cellStyle name="Comma 6 4 4 7" xfId="7290" xr:uid="{FABD6015-C27C-4975-8236-C8EAFFD9BBFA}"/>
    <cellStyle name="Comma 6 4 4 8" xfId="8554" xr:uid="{C00B6CBA-EAF0-40DD-A281-D9F5B6679F53}"/>
    <cellStyle name="Comma 6 4 4 9" xfId="9691" xr:uid="{A78B6DDE-49C2-4079-A06C-21BE57F1561B}"/>
    <cellStyle name="Comma 6 4 5" xfId="1650" xr:uid="{18EB99A9-5FB4-4D80-8281-CD9DFB224C8F}"/>
    <cellStyle name="Comma 6 4 5 2" xfId="12934" xr:uid="{4DE0D00D-4C5D-458C-89DE-0418F2A4F568}"/>
    <cellStyle name="Comma 6 4 5 3" xfId="15187" xr:uid="{5D2CA724-7892-4219-A4C2-48179F76675A}"/>
    <cellStyle name="Comma 6 4 5 4" xfId="17440" xr:uid="{7D16EAEF-8416-4385-93ED-8C310BE692EC}"/>
    <cellStyle name="Comma 6 4 6" xfId="2776" xr:uid="{6EAE7E91-7D09-4AC8-B071-83EAE6E49399}"/>
    <cellStyle name="Comma 6 4 7" xfId="3902" xr:uid="{C45FFC83-FDB0-467B-9F57-AF2D54884629}"/>
    <cellStyle name="Comma 6 4 8" xfId="5028" xr:uid="{827D8A73-7664-4C46-BEE6-F46C64EF97EB}"/>
    <cellStyle name="Comma 6 4 9" xfId="6155" xr:uid="{A9F6D8B5-E7F1-4BE5-94A3-738100CD7568}"/>
    <cellStyle name="Comma 6 5" xfId="522" xr:uid="{32967758-A723-468E-AC2F-FD24517A62B9}"/>
    <cellStyle name="Comma 6 5 10" xfId="8553" xr:uid="{67ED25D8-D39E-42D7-8329-84C3F3B63B98}"/>
    <cellStyle name="Comma 6 5 11" xfId="9690" xr:uid="{129EC777-F244-4396-BBAE-C7211401D2F8}"/>
    <cellStyle name="Comma 6 5 12" xfId="10817" xr:uid="{F32405A3-3062-48D0-95CB-A8272CD134A9}"/>
    <cellStyle name="Comma 6 5 13" xfId="11813" xr:uid="{BE2D57E8-53F3-4FC7-9777-E29224D377E0}"/>
    <cellStyle name="Comma 6 5 14" xfId="14066" xr:uid="{09188584-1C01-4513-89CE-A943BEBDCC8E}"/>
    <cellStyle name="Comma 6 5 15" xfId="16319" xr:uid="{3EC04873-CAE3-4002-9962-B38D3548D623}"/>
    <cellStyle name="Comma 6 5 2" xfId="523" xr:uid="{5176DD16-6BC9-43D8-B95A-8F55050A0440}"/>
    <cellStyle name="Comma 6 5 2 10" xfId="10816" xr:uid="{EB4708CC-6CD3-4D2F-B421-1C9F28A5BFF0}"/>
    <cellStyle name="Comma 6 5 2 11" xfId="11814" xr:uid="{64F50DDA-1466-4A26-AE55-7CA2812A957F}"/>
    <cellStyle name="Comma 6 5 2 12" xfId="14067" xr:uid="{04AB32B7-5A84-4F23-98CD-38022788018F}"/>
    <cellStyle name="Comma 6 5 2 13" xfId="16320" xr:uid="{88AAB9B7-EF59-4D15-8860-059F647A5765}"/>
    <cellStyle name="Comma 6 5 2 2" xfId="1657" xr:uid="{13F0DE26-503E-4EF7-88F3-B94F5041596A}"/>
    <cellStyle name="Comma 6 5 2 2 2" xfId="12941" xr:uid="{437F450B-1D07-45FE-9567-EE6A2072B3A7}"/>
    <cellStyle name="Comma 6 5 2 2 3" xfId="15194" xr:uid="{781F2050-37A5-42C9-9325-2B47F4536774}"/>
    <cellStyle name="Comma 6 5 2 2 4" xfId="17447" xr:uid="{7E746F51-D2B0-4331-88D4-B852321F3B44}"/>
    <cellStyle name="Comma 6 5 2 3" xfId="2783" xr:uid="{F95151CF-60AE-4135-8040-1B9B295AF0D2}"/>
    <cellStyle name="Comma 6 5 2 4" xfId="3909" xr:uid="{2CCDC9A4-16BD-4DAF-9752-8ED838AD7178}"/>
    <cellStyle name="Comma 6 5 2 5" xfId="5035" xr:uid="{FF6D6459-8984-44B6-B215-189743A03E6A}"/>
    <cellStyle name="Comma 6 5 2 6" xfId="6162" xr:uid="{F10972AA-2174-472A-BD3A-97543AD478D6}"/>
    <cellStyle name="Comma 6 5 2 7" xfId="7292" xr:uid="{593CAA9B-A346-4ED3-85CE-708E4C21BC2A}"/>
    <cellStyle name="Comma 6 5 2 8" xfId="8552" xr:uid="{EBE906E0-E3C8-4842-AE6F-9A968DFB1554}"/>
    <cellStyle name="Comma 6 5 2 9" xfId="9689" xr:uid="{99EE76AC-E408-4673-BACE-3886783D9FBA}"/>
    <cellStyle name="Comma 6 5 3" xfId="524" xr:uid="{C90BAAD2-AD10-454C-9E9F-38E996FB7371}"/>
    <cellStyle name="Comma 6 5 3 10" xfId="10815" xr:uid="{96C216D8-D8D6-47E5-81EE-6256A03A8A4A}"/>
    <cellStyle name="Comma 6 5 3 11" xfId="11815" xr:uid="{10C9F9F2-559F-4A81-B4EA-F03FC3205EA0}"/>
    <cellStyle name="Comma 6 5 3 12" xfId="14068" xr:uid="{B718B035-C67F-4239-B83A-211E3E897A25}"/>
    <cellStyle name="Comma 6 5 3 13" xfId="16321" xr:uid="{2980F374-77F7-4082-AFD0-8E168A2F926B}"/>
    <cellStyle name="Comma 6 5 3 2" xfId="1658" xr:uid="{7F1D9A8B-18BC-427D-87A9-C8F50AD6F3E9}"/>
    <cellStyle name="Comma 6 5 3 2 2" xfId="12942" xr:uid="{7C404BAD-EC33-445A-8CBF-7A67F7A7888B}"/>
    <cellStyle name="Comma 6 5 3 2 3" xfId="15195" xr:uid="{3F61C585-B001-4A5C-8B97-79E032C551BB}"/>
    <cellStyle name="Comma 6 5 3 2 4" xfId="17448" xr:uid="{63974149-2132-460C-944B-5B6B760958F7}"/>
    <cellStyle name="Comma 6 5 3 3" xfId="2784" xr:uid="{9DF6F821-1DE3-4642-9B57-490485862E7C}"/>
    <cellStyle name="Comma 6 5 3 4" xfId="3910" xr:uid="{69925783-C7F6-4493-B42E-590427797BD0}"/>
    <cellStyle name="Comma 6 5 3 5" xfId="5036" xr:uid="{0CB12152-7222-414D-AAA4-2E8441DA236B}"/>
    <cellStyle name="Comma 6 5 3 6" xfId="6163" xr:uid="{439C131F-2D7F-483C-9B78-DBAED36D9992}"/>
    <cellStyle name="Comma 6 5 3 7" xfId="7293" xr:uid="{33F22DDE-905E-44A5-9B41-A8310B511B6A}"/>
    <cellStyle name="Comma 6 5 3 8" xfId="8551" xr:uid="{0F9983E3-4106-4416-BBB9-F41E4D1B9549}"/>
    <cellStyle name="Comma 6 5 3 9" xfId="9688" xr:uid="{D4CF89EB-12E5-4D73-BCD4-AADAF19D00F7}"/>
    <cellStyle name="Comma 6 5 4" xfId="1656" xr:uid="{134C566B-DBEE-4DB2-974E-C8F274947B20}"/>
    <cellStyle name="Comma 6 5 4 2" xfId="12940" xr:uid="{285A8AC2-8901-4AD7-8ABC-F44A61F3733B}"/>
    <cellStyle name="Comma 6 5 4 3" xfId="15193" xr:uid="{573CA595-A893-4C15-AB49-86CAA0462963}"/>
    <cellStyle name="Comma 6 5 4 4" xfId="17446" xr:uid="{6D1EDD5C-4C0D-4B99-9330-0FE41C19CEE4}"/>
    <cellStyle name="Comma 6 5 5" xfId="2782" xr:uid="{49016775-E513-481C-A74E-A920521FD32B}"/>
    <cellStyle name="Comma 6 5 6" xfId="3908" xr:uid="{BE627AA1-3596-46C6-9306-603805762A3E}"/>
    <cellStyle name="Comma 6 5 7" xfId="5034" xr:uid="{7AF4DBAF-C266-4947-8E8E-0D10A33C5393}"/>
    <cellStyle name="Comma 6 5 8" xfId="6161" xr:uid="{9B7966CD-5F49-4160-BBA5-4D5DC658B7B2}"/>
    <cellStyle name="Comma 6 5 9" xfId="7291" xr:uid="{77DBCA2D-A6B8-4F88-8BDC-0B17B0BE4A52}"/>
    <cellStyle name="Comma 6 6" xfId="525" xr:uid="{DD4086EC-555A-40A3-A124-E22615AF335A}"/>
    <cellStyle name="Comma 6 6 10" xfId="10814" xr:uid="{66627C3F-3D5C-43A5-890D-88573D647333}"/>
    <cellStyle name="Comma 6 6 11" xfId="11816" xr:uid="{632A06BE-24E4-46B9-A983-C3ADE4A0F8D6}"/>
    <cellStyle name="Comma 6 6 12" xfId="14069" xr:uid="{4999127D-C31C-4F1C-B390-0639A73534C6}"/>
    <cellStyle name="Comma 6 6 13" xfId="16322" xr:uid="{E7554F71-8603-4573-B075-2B66D613ED72}"/>
    <cellStyle name="Comma 6 6 2" xfId="1659" xr:uid="{042AA2AE-300D-4F3F-8FA7-A35A34994D2F}"/>
    <cellStyle name="Comma 6 6 2 2" xfId="12943" xr:uid="{D2B9A9C3-1CDA-428F-89A4-27DF589EA68F}"/>
    <cellStyle name="Comma 6 6 2 3" xfId="15196" xr:uid="{A5EDF0BB-5AE5-4E29-A9D3-5E99E00E3EF5}"/>
    <cellStyle name="Comma 6 6 2 4" xfId="17449" xr:uid="{F635F22F-FEE3-4297-841E-E29D9351AB5C}"/>
    <cellStyle name="Comma 6 6 3" xfId="2785" xr:uid="{7D94E26C-1726-4526-8DDD-0D2BA43FBE77}"/>
    <cellStyle name="Comma 6 6 4" xfId="3911" xr:uid="{7C9C3C1F-A7B9-40E4-844F-864052AF97F2}"/>
    <cellStyle name="Comma 6 6 5" xfId="5037" xr:uid="{4B6030F4-F0F0-40A1-B8AD-7A854E95D593}"/>
    <cellStyle name="Comma 6 6 6" xfId="6164" xr:uid="{C42C5418-749C-49F3-8CE9-EF8C27B9F69D}"/>
    <cellStyle name="Comma 6 6 7" xfId="7294" xr:uid="{48884189-5AAC-4844-AFC1-4FFF853B5D3B}"/>
    <cellStyle name="Comma 6 6 8" xfId="8550" xr:uid="{2611F24B-B07F-4CDC-923F-F30FEF230CD6}"/>
    <cellStyle name="Comma 6 6 9" xfId="9687" xr:uid="{C5D6A64F-8F1E-42BD-8253-8A6D92A590B4}"/>
    <cellStyle name="Comma 6 7" xfId="526" xr:uid="{58F7F779-6A7E-4DC6-AE47-B54A72206775}"/>
    <cellStyle name="Comma 6 7 10" xfId="10813" xr:uid="{8BCD741B-0209-4750-8ECE-C4028390E976}"/>
    <cellStyle name="Comma 6 7 11" xfId="11817" xr:uid="{D6DE31B5-5C00-4790-A0DD-524AF9FB4871}"/>
    <cellStyle name="Comma 6 7 12" xfId="14070" xr:uid="{72F417CF-EAAE-4858-A1AA-6FC28B7A5F43}"/>
    <cellStyle name="Comma 6 7 13" xfId="16323" xr:uid="{69F6404E-FC5A-4FFE-AB3F-A2132C846A66}"/>
    <cellStyle name="Comma 6 7 2" xfId="1660" xr:uid="{0B5125A7-FB93-45C2-94D3-66167C237EC0}"/>
    <cellStyle name="Comma 6 7 2 2" xfId="12944" xr:uid="{6A109925-A25E-4DAB-91E0-61D8996CCABC}"/>
    <cellStyle name="Comma 6 7 2 3" xfId="15197" xr:uid="{B80E80C5-810F-4E42-BB44-78031694FAB5}"/>
    <cellStyle name="Comma 6 7 2 4" xfId="17450" xr:uid="{9E5867C4-A6EB-4990-BE74-4E0870A86236}"/>
    <cellStyle name="Comma 6 7 3" xfId="2786" xr:uid="{B0761D5C-EEE7-4547-A32D-37E9EEC76E2E}"/>
    <cellStyle name="Comma 6 7 4" xfId="3912" xr:uid="{93398B23-D7BD-4316-A03F-4068F5C0C18E}"/>
    <cellStyle name="Comma 6 7 5" xfId="5038" xr:uid="{50906DF8-3F04-4701-AF6F-2F6C8F01B9D0}"/>
    <cellStyle name="Comma 6 7 6" xfId="6165" xr:uid="{8AC72B7F-93E9-498D-BE5E-C15276977288}"/>
    <cellStyle name="Comma 6 7 7" xfId="7295" xr:uid="{6697E52C-88A6-40EB-AE09-95A2880009AE}"/>
    <cellStyle name="Comma 6 7 8" xfId="8549" xr:uid="{D3400596-B5FB-436D-AAAA-31B23AE330B2}"/>
    <cellStyle name="Comma 6 7 9" xfId="9686" xr:uid="{F10E6E77-FADB-495A-A042-54244D74A550}"/>
    <cellStyle name="Comma 6 8" xfId="1613" xr:uid="{E40E43FF-3DF2-45DD-8F47-F0710874EF74}"/>
    <cellStyle name="Comma 6 8 2" xfId="12897" xr:uid="{C33A55DA-FFD0-4790-B7DC-B1557577F602}"/>
    <cellStyle name="Comma 6 8 3" xfId="15150" xr:uid="{E9CAB281-C27E-416F-9B68-C384AA43C409}"/>
    <cellStyle name="Comma 6 8 4" xfId="17403" xr:uid="{984ED81E-A2A0-4795-9D0A-B1151DA8B0DC}"/>
    <cellStyle name="Comma 6 9" xfId="2739" xr:uid="{2C453E62-54FD-4B0C-B7AA-EEB7068FEBEF}"/>
    <cellStyle name="Comma 7" xfId="527" xr:uid="{0D215432-1921-4F36-BA14-050EAB8E01E3}"/>
    <cellStyle name="Comma 7 2" xfId="528" xr:uid="{394CA346-DA26-42AA-AF3D-97AF2A13D755}"/>
    <cellStyle name="Comma 7 2 2" xfId="7297" xr:uid="{D5DB6D5D-7CD6-4997-A86E-D4F9281CF8F4}"/>
    <cellStyle name="Comma 7 3" xfId="7296" xr:uid="{96118DB2-56C1-485B-B6CE-416EB606E872}"/>
    <cellStyle name="Comma 8" xfId="529" xr:uid="{76D224C1-1178-4BB0-8C6D-9079068467E6}"/>
    <cellStyle name="Comma 8 2" xfId="7298" xr:uid="{20877F88-02BB-474E-B807-0863FCD210E0}"/>
    <cellStyle name="Comma 9" xfId="530" xr:uid="{D16FDDC6-C7F6-4E64-9B7B-B307391CF9AC}"/>
    <cellStyle name="Comma 9 10" xfId="5039" xr:uid="{1BF6DC7D-D945-47A6-BFA8-B038169066D6}"/>
    <cellStyle name="Comma 9 11" xfId="6166" xr:uid="{AD2C1F4A-1D18-4221-B746-A079A734CF36}"/>
    <cellStyle name="Comma 9 12" xfId="7299" xr:uid="{F43225B1-68AA-4B9B-A6F9-9EADF064A4E4}"/>
    <cellStyle name="Comma 9 13" xfId="8548" xr:uid="{6C5D214B-0ECE-4686-833A-2778634512DF}"/>
    <cellStyle name="Comma 9 14" xfId="9685" xr:uid="{9B01E68C-F6DA-4236-A903-0EA0E8DBBF9E}"/>
    <cellStyle name="Comma 9 15" xfId="10812" xr:uid="{ADCD1C0F-8D3E-4977-A366-914AF5AC9ADD}"/>
    <cellStyle name="Comma 9 16" xfId="11818" xr:uid="{43723913-CB38-4C4B-8B3D-FA8F65C2A9D9}"/>
    <cellStyle name="Comma 9 17" xfId="14071" xr:uid="{B4B5EAF6-AEA1-415F-B21C-DC4D8771055B}"/>
    <cellStyle name="Comma 9 18" xfId="16324" xr:uid="{AAAAC8B2-5080-4D21-A4EC-E34DAAB7B540}"/>
    <cellStyle name="Comma 9 2" xfId="531" xr:uid="{E2CF4D03-B2AA-4A79-B378-625FD4474B62}"/>
    <cellStyle name="Comma 9 2 10" xfId="6167" xr:uid="{9458549D-57E5-4762-BDEE-875F49759AA3}"/>
    <cellStyle name="Comma 9 2 11" xfId="7300" xr:uid="{C704E17F-9BFE-4DDA-B4F8-9D8BE378D2D2}"/>
    <cellStyle name="Comma 9 2 12" xfId="8547" xr:uid="{3088DBB5-0D69-4358-8816-3DCF2CC95740}"/>
    <cellStyle name="Comma 9 2 13" xfId="9684" xr:uid="{918090AB-15C4-4F6C-8918-B3AF9D8F972C}"/>
    <cellStyle name="Comma 9 2 14" xfId="10811" xr:uid="{9E16A9A8-0A8E-46D8-9E64-33064309C541}"/>
    <cellStyle name="Comma 9 2 15" xfId="11819" xr:uid="{9007B777-A531-40B2-8CC8-440F92C35E71}"/>
    <cellStyle name="Comma 9 2 16" xfId="14072" xr:uid="{A7DBF0B8-5752-49DB-8AB7-4B3754E67896}"/>
    <cellStyle name="Comma 9 2 17" xfId="16325" xr:uid="{8A0C43AF-112F-4E46-943D-1A7225CE9B11}"/>
    <cellStyle name="Comma 9 2 2" xfId="532" xr:uid="{38643C15-2FF6-4591-94F0-7D10B64E1274}"/>
    <cellStyle name="Comma 9 2 2 10" xfId="7301" xr:uid="{2DB2E474-242E-4C68-B257-64FF0A00252F}"/>
    <cellStyle name="Comma 9 2 2 11" xfId="8546" xr:uid="{2880F07B-DE30-4BA3-9AE5-19E121FBB5F1}"/>
    <cellStyle name="Comma 9 2 2 12" xfId="9683" xr:uid="{4D972615-1D3F-4026-A670-BC3F201201BE}"/>
    <cellStyle name="Comma 9 2 2 13" xfId="10810" xr:uid="{B0E47766-F003-4EDC-862A-ABA79BEB015C}"/>
    <cellStyle name="Comma 9 2 2 14" xfId="11820" xr:uid="{4D86EAD4-A73C-4EDB-80B6-89286B2DCBDA}"/>
    <cellStyle name="Comma 9 2 2 15" xfId="14073" xr:uid="{443AD6AB-0D9B-4564-88EF-188E3A6DA4A6}"/>
    <cellStyle name="Comma 9 2 2 16" xfId="16326" xr:uid="{57510CC4-01D5-4CAB-B9B0-4F1CD414427B}"/>
    <cellStyle name="Comma 9 2 2 2" xfId="533" xr:uid="{90866BAA-AB2D-4BBB-8652-E6B943AFC7E3}"/>
    <cellStyle name="Comma 9 2 2 2 10" xfId="8545" xr:uid="{37D09EFC-3DDD-45FC-9A72-675D19B334C8}"/>
    <cellStyle name="Comma 9 2 2 2 11" xfId="9682" xr:uid="{B92E9764-739B-44B4-9124-9A533CDC34DD}"/>
    <cellStyle name="Comma 9 2 2 2 12" xfId="10809" xr:uid="{E95F42C8-5E70-4789-A0F5-8C2EB8EA9851}"/>
    <cellStyle name="Comma 9 2 2 2 13" xfId="11821" xr:uid="{FC471543-3270-4066-9883-68AF39E71ACC}"/>
    <cellStyle name="Comma 9 2 2 2 14" xfId="14074" xr:uid="{4B3C77EC-9C7B-427A-9F11-CEEDC8B7B86E}"/>
    <cellStyle name="Comma 9 2 2 2 15" xfId="16327" xr:uid="{EBD54A9C-6C44-48D3-955F-67A13AD04B19}"/>
    <cellStyle name="Comma 9 2 2 2 2" xfId="534" xr:uid="{35711FEF-C06F-4317-88DC-1F8CC080B734}"/>
    <cellStyle name="Comma 9 2 2 2 2 10" xfId="10808" xr:uid="{4D3D9FB7-9295-43F3-9A3F-CDCA46777554}"/>
    <cellStyle name="Comma 9 2 2 2 2 11" xfId="11822" xr:uid="{34019534-3AA6-4D10-AE29-93C78EF2D058}"/>
    <cellStyle name="Comma 9 2 2 2 2 12" xfId="14075" xr:uid="{8FCE6B63-BFE8-487A-84AA-CEB2C04A3A5D}"/>
    <cellStyle name="Comma 9 2 2 2 2 13" xfId="16328" xr:uid="{FFC26D42-DAA5-4EFC-B33A-995D00F9B2F1}"/>
    <cellStyle name="Comma 9 2 2 2 2 2" xfId="1665" xr:uid="{347CE5EE-BD95-4729-81C3-F1EB8D845B7D}"/>
    <cellStyle name="Comma 9 2 2 2 2 2 2" xfId="12949" xr:uid="{D6611E02-EF4D-4F62-9637-94DABC012D29}"/>
    <cellStyle name="Comma 9 2 2 2 2 2 3" xfId="15202" xr:uid="{0504C2B9-0561-42C1-9F2E-FB1303A3CF12}"/>
    <cellStyle name="Comma 9 2 2 2 2 2 4" xfId="17455" xr:uid="{493EE20B-0B63-4948-8DD3-77A3A269A500}"/>
    <cellStyle name="Comma 9 2 2 2 2 3" xfId="2791" xr:uid="{473D9844-B164-494C-A9BC-1C0E35678B0C}"/>
    <cellStyle name="Comma 9 2 2 2 2 4" xfId="3917" xr:uid="{B897EC6E-33E4-432F-96D9-5F8F450C5451}"/>
    <cellStyle name="Comma 9 2 2 2 2 5" xfId="5043" xr:uid="{7484A8BC-7128-482A-A547-E6D9BBB4B171}"/>
    <cellStyle name="Comma 9 2 2 2 2 6" xfId="6170" xr:uid="{703ED681-31A2-478F-B892-FC87319408B4}"/>
    <cellStyle name="Comma 9 2 2 2 2 7" xfId="7303" xr:uid="{51B3B407-48FF-476E-83A3-92D41C6BA812}"/>
    <cellStyle name="Comma 9 2 2 2 2 8" xfId="8544" xr:uid="{B51F4D92-BCAB-4781-8BAA-C4830DE62BEB}"/>
    <cellStyle name="Comma 9 2 2 2 2 9" xfId="9681" xr:uid="{1A6140B8-BD3D-4DE3-A6AF-E112CCAA35C0}"/>
    <cellStyle name="Comma 9 2 2 2 3" xfId="535" xr:uid="{085CD6C7-5F01-4384-86C8-B7652DD3F306}"/>
    <cellStyle name="Comma 9 2 2 2 3 10" xfId="10807" xr:uid="{6DB8B9A1-577E-4A1B-AC0E-BE2B57D6127F}"/>
    <cellStyle name="Comma 9 2 2 2 3 11" xfId="11823" xr:uid="{59DA0C70-350D-44CF-A257-43417D82A9AB}"/>
    <cellStyle name="Comma 9 2 2 2 3 12" xfId="14076" xr:uid="{9E8F3B59-400A-4347-92B4-DEAB4604AFCA}"/>
    <cellStyle name="Comma 9 2 2 2 3 13" xfId="16329" xr:uid="{D5440C98-D2C3-4B02-8ABC-34AA8E5CEAF7}"/>
    <cellStyle name="Comma 9 2 2 2 3 2" xfId="1666" xr:uid="{6E65F57A-7177-46FB-AA81-11D741FE6100}"/>
    <cellStyle name="Comma 9 2 2 2 3 2 2" xfId="12950" xr:uid="{3A5B9F98-792D-454B-BBA0-46C4D1E27E0F}"/>
    <cellStyle name="Comma 9 2 2 2 3 2 3" xfId="15203" xr:uid="{0EA9C59E-846D-4640-A1F2-8C4BA66469F7}"/>
    <cellStyle name="Comma 9 2 2 2 3 2 4" xfId="17456" xr:uid="{1E7AD2D0-40DC-4658-851E-70D7A45E085B}"/>
    <cellStyle name="Comma 9 2 2 2 3 3" xfId="2792" xr:uid="{A6556107-2CC0-4000-9076-EA300BF50C48}"/>
    <cellStyle name="Comma 9 2 2 2 3 4" xfId="3918" xr:uid="{8A5176C7-1E82-4554-94E0-A6A436F4D450}"/>
    <cellStyle name="Comma 9 2 2 2 3 5" xfId="5044" xr:uid="{86AC00A3-C8BD-41C8-B929-9024329D3100}"/>
    <cellStyle name="Comma 9 2 2 2 3 6" xfId="6171" xr:uid="{13551774-994C-465D-A45A-56D93BCDE9A9}"/>
    <cellStyle name="Comma 9 2 2 2 3 7" xfId="7304" xr:uid="{68516BDE-F617-472A-BEE0-2DBE137A9E81}"/>
    <cellStyle name="Comma 9 2 2 2 3 8" xfId="8543" xr:uid="{550459C2-7774-4784-9537-45F89297551D}"/>
    <cellStyle name="Comma 9 2 2 2 3 9" xfId="9680" xr:uid="{A193E5F5-D6E8-48F9-9276-65C43733A240}"/>
    <cellStyle name="Comma 9 2 2 2 4" xfId="1664" xr:uid="{A1CF1C42-90A1-4639-AC98-8E0F7DA92413}"/>
    <cellStyle name="Comma 9 2 2 2 4 2" xfId="12948" xr:uid="{09A60F8B-5768-48E7-A24D-2F8C1D7CF93F}"/>
    <cellStyle name="Comma 9 2 2 2 4 3" xfId="15201" xr:uid="{99142DE8-DD07-41BB-AAE1-757183E39B6F}"/>
    <cellStyle name="Comma 9 2 2 2 4 4" xfId="17454" xr:uid="{96E6F351-5629-4936-821C-93A591A9C94A}"/>
    <cellStyle name="Comma 9 2 2 2 5" xfId="2790" xr:uid="{5146FAE6-19FF-425C-BD9E-51007B78680B}"/>
    <cellStyle name="Comma 9 2 2 2 6" xfId="3916" xr:uid="{3F1E1086-1995-4A52-B2D3-F86642EDA129}"/>
    <cellStyle name="Comma 9 2 2 2 7" xfId="5042" xr:uid="{1788687A-0771-4FDB-A127-9E288B2BD1CD}"/>
    <cellStyle name="Comma 9 2 2 2 8" xfId="6169" xr:uid="{175560B5-C4A1-4D44-8BA4-F721532BF907}"/>
    <cellStyle name="Comma 9 2 2 2 9" xfId="7302" xr:uid="{29284855-215D-48E7-8505-CAC0E22D0812}"/>
    <cellStyle name="Comma 9 2 2 3" xfId="536" xr:uid="{710721A8-9E19-4B4B-9B23-463C097B3C9E}"/>
    <cellStyle name="Comma 9 2 2 3 10" xfId="10806" xr:uid="{E65BA5CE-7665-4C9D-A59D-0ADB9A8BF501}"/>
    <cellStyle name="Comma 9 2 2 3 11" xfId="11824" xr:uid="{38BED530-6255-4820-A90D-64355B0F8A20}"/>
    <cellStyle name="Comma 9 2 2 3 12" xfId="14077" xr:uid="{45B19DCF-7879-4425-B664-CB92E404CDCE}"/>
    <cellStyle name="Comma 9 2 2 3 13" xfId="16330" xr:uid="{B0E28F1C-50B1-42E9-B97D-34BF1B053395}"/>
    <cellStyle name="Comma 9 2 2 3 2" xfId="1667" xr:uid="{83BE79A9-2DC9-4746-9090-736B3D24FD4D}"/>
    <cellStyle name="Comma 9 2 2 3 2 2" xfId="12951" xr:uid="{1E2CA6EE-88C1-4693-A90F-DE63F85FDDD4}"/>
    <cellStyle name="Comma 9 2 2 3 2 3" xfId="15204" xr:uid="{2E441417-4713-4C64-BC27-6A9F51AC6A0F}"/>
    <cellStyle name="Comma 9 2 2 3 2 4" xfId="17457" xr:uid="{4180E8E7-2C69-465E-8B4F-843C74373C6A}"/>
    <cellStyle name="Comma 9 2 2 3 3" xfId="2793" xr:uid="{28E1395B-3865-4E5C-992D-EDE7C3ABFF70}"/>
    <cellStyle name="Comma 9 2 2 3 4" xfId="3919" xr:uid="{427D06D4-44D6-4FC3-95FC-62FF55447950}"/>
    <cellStyle name="Comma 9 2 2 3 5" xfId="5045" xr:uid="{73786D20-4357-4C59-8F2E-8D592E9C2955}"/>
    <cellStyle name="Comma 9 2 2 3 6" xfId="6172" xr:uid="{AAB1B2E3-B48D-42A7-BCB1-897E9E9165EA}"/>
    <cellStyle name="Comma 9 2 2 3 7" xfId="7305" xr:uid="{BD8FE89E-DDCD-423E-9288-B22C047931E7}"/>
    <cellStyle name="Comma 9 2 2 3 8" xfId="8542" xr:uid="{C8B03E88-4EA8-4A08-910A-0A9568077D7A}"/>
    <cellStyle name="Comma 9 2 2 3 9" xfId="9679" xr:uid="{FA0D8C9D-DD9D-443A-9636-4DA0E888B6DC}"/>
    <cellStyle name="Comma 9 2 2 4" xfId="537" xr:uid="{A1226C91-5F07-49CF-AB51-BD441ABFD220}"/>
    <cellStyle name="Comma 9 2 2 4 10" xfId="10805" xr:uid="{9AAE7518-9116-41BC-A79E-29B370CDB831}"/>
    <cellStyle name="Comma 9 2 2 4 11" xfId="11825" xr:uid="{83A1FC4B-7AF6-411E-AF17-6F78F5FB7A35}"/>
    <cellStyle name="Comma 9 2 2 4 12" xfId="14078" xr:uid="{56CF6E42-5D35-4707-9AC7-DF7F0B2DEC8A}"/>
    <cellStyle name="Comma 9 2 2 4 13" xfId="16331" xr:uid="{BE15E4E1-17C1-47C2-9D8B-66CA46DCA36F}"/>
    <cellStyle name="Comma 9 2 2 4 2" xfId="1668" xr:uid="{165F1666-CE6E-4C52-95DE-4EEFD4CD0F76}"/>
    <cellStyle name="Comma 9 2 2 4 2 2" xfId="12952" xr:uid="{EE6C571B-11AC-4BCF-9921-834C0FC469A7}"/>
    <cellStyle name="Comma 9 2 2 4 2 3" xfId="15205" xr:uid="{A571DD84-7658-48CF-8B6F-9D193D93F25A}"/>
    <cellStyle name="Comma 9 2 2 4 2 4" xfId="17458" xr:uid="{99EEEDAB-C4CE-42A4-BAAF-392B32001916}"/>
    <cellStyle name="Comma 9 2 2 4 3" xfId="2794" xr:uid="{ED7FAFFA-7084-4828-8C99-EE5F7F15C3E5}"/>
    <cellStyle name="Comma 9 2 2 4 4" xfId="3920" xr:uid="{C9EB3BE6-A3E0-4753-AA6D-44B050A92F44}"/>
    <cellStyle name="Comma 9 2 2 4 5" xfId="5046" xr:uid="{38C7F2AB-09A2-4533-8A3E-F03517EAC549}"/>
    <cellStyle name="Comma 9 2 2 4 6" xfId="6173" xr:uid="{8EFA1CAB-8152-45B9-88CF-2E84682FE1FB}"/>
    <cellStyle name="Comma 9 2 2 4 7" xfId="7306" xr:uid="{6C74E89F-EB1E-4033-842B-F43A933F4EF3}"/>
    <cellStyle name="Comma 9 2 2 4 8" xfId="8541" xr:uid="{DAAC672A-9A63-498D-A5A2-0B6619D314A9}"/>
    <cellStyle name="Comma 9 2 2 4 9" xfId="9678" xr:uid="{BD8F1529-E5D1-4473-9FC4-85C5AA999450}"/>
    <cellStyle name="Comma 9 2 2 5" xfId="1663" xr:uid="{AC2E03B5-5ADE-4075-9A72-A78938183024}"/>
    <cellStyle name="Comma 9 2 2 5 2" xfId="12947" xr:uid="{1B722946-0617-42D2-AF18-9053CF7A8C60}"/>
    <cellStyle name="Comma 9 2 2 5 3" xfId="15200" xr:uid="{C651A71A-EC50-4449-AB00-059DD5D20315}"/>
    <cellStyle name="Comma 9 2 2 5 4" xfId="17453" xr:uid="{081371AF-AD28-4188-B71C-0A99A4AEEE01}"/>
    <cellStyle name="Comma 9 2 2 6" xfId="2789" xr:uid="{3FE39A99-F461-43A0-B434-8FA80CEAA9EC}"/>
    <cellStyle name="Comma 9 2 2 7" xfId="3915" xr:uid="{88DCA04B-AF8E-4172-AA67-E0B582C5197C}"/>
    <cellStyle name="Comma 9 2 2 8" xfId="5041" xr:uid="{BF74041A-3E42-4B71-8E48-CF3B5F5CE575}"/>
    <cellStyle name="Comma 9 2 2 9" xfId="6168" xr:uid="{DCC2D49C-047D-4843-94F0-FB894F89648B}"/>
    <cellStyle name="Comma 9 2 3" xfId="538" xr:uid="{9AFBEFFD-349F-446A-B4BA-AB561BB08AC1}"/>
    <cellStyle name="Comma 9 2 3 10" xfId="8540" xr:uid="{61207F92-2A4B-4A90-A230-131184F865B4}"/>
    <cellStyle name="Comma 9 2 3 11" xfId="9677" xr:uid="{8AF0BEB8-B90A-4C3A-9572-E8629FF7D053}"/>
    <cellStyle name="Comma 9 2 3 12" xfId="10804" xr:uid="{DCCD88CB-2ABE-4981-9805-86DFE6F65395}"/>
    <cellStyle name="Comma 9 2 3 13" xfId="11826" xr:uid="{17758928-0F3A-494A-A775-BBF13E884269}"/>
    <cellStyle name="Comma 9 2 3 14" xfId="14079" xr:uid="{CB8BA929-DD16-479A-8343-C60DE502AE84}"/>
    <cellStyle name="Comma 9 2 3 15" xfId="16332" xr:uid="{02D249E6-16F4-4AD3-AAFA-BC59969BC256}"/>
    <cellStyle name="Comma 9 2 3 2" xfId="539" xr:uid="{ED568643-B6D4-47AB-80F6-5DFF0E638181}"/>
    <cellStyle name="Comma 9 2 3 2 10" xfId="10803" xr:uid="{6A1F6F57-7067-40E2-A268-B019F3D00F18}"/>
    <cellStyle name="Comma 9 2 3 2 11" xfId="11827" xr:uid="{E9DC8EA8-7348-4DAE-A888-7AFE93FFFD04}"/>
    <cellStyle name="Comma 9 2 3 2 12" xfId="14080" xr:uid="{365574E9-475C-4375-AD25-509C6131B720}"/>
    <cellStyle name="Comma 9 2 3 2 13" xfId="16333" xr:uid="{539DD6A5-8F79-45D9-BE4F-3ADEB1935CBE}"/>
    <cellStyle name="Comma 9 2 3 2 2" xfId="1670" xr:uid="{E8E662FF-705D-46B7-A099-07A86CE563C0}"/>
    <cellStyle name="Comma 9 2 3 2 2 2" xfId="12954" xr:uid="{86EF77EF-4AAE-4204-A6EB-9398F4781635}"/>
    <cellStyle name="Comma 9 2 3 2 2 3" xfId="15207" xr:uid="{1ECBF3FA-7658-4959-A676-5982B6C91D9C}"/>
    <cellStyle name="Comma 9 2 3 2 2 4" xfId="17460" xr:uid="{174C1455-2160-4433-8F96-F2317C9C91DF}"/>
    <cellStyle name="Comma 9 2 3 2 3" xfId="2796" xr:uid="{02276138-A123-4330-A0E7-A9033604F703}"/>
    <cellStyle name="Comma 9 2 3 2 4" xfId="3922" xr:uid="{18BE14D6-B420-4F6E-85FD-50385678F4CA}"/>
    <cellStyle name="Comma 9 2 3 2 5" xfId="5048" xr:uid="{3F1C83B2-1577-4004-8EEC-EC4C5854FDA9}"/>
    <cellStyle name="Comma 9 2 3 2 6" xfId="6175" xr:uid="{333EDEF9-64E4-4A12-A9B7-5EDFB4168853}"/>
    <cellStyle name="Comma 9 2 3 2 7" xfId="7308" xr:uid="{CA96FB5B-0D62-40D1-9BC2-ABD7D26B4419}"/>
    <cellStyle name="Comma 9 2 3 2 8" xfId="8539" xr:uid="{3C723C90-8B44-4759-8BC1-3A42ABC1CBAB}"/>
    <cellStyle name="Comma 9 2 3 2 9" xfId="9676" xr:uid="{674013F7-609C-483E-81C9-953938DFEA5F}"/>
    <cellStyle name="Comma 9 2 3 3" xfId="540" xr:uid="{7D94B54B-BED5-420F-83FF-CCD0527B9020}"/>
    <cellStyle name="Comma 9 2 3 3 10" xfId="10802" xr:uid="{9445637B-702E-4ADC-8225-FB44797C7187}"/>
    <cellStyle name="Comma 9 2 3 3 11" xfId="11828" xr:uid="{B17550BB-4C62-4239-A5EC-809B54C570D8}"/>
    <cellStyle name="Comma 9 2 3 3 12" xfId="14081" xr:uid="{10A1689C-A11D-493E-9FF5-8BB5C307AA83}"/>
    <cellStyle name="Comma 9 2 3 3 13" xfId="16334" xr:uid="{F185F31C-D5D1-482F-9D68-A50F85B6BCD5}"/>
    <cellStyle name="Comma 9 2 3 3 2" xfId="1671" xr:uid="{E06BDC3F-F962-4955-8442-F310B862F647}"/>
    <cellStyle name="Comma 9 2 3 3 2 2" xfId="12955" xr:uid="{CCE2EE88-907F-4B47-A377-4EE540EE3244}"/>
    <cellStyle name="Comma 9 2 3 3 2 3" xfId="15208" xr:uid="{138F8CAA-E84B-4C3F-9894-43A6A786192A}"/>
    <cellStyle name="Comma 9 2 3 3 2 4" xfId="17461" xr:uid="{03F3B52A-9DE3-49A6-A35D-B939FEEF38CC}"/>
    <cellStyle name="Comma 9 2 3 3 3" xfId="2797" xr:uid="{2F5F3BC6-2B49-4AE6-B32A-3A0EDD9AE3C5}"/>
    <cellStyle name="Comma 9 2 3 3 4" xfId="3923" xr:uid="{8B7DC97C-1954-4DDF-BB91-14AC44181C10}"/>
    <cellStyle name="Comma 9 2 3 3 5" xfId="5049" xr:uid="{1F581C93-1B1C-45D0-AC76-DD30BFFD3474}"/>
    <cellStyle name="Comma 9 2 3 3 6" xfId="6176" xr:uid="{B307DB7D-5D0C-43FA-8638-2FE7C92D0C37}"/>
    <cellStyle name="Comma 9 2 3 3 7" xfId="7309" xr:uid="{CA13C1DF-B25D-46B1-B817-A8C38D4621C4}"/>
    <cellStyle name="Comma 9 2 3 3 8" xfId="8538" xr:uid="{F9440984-CACC-4FF9-BEF9-B51441F8C256}"/>
    <cellStyle name="Comma 9 2 3 3 9" xfId="9675" xr:uid="{BF8B2FA3-3B41-4E1C-AFE1-368E092B72FC}"/>
    <cellStyle name="Comma 9 2 3 4" xfId="1669" xr:uid="{580C5230-DCD6-4805-A4D1-8F87A6C4ADE9}"/>
    <cellStyle name="Comma 9 2 3 4 2" xfId="12953" xr:uid="{2A545259-A4C6-4F84-B474-9C268AAC2518}"/>
    <cellStyle name="Comma 9 2 3 4 3" xfId="15206" xr:uid="{0563D7A1-19A3-4559-9119-6217700BAAA4}"/>
    <cellStyle name="Comma 9 2 3 4 4" xfId="17459" xr:uid="{9452AFAF-908D-4781-949E-F15BC028CC52}"/>
    <cellStyle name="Comma 9 2 3 5" xfId="2795" xr:uid="{C00F7613-2BB6-4391-867E-A748744C2F32}"/>
    <cellStyle name="Comma 9 2 3 6" xfId="3921" xr:uid="{04A4E24D-2B9B-44C8-9445-C43606FEEB15}"/>
    <cellStyle name="Comma 9 2 3 7" xfId="5047" xr:uid="{B9FC69B2-678C-4704-BB74-2C4C473572E2}"/>
    <cellStyle name="Comma 9 2 3 8" xfId="6174" xr:uid="{929F85E5-6FE0-45A6-A737-3E10A94F4A52}"/>
    <cellStyle name="Comma 9 2 3 9" xfId="7307" xr:uid="{936C7F2A-21AE-4BC3-BC19-66C660643552}"/>
    <cellStyle name="Comma 9 2 4" xfId="541" xr:uid="{336A7B54-D6B3-421C-835C-2DC1FCFC9AEC}"/>
    <cellStyle name="Comma 9 2 4 10" xfId="10801" xr:uid="{D3118811-932A-4639-A06D-31AD855D4896}"/>
    <cellStyle name="Comma 9 2 4 11" xfId="11829" xr:uid="{588CB022-CD49-4B46-9EA8-E774EAF31718}"/>
    <cellStyle name="Comma 9 2 4 12" xfId="14082" xr:uid="{94410D76-9687-49BF-B60C-B5C0F0E0A453}"/>
    <cellStyle name="Comma 9 2 4 13" xfId="16335" xr:uid="{FCC83005-D30A-4310-8ACF-8B9BE2D5F316}"/>
    <cellStyle name="Comma 9 2 4 2" xfId="1672" xr:uid="{C3EE517C-9283-4BAF-9337-75907B18EAD7}"/>
    <cellStyle name="Comma 9 2 4 2 2" xfId="12956" xr:uid="{D90501B8-4DE4-432A-9772-B4EC16A55897}"/>
    <cellStyle name="Comma 9 2 4 2 3" xfId="15209" xr:uid="{46040085-857C-430D-8064-8457E2644068}"/>
    <cellStyle name="Comma 9 2 4 2 4" xfId="17462" xr:uid="{D5902FE6-8759-4E51-B2DF-66410544618B}"/>
    <cellStyle name="Comma 9 2 4 3" xfId="2798" xr:uid="{02790374-3F1C-4D9A-A006-6F07EF63C0C4}"/>
    <cellStyle name="Comma 9 2 4 4" xfId="3924" xr:uid="{C556E195-1CA2-45DF-A820-F81BAD99B30F}"/>
    <cellStyle name="Comma 9 2 4 5" xfId="5050" xr:uid="{889366C6-2352-44BB-A1F9-A67C6C3728A6}"/>
    <cellStyle name="Comma 9 2 4 6" xfId="6177" xr:uid="{1B4A5821-DB6A-4BEB-80F5-333C8F0B87FC}"/>
    <cellStyle name="Comma 9 2 4 7" xfId="7310" xr:uid="{5B8CAC1E-CB92-4CA2-ADED-27D51675E320}"/>
    <cellStyle name="Comma 9 2 4 8" xfId="8537" xr:uid="{BD79F0D0-0AEA-4A5A-AE9A-B98C398EF31D}"/>
    <cellStyle name="Comma 9 2 4 9" xfId="9674" xr:uid="{847845BB-FDE6-48CF-A240-D39215B8B7CC}"/>
    <cellStyle name="Comma 9 2 5" xfId="542" xr:uid="{43EFA73E-DE4F-4986-9131-6210E549D070}"/>
    <cellStyle name="Comma 9 2 5 10" xfId="10800" xr:uid="{7C9DD356-20D2-4693-B1A0-63C1ABDB02CA}"/>
    <cellStyle name="Comma 9 2 5 11" xfId="11830" xr:uid="{F8EF9B0F-6248-4047-83F4-5571A28F99CA}"/>
    <cellStyle name="Comma 9 2 5 12" xfId="14083" xr:uid="{36C13893-B1AB-4C47-9964-0452FF85F401}"/>
    <cellStyle name="Comma 9 2 5 13" xfId="16336" xr:uid="{65CD3B14-A183-4B7E-8AF2-4443566F1F78}"/>
    <cellStyle name="Comma 9 2 5 2" xfId="1673" xr:uid="{F26AAB46-975C-4285-BB02-96EC37F40CE9}"/>
    <cellStyle name="Comma 9 2 5 2 2" xfId="12957" xr:uid="{A5835E4B-2465-473C-BDAD-7DF03030F26A}"/>
    <cellStyle name="Comma 9 2 5 2 3" xfId="15210" xr:uid="{D04BB511-AE5A-4DEF-9043-40299418EAA3}"/>
    <cellStyle name="Comma 9 2 5 2 4" xfId="17463" xr:uid="{F0ECB6C9-36B5-4348-8FE9-02B80EDC24B0}"/>
    <cellStyle name="Comma 9 2 5 3" xfId="2799" xr:uid="{DBD42F9B-C024-4EF1-B3BD-12C22A3A3F9F}"/>
    <cellStyle name="Comma 9 2 5 4" xfId="3925" xr:uid="{BABF40F0-89C3-4463-959B-31737743A27A}"/>
    <cellStyle name="Comma 9 2 5 5" xfId="5051" xr:uid="{02104FFA-F974-4421-967F-AEA6163402CF}"/>
    <cellStyle name="Comma 9 2 5 6" xfId="6178" xr:uid="{1B8F3617-4875-4EF9-8F47-8F7FFA94C496}"/>
    <cellStyle name="Comma 9 2 5 7" xfId="7311" xr:uid="{6D4CC62B-706F-4F95-9089-F0A86C4CFCBD}"/>
    <cellStyle name="Comma 9 2 5 8" xfId="8536" xr:uid="{B8435EC3-894D-43FD-91C6-2E23D2E87DB5}"/>
    <cellStyle name="Comma 9 2 5 9" xfId="9673" xr:uid="{61F5EDFE-F4D4-4749-9FF7-1EAC798A0AC1}"/>
    <cellStyle name="Comma 9 2 6" xfId="1662" xr:uid="{4178BC13-6970-4524-9AF2-136DBADC919D}"/>
    <cellStyle name="Comma 9 2 6 2" xfId="12946" xr:uid="{5094ADD6-0163-40BC-AB2C-C1954A7B12F1}"/>
    <cellStyle name="Comma 9 2 6 3" xfId="15199" xr:uid="{75C773B2-5606-405B-9381-1F8AAC2E885E}"/>
    <cellStyle name="Comma 9 2 6 4" xfId="17452" xr:uid="{B5D4964E-B837-4BFE-9D92-BCD655548FAF}"/>
    <cellStyle name="Comma 9 2 7" xfId="2788" xr:uid="{BA77E2F7-3D2D-4C71-85A3-175156B8BF0B}"/>
    <cellStyle name="Comma 9 2 8" xfId="3914" xr:uid="{E2887EE2-ED38-40BA-A648-2AD0265BDE00}"/>
    <cellStyle name="Comma 9 2 9" xfId="5040" xr:uid="{8F0D40D0-D25D-4638-AA34-209BB46C2079}"/>
    <cellStyle name="Comma 9 3" xfId="543" xr:uid="{4A9F61A7-D29E-4BC7-8F78-99CCC17B53AD}"/>
    <cellStyle name="Comma 9 3 10" xfId="7312" xr:uid="{40F2E7A2-9097-4BF3-9F0F-181D585C6618}"/>
    <cellStyle name="Comma 9 3 11" xfId="8535" xr:uid="{F739DD95-1E2A-4917-B39A-FA39A0CDF34E}"/>
    <cellStyle name="Comma 9 3 12" xfId="9672" xr:uid="{AF1E5C1A-FF6B-49C7-B1B5-6E0270A68996}"/>
    <cellStyle name="Comma 9 3 13" xfId="10799" xr:uid="{A6297446-88B4-4F2C-B03A-CFE98FF39E80}"/>
    <cellStyle name="Comma 9 3 14" xfId="11831" xr:uid="{14306359-4E54-4655-8F99-DA6BED4E368B}"/>
    <cellStyle name="Comma 9 3 15" xfId="14084" xr:uid="{572DDDC1-D7A5-4F56-993F-096E746812A3}"/>
    <cellStyle name="Comma 9 3 16" xfId="16337" xr:uid="{157F8626-C777-4C11-987D-F3B160F5EEF8}"/>
    <cellStyle name="Comma 9 3 2" xfId="544" xr:uid="{703C70DD-241E-4B3D-9950-B35809334952}"/>
    <cellStyle name="Comma 9 3 2 10" xfId="8534" xr:uid="{A4B6CE4F-D62D-4273-A409-EA2A9DDE7B20}"/>
    <cellStyle name="Comma 9 3 2 11" xfId="9671" xr:uid="{68C5B4F1-F5D9-4BE3-8CC3-C1A83922B2A1}"/>
    <cellStyle name="Comma 9 3 2 12" xfId="10798" xr:uid="{D583F5B9-C46B-4788-8CC7-EA800E395AEA}"/>
    <cellStyle name="Comma 9 3 2 13" xfId="11832" xr:uid="{7F7ECED5-4AA6-4F5A-BE9E-87F70D7C1D17}"/>
    <cellStyle name="Comma 9 3 2 14" xfId="14085" xr:uid="{EB522084-F4B4-450C-9E91-733AD12C19E9}"/>
    <cellStyle name="Comma 9 3 2 15" xfId="16338" xr:uid="{C473183E-5332-451B-B8E4-2F9439717FB0}"/>
    <cellStyle name="Comma 9 3 2 2" xfId="545" xr:uid="{1F2F5537-A16A-4112-BC97-77221F423DC1}"/>
    <cellStyle name="Comma 9 3 2 2 10" xfId="10797" xr:uid="{3C1B83E8-76A0-489F-AB1A-A95894A2A3B0}"/>
    <cellStyle name="Comma 9 3 2 2 11" xfId="11833" xr:uid="{7482B9DF-79D1-4062-9E0D-A3334D7EBF36}"/>
    <cellStyle name="Comma 9 3 2 2 12" xfId="14086" xr:uid="{080332E9-7C4B-454A-9DB1-1E0F878AE047}"/>
    <cellStyle name="Comma 9 3 2 2 13" xfId="16339" xr:uid="{386AA2A5-E7F6-4D3C-8A9B-B3B6A5AA9B88}"/>
    <cellStyle name="Comma 9 3 2 2 2" xfId="1676" xr:uid="{DF2AE649-6140-4830-9EF8-B9720F6F03D7}"/>
    <cellStyle name="Comma 9 3 2 2 2 2" xfId="12960" xr:uid="{3C58B04B-BE95-4EDA-9929-594A20CD79A2}"/>
    <cellStyle name="Comma 9 3 2 2 2 3" xfId="15213" xr:uid="{E5897F0B-2BFC-4498-AB64-32D8AFD3A49A}"/>
    <cellStyle name="Comma 9 3 2 2 2 4" xfId="17466" xr:uid="{7BDC9458-6437-47DD-ADFC-805B59CA3B41}"/>
    <cellStyle name="Comma 9 3 2 2 3" xfId="2802" xr:uid="{A87E5B4C-137E-4C34-ABF8-73ED8306BF81}"/>
    <cellStyle name="Comma 9 3 2 2 4" xfId="3928" xr:uid="{6C506C85-98EF-4AC1-B9E8-7F31807CC791}"/>
    <cellStyle name="Comma 9 3 2 2 5" xfId="5054" xr:uid="{0E78FC78-A2C1-4D41-9DEB-6DD0953E7791}"/>
    <cellStyle name="Comma 9 3 2 2 6" xfId="6181" xr:uid="{A8FC4376-F4F1-4C4D-9388-20E34DBE3F9F}"/>
    <cellStyle name="Comma 9 3 2 2 7" xfId="7314" xr:uid="{C7C3AA7F-4AEB-4FB3-BF90-6D505337DC14}"/>
    <cellStyle name="Comma 9 3 2 2 8" xfId="8533" xr:uid="{638A34F1-A7C2-46EA-BD1E-FAF8D3BA53C7}"/>
    <cellStyle name="Comma 9 3 2 2 9" xfId="9670" xr:uid="{A613958E-FCE9-455E-BC75-D1F33A69DEBA}"/>
    <cellStyle name="Comma 9 3 2 3" xfId="546" xr:uid="{4C0F1A2E-D8ED-4B4B-8AA1-4B251CB762A7}"/>
    <cellStyle name="Comma 9 3 2 3 10" xfId="10796" xr:uid="{03B4C43B-5D7A-4A3C-86C8-04FB6786B3E0}"/>
    <cellStyle name="Comma 9 3 2 3 11" xfId="11834" xr:uid="{011061D5-CDB6-48AA-95E5-3E210B103F23}"/>
    <cellStyle name="Comma 9 3 2 3 12" xfId="14087" xr:uid="{DB21F2D9-6992-402D-B9B3-36AB75E4CE95}"/>
    <cellStyle name="Comma 9 3 2 3 13" xfId="16340" xr:uid="{6E579B3F-E88B-4432-BB69-D096CE707E4A}"/>
    <cellStyle name="Comma 9 3 2 3 2" xfId="1677" xr:uid="{F6E6E1B4-2931-4A59-A9AD-C222390AF295}"/>
    <cellStyle name="Comma 9 3 2 3 2 2" xfId="12961" xr:uid="{6DB709D4-9282-4022-AC16-7DC503ADBAF0}"/>
    <cellStyle name="Comma 9 3 2 3 2 3" xfId="15214" xr:uid="{B5422D6B-F82D-4C59-84B5-6E7C379F3E5B}"/>
    <cellStyle name="Comma 9 3 2 3 2 4" xfId="17467" xr:uid="{4837AEB8-20E8-4E69-9FDB-0C15DD961C41}"/>
    <cellStyle name="Comma 9 3 2 3 3" xfId="2803" xr:uid="{4122EE05-BE9C-4060-B19A-F5B0A347BB06}"/>
    <cellStyle name="Comma 9 3 2 3 4" xfId="3929" xr:uid="{1D886EE5-2756-4DBC-8D5D-88338506DED4}"/>
    <cellStyle name="Comma 9 3 2 3 5" xfId="5055" xr:uid="{3348B788-9B8D-4B8C-A85F-C5876C595F50}"/>
    <cellStyle name="Comma 9 3 2 3 6" xfId="6182" xr:uid="{0CED4384-E60C-4E2E-9BAA-E4E70A2E5E52}"/>
    <cellStyle name="Comma 9 3 2 3 7" xfId="7315" xr:uid="{E188A89B-9F43-40E8-8285-30A3ABE8E164}"/>
    <cellStyle name="Comma 9 3 2 3 8" xfId="8532" xr:uid="{DF1B8539-C306-49B1-8564-82F57A978985}"/>
    <cellStyle name="Comma 9 3 2 3 9" xfId="9669" xr:uid="{B6807A5B-CF0C-4656-A3F6-8C1FE9CC63B6}"/>
    <cellStyle name="Comma 9 3 2 4" xfId="1675" xr:uid="{C0A7AB13-5979-4BF4-BF90-262A55AC7A80}"/>
    <cellStyle name="Comma 9 3 2 4 2" xfId="12959" xr:uid="{29DFF1B5-59D3-4A5C-BE9D-5915C7BF66F1}"/>
    <cellStyle name="Comma 9 3 2 4 3" xfId="15212" xr:uid="{DD03420F-E40D-4F99-B1D5-AC6A17DF3A66}"/>
    <cellStyle name="Comma 9 3 2 4 4" xfId="17465" xr:uid="{165A7B1C-69A4-4451-B415-99AFCF7E0BB1}"/>
    <cellStyle name="Comma 9 3 2 5" xfId="2801" xr:uid="{ACE45355-CD18-40ED-B097-5DCFB13A4552}"/>
    <cellStyle name="Comma 9 3 2 6" xfId="3927" xr:uid="{AE93472D-E70D-4CE4-B4B8-EC6087E8B61E}"/>
    <cellStyle name="Comma 9 3 2 7" xfId="5053" xr:uid="{4D382BB8-D89B-4EF3-9A5F-016AA3A37FF6}"/>
    <cellStyle name="Comma 9 3 2 8" xfId="6180" xr:uid="{62CA2509-D949-47EF-B76A-FDE194ADA38A}"/>
    <cellStyle name="Comma 9 3 2 9" xfId="7313" xr:uid="{DB8F754F-F519-4DE7-97F5-D12F0C77C155}"/>
    <cellStyle name="Comma 9 3 3" xfId="547" xr:uid="{BCA3E55B-FFFB-4D4A-8D52-35E8D09E9A9E}"/>
    <cellStyle name="Comma 9 3 3 10" xfId="10795" xr:uid="{0CBED6CC-DCC2-4F94-8BE1-C2DC7B0170FC}"/>
    <cellStyle name="Comma 9 3 3 11" xfId="11835" xr:uid="{69643F6A-2951-40AE-9092-2FBC24120D63}"/>
    <cellStyle name="Comma 9 3 3 12" xfId="14088" xr:uid="{A35241C4-F854-47A7-8FDA-E090402648DA}"/>
    <cellStyle name="Comma 9 3 3 13" xfId="16341" xr:uid="{D6694FAA-6807-471B-A044-7C641D332845}"/>
    <cellStyle name="Comma 9 3 3 2" xfId="1678" xr:uid="{ED270EE0-A958-41B3-B9B2-5C70607E27EF}"/>
    <cellStyle name="Comma 9 3 3 2 2" xfId="12962" xr:uid="{DABE16DE-1195-4193-8D7F-3434E789D272}"/>
    <cellStyle name="Comma 9 3 3 2 3" xfId="15215" xr:uid="{030AAF97-B887-4E91-9B28-1AE7EFBA57C5}"/>
    <cellStyle name="Comma 9 3 3 2 4" xfId="17468" xr:uid="{76CD3805-C40C-4624-9307-6F51C0121800}"/>
    <cellStyle name="Comma 9 3 3 3" xfId="2804" xr:uid="{7818D8AA-0DDA-4860-BFB3-5A6BC5871D2F}"/>
    <cellStyle name="Comma 9 3 3 4" xfId="3930" xr:uid="{6A0B1A00-D2F3-457C-8068-D8D51EE84B84}"/>
    <cellStyle name="Comma 9 3 3 5" xfId="5056" xr:uid="{8D04ADD0-1ED6-4E3C-9550-104145EFB841}"/>
    <cellStyle name="Comma 9 3 3 6" xfId="6183" xr:uid="{11A59132-0102-4B55-9F81-BB1FF0D0BB6F}"/>
    <cellStyle name="Comma 9 3 3 7" xfId="7316" xr:uid="{0611C549-A60A-49F5-BF19-75B5C328E7A6}"/>
    <cellStyle name="Comma 9 3 3 8" xfId="8531" xr:uid="{CF658DDE-9506-40B8-94E8-EA852EE6A003}"/>
    <cellStyle name="Comma 9 3 3 9" xfId="9668" xr:uid="{D2C9E20F-6DD4-4ADF-87FB-9B70DEA060C2}"/>
    <cellStyle name="Comma 9 3 4" xfId="548" xr:uid="{8352B8BD-8E82-48B7-B5C0-EE9F04599B9D}"/>
    <cellStyle name="Comma 9 3 4 10" xfId="10794" xr:uid="{FC9C60BA-DB74-49B1-A46B-567ABEEF0E11}"/>
    <cellStyle name="Comma 9 3 4 11" xfId="11836" xr:uid="{51F1400E-E077-4399-8927-7E03F1012E52}"/>
    <cellStyle name="Comma 9 3 4 12" xfId="14089" xr:uid="{9D83591C-8405-4339-BA4C-D7855A8C2A37}"/>
    <cellStyle name="Comma 9 3 4 13" xfId="16342" xr:uid="{271A0487-3B79-45B9-B82F-29D10B813EC5}"/>
    <cellStyle name="Comma 9 3 4 2" xfId="1679" xr:uid="{5D5C847C-ED0A-44F6-A559-0791B6B6A1A6}"/>
    <cellStyle name="Comma 9 3 4 2 2" xfId="12963" xr:uid="{269F1447-D064-48F2-9B7D-F7DC905F6526}"/>
    <cellStyle name="Comma 9 3 4 2 3" xfId="15216" xr:uid="{9AB21D2B-ABC0-4E62-B904-52337DAEE353}"/>
    <cellStyle name="Comma 9 3 4 2 4" xfId="17469" xr:uid="{9B0F9D60-7442-4380-979B-6F3794AF07FF}"/>
    <cellStyle name="Comma 9 3 4 3" xfId="2805" xr:uid="{B5E85330-C1B1-4D34-AD02-194FC629D23C}"/>
    <cellStyle name="Comma 9 3 4 4" xfId="3931" xr:uid="{5F6B8407-102F-45DF-8DAF-0E216E6B9AA0}"/>
    <cellStyle name="Comma 9 3 4 5" xfId="5057" xr:uid="{B09A672B-3B53-4E4F-96EC-9152DBEFE7DF}"/>
    <cellStyle name="Comma 9 3 4 6" xfId="6184" xr:uid="{424FD1CD-7D2C-4B4D-ABEE-9296236A61ED}"/>
    <cellStyle name="Comma 9 3 4 7" xfId="7317" xr:uid="{D93BB902-68DD-49C4-9102-30C0DF9DA270}"/>
    <cellStyle name="Comma 9 3 4 8" xfId="8530" xr:uid="{094E462B-545F-43F7-B250-D62C6AF3A5CD}"/>
    <cellStyle name="Comma 9 3 4 9" xfId="9667" xr:uid="{07DED0B4-550D-4FAB-AB26-E6694DB44FCD}"/>
    <cellStyle name="Comma 9 3 5" xfId="1674" xr:uid="{E928E5C1-6595-4AB4-8039-11F713F66966}"/>
    <cellStyle name="Comma 9 3 5 2" xfId="12958" xr:uid="{9C1EE4D4-E39C-4EBE-A921-E2AF52557E50}"/>
    <cellStyle name="Comma 9 3 5 3" xfId="15211" xr:uid="{D96777E8-4F00-46AB-8029-9DED1490C6E3}"/>
    <cellStyle name="Comma 9 3 5 4" xfId="17464" xr:uid="{FF83A9BE-C01D-4220-B25B-1F6513D63D2E}"/>
    <cellStyle name="Comma 9 3 6" xfId="2800" xr:uid="{28B6EF09-3C96-4ED7-A5B7-C91C953900D6}"/>
    <cellStyle name="Comma 9 3 7" xfId="3926" xr:uid="{180F62D8-73B0-4429-A727-570D6F3ABDC1}"/>
    <cellStyle name="Comma 9 3 8" xfId="5052" xr:uid="{464C0D20-541A-446C-8381-71C6EDCCA803}"/>
    <cellStyle name="Comma 9 3 9" xfId="6179" xr:uid="{E96B3BBC-DFDF-40F8-B2DC-B0B58516B663}"/>
    <cellStyle name="Comma 9 4" xfId="549" xr:uid="{D7722201-4092-4E71-903C-B26811C73E66}"/>
    <cellStyle name="Comma 9 4 10" xfId="8529" xr:uid="{3A2C61E3-82F7-4311-80B0-22B70F0F246B}"/>
    <cellStyle name="Comma 9 4 11" xfId="9666" xr:uid="{15B4878D-6966-4B93-AF5F-87B7958215FF}"/>
    <cellStyle name="Comma 9 4 12" xfId="10793" xr:uid="{2E848A92-938B-4166-93BC-6BA38DEE1F72}"/>
    <cellStyle name="Comma 9 4 13" xfId="11837" xr:uid="{0A920C74-5B44-4345-9133-AEE0C8F2C71A}"/>
    <cellStyle name="Comma 9 4 14" xfId="14090" xr:uid="{CF91B74A-1910-4F70-860E-2BEF40367E71}"/>
    <cellStyle name="Comma 9 4 15" xfId="16343" xr:uid="{6C8889F9-03CF-459E-AA17-164897E962F5}"/>
    <cellStyle name="Comma 9 4 2" xfId="550" xr:uid="{D46390D3-2AB3-4634-9959-168EF80702B5}"/>
    <cellStyle name="Comma 9 4 2 10" xfId="10792" xr:uid="{063C3795-7D74-418D-B88F-44A1BE34B971}"/>
    <cellStyle name="Comma 9 4 2 11" xfId="11838" xr:uid="{D875EBCC-A0F3-478C-8212-80BC5707B5C2}"/>
    <cellStyle name="Comma 9 4 2 12" xfId="14091" xr:uid="{9E2B4232-CF48-4571-BFA6-D5356D3C8872}"/>
    <cellStyle name="Comma 9 4 2 13" xfId="16344" xr:uid="{8049ED72-340E-4EEF-9DEF-D1CAC35BBD40}"/>
    <cellStyle name="Comma 9 4 2 2" xfId="1681" xr:uid="{CDC6DC2D-BFE7-4013-802D-BECB051B5842}"/>
    <cellStyle name="Comma 9 4 2 2 2" xfId="12965" xr:uid="{CF2F3DE8-8161-4DB9-B790-6C277011890F}"/>
    <cellStyle name="Comma 9 4 2 2 3" xfId="15218" xr:uid="{4FB05B7F-6D89-4360-82E6-A445F9434DC2}"/>
    <cellStyle name="Comma 9 4 2 2 4" xfId="17471" xr:uid="{07C69C64-5C81-4F69-9CC8-B2E80A8C5E26}"/>
    <cellStyle name="Comma 9 4 2 3" xfId="2807" xr:uid="{552B0FEF-E8C6-4556-A4DD-2071F018AFD9}"/>
    <cellStyle name="Comma 9 4 2 4" xfId="3933" xr:uid="{BA31F2B4-0FED-430C-9AB6-917C67FFCCD9}"/>
    <cellStyle name="Comma 9 4 2 5" xfId="5059" xr:uid="{5BC7155F-1A2C-4D42-92C0-F78AB511016A}"/>
    <cellStyle name="Comma 9 4 2 6" xfId="6186" xr:uid="{8A368CF0-F1DC-4572-B5CE-5C2AE3FB229E}"/>
    <cellStyle name="Comma 9 4 2 7" xfId="7319" xr:uid="{A9E46B9E-9C6A-4818-A594-FE60A0B8BDFC}"/>
    <cellStyle name="Comma 9 4 2 8" xfId="8528" xr:uid="{A2640760-7F9F-460A-8AD5-0DA8BFA29D00}"/>
    <cellStyle name="Comma 9 4 2 9" xfId="9665" xr:uid="{969C3626-6BA8-4B86-81F8-B1EE69D1D77E}"/>
    <cellStyle name="Comma 9 4 3" xfId="551" xr:uid="{59C90929-0815-4DC5-9097-9B1D57C0B4A7}"/>
    <cellStyle name="Comma 9 4 3 10" xfId="10791" xr:uid="{FB3DACC6-A619-41B2-BF23-D90B5C4C1CD9}"/>
    <cellStyle name="Comma 9 4 3 11" xfId="11839" xr:uid="{5FBBBCBF-C41E-4D47-BEBA-C0DABD85E6B6}"/>
    <cellStyle name="Comma 9 4 3 12" xfId="14092" xr:uid="{5B72BE89-CCFE-4C46-8EFA-EB4D47B2285B}"/>
    <cellStyle name="Comma 9 4 3 13" xfId="16345" xr:uid="{36D261B4-50EF-48F8-9E11-7715D7AABDF9}"/>
    <cellStyle name="Comma 9 4 3 2" xfId="1682" xr:uid="{EB2E447C-F026-44B3-8240-2F45508BCED1}"/>
    <cellStyle name="Comma 9 4 3 2 2" xfId="12966" xr:uid="{9AD80BF6-CFFD-42F3-91C9-3A4A2D45C6E2}"/>
    <cellStyle name="Comma 9 4 3 2 3" xfId="15219" xr:uid="{F3F098B9-0F26-4D21-AD35-3439111ADBF2}"/>
    <cellStyle name="Comma 9 4 3 2 4" xfId="17472" xr:uid="{83622440-E5A7-4690-8004-6A9407ECFA48}"/>
    <cellStyle name="Comma 9 4 3 3" xfId="2808" xr:uid="{627E8FC1-C839-4D27-B0D4-39ED8E25220F}"/>
    <cellStyle name="Comma 9 4 3 4" xfId="3934" xr:uid="{C0A646BE-B8DB-4C0D-BBBB-9ADC22BDE69B}"/>
    <cellStyle name="Comma 9 4 3 5" xfId="5060" xr:uid="{E8713ED8-615A-4F1D-9E82-FCF2C59227C7}"/>
    <cellStyle name="Comma 9 4 3 6" xfId="6187" xr:uid="{998511F5-95C3-444E-93E6-1204995E45E3}"/>
    <cellStyle name="Comma 9 4 3 7" xfId="7320" xr:uid="{A8090626-0ACB-4E4B-A2D7-3C3A75486A31}"/>
    <cellStyle name="Comma 9 4 3 8" xfId="8527" xr:uid="{07C1E313-631C-441F-BDC7-DBFBEE8A2214}"/>
    <cellStyle name="Comma 9 4 3 9" xfId="9664" xr:uid="{AEB61157-96E5-4E9A-8D9A-9D343E50189D}"/>
    <cellStyle name="Comma 9 4 4" xfId="1680" xr:uid="{4820E53B-5FF0-41B3-8407-AD591A472A1C}"/>
    <cellStyle name="Comma 9 4 4 2" xfId="12964" xr:uid="{9A5B85E4-4726-417F-9040-A22361E2A193}"/>
    <cellStyle name="Comma 9 4 4 3" xfId="15217" xr:uid="{BD8FF328-2B79-46B7-B78C-245EEE92C93B}"/>
    <cellStyle name="Comma 9 4 4 4" xfId="17470" xr:uid="{304FE35F-D38C-435C-817B-8B3CF6E8113F}"/>
    <cellStyle name="Comma 9 4 5" xfId="2806" xr:uid="{BF56A091-2690-493B-8D28-F518734EC381}"/>
    <cellStyle name="Comma 9 4 6" xfId="3932" xr:uid="{2A508A30-B035-48D1-9E3B-5809C18AC397}"/>
    <cellStyle name="Comma 9 4 7" xfId="5058" xr:uid="{F1C89E9F-16E5-4B94-9B88-0DA39D567A9E}"/>
    <cellStyle name="Comma 9 4 8" xfId="6185" xr:uid="{2E5FD603-B152-467A-9DC3-8894272DBDC5}"/>
    <cellStyle name="Comma 9 4 9" xfId="7318" xr:uid="{25B0A100-A94F-4E4E-A643-C7F5050B3604}"/>
    <cellStyle name="Comma 9 5" xfId="552" xr:uid="{989C98CF-93E4-4E44-B34E-8FC9132AAE9F}"/>
    <cellStyle name="Comma 9 5 10" xfId="10790" xr:uid="{482A79BA-C13E-47B5-9079-7AA54B61B010}"/>
    <cellStyle name="Comma 9 5 11" xfId="11840" xr:uid="{64C0EE60-4025-4F87-926C-CCE9EC867324}"/>
    <cellStyle name="Comma 9 5 12" xfId="14093" xr:uid="{D18FA0A4-9E1D-4623-8DC7-965C0BEE2461}"/>
    <cellStyle name="Comma 9 5 13" xfId="16346" xr:uid="{DD3A6052-22EF-42C7-A99D-910EAF834411}"/>
    <cellStyle name="Comma 9 5 2" xfId="1683" xr:uid="{14D7D7CC-9437-40B8-957C-465AD95D41AA}"/>
    <cellStyle name="Comma 9 5 2 2" xfId="12967" xr:uid="{699214C4-69B5-466A-B10E-C43AEC7F9206}"/>
    <cellStyle name="Comma 9 5 2 3" xfId="15220" xr:uid="{19A478C4-BBFC-4EC4-844C-EBF8ECC63716}"/>
    <cellStyle name="Comma 9 5 2 4" xfId="17473" xr:uid="{EBB6FC10-A628-41E4-AB44-87907FE61823}"/>
    <cellStyle name="Comma 9 5 3" xfId="2809" xr:uid="{D34CDC7B-0400-446A-83B9-4CB8DD67D48A}"/>
    <cellStyle name="Comma 9 5 4" xfId="3935" xr:uid="{CF44F80E-8BB5-4838-86AC-D3B010809F57}"/>
    <cellStyle name="Comma 9 5 5" xfId="5061" xr:uid="{FC82913D-7C15-4019-BD49-546FE72E2933}"/>
    <cellStyle name="Comma 9 5 6" xfId="6188" xr:uid="{634CE5D0-5860-49A3-A515-3C8BE6215DF7}"/>
    <cellStyle name="Comma 9 5 7" xfId="7321" xr:uid="{63782048-0362-4FBC-B11E-744E98A1C6AA}"/>
    <cellStyle name="Comma 9 5 8" xfId="8526" xr:uid="{14333766-D368-491F-8870-800F8F606DBB}"/>
    <cellStyle name="Comma 9 5 9" xfId="9663" xr:uid="{0EB4084C-F379-4E3C-B3FF-5DED376B33BD}"/>
    <cellStyle name="Comma 9 6" xfId="553" xr:uid="{0AA17BF6-9392-4754-87CF-F659312FB536}"/>
    <cellStyle name="Comma 9 6 10" xfId="10789" xr:uid="{D50842A0-FA8D-433A-AC84-0E4EFA643DE6}"/>
    <cellStyle name="Comma 9 6 11" xfId="11841" xr:uid="{4DA0B402-1293-4A6A-9322-1A7CB57BBDB6}"/>
    <cellStyle name="Comma 9 6 12" xfId="14094" xr:uid="{48B1FC61-88DE-49A0-88ED-B46ED39035A8}"/>
    <cellStyle name="Comma 9 6 13" xfId="16347" xr:uid="{B8542794-8A37-437F-8288-B13A981E8CA4}"/>
    <cellStyle name="Comma 9 6 2" xfId="1684" xr:uid="{AF5D0914-219F-44CA-B99A-B92E02BF0FAC}"/>
    <cellStyle name="Comma 9 6 2 2" xfId="12968" xr:uid="{8FFBE433-8E38-44DE-B1D7-6E2D9787B58E}"/>
    <cellStyle name="Comma 9 6 2 3" xfId="15221" xr:uid="{27A614A1-BF74-4167-AFA2-44C798841622}"/>
    <cellStyle name="Comma 9 6 2 4" xfId="17474" xr:uid="{D8BC9E61-B797-436E-9C7E-10A471309A75}"/>
    <cellStyle name="Comma 9 6 3" xfId="2810" xr:uid="{3750BB05-6278-4EAD-9DCB-3C505A303171}"/>
    <cellStyle name="Comma 9 6 4" xfId="3936" xr:uid="{72E9F519-08E7-4B8B-A25C-43EE8D91EC9A}"/>
    <cellStyle name="Comma 9 6 5" xfId="5062" xr:uid="{B9B0A4F1-725A-4034-9BE2-A7EC8B1642B7}"/>
    <cellStyle name="Comma 9 6 6" xfId="6189" xr:uid="{53B40ED2-ACFE-4DCA-BF54-540E9878E214}"/>
    <cellStyle name="Comma 9 6 7" xfId="7322" xr:uid="{15855A57-25A4-49F5-8476-68618723C6EF}"/>
    <cellStyle name="Comma 9 6 8" xfId="8525" xr:uid="{F9C254CA-77E7-4200-B629-FBBB9491984B}"/>
    <cellStyle name="Comma 9 6 9" xfId="9662" xr:uid="{BC4D5726-64B0-4CA2-8BA9-A7C8969EDA00}"/>
    <cellStyle name="Comma 9 7" xfId="1661" xr:uid="{0CDF6589-8E51-4F5A-83EA-25C9E1A50774}"/>
    <cellStyle name="Comma 9 7 2" xfId="12945" xr:uid="{BB074F00-3559-40C5-98F4-E5C0D0741B59}"/>
    <cellStyle name="Comma 9 7 3" xfId="15198" xr:uid="{0B5CA773-3857-4C1A-96DC-AFBEC6214790}"/>
    <cellStyle name="Comma 9 7 4" xfId="17451" xr:uid="{67234AC1-4158-450A-BBD7-8CD1457FD422}"/>
    <cellStyle name="Comma 9 8" xfId="2787" xr:uid="{BA8D932C-BC18-4450-9FBE-204A8CB51DDB}"/>
    <cellStyle name="Comma 9 9" xfId="3913" xr:uid="{2F510B54-2AB6-484E-89EF-CEDE66081702}"/>
    <cellStyle name="Normal" xfId="0" builtinId="0"/>
    <cellStyle name="Normal 10" xfId="554" xr:uid="{D035FA1D-D91B-484E-959D-E0366E476EF7}"/>
    <cellStyle name="Normal 10 10" xfId="5063" xr:uid="{5D7A2EED-E5D7-4B7B-9242-0E9B60CDCEEB}"/>
    <cellStyle name="Normal 10 11" xfId="6190" xr:uid="{9B90A875-8929-46AF-978C-EBBA5A3A8FEA}"/>
    <cellStyle name="Normal 10 12" xfId="7323" xr:uid="{F4FAC764-FF62-45DE-BF2F-2CF388EBC693}"/>
    <cellStyle name="Normal 10 13" xfId="8524" xr:uid="{83F27CFB-43B4-4612-9C3A-27CFA42EAC3E}"/>
    <cellStyle name="Normal 10 14" xfId="9056" xr:uid="{9294FB92-4822-4C4F-B56C-4660724E922A}"/>
    <cellStyle name="Normal 10 15" xfId="9661" xr:uid="{F3BF4782-44B1-4377-8FEB-48EA00C5FB6B}"/>
    <cellStyle name="Normal 10 16" xfId="10788" xr:uid="{15245ACA-9D71-4E26-86C1-B89B2E6FFC8B}"/>
    <cellStyle name="Normal 10 17" xfId="11842" xr:uid="{CB282B81-D134-4084-9C23-816FE51C2104}"/>
    <cellStyle name="Normal 10 18" xfId="14095" xr:uid="{9F626D55-79D3-4F9D-B0A5-96281E8CE7F7}"/>
    <cellStyle name="Normal 10 19" xfId="16348" xr:uid="{045372FB-58A2-461B-8831-CA48748A2B91}"/>
    <cellStyle name="Normal 10 2" xfId="555" xr:uid="{D28A8729-159A-4D3C-8D2F-23EB687B2995}"/>
    <cellStyle name="Normal 10 2 10" xfId="6191" xr:uid="{8E330B38-9835-43A5-B623-B7704F2755BE}"/>
    <cellStyle name="Normal 10 2 11" xfId="7324" xr:uid="{815A2C11-1DA0-4AA6-A6CD-C9D34D253121}"/>
    <cellStyle name="Normal 10 2 12" xfId="8523" xr:uid="{7E9D0F04-6E25-4546-81BC-30117A6FE625}"/>
    <cellStyle name="Normal 10 2 13" xfId="9660" xr:uid="{93D5E990-FE93-4ADA-9693-B724BD4A83DF}"/>
    <cellStyle name="Normal 10 2 14" xfId="10787" xr:uid="{73B26236-1E5E-48F8-96EF-C1DF579D388D}"/>
    <cellStyle name="Normal 10 2 15" xfId="11843" xr:uid="{A7DC6D44-0987-4DE6-BD31-B6D131D93A27}"/>
    <cellStyle name="Normal 10 2 16" xfId="14096" xr:uid="{99CCDCC9-CE3F-4A16-ABD2-1D594052D113}"/>
    <cellStyle name="Normal 10 2 17" xfId="16349" xr:uid="{74037964-920C-466D-8646-8989EA47A7DA}"/>
    <cellStyle name="Normal 10 2 2" xfId="556" xr:uid="{8B7EE5D6-2BFD-4B7A-A69C-6034B9E64FCB}"/>
    <cellStyle name="Normal 10 2 2 10" xfId="7325" xr:uid="{7DAB6C71-31BB-4FAB-AB10-88B187E88C1E}"/>
    <cellStyle name="Normal 10 2 2 11" xfId="8522" xr:uid="{01683695-3355-4BA8-9E00-B6E36CD074B2}"/>
    <cellStyle name="Normal 10 2 2 12" xfId="9659" xr:uid="{2CDE59EA-420C-40C1-A286-2D4B500B067C}"/>
    <cellStyle name="Normal 10 2 2 13" xfId="10786" xr:uid="{733D2A9C-4A11-408B-B59F-28A5D51BC61C}"/>
    <cellStyle name="Normal 10 2 2 14" xfId="11844" xr:uid="{45D80597-E282-497C-8D0D-2757490D0FEA}"/>
    <cellStyle name="Normal 10 2 2 15" xfId="14097" xr:uid="{3CBAE23D-DBC5-40C8-B6A4-62FE57F4EB31}"/>
    <cellStyle name="Normal 10 2 2 16" xfId="16350" xr:uid="{2C044BF7-8AEC-4B54-93FC-5AD60EE4EC2B}"/>
    <cellStyle name="Normal 10 2 2 2" xfId="557" xr:uid="{272CD843-3120-4A42-8B2B-B09443BE11F3}"/>
    <cellStyle name="Normal 10 2 2 2 10" xfId="8521" xr:uid="{13F0DE90-4948-40AF-B7C7-63675D4B1671}"/>
    <cellStyle name="Normal 10 2 2 2 11" xfId="9658" xr:uid="{6364AB3C-97E6-485D-9DD5-6946E4962DFF}"/>
    <cellStyle name="Normal 10 2 2 2 12" xfId="10785" xr:uid="{21E5FBCA-92EC-4EC6-ACC9-2CA0415A4E96}"/>
    <cellStyle name="Normal 10 2 2 2 13" xfId="11845" xr:uid="{82967F77-66EC-4481-B118-C01EA00B509A}"/>
    <cellStyle name="Normal 10 2 2 2 14" xfId="14098" xr:uid="{F5931A7F-0150-4C2A-8026-B17CF6F73839}"/>
    <cellStyle name="Normal 10 2 2 2 15" xfId="16351" xr:uid="{AD101D73-C6D1-4256-9C9B-7ED5D845BFB0}"/>
    <cellStyle name="Normal 10 2 2 2 2" xfId="558" xr:uid="{79701CBF-5EF9-45EA-B8DE-9B3647442088}"/>
    <cellStyle name="Normal 10 2 2 2 2 10" xfId="10784" xr:uid="{452575C7-974F-4B68-8A78-E46328F54076}"/>
    <cellStyle name="Normal 10 2 2 2 2 11" xfId="11846" xr:uid="{F269319D-A2CC-4656-9152-D7B4DA06713F}"/>
    <cellStyle name="Normal 10 2 2 2 2 12" xfId="14099" xr:uid="{66EFC90B-FC04-4DC7-9F2E-F540C7187B61}"/>
    <cellStyle name="Normal 10 2 2 2 2 13" xfId="16352" xr:uid="{FAFB4EEE-3E1D-4A9E-A469-1596FA35BFF4}"/>
    <cellStyle name="Normal 10 2 2 2 2 2" xfId="1689" xr:uid="{71AE72EC-DA77-439E-8206-B6DBCB9981A8}"/>
    <cellStyle name="Normal 10 2 2 2 2 2 2" xfId="12973" xr:uid="{5059AC43-427E-491B-84E3-C6AA86C1777D}"/>
    <cellStyle name="Normal 10 2 2 2 2 2 3" xfId="15226" xr:uid="{CB5F9443-042B-442F-BEE1-97DD4432489E}"/>
    <cellStyle name="Normal 10 2 2 2 2 2 4" xfId="17479" xr:uid="{66FF765B-D720-4027-9BA6-667E117916FE}"/>
    <cellStyle name="Normal 10 2 2 2 2 3" xfId="2815" xr:uid="{632EC04B-A6EB-48C2-B32E-9DE7BE37F429}"/>
    <cellStyle name="Normal 10 2 2 2 2 4" xfId="3941" xr:uid="{4FD9989E-4500-4C70-A06F-B1BA9BE23200}"/>
    <cellStyle name="Normal 10 2 2 2 2 5" xfId="5067" xr:uid="{CD59C987-3F08-4D4E-8940-52D4A92ADA49}"/>
    <cellStyle name="Normal 10 2 2 2 2 6" xfId="6194" xr:uid="{8462A4AF-6F6E-434E-B36F-5BEC52B85D04}"/>
    <cellStyle name="Normal 10 2 2 2 2 7" xfId="7327" xr:uid="{93CF88CA-7823-4BB1-B1D9-424926A017E5}"/>
    <cellStyle name="Normal 10 2 2 2 2 8" xfId="8520" xr:uid="{C4C3475F-68EE-4042-B450-AAC24563E6C0}"/>
    <cellStyle name="Normal 10 2 2 2 2 9" xfId="9657" xr:uid="{1D661A26-F8E6-4EA6-90F7-FBE142353F8B}"/>
    <cellStyle name="Normal 10 2 2 2 3" xfId="559" xr:uid="{A98A0B60-0246-4DFF-94BF-8749642F5BB0}"/>
    <cellStyle name="Normal 10 2 2 2 3 10" xfId="10783" xr:uid="{6A51FDD0-4BAC-4245-9689-B6C0F1285430}"/>
    <cellStyle name="Normal 10 2 2 2 3 11" xfId="11847" xr:uid="{4E205E45-A39C-4617-82FA-D78DB1C83099}"/>
    <cellStyle name="Normal 10 2 2 2 3 12" xfId="14100" xr:uid="{EA30B1BB-F2A6-418F-9715-7B3B093BB84B}"/>
    <cellStyle name="Normal 10 2 2 2 3 13" xfId="16353" xr:uid="{61D98EA8-0520-4451-B856-C2FF2DA83FFB}"/>
    <cellStyle name="Normal 10 2 2 2 3 2" xfId="1690" xr:uid="{238F9456-B90B-48AF-AD6A-58FB0BED4A2C}"/>
    <cellStyle name="Normal 10 2 2 2 3 2 2" xfId="12974" xr:uid="{16E157C0-E429-42D1-8E4E-895A3668E0AD}"/>
    <cellStyle name="Normal 10 2 2 2 3 2 3" xfId="15227" xr:uid="{8F059EE1-4838-4C4E-B74F-9CC0FC7D2C9F}"/>
    <cellStyle name="Normal 10 2 2 2 3 2 4" xfId="17480" xr:uid="{DBB11E11-E7BF-4A0D-BB79-34A4ED74F977}"/>
    <cellStyle name="Normal 10 2 2 2 3 3" xfId="2816" xr:uid="{97846C5A-F471-41AC-9C82-A044983A75AD}"/>
    <cellStyle name="Normal 10 2 2 2 3 4" xfId="3942" xr:uid="{4EF09540-E366-4A4D-B17E-50F2D1794303}"/>
    <cellStyle name="Normal 10 2 2 2 3 5" xfId="5068" xr:uid="{25A96A93-7CD2-4612-A4FB-00A093A8289D}"/>
    <cellStyle name="Normal 10 2 2 2 3 6" xfId="6195" xr:uid="{D067B087-E07F-453D-9A92-F84A11581041}"/>
    <cellStyle name="Normal 10 2 2 2 3 7" xfId="7328" xr:uid="{57D4D364-38EC-4649-99A2-4F096408E557}"/>
    <cellStyle name="Normal 10 2 2 2 3 8" xfId="8519" xr:uid="{C8CEE288-4B96-4E5A-A030-1BFA732C7277}"/>
    <cellStyle name="Normal 10 2 2 2 3 9" xfId="9656" xr:uid="{1B81D5D4-14AD-4ED6-BE90-73F535C0DF06}"/>
    <cellStyle name="Normal 10 2 2 2 4" xfId="1688" xr:uid="{26356988-2E26-457C-900C-7C81F40A6411}"/>
    <cellStyle name="Normal 10 2 2 2 4 2" xfId="12972" xr:uid="{76318C68-3FE3-42BB-8D63-7739D76F34A0}"/>
    <cellStyle name="Normal 10 2 2 2 4 3" xfId="15225" xr:uid="{077D66B3-4968-4B53-BDA3-10108D8FC627}"/>
    <cellStyle name="Normal 10 2 2 2 4 4" xfId="17478" xr:uid="{9DA1AA83-AE4D-4E4E-91D5-3EDC69D0D534}"/>
    <cellStyle name="Normal 10 2 2 2 5" xfId="2814" xr:uid="{B194CFC7-0122-48D1-9C1A-018F076E5256}"/>
    <cellStyle name="Normal 10 2 2 2 6" xfId="3940" xr:uid="{3D26F45F-DDF3-4D22-9D65-330009DCF2BA}"/>
    <cellStyle name="Normal 10 2 2 2 7" xfId="5066" xr:uid="{01C99F14-1284-4FE2-9812-D58E2BDD8BD4}"/>
    <cellStyle name="Normal 10 2 2 2 8" xfId="6193" xr:uid="{9C12091F-5DF1-4ADD-8249-D0C1D4F263EA}"/>
    <cellStyle name="Normal 10 2 2 2 9" xfId="7326" xr:uid="{E1990BC6-03AB-4C77-89A0-A006BBB34B3F}"/>
    <cellStyle name="Normal 10 2 2 3" xfId="560" xr:uid="{A1904C39-7E6C-4A44-BFD9-10C0DDA6EC8C}"/>
    <cellStyle name="Normal 10 2 2 3 10" xfId="10782" xr:uid="{020AF2FF-ECD1-4F0C-9003-B06EA8845091}"/>
    <cellStyle name="Normal 10 2 2 3 11" xfId="11848" xr:uid="{F6DBEA75-44D4-4E02-8530-B74D37865458}"/>
    <cellStyle name="Normal 10 2 2 3 12" xfId="14101" xr:uid="{2964D21C-8A46-4A4B-BD2B-6B0430F76AA6}"/>
    <cellStyle name="Normal 10 2 2 3 13" xfId="16354" xr:uid="{C5E3D1F2-5480-4F83-8D84-C35FB069CA23}"/>
    <cellStyle name="Normal 10 2 2 3 2" xfId="1691" xr:uid="{871A2CD0-A6D4-4635-8D38-D915AA8C59D9}"/>
    <cellStyle name="Normal 10 2 2 3 2 2" xfId="12975" xr:uid="{2BB25490-263B-40D1-B4C7-5646C3851656}"/>
    <cellStyle name="Normal 10 2 2 3 2 3" xfId="15228" xr:uid="{7D0DC476-25A9-41AE-99CE-D4CA0238048B}"/>
    <cellStyle name="Normal 10 2 2 3 2 4" xfId="17481" xr:uid="{8613745F-9934-4B6F-83D4-C5DB152C6F6C}"/>
    <cellStyle name="Normal 10 2 2 3 3" xfId="2817" xr:uid="{422E14B6-FC1D-46A2-BD8F-5BB5B3F716D6}"/>
    <cellStyle name="Normal 10 2 2 3 4" xfId="3943" xr:uid="{2A4F2EB7-BB2E-4675-9124-AD9A626666A0}"/>
    <cellStyle name="Normal 10 2 2 3 5" xfId="5069" xr:uid="{DA8B3B48-EE25-4B42-924E-E3C353E24237}"/>
    <cellStyle name="Normal 10 2 2 3 6" xfId="6196" xr:uid="{6ECB71F7-C490-4B9C-A0F2-BBAC9F5F7E7B}"/>
    <cellStyle name="Normal 10 2 2 3 7" xfId="7329" xr:uid="{209AD0CA-EC9F-4088-8755-01FD81E3950E}"/>
    <cellStyle name="Normal 10 2 2 3 8" xfId="8518" xr:uid="{448EE5ED-5B52-4D9D-91E5-76C547B517AB}"/>
    <cellStyle name="Normal 10 2 2 3 9" xfId="9655" xr:uid="{CBD323B5-A132-4CD6-B3AB-50406BBB9B51}"/>
    <cellStyle name="Normal 10 2 2 4" xfId="561" xr:uid="{F177C4F2-6714-4E9F-B9DF-27D789261DD2}"/>
    <cellStyle name="Normal 10 2 2 4 10" xfId="10781" xr:uid="{4D75E588-7621-40D1-AD7E-338BCA1D178B}"/>
    <cellStyle name="Normal 10 2 2 4 11" xfId="11849" xr:uid="{3465BF92-E703-4AA0-BD39-29CCF8880CC9}"/>
    <cellStyle name="Normal 10 2 2 4 12" xfId="14102" xr:uid="{976705BC-4920-47A9-88AD-B9E0FA331051}"/>
    <cellStyle name="Normal 10 2 2 4 13" xfId="16355" xr:uid="{344CCCB4-440C-4F34-8376-1313DD666012}"/>
    <cellStyle name="Normal 10 2 2 4 2" xfId="1692" xr:uid="{597E73D1-A007-49CE-8042-F8F354D1692B}"/>
    <cellStyle name="Normal 10 2 2 4 2 2" xfId="12976" xr:uid="{27E0C510-21E8-4630-B0CF-B48A45133FEA}"/>
    <cellStyle name="Normal 10 2 2 4 2 3" xfId="15229" xr:uid="{8C998344-6A3B-40C8-AE63-48AA94182A57}"/>
    <cellStyle name="Normal 10 2 2 4 2 4" xfId="17482" xr:uid="{536FDDE8-E32B-4035-8515-AA4E2D341228}"/>
    <cellStyle name="Normal 10 2 2 4 3" xfId="2818" xr:uid="{CF5926D3-5134-4286-831F-B56354B725C6}"/>
    <cellStyle name="Normal 10 2 2 4 4" xfId="3944" xr:uid="{BA37F63B-86E8-42CC-887D-DB5E91A60803}"/>
    <cellStyle name="Normal 10 2 2 4 5" xfId="5070" xr:uid="{B4C10845-981C-475F-B289-A3F60DBC8F12}"/>
    <cellStyle name="Normal 10 2 2 4 6" xfId="6197" xr:uid="{15660D6F-AA2C-4BCD-9E71-F32F7937D0A0}"/>
    <cellStyle name="Normal 10 2 2 4 7" xfId="7330" xr:uid="{A5193EBF-1E41-4914-90B0-1DF0DD47149C}"/>
    <cellStyle name="Normal 10 2 2 4 8" xfId="8517" xr:uid="{D8584395-A445-4D04-B8F2-09D25EEEDA4F}"/>
    <cellStyle name="Normal 10 2 2 4 9" xfId="9654" xr:uid="{2E88F64A-E1CB-463B-A2D6-459C236783AC}"/>
    <cellStyle name="Normal 10 2 2 5" xfId="1687" xr:uid="{1BE8D0B3-CAEB-4B9B-BD55-A199E578F0E4}"/>
    <cellStyle name="Normal 10 2 2 5 2" xfId="12971" xr:uid="{A32D2DC4-1399-4B76-B53F-7FDC4F521BD3}"/>
    <cellStyle name="Normal 10 2 2 5 3" xfId="15224" xr:uid="{B207148A-DCA3-4916-9116-7B20E8F33F6D}"/>
    <cellStyle name="Normal 10 2 2 5 4" xfId="17477" xr:uid="{FA1B2CF0-D678-4127-9A0C-AB7B3627E550}"/>
    <cellStyle name="Normal 10 2 2 6" xfId="2813" xr:uid="{D0577F95-E841-4F7C-8458-CD41E2B0A90B}"/>
    <cellStyle name="Normal 10 2 2 7" xfId="3939" xr:uid="{E20B2275-0144-4850-9B1D-D74F4861D55C}"/>
    <cellStyle name="Normal 10 2 2 8" xfId="5065" xr:uid="{112B6B78-4B27-4BFE-8EE8-5D0A10FBD79C}"/>
    <cellStyle name="Normal 10 2 2 9" xfId="6192" xr:uid="{52BDED27-52AD-41B2-94B9-DE9F65F9AAD9}"/>
    <cellStyle name="Normal 10 2 3" xfId="562" xr:uid="{949BBE20-5975-45B5-BBA7-FCB1916CE982}"/>
    <cellStyle name="Normal 10 2 3 10" xfId="8516" xr:uid="{DC66F126-DF73-4EAA-A8A4-13864F5EA84E}"/>
    <cellStyle name="Normal 10 2 3 11" xfId="9653" xr:uid="{81BDCF9A-4FFC-40D2-B0E6-C84DD62732B9}"/>
    <cellStyle name="Normal 10 2 3 12" xfId="10780" xr:uid="{0E910A44-6CD7-484B-B3DE-B738B2D2777C}"/>
    <cellStyle name="Normal 10 2 3 13" xfId="11850" xr:uid="{FBF696B5-7A6D-44AC-8342-707E3D668EB3}"/>
    <cellStyle name="Normal 10 2 3 14" xfId="14103" xr:uid="{07A86D3A-1E91-4920-9DEC-CA67963E881E}"/>
    <cellStyle name="Normal 10 2 3 15" xfId="16356" xr:uid="{11B6C07C-0ACD-4D7F-9BC2-2D7DD471F236}"/>
    <cellStyle name="Normal 10 2 3 2" xfId="563" xr:uid="{A2184C04-7C2E-4420-90CD-EB1879E5FF9A}"/>
    <cellStyle name="Normal 10 2 3 2 10" xfId="10779" xr:uid="{72E33C45-80E4-4566-B267-9DFB3E45BBE6}"/>
    <cellStyle name="Normal 10 2 3 2 11" xfId="11851" xr:uid="{C1FBC0AB-2C73-403F-86A2-775D06C4B050}"/>
    <cellStyle name="Normal 10 2 3 2 12" xfId="14104" xr:uid="{CB88006D-3185-4D5B-AB79-320E6A2F80DF}"/>
    <cellStyle name="Normal 10 2 3 2 13" xfId="16357" xr:uid="{C4490DEA-B4B7-4622-893A-86007642B474}"/>
    <cellStyle name="Normal 10 2 3 2 2" xfId="1694" xr:uid="{A4A0B8C0-A2DC-4F87-A2EB-D77F58036642}"/>
    <cellStyle name="Normal 10 2 3 2 2 2" xfId="12978" xr:uid="{2C1C7403-9BB8-4863-9FEE-0A945FFB35C2}"/>
    <cellStyle name="Normal 10 2 3 2 2 3" xfId="15231" xr:uid="{9C869B4D-7F65-4B6A-97FF-BE1BDBE42AAC}"/>
    <cellStyle name="Normal 10 2 3 2 2 4" xfId="17484" xr:uid="{24CD6BDA-8A25-446B-820F-22E2D18A4BC0}"/>
    <cellStyle name="Normal 10 2 3 2 3" xfId="2820" xr:uid="{A6F2802E-94F5-4BB6-99D0-45A1BF05139C}"/>
    <cellStyle name="Normal 10 2 3 2 4" xfId="3946" xr:uid="{607C4AE7-11B5-4F64-964A-9762E151E112}"/>
    <cellStyle name="Normal 10 2 3 2 5" xfId="5072" xr:uid="{AA77BB06-0849-4B1A-A7F8-BA3A3B3F9DC0}"/>
    <cellStyle name="Normal 10 2 3 2 6" xfId="6199" xr:uid="{2C21D7BE-706A-41AB-9EC8-8F0A2DE80CFB}"/>
    <cellStyle name="Normal 10 2 3 2 7" xfId="7332" xr:uid="{9A2E6839-EDEB-4FE0-84AB-998553B86685}"/>
    <cellStyle name="Normal 10 2 3 2 8" xfId="8515" xr:uid="{55C43B40-1D57-47AB-BE5C-9F157120906F}"/>
    <cellStyle name="Normal 10 2 3 2 9" xfId="9652" xr:uid="{33926379-2BC9-425E-81AD-360C7C8F89DD}"/>
    <cellStyle name="Normal 10 2 3 3" xfId="564" xr:uid="{EE0CC341-47D0-40FE-B813-BC83265F7985}"/>
    <cellStyle name="Normal 10 2 3 3 10" xfId="10778" xr:uid="{3E210F02-03F5-43CC-93ED-4C2026F7A92B}"/>
    <cellStyle name="Normal 10 2 3 3 11" xfId="11852" xr:uid="{3F08A88A-63E4-4287-9DE7-079DE0E428E5}"/>
    <cellStyle name="Normal 10 2 3 3 12" xfId="14105" xr:uid="{748C0D2B-EFFC-44EB-8309-3AAF15612E33}"/>
    <cellStyle name="Normal 10 2 3 3 13" xfId="16358" xr:uid="{60788842-C101-4405-8E0F-22F90B831C79}"/>
    <cellStyle name="Normal 10 2 3 3 2" xfId="1695" xr:uid="{A577E6CD-8EEC-42AC-BB6D-2FAB83470F23}"/>
    <cellStyle name="Normal 10 2 3 3 2 2" xfId="12979" xr:uid="{DE552B6A-7342-4628-8FA7-962F996F3CF0}"/>
    <cellStyle name="Normal 10 2 3 3 2 3" xfId="15232" xr:uid="{FEF71D64-B9F0-432F-8381-0637A91D3FF1}"/>
    <cellStyle name="Normal 10 2 3 3 2 4" xfId="17485" xr:uid="{68703AED-F39A-41F2-9986-88A15F1B95C8}"/>
    <cellStyle name="Normal 10 2 3 3 3" xfId="2821" xr:uid="{E1C3B0D6-51E2-4B1A-A8A1-BE58EC9AD7F6}"/>
    <cellStyle name="Normal 10 2 3 3 4" xfId="3947" xr:uid="{DC815C97-8D1B-44EA-AC87-428932CF57D3}"/>
    <cellStyle name="Normal 10 2 3 3 5" xfId="5073" xr:uid="{F5108F7C-9D5E-4D54-868B-6048E72690B4}"/>
    <cellStyle name="Normal 10 2 3 3 6" xfId="6200" xr:uid="{24BC44A2-EDCF-4C43-B153-A6D5E3BD5E82}"/>
    <cellStyle name="Normal 10 2 3 3 7" xfId="7333" xr:uid="{5B0673C6-598A-4BE6-99E0-5C3FF192CF03}"/>
    <cellStyle name="Normal 10 2 3 3 8" xfId="8514" xr:uid="{5757104F-708F-4F45-A42F-C2229CE2D7B6}"/>
    <cellStyle name="Normal 10 2 3 3 9" xfId="9651" xr:uid="{5D0088F8-BEB0-47A9-965E-AB08BE58CB78}"/>
    <cellStyle name="Normal 10 2 3 4" xfId="1693" xr:uid="{68DC0550-7302-4900-A714-3456711DF4A1}"/>
    <cellStyle name="Normal 10 2 3 4 2" xfId="12977" xr:uid="{4B8A5516-37F4-4FC4-A9AF-CD55F9D8A889}"/>
    <cellStyle name="Normal 10 2 3 4 3" xfId="15230" xr:uid="{2137DC68-5E66-4E3C-96B3-2631C33D753F}"/>
    <cellStyle name="Normal 10 2 3 4 4" xfId="17483" xr:uid="{2F026B11-8B7C-4079-B5DA-A4788325C2AD}"/>
    <cellStyle name="Normal 10 2 3 5" xfId="2819" xr:uid="{50D4DA83-DCF0-4B1A-99C5-2EE452357ED2}"/>
    <cellStyle name="Normal 10 2 3 6" xfId="3945" xr:uid="{223B4F4B-3FF6-41EC-B007-4F363195142E}"/>
    <cellStyle name="Normal 10 2 3 7" xfId="5071" xr:uid="{8250DC2F-CCB1-493E-A5E8-BC312530CF9E}"/>
    <cellStyle name="Normal 10 2 3 8" xfId="6198" xr:uid="{A1069FBB-8002-4D55-A57F-E9E51F8F1989}"/>
    <cellStyle name="Normal 10 2 3 9" xfId="7331" xr:uid="{B7B7B950-F29D-45AB-B5FF-0BD8F791ABF0}"/>
    <cellStyle name="Normal 10 2 4" xfId="565" xr:uid="{2D7BDDCA-BCA5-4C44-9D59-5276B08F6B89}"/>
    <cellStyle name="Normal 10 2 4 10" xfId="10777" xr:uid="{A281622C-64F8-40D9-8E63-2D40EC0320A5}"/>
    <cellStyle name="Normal 10 2 4 11" xfId="11853" xr:uid="{C1C34482-F551-49EC-8320-01FC83BA16D4}"/>
    <cellStyle name="Normal 10 2 4 12" xfId="14106" xr:uid="{C205D341-95DB-4B93-BEB9-1AFEB898EAC6}"/>
    <cellStyle name="Normal 10 2 4 13" xfId="16359" xr:uid="{C73366BE-FA92-4EE7-95DB-4E32B455CB4C}"/>
    <cellStyle name="Normal 10 2 4 2" xfId="1696" xr:uid="{63261930-9E86-4697-830D-0A87EB8B42AE}"/>
    <cellStyle name="Normal 10 2 4 2 2" xfId="12980" xr:uid="{0F4FEC98-3DE8-4A29-8982-35CDA61ED829}"/>
    <cellStyle name="Normal 10 2 4 2 3" xfId="15233" xr:uid="{6DE49AE2-E0C9-45D2-8BB8-06E98D378FCB}"/>
    <cellStyle name="Normal 10 2 4 2 4" xfId="17486" xr:uid="{99EF2E06-0FD4-4C25-AD6E-AC879012FFF8}"/>
    <cellStyle name="Normal 10 2 4 3" xfId="2822" xr:uid="{DF72650C-6318-41E1-8D67-8180CA0BC7EE}"/>
    <cellStyle name="Normal 10 2 4 4" xfId="3948" xr:uid="{1E7C477B-2838-4470-AE5D-BDF407109958}"/>
    <cellStyle name="Normal 10 2 4 5" xfId="5074" xr:uid="{EDF282DE-FE11-43C9-B21B-230B8A40D4DE}"/>
    <cellStyle name="Normal 10 2 4 6" xfId="6201" xr:uid="{F3101C96-8DA3-4A99-9A2F-3EA243045A9F}"/>
    <cellStyle name="Normal 10 2 4 7" xfId="7334" xr:uid="{F63AEB74-3CCA-475D-B8AB-276177F27CC9}"/>
    <cellStyle name="Normal 10 2 4 8" xfId="8513" xr:uid="{BE63B8F0-7B6C-44ED-B91A-95B157394821}"/>
    <cellStyle name="Normal 10 2 4 9" xfId="9650" xr:uid="{1F3F9311-9B8D-42CC-96E6-6CBD36030B92}"/>
    <cellStyle name="Normal 10 2 5" xfId="566" xr:uid="{83ACFDEB-496D-4007-9175-A49064F16EC9}"/>
    <cellStyle name="Normal 10 2 5 10" xfId="10776" xr:uid="{BF73340E-BAB3-4133-81B0-3BEE87A98A01}"/>
    <cellStyle name="Normal 10 2 5 11" xfId="11854" xr:uid="{753F32E5-677E-4C66-B3E6-93FCC9D46A46}"/>
    <cellStyle name="Normal 10 2 5 12" xfId="14107" xr:uid="{3311229C-979E-4D2C-8FAB-B50E165F08D9}"/>
    <cellStyle name="Normal 10 2 5 13" xfId="16360" xr:uid="{8241490F-5B27-4609-A87A-73480BD44AE3}"/>
    <cellStyle name="Normal 10 2 5 2" xfId="1697" xr:uid="{6F1BE508-76B0-44CF-9721-5A6438C17E7E}"/>
    <cellStyle name="Normal 10 2 5 2 2" xfId="12981" xr:uid="{0B54E16C-B0A0-488A-A0D7-0ED84E869556}"/>
    <cellStyle name="Normal 10 2 5 2 3" xfId="15234" xr:uid="{D5C16A38-29A0-4138-B74D-0B04E4FD749A}"/>
    <cellStyle name="Normal 10 2 5 2 4" xfId="17487" xr:uid="{D00550FE-083A-41A1-85D1-30DC07EAA55D}"/>
    <cellStyle name="Normal 10 2 5 3" xfId="2823" xr:uid="{28DF277D-6525-4A3D-B897-B2DFCDED669A}"/>
    <cellStyle name="Normal 10 2 5 4" xfId="3949" xr:uid="{0DE72650-EA91-433A-8363-43367188FEA6}"/>
    <cellStyle name="Normal 10 2 5 5" xfId="5075" xr:uid="{0FD19C33-6E4C-416E-ACF6-62898656C41C}"/>
    <cellStyle name="Normal 10 2 5 6" xfId="6202" xr:uid="{C4C41BCB-EED6-4C78-9644-D4D7F293B68D}"/>
    <cellStyle name="Normal 10 2 5 7" xfId="7335" xr:uid="{8F22D0EF-25AC-49A9-AEAC-DD927CB88F70}"/>
    <cellStyle name="Normal 10 2 5 8" xfId="8512" xr:uid="{A19A728D-09BB-4675-924F-D83F228E7E24}"/>
    <cellStyle name="Normal 10 2 5 9" xfId="9649" xr:uid="{8DCF9980-C8D5-4493-A5E0-A391F92EF2D5}"/>
    <cellStyle name="Normal 10 2 6" xfId="1686" xr:uid="{80A04E7A-C8A1-4D08-9DB6-03A1BD2318A0}"/>
    <cellStyle name="Normal 10 2 6 2" xfId="12970" xr:uid="{2D4D58C3-7B49-4D6B-A71F-20A441BF56B5}"/>
    <cellStyle name="Normal 10 2 6 3" xfId="15223" xr:uid="{69A71FB5-F18B-4E66-928A-CC08644C7542}"/>
    <cellStyle name="Normal 10 2 6 4" xfId="17476" xr:uid="{F6514676-24A1-4414-9F6D-13E1770EBAB3}"/>
    <cellStyle name="Normal 10 2 7" xfId="2812" xr:uid="{B87138D0-CAA3-4936-A41E-FD9C5B1D9042}"/>
    <cellStyle name="Normal 10 2 8" xfId="3938" xr:uid="{34999045-075C-4C4D-8BB2-EF5811D59366}"/>
    <cellStyle name="Normal 10 2 9" xfId="5064" xr:uid="{FFD23867-D926-4328-8505-56F6D5E170BC}"/>
    <cellStyle name="Normal 10 3" xfId="567" xr:uid="{C9E06D65-2B36-440D-9065-3FE51B43B8A6}"/>
    <cellStyle name="Normal 10 3 10" xfId="7336" xr:uid="{8ABBC8EC-EBDA-40EE-B0C5-241942CBB7BF}"/>
    <cellStyle name="Normal 10 3 11" xfId="8511" xr:uid="{1FCA7618-6FB7-4540-B179-EA70EAEDD559}"/>
    <cellStyle name="Normal 10 3 12" xfId="9648" xr:uid="{CC7EB77A-6A6A-4EDF-A238-33E12E964D1F}"/>
    <cellStyle name="Normal 10 3 13" xfId="10775" xr:uid="{C1099619-987B-4C17-9F20-81E81E05AAA6}"/>
    <cellStyle name="Normal 10 3 14" xfId="11855" xr:uid="{6B9111B7-70EB-4399-8D88-44661B734A35}"/>
    <cellStyle name="Normal 10 3 15" xfId="14108" xr:uid="{55A20DE6-C5CD-4EF1-83CA-B051B1F5CEC6}"/>
    <cellStyle name="Normal 10 3 16" xfId="16361" xr:uid="{B2A14EFF-DE06-4A5D-990E-FDF3435C7137}"/>
    <cellStyle name="Normal 10 3 2" xfId="568" xr:uid="{6D581136-9EEF-4124-822A-48AFF6AB4C57}"/>
    <cellStyle name="Normal 10 3 2 10" xfId="8510" xr:uid="{2DAAC498-DD02-4083-A2E2-F4559DE5F683}"/>
    <cellStyle name="Normal 10 3 2 11" xfId="9647" xr:uid="{7539F55C-676B-44B0-BC2C-DB535E49E419}"/>
    <cellStyle name="Normal 10 3 2 12" xfId="10774" xr:uid="{1A0FA64E-3163-418E-A07D-5503C25ACC94}"/>
    <cellStyle name="Normal 10 3 2 13" xfId="11856" xr:uid="{CA740BC3-58F1-435A-80AB-98F19CE7ADDA}"/>
    <cellStyle name="Normal 10 3 2 14" xfId="14109" xr:uid="{3D7922AE-B31E-4CF1-B06D-24958B7E455B}"/>
    <cellStyle name="Normal 10 3 2 15" xfId="16362" xr:uid="{F39209F4-C842-4B0C-96A9-58B47DAADC7B}"/>
    <cellStyle name="Normal 10 3 2 2" xfId="569" xr:uid="{8A1BB233-4FEB-406E-ABCE-01823D6948BD}"/>
    <cellStyle name="Normal 10 3 2 2 10" xfId="10773" xr:uid="{3D05AA82-4047-4BC2-9AE5-416EFF94156F}"/>
    <cellStyle name="Normal 10 3 2 2 11" xfId="11857" xr:uid="{4C45091E-0959-4200-9321-31689DA8C12B}"/>
    <cellStyle name="Normal 10 3 2 2 12" xfId="14110" xr:uid="{01B79309-601C-4931-A501-8408C308B47A}"/>
    <cellStyle name="Normal 10 3 2 2 13" xfId="16363" xr:uid="{B98FF572-79C8-4DA2-982F-78B230130964}"/>
    <cellStyle name="Normal 10 3 2 2 2" xfId="1700" xr:uid="{92E00519-8C51-4FE3-9BFA-0F4B3D105D59}"/>
    <cellStyle name="Normal 10 3 2 2 2 2" xfId="12984" xr:uid="{C2B43D6F-7E17-4461-903B-E6B8E9C70553}"/>
    <cellStyle name="Normal 10 3 2 2 2 3" xfId="15237" xr:uid="{68FD746E-9150-4027-9082-4EB5B15A0023}"/>
    <cellStyle name="Normal 10 3 2 2 2 4" xfId="17490" xr:uid="{214DC5D8-290B-409A-A0CD-034D08C15E9B}"/>
    <cellStyle name="Normal 10 3 2 2 3" xfId="2826" xr:uid="{CE61664B-2A6D-4DC3-B94B-3D2F078E1800}"/>
    <cellStyle name="Normal 10 3 2 2 4" xfId="3952" xr:uid="{476628AA-FD8A-4BAE-BCC5-E166A8179AC0}"/>
    <cellStyle name="Normal 10 3 2 2 5" xfId="5078" xr:uid="{CA441DA3-FF42-48CF-BA67-32A828BD8728}"/>
    <cellStyle name="Normal 10 3 2 2 6" xfId="6205" xr:uid="{E5C8F07E-1B6F-4FAF-A1BB-10BAF29B8766}"/>
    <cellStyle name="Normal 10 3 2 2 7" xfId="7338" xr:uid="{0ED98370-08A7-4DB2-86FB-220FBFB213DB}"/>
    <cellStyle name="Normal 10 3 2 2 8" xfId="8509" xr:uid="{22641248-52E1-4720-B7B4-B06A1527709E}"/>
    <cellStyle name="Normal 10 3 2 2 9" xfId="9646" xr:uid="{69C45D87-61ED-46F0-BAF6-90215A300175}"/>
    <cellStyle name="Normal 10 3 2 3" xfId="570" xr:uid="{028EB31A-9D94-4C9A-A25D-CCD831D1826F}"/>
    <cellStyle name="Normal 10 3 2 3 10" xfId="10772" xr:uid="{F59DDF12-879F-495E-8C75-2DFC5158DD3E}"/>
    <cellStyle name="Normal 10 3 2 3 11" xfId="11858" xr:uid="{1E02F83E-2E2D-42BB-9D18-A39E1868D1A7}"/>
    <cellStyle name="Normal 10 3 2 3 12" xfId="14111" xr:uid="{A3415AEE-592F-4777-B070-8B293F0D2A8D}"/>
    <cellStyle name="Normal 10 3 2 3 13" xfId="16364" xr:uid="{39436C43-3E8D-4A48-A76F-AD97ABE2875B}"/>
    <cellStyle name="Normal 10 3 2 3 2" xfId="1701" xr:uid="{9086DF9F-512B-4B51-AAAC-421D60072C73}"/>
    <cellStyle name="Normal 10 3 2 3 2 2" xfId="12985" xr:uid="{A60ADAD5-B620-45D5-A122-4D695083DF1D}"/>
    <cellStyle name="Normal 10 3 2 3 2 3" xfId="15238" xr:uid="{0EC84B60-7F4C-443B-8045-E8C07BC599B8}"/>
    <cellStyle name="Normal 10 3 2 3 2 4" xfId="17491" xr:uid="{99BE7002-A44B-4596-A9E4-4F599159E470}"/>
    <cellStyle name="Normal 10 3 2 3 3" xfId="2827" xr:uid="{92E08A8F-E0E1-464C-9982-1DF967DFFE64}"/>
    <cellStyle name="Normal 10 3 2 3 4" xfId="3953" xr:uid="{D4E65A0F-CC19-4FDE-9E2A-7E9F69189596}"/>
    <cellStyle name="Normal 10 3 2 3 5" xfId="5079" xr:uid="{4A9C3D3A-1B7F-46BD-80E9-C6222BACE2EA}"/>
    <cellStyle name="Normal 10 3 2 3 6" xfId="6206" xr:uid="{50DC1B11-E8D3-4A4A-A09A-1FA40373EB55}"/>
    <cellStyle name="Normal 10 3 2 3 7" xfId="7339" xr:uid="{E24B0368-3E56-4C9F-8753-FDF31BA02DF2}"/>
    <cellStyle name="Normal 10 3 2 3 8" xfId="8508" xr:uid="{0D2E86E6-F382-407C-B7C3-159CCCC1B6E4}"/>
    <cellStyle name="Normal 10 3 2 3 9" xfId="9645" xr:uid="{6125B091-F507-488D-A918-6669CBF19AC6}"/>
    <cellStyle name="Normal 10 3 2 4" xfId="1699" xr:uid="{B500D4A4-44E3-41BE-84AF-40B4A905DC35}"/>
    <cellStyle name="Normal 10 3 2 4 2" xfId="12983" xr:uid="{FE55F662-2B4E-4246-9536-69669761AF36}"/>
    <cellStyle name="Normal 10 3 2 4 3" xfId="15236" xr:uid="{5B0E1C58-5EF5-4CEB-8CD0-3F0CA06D87FF}"/>
    <cellStyle name="Normal 10 3 2 4 4" xfId="17489" xr:uid="{6D1939AE-F6F6-4B54-86E5-E90939FC42A6}"/>
    <cellStyle name="Normal 10 3 2 5" xfId="2825" xr:uid="{1BE5CDCB-FF65-474D-97D0-D971C2943D42}"/>
    <cellStyle name="Normal 10 3 2 6" xfId="3951" xr:uid="{D4589932-8201-440A-9746-490DA0758A13}"/>
    <cellStyle name="Normal 10 3 2 7" xfId="5077" xr:uid="{1527557B-CDF0-48B5-A88A-F88AAB9045B7}"/>
    <cellStyle name="Normal 10 3 2 8" xfId="6204" xr:uid="{A0502A6A-37E8-4347-971B-B93E730BE285}"/>
    <cellStyle name="Normal 10 3 2 9" xfId="7337" xr:uid="{2851CF05-0546-4724-9F4B-247BDC491512}"/>
    <cellStyle name="Normal 10 3 3" xfId="571" xr:uid="{AFE4FBCD-791B-438B-86D2-39EFC9902864}"/>
    <cellStyle name="Normal 10 3 3 10" xfId="10771" xr:uid="{99267383-27BD-408B-9925-575D3560BB19}"/>
    <cellStyle name="Normal 10 3 3 11" xfId="11859" xr:uid="{FAF6C8E9-9B1C-408A-9B4D-4F8DDB9ED50D}"/>
    <cellStyle name="Normal 10 3 3 12" xfId="14112" xr:uid="{812734C6-2AE0-4088-9477-C74F9E43CB7E}"/>
    <cellStyle name="Normal 10 3 3 13" xfId="16365" xr:uid="{AC1D85F6-72DE-4D7B-9222-740329627E43}"/>
    <cellStyle name="Normal 10 3 3 2" xfId="1702" xr:uid="{27E48B56-5B44-48E4-AA60-DDB9F8F4300E}"/>
    <cellStyle name="Normal 10 3 3 2 2" xfId="12986" xr:uid="{3E8BC56E-A73C-4019-8A0D-1E835D6E33ED}"/>
    <cellStyle name="Normal 10 3 3 2 3" xfId="15239" xr:uid="{3B85240F-961D-4446-A148-6B511BC092EC}"/>
    <cellStyle name="Normal 10 3 3 2 4" xfId="17492" xr:uid="{C2747141-0F7F-4E8F-93ED-CF6B03853797}"/>
    <cellStyle name="Normal 10 3 3 3" xfId="2828" xr:uid="{E894BA90-4882-47C6-AC21-2241AA02524D}"/>
    <cellStyle name="Normal 10 3 3 4" xfId="3954" xr:uid="{D6CC586E-FF73-4E63-BDC0-97B4B6E286CB}"/>
    <cellStyle name="Normal 10 3 3 5" xfId="5080" xr:uid="{915A54AF-0095-4C8B-8831-17B98F646900}"/>
    <cellStyle name="Normal 10 3 3 6" xfId="6207" xr:uid="{DC2EBD22-0E0F-4CDA-8AC5-C5E67DAEF751}"/>
    <cellStyle name="Normal 10 3 3 7" xfId="7340" xr:uid="{7F2206F0-B61C-4988-B64E-6013DE195AA1}"/>
    <cellStyle name="Normal 10 3 3 8" xfId="8507" xr:uid="{6AB3CF4F-8938-4F1E-B6F2-ECD696212F19}"/>
    <cellStyle name="Normal 10 3 3 9" xfId="9644" xr:uid="{F597A066-B6DA-4E4A-BABE-4C83B6E50FEE}"/>
    <cellStyle name="Normal 10 3 4" xfId="572" xr:uid="{B1956A25-73C5-4C7D-BBD5-695383AE9224}"/>
    <cellStyle name="Normal 10 3 4 10" xfId="10770" xr:uid="{7783DC65-D07B-4CDC-BB8D-4C041AB208D1}"/>
    <cellStyle name="Normal 10 3 4 11" xfId="11860" xr:uid="{AF36792A-8751-470C-964B-20E6BB7D8926}"/>
    <cellStyle name="Normal 10 3 4 12" xfId="14113" xr:uid="{0315B0AE-3E9E-432A-A85F-DC5D65A76C86}"/>
    <cellStyle name="Normal 10 3 4 13" xfId="16366" xr:uid="{65E5B633-7FB4-4FC3-969D-23351CFFB7D9}"/>
    <cellStyle name="Normal 10 3 4 2" xfId="1703" xr:uid="{E4826CA3-198F-44FC-956D-3A58F6CB90FF}"/>
    <cellStyle name="Normal 10 3 4 2 2" xfId="12987" xr:uid="{FBC62743-0ADB-4F95-B568-EB936A47E885}"/>
    <cellStyle name="Normal 10 3 4 2 3" xfId="15240" xr:uid="{36B3604F-2D8E-423B-9C9D-6FF7FAC94FE7}"/>
    <cellStyle name="Normal 10 3 4 2 4" xfId="17493" xr:uid="{FBAA1A47-D01C-44AE-82C5-F27412D5BB3A}"/>
    <cellStyle name="Normal 10 3 4 3" xfId="2829" xr:uid="{D6FFBB59-5F87-4EB5-A8D1-258E5B719540}"/>
    <cellStyle name="Normal 10 3 4 4" xfId="3955" xr:uid="{EF17CE85-CBD7-4117-A340-32D3663D2E25}"/>
    <cellStyle name="Normal 10 3 4 5" xfId="5081" xr:uid="{574A85EA-9941-4EAC-BD4C-FD6C10382C0F}"/>
    <cellStyle name="Normal 10 3 4 6" xfId="6208" xr:uid="{6E5C75E8-D17A-460A-80DF-92F894EFAB36}"/>
    <cellStyle name="Normal 10 3 4 7" xfId="7341" xr:uid="{7E38316F-8F97-4F8E-B00C-B13B66D6148E}"/>
    <cellStyle name="Normal 10 3 4 8" xfId="8506" xr:uid="{84E3170A-E8CD-49E4-B89E-5B3A8823BA63}"/>
    <cellStyle name="Normal 10 3 4 9" xfId="9643" xr:uid="{DC6B0EF1-C265-4A78-BB04-D543F01CEC47}"/>
    <cellStyle name="Normal 10 3 5" xfId="1698" xr:uid="{0FC34BFE-7B8E-429A-AADD-99B1DC0F00EB}"/>
    <cellStyle name="Normal 10 3 5 2" xfId="12982" xr:uid="{6D7C18FE-11CB-4F91-8998-0E845FD8EABA}"/>
    <cellStyle name="Normal 10 3 5 3" xfId="15235" xr:uid="{598F786D-626A-42AB-BBCB-26BD1E02B78E}"/>
    <cellStyle name="Normal 10 3 5 4" xfId="17488" xr:uid="{0E08E801-7C6E-4F77-B6D0-9A28E8A15ED8}"/>
    <cellStyle name="Normal 10 3 6" xfId="2824" xr:uid="{595FD6AF-878E-4493-85FA-4720CE179FF0}"/>
    <cellStyle name="Normal 10 3 7" xfId="3950" xr:uid="{806E9750-A257-40C7-AEA2-D43C14A11191}"/>
    <cellStyle name="Normal 10 3 8" xfId="5076" xr:uid="{CC84BB6A-568E-450C-BA41-7339E09F5450}"/>
    <cellStyle name="Normal 10 3 9" xfId="6203" xr:uid="{575BA152-4085-40E8-B7D1-3BC2CDE924B4}"/>
    <cellStyle name="Normal 10 4" xfId="573" xr:uid="{C4CAE55D-F689-4F90-AD90-B94D46F86757}"/>
    <cellStyle name="Normal 10 4 10" xfId="8505" xr:uid="{D90ECF99-68E1-4959-B065-214A924DAC25}"/>
    <cellStyle name="Normal 10 4 11" xfId="9642" xr:uid="{E55E52A1-58B6-4712-995F-27EBBD0D50D9}"/>
    <cellStyle name="Normal 10 4 12" xfId="10769" xr:uid="{21871F48-BFB4-492A-8E13-DEEFDF411447}"/>
    <cellStyle name="Normal 10 4 13" xfId="11861" xr:uid="{35273D5F-E5A1-4A0D-8D91-027635A0F1A3}"/>
    <cellStyle name="Normal 10 4 14" xfId="14114" xr:uid="{A01B1A16-E07F-4B73-8106-C4301DA7013B}"/>
    <cellStyle name="Normal 10 4 15" xfId="16367" xr:uid="{9D849BF4-45D2-4E9C-AA82-D21F1E38E3D3}"/>
    <cellStyle name="Normal 10 4 2" xfId="574" xr:uid="{C0348092-7999-47FF-B0EE-0985AC84A675}"/>
    <cellStyle name="Normal 10 4 2 10" xfId="10768" xr:uid="{41BF1E92-CE40-48C2-9C57-6179A0D3792B}"/>
    <cellStyle name="Normal 10 4 2 11" xfId="11862" xr:uid="{6AD34492-D897-400E-9475-37556D0A9C93}"/>
    <cellStyle name="Normal 10 4 2 12" xfId="14115" xr:uid="{7EFBA2D5-C397-460E-8652-A7C40C187A0A}"/>
    <cellStyle name="Normal 10 4 2 13" xfId="16368" xr:uid="{41CF01C2-52CC-4D70-8595-7E59EC3FE4CF}"/>
    <cellStyle name="Normal 10 4 2 2" xfId="1705" xr:uid="{3489663C-F975-4500-8184-6CD22184EB93}"/>
    <cellStyle name="Normal 10 4 2 2 2" xfId="12989" xr:uid="{6D5BE874-A447-4309-9772-2A00A86B818D}"/>
    <cellStyle name="Normal 10 4 2 2 3" xfId="15242" xr:uid="{F0D6A80A-3F72-4013-8C7E-D79BEFD3CEE3}"/>
    <cellStyle name="Normal 10 4 2 2 4" xfId="17495" xr:uid="{26657304-6583-4007-ADC5-57135465656A}"/>
    <cellStyle name="Normal 10 4 2 3" xfId="2831" xr:uid="{89C10B48-E838-4349-8502-F8FB6F69472B}"/>
    <cellStyle name="Normal 10 4 2 4" xfId="3957" xr:uid="{AAE638D7-FC0E-4AC8-8012-39AE1864ADD6}"/>
    <cellStyle name="Normal 10 4 2 5" xfId="5083" xr:uid="{4C08945B-7349-4CA3-BE1F-B100275C0E20}"/>
    <cellStyle name="Normal 10 4 2 6" xfId="6210" xr:uid="{A262CF51-080D-400A-8886-599978D8AB2C}"/>
    <cellStyle name="Normal 10 4 2 7" xfId="7343" xr:uid="{BF545DB2-D175-4A39-B5E5-B471FE59FC4B}"/>
    <cellStyle name="Normal 10 4 2 8" xfId="8504" xr:uid="{8DD94C99-6F0E-4AE0-91BC-897207FFE9B8}"/>
    <cellStyle name="Normal 10 4 2 9" xfId="9641" xr:uid="{5C8B2C02-0B1C-4FF9-9E3F-566E3F980B38}"/>
    <cellStyle name="Normal 10 4 3" xfId="575" xr:uid="{F59300BC-9D3E-4883-B8D7-F03F6B9CD3B2}"/>
    <cellStyle name="Normal 10 4 3 10" xfId="10767" xr:uid="{50146604-DE83-4541-84E5-57B51DD7AAC8}"/>
    <cellStyle name="Normal 10 4 3 11" xfId="11863" xr:uid="{6785FC75-994B-42CD-BC72-79212757ED60}"/>
    <cellStyle name="Normal 10 4 3 12" xfId="14116" xr:uid="{DEA10709-B2C6-48A6-B864-F1042316C473}"/>
    <cellStyle name="Normal 10 4 3 13" xfId="16369" xr:uid="{7E5159B5-AFA1-44D8-8741-331276D777BF}"/>
    <cellStyle name="Normal 10 4 3 2" xfId="1706" xr:uid="{3A2CF57B-32A8-465A-B3AE-EFA25368E980}"/>
    <cellStyle name="Normal 10 4 3 2 2" xfId="12990" xr:uid="{29EABCD5-E92C-4983-8270-9C108B5944C5}"/>
    <cellStyle name="Normal 10 4 3 2 3" xfId="15243" xr:uid="{5C438BE8-411F-48FE-863B-99C7026B6537}"/>
    <cellStyle name="Normal 10 4 3 2 4" xfId="17496" xr:uid="{D23828C3-421E-4A3B-9554-FF658D25E64C}"/>
    <cellStyle name="Normal 10 4 3 3" xfId="2832" xr:uid="{A08450D6-CD76-4001-BD43-F46693A824C2}"/>
    <cellStyle name="Normal 10 4 3 4" xfId="3958" xr:uid="{2162870E-ADB9-4A3C-85FB-E4171B78CF22}"/>
    <cellStyle name="Normal 10 4 3 5" xfId="5084" xr:uid="{A58BD15D-25C1-4CCB-834B-E0CD4B150FCA}"/>
    <cellStyle name="Normal 10 4 3 6" xfId="6211" xr:uid="{69EE6DBA-FBAE-49CB-9818-4B4799AEC322}"/>
    <cellStyle name="Normal 10 4 3 7" xfId="7344" xr:uid="{DC525A52-9B6E-4145-95A4-CE0B3B9B1870}"/>
    <cellStyle name="Normal 10 4 3 8" xfId="8503" xr:uid="{2D15312F-75D3-4CED-98E9-CD50EF26DBC2}"/>
    <cellStyle name="Normal 10 4 3 9" xfId="9640" xr:uid="{246CB4A9-8E32-465A-A6ED-A043D08408E5}"/>
    <cellStyle name="Normal 10 4 4" xfId="1704" xr:uid="{DE362DB8-259D-4D25-93CB-E29EA3A9212B}"/>
    <cellStyle name="Normal 10 4 4 2" xfId="12988" xr:uid="{54E3326D-FAB2-48FC-9D8A-6B8885BDD998}"/>
    <cellStyle name="Normal 10 4 4 3" xfId="15241" xr:uid="{AB5BCA7D-45CB-419C-84AF-29060D0DF6D8}"/>
    <cellStyle name="Normal 10 4 4 4" xfId="17494" xr:uid="{ABC83634-B0EE-49D8-AFA2-079222E95BCA}"/>
    <cellStyle name="Normal 10 4 5" xfId="2830" xr:uid="{3343EC14-8AAD-4397-ABED-9F655F5CCEBE}"/>
    <cellStyle name="Normal 10 4 6" xfId="3956" xr:uid="{E0B7248D-7C24-494E-A52D-E6EBC095F1F9}"/>
    <cellStyle name="Normal 10 4 7" xfId="5082" xr:uid="{57842C48-4A4F-4218-A861-129E495C8FDF}"/>
    <cellStyle name="Normal 10 4 8" xfId="6209" xr:uid="{0AC4C3CB-2711-4C64-8B3F-70075A0B64CB}"/>
    <cellStyle name="Normal 10 4 9" xfId="7342" xr:uid="{2DAEC59B-B527-44B2-BC45-C305E190C6C0}"/>
    <cellStyle name="Normal 10 5" xfId="576" xr:uid="{1FB1C7B5-82B8-4699-A060-EAA1D0265334}"/>
    <cellStyle name="Normal 10 5 10" xfId="10766" xr:uid="{C13E6359-AB04-4B0C-BFAF-364959EE3E54}"/>
    <cellStyle name="Normal 10 5 11" xfId="11864" xr:uid="{D83ABCD7-4E41-4CD2-BC0C-A6BC9FBF19CB}"/>
    <cellStyle name="Normal 10 5 12" xfId="14117" xr:uid="{28DBF59E-F459-4C10-9B9A-BDB6FB13A145}"/>
    <cellStyle name="Normal 10 5 13" xfId="16370" xr:uid="{EBCD5445-2899-46E8-8252-1B4AC319558A}"/>
    <cellStyle name="Normal 10 5 2" xfId="1707" xr:uid="{BFED1FE4-79AA-4F6E-854B-60AFCCB9972B}"/>
    <cellStyle name="Normal 10 5 2 2" xfId="12991" xr:uid="{55BEB19E-7C4A-4DBD-9E13-FF6D479801CC}"/>
    <cellStyle name="Normal 10 5 2 3" xfId="15244" xr:uid="{48AF5280-1D9C-4945-876C-79FD95366D06}"/>
    <cellStyle name="Normal 10 5 2 4" xfId="17497" xr:uid="{40B325AA-331B-4F54-9DCC-EAA4DB94F20B}"/>
    <cellStyle name="Normal 10 5 3" xfId="2833" xr:uid="{B6CC036C-3CEC-4570-AD15-8B86F25AEECA}"/>
    <cellStyle name="Normal 10 5 4" xfId="3959" xr:uid="{597BB4CB-2772-40F8-8FBE-03B571054B30}"/>
    <cellStyle name="Normal 10 5 5" xfId="5085" xr:uid="{5AD92636-2467-4753-AA00-ACAD922ABD52}"/>
    <cellStyle name="Normal 10 5 6" xfId="6212" xr:uid="{C67A4470-AA4B-4302-974A-4716E70E9B47}"/>
    <cellStyle name="Normal 10 5 7" xfId="7345" xr:uid="{E44B1E0F-B20F-4C4A-9F7F-1C0107642101}"/>
    <cellStyle name="Normal 10 5 8" xfId="8502" xr:uid="{889ADDF5-8B84-463A-A140-C4E5C7731ABD}"/>
    <cellStyle name="Normal 10 5 9" xfId="9639" xr:uid="{7927BECB-BA56-4759-803D-31C6B2639196}"/>
    <cellStyle name="Normal 10 6" xfId="577" xr:uid="{DBF94898-DF40-4A64-8A99-A9F9A683A192}"/>
    <cellStyle name="Normal 10 6 10" xfId="10765" xr:uid="{F4D09B45-7139-496A-9E3F-68C561AAB8F4}"/>
    <cellStyle name="Normal 10 6 11" xfId="11865" xr:uid="{85BAC4A8-A237-4074-8F92-9DF9D2BECABB}"/>
    <cellStyle name="Normal 10 6 12" xfId="14118" xr:uid="{AF74BF2F-23E4-43A3-B1C5-99A373960BD4}"/>
    <cellStyle name="Normal 10 6 13" xfId="16371" xr:uid="{3E76AFDA-C14E-4F7A-BC1F-A3D9808101EC}"/>
    <cellStyle name="Normal 10 6 2" xfId="1708" xr:uid="{6D13A989-7FA6-45CB-A96E-A4B467A0F730}"/>
    <cellStyle name="Normal 10 6 2 2" xfId="12992" xr:uid="{CE0C5E28-3477-4CA6-A23D-478B3863C9CC}"/>
    <cellStyle name="Normal 10 6 2 3" xfId="15245" xr:uid="{4FCC9BDB-51A2-4CEA-90A9-8EF99BAF87E0}"/>
    <cellStyle name="Normal 10 6 2 4" xfId="17498" xr:uid="{2A2D71BA-9F90-4D20-8F2D-998CBB5769A8}"/>
    <cellStyle name="Normal 10 6 3" xfId="2834" xr:uid="{A393E27B-B3C4-48AC-97D2-7FA4F3FD1F64}"/>
    <cellStyle name="Normal 10 6 4" xfId="3960" xr:uid="{431EDE8C-7278-49B8-8C77-934E3D6D5BAE}"/>
    <cellStyle name="Normal 10 6 5" xfId="5086" xr:uid="{D71FBC9D-CDA4-4252-B474-9A39A9A712C0}"/>
    <cellStyle name="Normal 10 6 6" xfId="6213" xr:uid="{BA35C7B5-C29B-4393-9925-894BA22288CC}"/>
    <cellStyle name="Normal 10 6 7" xfId="7346" xr:uid="{EB152CEA-6228-4B00-AB09-34C25970A7D2}"/>
    <cellStyle name="Normal 10 6 8" xfId="8501" xr:uid="{33AF9028-0216-440D-A5D8-ECFE73D1C558}"/>
    <cellStyle name="Normal 10 6 9" xfId="9638" xr:uid="{A97518EA-1393-4D9B-A9DA-45728AD0BFF6}"/>
    <cellStyle name="Normal 10 7" xfId="1685" xr:uid="{F0FFE901-C100-4881-916B-061BEC22CEE1}"/>
    <cellStyle name="Normal 10 7 2" xfId="12969" xr:uid="{95AE13DB-802A-46F4-96AB-609943757266}"/>
    <cellStyle name="Normal 10 7 3" xfId="15222" xr:uid="{D5DF9AB2-21C2-4FE7-A7B0-6F831848E087}"/>
    <cellStyle name="Normal 10 7 4" xfId="17475" xr:uid="{BE4C4693-8B21-462F-8D88-E1D014C5D216}"/>
    <cellStyle name="Normal 10 8" xfId="2811" xr:uid="{007B5369-F816-4824-A894-A4539A0779B5}"/>
    <cellStyle name="Normal 10 9" xfId="3937" xr:uid="{3B830B5B-B506-42B7-A00D-98A77DAD45EB}"/>
    <cellStyle name="Normal 11" xfId="578" xr:uid="{9B7746A3-BA89-4B79-ABB7-4A2B1D0AB7BE}"/>
    <cellStyle name="Normal 11 10" xfId="3961" xr:uid="{DCB822F8-A31E-4FC6-8D4E-1D9D0108AF75}"/>
    <cellStyle name="Normal 11 11" xfId="5087" xr:uid="{7476F854-3B8E-4BEF-BFF1-9D446123E117}"/>
    <cellStyle name="Normal 11 12" xfId="6214" xr:uid="{1CF1B5F9-D092-40FE-BE01-727ACB8F82E2}"/>
    <cellStyle name="Normal 11 13" xfId="7347" xr:uid="{6AC18F58-FFF6-4CD0-B56D-84BA3DDA2270}"/>
    <cellStyle name="Normal 11 14" xfId="8500" xr:uid="{D83B29D7-3C4E-4804-BCB2-33F1D334E7D5}"/>
    <cellStyle name="Normal 11 15" xfId="9637" xr:uid="{45627D0B-DAA9-4D0D-8399-73BEFA7057DE}"/>
    <cellStyle name="Normal 11 16" xfId="10764" xr:uid="{A67E5CCB-A57E-4A81-B775-09F51EE7442A}"/>
    <cellStyle name="Normal 11 17" xfId="11866" xr:uid="{3D6864CB-D52D-45BF-B199-4076EAF31E84}"/>
    <cellStyle name="Normal 11 18" xfId="14119" xr:uid="{E9935916-23F2-4466-8CAF-DD1847BAFDDF}"/>
    <cellStyle name="Normal 11 19" xfId="16372" xr:uid="{7F42DCF6-2F63-4289-BA17-FAFA5FAB0C73}"/>
    <cellStyle name="Normal 11 2" xfId="579" xr:uid="{E9059BE4-DC07-4A87-8458-9C2B01296E5B}"/>
    <cellStyle name="Normal 11 2 10" xfId="5088" xr:uid="{6A52B783-669D-4378-9DDC-6756726CF55A}"/>
    <cellStyle name="Normal 11 2 11" xfId="6215" xr:uid="{0B814C1D-F550-4C14-AD25-E3C0407C7B00}"/>
    <cellStyle name="Normal 11 2 12" xfId="7348" xr:uid="{38EBEC37-BD51-4492-920E-8932B9E200F6}"/>
    <cellStyle name="Normal 11 2 13" xfId="8499" xr:uid="{C48234A2-0CAA-4E79-B454-AA3BB4C84141}"/>
    <cellStyle name="Normal 11 2 14" xfId="9636" xr:uid="{DBDFF0DF-6622-4927-9602-D96D934E3C35}"/>
    <cellStyle name="Normal 11 2 15" xfId="10763" xr:uid="{DB8F40B9-2A78-4AA3-A632-A4FBDF2A90EB}"/>
    <cellStyle name="Normal 11 2 16" xfId="11867" xr:uid="{1473E6E2-10D3-4C5F-B729-62B13C46776B}"/>
    <cellStyle name="Normal 11 2 17" xfId="14120" xr:uid="{042F428F-5771-4778-9617-C9B6A5BB0677}"/>
    <cellStyle name="Normal 11 2 18" xfId="16373" xr:uid="{155411D0-4350-4BA3-BC51-F04682317117}"/>
    <cellStyle name="Normal 11 2 2" xfId="580" xr:uid="{53165BC6-21C3-45EA-991B-CE4338D6430B}"/>
    <cellStyle name="Normal 11 2 2 10" xfId="6216" xr:uid="{BCA8A809-C84D-4BEA-B78D-181AEC7AE9B8}"/>
    <cellStyle name="Normal 11 2 2 11" xfId="7349" xr:uid="{6D3E32BC-BE41-451A-86EE-DB790147E1A7}"/>
    <cellStyle name="Normal 11 2 2 12" xfId="8498" xr:uid="{737A8AE2-7826-4ECC-94CE-CADB1480652E}"/>
    <cellStyle name="Normal 11 2 2 13" xfId="9635" xr:uid="{DF94A8D8-7D48-4D74-AC79-587D6F1A4225}"/>
    <cellStyle name="Normal 11 2 2 14" xfId="10762" xr:uid="{F81E6819-161F-4554-B374-D03618AB9D2F}"/>
    <cellStyle name="Normal 11 2 2 15" xfId="11868" xr:uid="{791A5E4D-2636-416D-B76C-6BFAC2364AC5}"/>
    <cellStyle name="Normal 11 2 2 16" xfId="14121" xr:uid="{2E13A39B-E96B-47DA-9B7C-6AC4FC7B60DA}"/>
    <cellStyle name="Normal 11 2 2 17" xfId="16374" xr:uid="{68FEB848-7698-43E8-8A16-507EBBD0D0DC}"/>
    <cellStyle name="Normal 11 2 2 2" xfId="581" xr:uid="{B024F126-4C2A-40A4-BC99-A11D05C8A54E}"/>
    <cellStyle name="Normal 11 2 2 2 10" xfId="7350" xr:uid="{866AC28A-3DFF-4C0D-90B0-29D2855DBAD5}"/>
    <cellStyle name="Normal 11 2 2 2 11" xfId="8497" xr:uid="{EBBD8D4C-460C-4C52-A3CC-7303960E67A6}"/>
    <cellStyle name="Normal 11 2 2 2 12" xfId="9634" xr:uid="{DA9306DE-393B-4886-BA97-BC234B8AB0C1}"/>
    <cellStyle name="Normal 11 2 2 2 13" xfId="10761" xr:uid="{C687165E-BAC3-42C4-B367-744056EDD168}"/>
    <cellStyle name="Normal 11 2 2 2 14" xfId="11869" xr:uid="{A2087340-2604-48A5-BAF6-DDF5FFFB1096}"/>
    <cellStyle name="Normal 11 2 2 2 15" xfId="14122" xr:uid="{C90F0CDD-E04B-4E30-945A-492C3AFE6CF8}"/>
    <cellStyle name="Normal 11 2 2 2 16" xfId="16375" xr:uid="{F6C8A8DC-0971-4ACE-88B3-374001A45F91}"/>
    <cellStyle name="Normal 11 2 2 2 2" xfId="582" xr:uid="{450CAA35-2ECD-4A19-81FD-717932547DB6}"/>
    <cellStyle name="Normal 11 2 2 2 2 10" xfId="8496" xr:uid="{C28A3693-55F3-49DA-AB53-EB0C2A9B7A5F}"/>
    <cellStyle name="Normal 11 2 2 2 2 11" xfId="9633" xr:uid="{2B035913-90F2-40D2-9195-4F6AC9FE51F7}"/>
    <cellStyle name="Normal 11 2 2 2 2 12" xfId="10760" xr:uid="{4D6489D9-62CE-4AEF-9325-F536EFE23017}"/>
    <cellStyle name="Normal 11 2 2 2 2 13" xfId="11870" xr:uid="{A698AD9C-FA1D-4F08-B590-3DA7CB30E5E4}"/>
    <cellStyle name="Normal 11 2 2 2 2 14" xfId="14123" xr:uid="{A10D7254-4476-4457-A764-FBA47BD357D1}"/>
    <cellStyle name="Normal 11 2 2 2 2 15" xfId="16376" xr:uid="{16CB3F82-C572-408D-9D08-3796F1E2DF17}"/>
    <cellStyle name="Normal 11 2 2 2 2 2" xfId="583" xr:uid="{65C7ADBB-28BC-43E5-9110-BB0C3D9C4F68}"/>
    <cellStyle name="Normal 11 2 2 2 2 2 10" xfId="10759" xr:uid="{4FE0A7E6-5BCA-4873-953F-CAF979C9D28F}"/>
    <cellStyle name="Normal 11 2 2 2 2 2 11" xfId="11871" xr:uid="{C1D49331-6D35-4054-874E-7A7EDA7986A4}"/>
    <cellStyle name="Normal 11 2 2 2 2 2 12" xfId="14124" xr:uid="{3887EC2D-7591-4332-8227-59C7C8615D48}"/>
    <cellStyle name="Normal 11 2 2 2 2 2 13" xfId="16377" xr:uid="{06C356BA-68A8-45AC-9D18-6742D09A5259}"/>
    <cellStyle name="Normal 11 2 2 2 2 2 2" xfId="1714" xr:uid="{85EE1B7B-B397-44C1-B9FC-7207AD1124F8}"/>
    <cellStyle name="Normal 11 2 2 2 2 2 2 2" xfId="12998" xr:uid="{86103AE1-B834-447B-A646-58765EED95CE}"/>
    <cellStyle name="Normal 11 2 2 2 2 2 2 3" xfId="15251" xr:uid="{2EC57B9F-4AA6-4A43-B232-A3D82181B6B7}"/>
    <cellStyle name="Normal 11 2 2 2 2 2 2 4" xfId="17504" xr:uid="{DBBA8603-0F65-48E9-8445-4A73604BDF04}"/>
    <cellStyle name="Normal 11 2 2 2 2 2 3" xfId="2840" xr:uid="{4E13D64A-2D2C-4533-AAC0-914CBF7E2D2B}"/>
    <cellStyle name="Normal 11 2 2 2 2 2 4" xfId="3966" xr:uid="{34C081A8-3381-41D2-8BE5-ECE167BF22B9}"/>
    <cellStyle name="Normal 11 2 2 2 2 2 5" xfId="5092" xr:uid="{73ADD681-9BEB-4EAA-AC66-AAFCEA78BF7A}"/>
    <cellStyle name="Normal 11 2 2 2 2 2 6" xfId="6219" xr:uid="{646E2D8D-3D8E-4459-BDA0-2C32FC63348F}"/>
    <cellStyle name="Normal 11 2 2 2 2 2 7" xfId="7352" xr:uid="{C4BEDABF-2DE0-40B5-9928-C469E168DE13}"/>
    <cellStyle name="Normal 11 2 2 2 2 2 8" xfId="8495" xr:uid="{1A888BAA-C887-4A8F-9438-8D946CF5E5FD}"/>
    <cellStyle name="Normal 11 2 2 2 2 2 9" xfId="9632" xr:uid="{871DE1FA-6D3A-4971-92CA-13FDE535D1DF}"/>
    <cellStyle name="Normal 11 2 2 2 2 3" xfId="584" xr:uid="{43CF9CC2-2C4B-4A74-BF21-8D162B6C9693}"/>
    <cellStyle name="Normal 11 2 2 2 2 3 10" xfId="10758" xr:uid="{E4ECCF66-B95F-4DAD-8B79-00AAB692783F}"/>
    <cellStyle name="Normal 11 2 2 2 2 3 11" xfId="11872" xr:uid="{CF769379-71C1-430A-AD57-58F391DC8513}"/>
    <cellStyle name="Normal 11 2 2 2 2 3 12" xfId="14125" xr:uid="{695B09F4-F243-44F9-A39D-51AFCE3CC843}"/>
    <cellStyle name="Normal 11 2 2 2 2 3 13" xfId="16378" xr:uid="{01231C4C-43DD-49BC-9250-10880B8F0DCA}"/>
    <cellStyle name="Normal 11 2 2 2 2 3 2" xfId="1715" xr:uid="{CC8CE51E-2829-4EA9-82DE-B34818050439}"/>
    <cellStyle name="Normal 11 2 2 2 2 3 2 2" xfId="12999" xr:uid="{676C0B0E-C59D-489B-8B98-09C55D0BC25C}"/>
    <cellStyle name="Normal 11 2 2 2 2 3 2 3" xfId="15252" xr:uid="{FAEEFD33-2E7E-4A0D-9302-B974200FFEDA}"/>
    <cellStyle name="Normal 11 2 2 2 2 3 2 4" xfId="17505" xr:uid="{A43F832A-FF58-428B-870B-7EB60B0F43F6}"/>
    <cellStyle name="Normal 11 2 2 2 2 3 3" xfId="2841" xr:uid="{64FFD8AF-C06D-483F-9FA1-D61C62871C4F}"/>
    <cellStyle name="Normal 11 2 2 2 2 3 4" xfId="3967" xr:uid="{077DDA42-CBF0-4320-9508-DF40FBCE49AE}"/>
    <cellStyle name="Normal 11 2 2 2 2 3 5" xfId="5093" xr:uid="{9EDF05BF-2DAE-40D2-B25A-BD311892F879}"/>
    <cellStyle name="Normal 11 2 2 2 2 3 6" xfId="6220" xr:uid="{5981F31D-19BA-47A1-B7D5-D982AC5B2389}"/>
    <cellStyle name="Normal 11 2 2 2 2 3 7" xfId="7353" xr:uid="{56F9747E-60E1-4FD3-889F-FCDCEB7FF6FF}"/>
    <cellStyle name="Normal 11 2 2 2 2 3 8" xfId="8494" xr:uid="{B5B5F421-5108-4E20-8531-C3A718974224}"/>
    <cellStyle name="Normal 11 2 2 2 2 3 9" xfId="9631" xr:uid="{C0EF5FCF-C43B-46FD-A769-D185BEC942C5}"/>
    <cellStyle name="Normal 11 2 2 2 2 4" xfId="1713" xr:uid="{84FAFB9E-23BA-45F8-BDD9-C6008DAD8B00}"/>
    <cellStyle name="Normal 11 2 2 2 2 4 2" xfId="12997" xr:uid="{CABF9D52-C26D-4BC4-9A52-004E4B13EEBA}"/>
    <cellStyle name="Normal 11 2 2 2 2 4 3" xfId="15250" xr:uid="{C389D72A-60DF-4806-BD53-ED66B15D5A8B}"/>
    <cellStyle name="Normal 11 2 2 2 2 4 4" xfId="17503" xr:uid="{6D6F5873-0C88-40E0-8FF5-F7C722725B0F}"/>
    <cellStyle name="Normal 11 2 2 2 2 5" xfId="2839" xr:uid="{59F7F4AA-2350-4210-BF2F-E7C8A9E376C9}"/>
    <cellStyle name="Normal 11 2 2 2 2 6" xfId="3965" xr:uid="{BA10A62C-F3F7-4764-8E40-EACB2A0DCE32}"/>
    <cellStyle name="Normal 11 2 2 2 2 7" xfId="5091" xr:uid="{AB506684-D051-4CBF-B120-0654EBA727D6}"/>
    <cellStyle name="Normal 11 2 2 2 2 8" xfId="6218" xr:uid="{4EC92638-10B8-4B22-A20B-6AE9E79AF2A3}"/>
    <cellStyle name="Normal 11 2 2 2 2 9" xfId="7351" xr:uid="{126AAFE2-C76D-4278-86BF-CA0D01FFB997}"/>
    <cellStyle name="Normal 11 2 2 2 3" xfId="585" xr:uid="{16C74967-072C-49D0-8A05-B24433EAAA83}"/>
    <cellStyle name="Normal 11 2 2 2 3 10" xfId="10757" xr:uid="{8D017DAA-49DD-434A-84D2-62663AF8EC3C}"/>
    <cellStyle name="Normal 11 2 2 2 3 11" xfId="11873" xr:uid="{8633FEE3-1FB7-4D94-8C57-7BA86BD5853B}"/>
    <cellStyle name="Normal 11 2 2 2 3 12" xfId="14126" xr:uid="{1A69537B-1C2C-4D5E-94D0-838A075798ED}"/>
    <cellStyle name="Normal 11 2 2 2 3 13" xfId="16379" xr:uid="{7539D8FE-D8A8-4535-ABAC-E39F7918B161}"/>
    <cellStyle name="Normal 11 2 2 2 3 2" xfId="1716" xr:uid="{43F1064F-E493-441E-978C-A71E7E5618ED}"/>
    <cellStyle name="Normal 11 2 2 2 3 2 2" xfId="13000" xr:uid="{0B818BAB-5919-45EA-8F40-BC26932B356D}"/>
    <cellStyle name="Normal 11 2 2 2 3 2 3" xfId="15253" xr:uid="{A09AFC2F-6821-40E2-9F08-EF36A3D83BAA}"/>
    <cellStyle name="Normal 11 2 2 2 3 2 4" xfId="17506" xr:uid="{1BA81068-296F-4981-AF35-6EAAF4547254}"/>
    <cellStyle name="Normal 11 2 2 2 3 3" xfId="2842" xr:uid="{736D5A80-0AD5-4ED6-9916-D2844638D2F4}"/>
    <cellStyle name="Normal 11 2 2 2 3 4" xfId="3968" xr:uid="{EB68FE70-5BBF-4455-BAB5-BA04D60EAE63}"/>
    <cellStyle name="Normal 11 2 2 2 3 5" xfId="5094" xr:uid="{53E7E965-5C8A-4A22-BE81-990C0C003726}"/>
    <cellStyle name="Normal 11 2 2 2 3 6" xfId="6221" xr:uid="{D6B483E5-E6DA-4A81-B878-2A1CB6D58761}"/>
    <cellStyle name="Normal 11 2 2 2 3 7" xfId="7354" xr:uid="{B819822D-3B75-4E39-B447-79A19AB99805}"/>
    <cellStyle name="Normal 11 2 2 2 3 8" xfId="8493" xr:uid="{2EBEE0A0-F258-4688-90E8-5AE11856D89D}"/>
    <cellStyle name="Normal 11 2 2 2 3 9" xfId="9630" xr:uid="{C7946FD4-B1EF-4674-8693-3A49AEDF216E}"/>
    <cellStyle name="Normal 11 2 2 2 4" xfId="586" xr:uid="{5127BB33-A736-418F-B817-2DDA7A079E0C}"/>
    <cellStyle name="Normal 11 2 2 2 4 10" xfId="10756" xr:uid="{F8093BAD-3489-491A-8557-9BC035174470}"/>
    <cellStyle name="Normal 11 2 2 2 4 11" xfId="11874" xr:uid="{40736A64-CF17-4DD5-82E7-7324747897C9}"/>
    <cellStyle name="Normal 11 2 2 2 4 12" xfId="14127" xr:uid="{C53FE2D2-D20D-484B-9C7B-17CAAB50AF78}"/>
    <cellStyle name="Normal 11 2 2 2 4 13" xfId="16380" xr:uid="{0B30E604-D9DF-4868-AD45-005A3EB84898}"/>
    <cellStyle name="Normal 11 2 2 2 4 2" xfId="1717" xr:uid="{608E3103-BA5E-4932-92E7-7F68CD1B193B}"/>
    <cellStyle name="Normal 11 2 2 2 4 2 2" xfId="13001" xr:uid="{B2F73EDB-868A-40C2-90F7-75E435021FE7}"/>
    <cellStyle name="Normal 11 2 2 2 4 2 3" xfId="15254" xr:uid="{51501E29-7CF7-43F7-A502-1BFF243FEDDB}"/>
    <cellStyle name="Normal 11 2 2 2 4 2 4" xfId="17507" xr:uid="{A7ED265D-5A9C-49E5-BF7F-D65179A08D86}"/>
    <cellStyle name="Normal 11 2 2 2 4 3" xfId="2843" xr:uid="{48268DDC-1BE2-4C41-8707-6F802E070EC8}"/>
    <cellStyle name="Normal 11 2 2 2 4 4" xfId="3969" xr:uid="{687A2CD1-E36E-4694-9F36-73A4905E7B04}"/>
    <cellStyle name="Normal 11 2 2 2 4 5" xfId="5095" xr:uid="{E2F23E23-2A90-457D-B55F-44375F317327}"/>
    <cellStyle name="Normal 11 2 2 2 4 6" xfId="6222" xr:uid="{5FF125E4-2F24-424F-94CA-CEE759D6FA14}"/>
    <cellStyle name="Normal 11 2 2 2 4 7" xfId="7355" xr:uid="{5DBAC894-1975-4E1F-976A-5F6219BDD11C}"/>
    <cellStyle name="Normal 11 2 2 2 4 8" xfId="8492" xr:uid="{7DB63CD7-8075-4C1A-9C0A-3B8825555755}"/>
    <cellStyle name="Normal 11 2 2 2 4 9" xfId="9629" xr:uid="{DDC755B9-F74D-4F78-BE20-92595F77011A}"/>
    <cellStyle name="Normal 11 2 2 2 5" xfId="1712" xr:uid="{5C560ADE-6CBA-40AE-BDE5-EF56EFC88195}"/>
    <cellStyle name="Normal 11 2 2 2 5 2" xfId="12996" xr:uid="{F5498DBF-BDFA-4CA0-873F-BD559C1A3823}"/>
    <cellStyle name="Normal 11 2 2 2 5 3" xfId="15249" xr:uid="{ACD3E453-736E-4341-AB55-FDF38F2573EE}"/>
    <cellStyle name="Normal 11 2 2 2 5 4" xfId="17502" xr:uid="{0B80643A-39C7-4144-8CC3-DB80A27BFBBB}"/>
    <cellStyle name="Normal 11 2 2 2 6" xfId="2838" xr:uid="{C42D358D-1F65-42B7-9EE0-92B8B15965CB}"/>
    <cellStyle name="Normal 11 2 2 2 7" xfId="3964" xr:uid="{B651B48C-9C9F-448F-A299-DB718A098428}"/>
    <cellStyle name="Normal 11 2 2 2 8" xfId="5090" xr:uid="{30B11273-A106-48A8-BCCA-870452AC5B6C}"/>
    <cellStyle name="Normal 11 2 2 2 9" xfId="6217" xr:uid="{1D50948D-E85C-4058-9BDF-AEDEC742CEB4}"/>
    <cellStyle name="Normal 11 2 2 3" xfId="587" xr:uid="{E7641BA2-7448-46E6-8C45-99F9055C31E0}"/>
    <cellStyle name="Normal 11 2 2 3 10" xfId="8491" xr:uid="{18E0353A-87FE-465C-A8B2-1E5C5FA9136D}"/>
    <cellStyle name="Normal 11 2 2 3 11" xfId="9628" xr:uid="{84262F8C-380D-4369-A8FF-18202DDB773B}"/>
    <cellStyle name="Normal 11 2 2 3 12" xfId="10755" xr:uid="{F4BD79F0-9791-4325-92AB-FBA0E28A95F3}"/>
    <cellStyle name="Normal 11 2 2 3 13" xfId="11875" xr:uid="{7B65D021-71A1-4ADE-8CEF-AA910AF757F3}"/>
    <cellStyle name="Normal 11 2 2 3 14" xfId="14128" xr:uid="{556CDADF-3A81-4A3A-8300-73A83691DEE3}"/>
    <cellStyle name="Normal 11 2 2 3 15" xfId="16381" xr:uid="{D4A2A869-6601-43E8-AF7F-7BBEF06D5BC5}"/>
    <cellStyle name="Normal 11 2 2 3 2" xfId="588" xr:uid="{9910BDFA-9EBE-4AB0-A8A4-4F801877A21E}"/>
    <cellStyle name="Normal 11 2 2 3 2 10" xfId="10754" xr:uid="{F98D9A2B-E2A5-482B-8932-4EE1D0B21A84}"/>
    <cellStyle name="Normal 11 2 2 3 2 11" xfId="11876" xr:uid="{66FB4509-DB41-4A88-925C-ABF9D83D1608}"/>
    <cellStyle name="Normal 11 2 2 3 2 12" xfId="14129" xr:uid="{B5545F92-DF62-4468-8615-32E7669B57A9}"/>
    <cellStyle name="Normal 11 2 2 3 2 13" xfId="16382" xr:uid="{0C92D064-8A59-4D89-99AB-F7F0953A67AF}"/>
    <cellStyle name="Normal 11 2 2 3 2 2" xfId="1719" xr:uid="{59BE10E9-4E2D-48D7-B14E-A303C82468DC}"/>
    <cellStyle name="Normal 11 2 2 3 2 2 2" xfId="13003" xr:uid="{55517A2F-FBE5-46F2-8140-5747F6126255}"/>
    <cellStyle name="Normal 11 2 2 3 2 2 3" xfId="15256" xr:uid="{49B81578-D146-404D-B1BB-DECEDD103E30}"/>
    <cellStyle name="Normal 11 2 2 3 2 2 4" xfId="17509" xr:uid="{E42E7E2D-4E83-449E-909D-6485947478C1}"/>
    <cellStyle name="Normal 11 2 2 3 2 3" xfId="2845" xr:uid="{393BA431-8D88-4DDD-B903-6D53DEFD0FA1}"/>
    <cellStyle name="Normal 11 2 2 3 2 4" xfId="3971" xr:uid="{54B3AB28-3391-41B0-9BAC-85E65794A79B}"/>
    <cellStyle name="Normal 11 2 2 3 2 5" xfId="5097" xr:uid="{21C5D717-1C05-4558-8F0C-0ECDCCCA47F9}"/>
    <cellStyle name="Normal 11 2 2 3 2 6" xfId="6224" xr:uid="{26F77EAC-4188-4061-96A3-FD70F66FCBAC}"/>
    <cellStyle name="Normal 11 2 2 3 2 7" xfId="7357" xr:uid="{488706F4-63A4-48AF-86EB-51612CFC8BF8}"/>
    <cellStyle name="Normal 11 2 2 3 2 8" xfId="8490" xr:uid="{CB0D4539-4F14-437A-A067-C2AFB3056741}"/>
    <cellStyle name="Normal 11 2 2 3 2 9" xfId="9627" xr:uid="{DF7F3719-B4BA-41D1-B786-C4535221BEC0}"/>
    <cellStyle name="Normal 11 2 2 3 3" xfId="589" xr:uid="{96456E2D-6D6C-42D5-B41A-6926F81ED6D2}"/>
    <cellStyle name="Normal 11 2 2 3 3 10" xfId="10753" xr:uid="{ACD5EB9F-33D4-45C2-A511-60C9B67D3C01}"/>
    <cellStyle name="Normal 11 2 2 3 3 11" xfId="11877" xr:uid="{D62B42B6-CF35-41C6-B74E-5AF91DC4D904}"/>
    <cellStyle name="Normal 11 2 2 3 3 12" xfId="14130" xr:uid="{37DAD32A-F3F8-4B53-B981-6CF843600316}"/>
    <cellStyle name="Normal 11 2 2 3 3 13" xfId="16383" xr:uid="{82836B68-36B2-49F3-90D2-58E8E85F9149}"/>
    <cellStyle name="Normal 11 2 2 3 3 2" xfId="1720" xr:uid="{9EDC5ED6-DAD9-4BE8-93E5-41DC2FFE52B9}"/>
    <cellStyle name="Normal 11 2 2 3 3 2 2" xfId="13004" xr:uid="{F33AF6C0-F45F-4F10-84F6-D178FDDB314B}"/>
    <cellStyle name="Normal 11 2 2 3 3 2 3" xfId="15257" xr:uid="{AFD9A4B6-3C1A-49BE-93F4-02F75993445B}"/>
    <cellStyle name="Normal 11 2 2 3 3 2 4" xfId="17510" xr:uid="{EECB9433-4A7C-413C-BFBE-2AAF1FDE126B}"/>
    <cellStyle name="Normal 11 2 2 3 3 3" xfId="2846" xr:uid="{8E6A7D94-A465-49E4-AFEB-3B881B0B90B2}"/>
    <cellStyle name="Normal 11 2 2 3 3 4" xfId="3972" xr:uid="{B1839445-D302-463F-A223-7F70F486E5D1}"/>
    <cellStyle name="Normal 11 2 2 3 3 5" xfId="5098" xr:uid="{0C9C4A89-9ACE-4654-B963-6CC724F31B43}"/>
    <cellStyle name="Normal 11 2 2 3 3 6" xfId="6225" xr:uid="{B459BC5C-3A6C-4F5D-9F55-0937BEAA508A}"/>
    <cellStyle name="Normal 11 2 2 3 3 7" xfId="7358" xr:uid="{43AC8355-2B52-4489-B4BB-9D8113F6486C}"/>
    <cellStyle name="Normal 11 2 2 3 3 8" xfId="8489" xr:uid="{E0B3DF72-8468-47A9-A956-FE694287A627}"/>
    <cellStyle name="Normal 11 2 2 3 3 9" xfId="9626" xr:uid="{72876F48-3F77-4EBF-A41C-84F542E9C335}"/>
    <cellStyle name="Normal 11 2 2 3 4" xfId="1718" xr:uid="{1E9A16F8-503B-409C-89A6-D88311EA3FC1}"/>
    <cellStyle name="Normal 11 2 2 3 4 2" xfId="13002" xr:uid="{2DBD6477-8E6B-4AFD-9D65-5252F9DC2888}"/>
    <cellStyle name="Normal 11 2 2 3 4 3" xfId="15255" xr:uid="{FA297BF3-F6F7-45C1-B373-3B7B62930A3F}"/>
    <cellStyle name="Normal 11 2 2 3 4 4" xfId="17508" xr:uid="{77924E4C-56A4-47B9-8CE5-966833598C3E}"/>
    <cellStyle name="Normal 11 2 2 3 5" xfId="2844" xr:uid="{0470FF81-C611-44F9-B70A-BD21437E7CC6}"/>
    <cellStyle name="Normal 11 2 2 3 6" xfId="3970" xr:uid="{1B90D91E-A2C9-4619-B7B3-56AC5EED9A92}"/>
    <cellStyle name="Normal 11 2 2 3 7" xfId="5096" xr:uid="{7ED94CDC-2EA3-4AC8-A5C5-81A487ABFD15}"/>
    <cellStyle name="Normal 11 2 2 3 8" xfId="6223" xr:uid="{56967901-14E1-4483-B7B1-DCABA96B9583}"/>
    <cellStyle name="Normal 11 2 2 3 9" xfId="7356" xr:uid="{E81F07A1-B3F2-4C12-BD5F-2FD486B1B631}"/>
    <cellStyle name="Normal 11 2 2 4" xfId="590" xr:uid="{1145C199-039F-477D-BA68-4AAE28862178}"/>
    <cellStyle name="Normal 11 2 2 4 10" xfId="10752" xr:uid="{C3E97925-F2CB-4291-8595-7D055B561B8D}"/>
    <cellStyle name="Normal 11 2 2 4 11" xfId="11878" xr:uid="{BBDACE03-547B-486C-85B9-E47168D8E159}"/>
    <cellStyle name="Normal 11 2 2 4 12" xfId="14131" xr:uid="{5F18B6B5-D9C8-4DA9-BC0C-D4DEFCA2000D}"/>
    <cellStyle name="Normal 11 2 2 4 13" xfId="16384" xr:uid="{8C89BBFA-F24F-456F-8959-3A9372A6BF13}"/>
    <cellStyle name="Normal 11 2 2 4 2" xfId="1721" xr:uid="{2FD52D1A-8B84-4396-B573-4638B8C3108B}"/>
    <cellStyle name="Normal 11 2 2 4 2 2" xfId="13005" xr:uid="{6F7F8A8E-2679-4441-8923-B012DA544E6D}"/>
    <cellStyle name="Normal 11 2 2 4 2 3" xfId="15258" xr:uid="{79395AA9-1889-40AD-B171-094887CE0228}"/>
    <cellStyle name="Normal 11 2 2 4 2 4" xfId="17511" xr:uid="{7340E53E-E29B-4045-8B51-71CBB469ADF3}"/>
    <cellStyle name="Normal 11 2 2 4 3" xfId="2847" xr:uid="{0092B88B-BFC7-4F98-8148-64D3214F3BF9}"/>
    <cellStyle name="Normal 11 2 2 4 4" xfId="3973" xr:uid="{0A892CAA-AD1E-48BC-8090-0D2EB0F80DB4}"/>
    <cellStyle name="Normal 11 2 2 4 5" xfId="5099" xr:uid="{0172005D-00A6-4E30-B8CB-4090978CBA65}"/>
    <cellStyle name="Normal 11 2 2 4 6" xfId="6226" xr:uid="{2FAD892C-B5D9-4272-ACF6-76B6544563CD}"/>
    <cellStyle name="Normal 11 2 2 4 7" xfId="7359" xr:uid="{D60ADA89-EB6C-4685-9B2D-53C073BBDA0B}"/>
    <cellStyle name="Normal 11 2 2 4 8" xfId="8488" xr:uid="{79537222-51FC-43AB-9E85-2A6A7775B975}"/>
    <cellStyle name="Normal 11 2 2 4 9" xfId="9625" xr:uid="{E6F79054-439D-425F-9BA4-7A256914FE70}"/>
    <cellStyle name="Normal 11 2 2 5" xfId="591" xr:uid="{43729461-D3F3-4F96-ACB3-7DD3C63F9649}"/>
    <cellStyle name="Normal 11 2 2 5 10" xfId="10751" xr:uid="{27DD00DF-C068-49C0-A702-D55FFF1C4002}"/>
    <cellStyle name="Normal 11 2 2 5 11" xfId="11879" xr:uid="{7CCDA07A-65CE-464C-8D31-0FF34207A0E7}"/>
    <cellStyle name="Normal 11 2 2 5 12" xfId="14132" xr:uid="{6873F635-E84D-4794-8254-90F9BA3A6714}"/>
    <cellStyle name="Normal 11 2 2 5 13" xfId="16385" xr:uid="{B525C685-1637-4FF8-9CEC-7E0705ABB96D}"/>
    <cellStyle name="Normal 11 2 2 5 2" xfId="1722" xr:uid="{45C82E80-D46F-4E1F-94DE-D34671B05E37}"/>
    <cellStyle name="Normal 11 2 2 5 2 2" xfId="13006" xr:uid="{4F72C813-CB58-4FBE-9AF8-4FF33EBFE552}"/>
    <cellStyle name="Normal 11 2 2 5 2 3" xfId="15259" xr:uid="{B3ECDFF1-00FE-44B6-842C-13BE67DB5271}"/>
    <cellStyle name="Normal 11 2 2 5 2 4" xfId="17512" xr:uid="{11461E2D-FBDA-4373-82E8-6DA8CEF57681}"/>
    <cellStyle name="Normal 11 2 2 5 3" xfId="2848" xr:uid="{2918FA26-A033-4615-83B4-8E8DC28D2027}"/>
    <cellStyle name="Normal 11 2 2 5 4" xfId="3974" xr:uid="{0C5B0CC5-991D-4DFF-BE77-8C7F8EBC907E}"/>
    <cellStyle name="Normal 11 2 2 5 5" xfId="5100" xr:uid="{05020FA6-05F3-4B9F-95A7-313D557345FC}"/>
    <cellStyle name="Normal 11 2 2 5 6" xfId="6227" xr:uid="{E82F35FE-2DF9-476B-AF2D-996F3130485C}"/>
    <cellStyle name="Normal 11 2 2 5 7" xfId="7360" xr:uid="{21DECBC2-F043-444A-BE38-D931E6E579BC}"/>
    <cellStyle name="Normal 11 2 2 5 8" xfId="8487" xr:uid="{15182E3A-8AAC-4F68-8DF7-92D9BECDA29B}"/>
    <cellStyle name="Normal 11 2 2 5 9" xfId="9624" xr:uid="{AAC05596-80C8-425E-B444-D010A7834481}"/>
    <cellStyle name="Normal 11 2 2 6" xfId="1711" xr:uid="{66DB516C-3B42-4534-83B0-DEB450A2F621}"/>
    <cellStyle name="Normal 11 2 2 6 2" xfId="12995" xr:uid="{7617E858-1504-4FF3-90C5-243E79A07364}"/>
    <cellStyle name="Normal 11 2 2 6 3" xfId="15248" xr:uid="{A35B16A8-02F7-45CA-83D9-6DAACE30B4DF}"/>
    <cellStyle name="Normal 11 2 2 6 4" xfId="17501" xr:uid="{F2BC3BED-F151-4284-9406-805634788993}"/>
    <cellStyle name="Normal 11 2 2 7" xfId="2837" xr:uid="{0C75639E-F813-4F6C-95A3-F3FBED6304C2}"/>
    <cellStyle name="Normal 11 2 2 8" xfId="3963" xr:uid="{4613B706-4C5D-4C1B-B58C-A1E660B7BEB4}"/>
    <cellStyle name="Normal 11 2 2 9" xfId="5089" xr:uid="{F10FA5CE-BE62-4508-8F46-9C82BE43D5D4}"/>
    <cellStyle name="Normal 11 2 3" xfId="592" xr:uid="{B0FDEFAA-DAC9-4794-B052-726B6860BB90}"/>
    <cellStyle name="Normal 11 2 3 10" xfId="7361" xr:uid="{9D6871BF-0B96-4573-9B93-880EC635E9A0}"/>
    <cellStyle name="Normal 11 2 3 11" xfId="8486" xr:uid="{A82D3984-5503-447B-9236-5C7E749B7CF6}"/>
    <cellStyle name="Normal 11 2 3 12" xfId="9623" xr:uid="{BE681043-3A2B-4CCC-BADB-788715481E1C}"/>
    <cellStyle name="Normal 11 2 3 13" xfId="10750" xr:uid="{CC8A568E-4BD0-42F7-BFB9-27DFCB6AE331}"/>
    <cellStyle name="Normal 11 2 3 14" xfId="11880" xr:uid="{504778C9-8F2A-4202-AB2E-7468651D2356}"/>
    <cellStyle name="Normal 11 2 3 15" xfId="14133" xr:uid="{0AFF7804-43A8-4F65-8840-BBAE1F031606}"/>
    <cellStyle name="Normal 11 2 3 16" xfId="16386" xr:uid="{E315F615-C9A3-4F9F-B83C-0C0A9AC9CB17}"/>
    <cellStyle name="Normal 11 2 3 2" xfId="593" xr:uid="{10C6FC8B-E9C2-449F-B279-9A0A21D98C8E}"/>
    <cellStyle name="Normal 11 2 3 2 10" xfId="8485" xr:uid="{32CFB205-5469-4F57-A897-AA052D858753}"/>
    <cellStyle name="Normal 11 2 3 2 11" xfId="9622" xr:uid="{5D75B64C-7910-4DA1-BE8B-CAE27AC7D64E}"/>
    <cellStyle name="Normal 11 2 3 2 12" xfId="10749" xr:uid="{566EDB3F-C831-43EA-B2D0-76153C133025}"/>
    <cellStyle name="Normal 11 2 3 2 13" xfId="11881" xr:uid="{423A0394-76C5-45D9-A40D-6E154AD043BF}"/>
    <cellStyle name="Normal 11 2 3 2 14" xfId="14134" xr:uid="{790F5EE5-EFB2-460E-A0F6-C254E7AF7D7A}"/>
    <cellStyle name="Normal 11 2 3 2 15" xfId="16387" xr:uid="{A79281C1-03A0-41A9-B159-305F9B378195}"/>
    <cellStyle name="Normal 11 2 3 2 2" xfId="594" xr:uid="{47BB3DCC-2331-4223-A6CD-516D5566D802}"/>
    <cellStyle name="Normal 11 2 3 2 2 10" xfId="10748" xr:uid="{041F86C3-E3A9-4F64-8D62-CC76B3D318E7}"/>
    <cellStyle name="Normal 11 2 3 2 2 11" xfId="11882" xr:uid="{C3A2071F-B4DF-4139-A881-30105DA958C2}"/>
    <cellStyle name="Normal 11 2 3 2 2 12" xfId="14135" xr:uid="{9DA5C690-3667-49C9-8214-AC0730A6F228}"/>
    <cellStyle name="Normal 11 2 3 2 2 13" xfId="16388" xr:uid="{46524548-CB28-41AD-B168-419CE8A98880}"/>
    <cellStyle name="Normal 11 2 3 2 2 2" xfId="1725" xr:uid="{0A783AF9-09C1-4DEC-9274-2467446B9B86}"/>
    <cellStyle name="Normal 11 2 3 2 2 2 2" xfId="13009" xr:uid="{9F8BD03F-8629-4AF2-927F-1296F2FC44A0}"/>
    <cellStyle name="Normal 11 2 3 2 2 2 3" xfId="15262" xr:uid="{5F1B6C73-E7F6-49AE-B04B-EA010CA99626}"/>
    <cellStyle name="Normal 11 2 3 2 2 2 4" xfId="17515" xr:uid="{46CA4957-D686-401B-90B4-0F20D94DDAB7}"/>
    <cellStyle name="Normal 11 2 3 2 2 3" xfId="2851" xr:uid="{79753BDF-736D-40B7-92DB-8C5928DB8AB3}"/>
    <cellStyle name="Normal 11 2 3 2 2 4" xfId="3977" xr:uid="{7857BD33-AED4-4A62-B851-A93E96F62DAA}"/>
    <cellStyle name="Normal 11 2 3 2 2 5" xfId="5103" xr:uid="{4D92F4E4-ECBF-40AB-AE67-42EA41EB0135}"/>
    <cellStyle name="Normal 11 2 3 2 2 6" xfId="6230" xr:uid="{35AF5D2B-692C-4939-951B-40FA831F1E4F}"/>
    <cellStyle name="Normal 11 2 3 2 2 7" xfId="7363" xr:uid="{462EA73C-12E4-4F83-85AC-CFC8ED2FCBE9}"/>
    <cellStyle name="Normal 11 2 3 2 2 8" xfId="8484" xr:uid="{85C8C525-EBD7-4000-9773-F981EA012101}"/>
    <cellStyle name="Normal 11 2 3 2 2 9" xfId="9621" xr:uid="{9C110CB2-9954-4090-AC12-B83273A7E289}"/>
    <cellStyle name="Normal 11 2 3 2 3" xfId="595" xr:uid="{3814E057-A608-4C97-8EF2-785A83FAF9EB}"/>
    <cellStyle name="Normal 11 2 3 2 3 10" xfId="10747" xr:uid="{17258356-5986-4C8A-BD47-746433209F16}"/>
    <cellStyle name="Normal 11 2 3 2 3 11" xfId="11883" xr:uid="{6F49A47B-F840-4365-84CC-9551766B4D2D}"/>
    <cellStyle name="Normal 11 2 3 2 3 12" xfId="14136" xr:uid="{E29C6AE3-7F43-497A-AE01-800FD49ED5B7}"/>
    <cellStyle name="Normal 11 2 3 2 3 13" xfId="16389" xr:uid="{3A279A64-6632-41C7-976C-4BA50566C625}"/>
    <cellStyle name="Normal 11 2 3 2 3 2" xfId="1726" xr:uid="{6B48DA7F-8D47-4EBD-8797-D4F1B338054F}"/>
    <cellStyle name="Normal 11 2 3 2 3 2 2" xfId="13010" xr:uid="{8815EDE5-C799-40A2-9594-B7C4FCE25578}"/>
    <cellStyle name="Normal 11 2 3 2 3 2 3" xfId="15263" xr:uid="{CD656AD7-91CE-4425-8A9B-20824E5D98DC}"/>
    <cellStyle name="Normal 11 2 3 2 3 2 4" xfId="17516" xr:uid="{14CBE191-18FB-4ADD-BC97-D1D216AC842B}"/>
    <cellStyle name="Normal 11 2 3 2 3 3" xfId="2852" xr:uid="{B129681C-C025-43F3-ADB3-B9A651768E54}"/>
    <cellStyle name="Normal 11 2 3 2 3 4" xfId="3978" xr:uid="{D9120434-5F70-4879-8DF5-48BC9BB07F58}"/>
    <cellStyle name="Normal 11 2 3 2 3 5" xfId="5104" xr:uid="{E85CB153-B1D3-4845-BA1C-F97072A891CC}"/>
    <cellStyle name="Normal 11 2 3 2 3 6" xfId="6231" xr:uid="{1B3D732B-86BE-4E89-884E-FBAA93741111}"/>
    <cellStyle name="Normal 11 2 3 2 3 7" xfId="7364" xr:uid="{A3483C66-BE92-43D5-B5C2-331EA1763408}"/>
    <cellStyle name="Normal 11 2 3 2 3 8" xfId="8483" xr:uid="{9AC72BD4-AEBB-4546-9138-0BBAC92E4C28}"/>
    <cellStyle name="Normal 11 2 3 2 3 9" xfId="9620" xr:uid="{BAA29922-FD05-4A99-8638-F2E384E4EA82}"/>
    <cellStyle name="Normal 11 2 3 2 4" xfId="1724" xr:uid="{5315CF2D-6736-4FC6-826E-5FA4E8AED111}"/>
    <cellStyle name="Normal 11 2 3 2 4 2" xfId="13008" xr:uid="{ADADCAC7-2E1E-41AD-A95D-362626B554FF}"/>
    <cellStyle name="Normal 11 2 3 2 4 3" xfId="15261" xr:uid="{0392B9FD-690E-43A2-83FD-2A9BF86C6B9E}"/>
    <cellStyle name="Normal 11 2 3 2 4 4" xfId="17514" xr:uid="{9AF49A38-0C29-4A6E-81B3-B83F05C783D9}"/>
    <cellStyle name="Normal 11 2 3 2 5" xfId="2850" xr:uid="{32C9BF7B-C6B9-4F60-B2EE-0E88BF4D9393}"/>
    <cellStyle name="Normal 11 2 3 2 6" xfId="3976" xr:uid="{34CA04A4-AE87-45E1-82F8-99FDF071B3F8}"/>
    <cellStyle name="Normal 11 2 3 2 7" xfId="5102" xr:uid="{04502338-8EC1-4C33-85C2-6F131ABE2FBA}"/>
    <cellStyle name="Normal 11 2 3 2 8" xfId="6229" xr:uid="{81D46D76-A1EE-449D-9385-8001C452F08C}"/>
    <cellStyle name="Normal 11 2 3 2 9" xfId="7362" xr:uid="{17DECBA3-48A1-49EF-B69B-4DA6B14A5368}"/>
    <cellStyle name="Normal 11 2 3 3" xfId="596" xr:uid="{556DB55A-4A00-45CC-9C25-39DD0951D721}"/>
    <cellStyle name="Normal 11 2 3 3 10" xfId="10746" xr:uid="{DB27DDA3-E60F-430B-908B-EC42AEDCAFCC}"/>
    <cellStyle name="Normal 11 2 3 3 11" xfId="11884" xr:uid="{47DA58EB-84C1-4663-929C-E3AC6AC95AF8}"/>
    <cellStyle name="Normal 11 2 3 3 12" xfId="14137" xr:uid="{96788CDE-08BB-43B3-9545-AEC06D5D40B2}"/>
    <cellStyle name="Normal 11 2 3 3 13" xfId="16390" xr:uid="{E3EC0DC4-D164-4EFF-80D2-95D59742A9DD}"/>
    <cellStyle name="Normal 11 2 3 3 2" xfId="1727" xr:uid="{28D3E4A1-B32F-40DE-B2FF-C6B9181404FC}"/>
    <cellStyle name="Normal 11 2 3 3 2 2" xfId="13011" xr:uid="{6EF4EF2F-DA3D-454D-A20E-B9C0D413D504}"/>
    <cellStyle name="Normal 11 2 3 3 2 3" xfId="15264" xr:uid="{357729DF-A096-4CDD-9D10-41606B97DF46}"/>
    <cellStyle name="Normal 11 2 3 3 2 4" xfId="17517" xr:uid="{C1D1184C-1F92-4BE0-805A-25A0781E5248}"/>
    <cellStyle name="Normal 11 2 3 3 3" xfId="2853" xr:uid="{BBEB2422-1FE0-447D-AD94-F92E669D6585}"/>
    <cellStyle name="Normal 11 2 3 3 4" xfId="3979" xr:uid="{4A751E3B-95DF-4D9D-BAAF-F5EB56AD1D3D}"/>
    <cellStyle name="Normal 11 2 3 3 5" xfId="5105" xr:uid="{2D401B8C-8113-40AF-BC97-BC8FEB55EFD5}"/>
    <cellStyle name="Normal 11 2 3 3 6" xfId="6232" xr:uid="{D90BFCD3-A14C-426A-AA00-39BA79E195D8}"/>
    <cellStyle name="Normal 11 2 3 3 7" xfId="7365" xr:uid="{B6BFCA52-24A4-4C41-94EC-0D271C91B067}"/>
    <cellStyle name="Normal 11 2 3 3 8" xfId="8482" xr:uid="{912F0C2B-6F0E-40F1-B071-C1626F5C6BE7}"/>
    <cellStyle name="Normal 11 2 3 3 9" xfId="9619" xr:uid="{162DBF51-C235-4C7B-85A4-0E9DE51B6B77}"/>
    <cellStyle name="Normal 11 2 3 4" xfId="597" xr:uid="{B1848549-DC07-4305-9B07-20D5959BB3E6}"/>
    <cellStyle name="Normal 11 2 3 4 10" xfId="10745" xr:uid="{3FCD96E5-68C6-4F9A-BD16-2AAD60CA3E88}"/>
    <cellStyle name="Normal 11 2 3 4 11" xfId="11885" xr:uid="{2ACBEE1A-6CEC-4D14-962E-8E3224BE5BEC}"/>
    <cellStyle name="Normal 11 2 3 4 12" xfId="14138" xr:uid="{41417EDC-382A-4FFB-A54B-E9E1FA889246}"/>
    <cellStyle name="Normal 11 2 3 4 13" xfId="16391" xr:uid="{88730FC3-691F-4642-B65C-27AC097D957F}"/>
    <cellStyle name="Normal 11 2 3 4 2" xfId="1728" xr:uid="{9832591C-D404-4F79-8807-0229E8AD5C51}"/>
    <cellStyle name="Normal 11 2 3 4 2 2" xfId="13012" xr:uid="{62A86CFA-F8B9-4126-9E10-2361B9FFDF60}"/>
    <cellStyle name="Normal 11 2 3 4 2 3" xfId="15265" xr:uid="{599F393A-F0E3-4B22-A4E4-6E92832864FE}"/>
    <cellStyle name="Normal 11 2 3 4 2 4" xfId="17518" xr:uid="{828FC9FA-D1B7-4E3C-924E-8E0E2711BB72}"/>
    <cellStyle name="Normal 11 2 3 4 3" xfId="2854" xr:uid="{0E9192A0-F34A-497B-9770-8DBCD1E4D821}"/>
    <cellStyle name="Normal 11 2 3 4 4" xfId="3980" xr:uid="{46485F49-00A9-4B6E-8D5E-3156190DA3D1}"/>
    <cellStyle name="Normal 11 2 3 4 5" xfId="5106" xr:uid="{5B716273-F312-4B99-A4DD-3B41AB8DE76D}"/>
    <cellStyle name="Normal 11 2 3 4 6" xfId="6233" xr:uid="{AEEBDF08-EF4F-49C3-A9B0-A39BCBA9753E}"/>
    <cellStyle name="Normal 11 2 3 4 7" xfId="7366" xr:uid="{CAB127C0-3ED2-4941-A48A-A8F29C926376}"/>
    <cellStyle name="Normal 11 2 3 4 8" xfId="8481" xr:uid="{F8DAC685-A387-4D29-B945-DD734E0AB247}"/>
    <cellStyle name="Normal 11 2 3 4 9" xfId="9618" xr:uid="{32A68903-BF88-4C95-9924-7442970F8880}"/>
    <cellStyle name="Normal 11 2 3 5" xfId="1723" xr:uid="{C5E134E8-B73C-45E5-AA5D-3C682580F1B6}"/>
    <cellStyle name="Normal 11 2 3 5 2" xfId="13007" xr:uid="{DC1B8140-95F4-4BDF-82AE-80E69206EA8C}"/>
    <cellStyle name="Normal 11 2 3 5 3" xfId="15260" xr:uid="{D626B1E3-4D53-4B56-A90D-98C3AC87B53B}"/>
    <cellStyle name="Normal 11 2 3 5 4" xfId="17513" xr:uid="{C71C1884-0E06-44EB-A985-6E363E7879A1}"/>
    <cellStyle name="Normal 11 2 3 6" xfId="2849" xr:uid="{ADE898F4-2BD2-48B3-A7B6-62DEBD1EB37E}"/>
    <cellStyle name="Normal 11 2 3 7" xfId="3975" xr:uid="{83256657-B93E-4F90-B32A-F816FC352A78}"/>
    <cellStyle name="Normal 11 2 3 8" xfId="5101" xr:uid="{258A5D12-E303-4937-834B-0A7BE4EB114B}"/>
    <cellStyle name="Normal 11 2 3 9" xfId="6228" xr:uid="{29278E56-D943-46DA-9806-A7BDEBC1592F}"/>
    <cellStyle name="Normal 11 2 4" xfId="598" xr:uid="{CF57C2A9-5FEE-4870-A162-ACC4732D36EB}"/>
    <cellStyle name="Normal 11 2 4 10" xfId="8480" xr:uid="{DF152C6D-D308-41E2-9DD4-F66350429BD4}"/>
    <cellStyle name="Normal 11 2 4 11" xfId="9617" xr:uid="{60A1C016-66D9-4813-9794-3BC5BBB4F346}"/>
    <cellStyle name="Normal 11 2 4 12" xfId="10744" xr:uid="{64ABC3DD-05C7-4606-8AB1-0D017EB54F26}"/>
    <cellStyle name="Normal 11 2 4 13" xfId="11886" xr:uid="{8BCB09F4-ED6C-4B9E-9EA5-B675E23C18AE}"/>
    <cellStyle name="Normal 11 2 4 14" xfId="14139" xr:uid="{68C6A292-C67C-4563-9641-8BF9706C81CF}"/>
    <cellStyle name="Normal 11 2 4 15" xfId="16392" xr:uid="{8EBA9F26-9134-4067-B137-9BAA501D6CEC}"/>
    <cellStyle name="Normal 11 2 4 2" xfId="599" xr:uid="{640B8534-0518-4663-B8A2-274C62F1A519}"/>
    <cellStyle name="Normal 11 2 4 2 10" xfId="10743" xr:uid="{2F5A61E2-CAB1-4E59-A5A9-86F6545B94FB}"/>
    <cellStyle name="Normal 11 2 4 2 11" xfId="11887" xr:uid="{4DA0EA73-FC09-4D90-876A-C51E90ACFAE8}"/>
    <cellStyle name="Normal 11 2 4 2 12" xfId="14140" xr:uid="{D26B9907-44A0-4146-B14B-CADDBFA271E8}"/>
    <cellStyle name="Normal 11 2 4 2 13" xfId="16393" xr:uid="{9C25C07F-9653-4857-9218-BDBB79DA0EE8}"/>
    <cellStyle name="Normal 11 2 4 2 2" xfId="1730" xr:uid="{27C4FD71-6774-4173-8549-C62B01FD2F7B}"/>
    <cellStyle name="Normal 11 2 4 2 2 2" xfId="13014" xr:uid="{56B24FEC-E59E-4FE2-AB4E-56443130A2E3}"/>
    <cellStyle name="Normal 11 2 4 2 2 3" xfId="15267" xr:uid="{0E6DE51D-DE74-4848-9B39-C912EFC5AA6D}"/>
    <cellStyle name="Normal 11 2 4 2 2 4" xfId="17520" xr:uid="{B34880F0-3C0D-4520-88CB-0B8F00A8A1A2}"/>
    <cellStyle name="Normal 11 2 4 2 3" xfId="2856" xr:uid="{B679FE21-454C-4669-AB0E-54C1EBDF95EC}"/>
    <cellStyle name="Normal 11 2 4 2 4" xfId="3982" xr:uid="{C97AEE2D-6477-43BA-AF11-16CFC42F5BF8}"/>
    <cellStyle name="Normal 11 2 4 2 5" xfId="5108" xr:uid="{C5DDD823-D856-4333-8373-40C6560A6274}"/>
    <cellStyle name="Normal 11 2 4 2 6" xfId="6235" xr:uid="{484A32D7-4570-4E17-ADE0-EF7F94D47492}"/>
    <cellStyle name="Normal 11 2 4 2 7" xfId="7368" xr:uid="{55B1CCC1-5C14-40D2-8346-9E06F66CCF69}"/>
    <cellStyle name="Normal 11 2 4 2 8" xfId="8479" xr:uid="{89E96DCE-8C7F-4BDB-B4DC-4D3871D52B47}"/>
    <cellStyle name="Normal 11 2 4 2 9" xfId="9616" xr:uid="{1A8DAC3F-8C21-4B75-AB1B-A79BF96B1E4D}"/>
    <cellStyle name="Normal 11 2 4 3" xfId="600" xr:uid="{7F87A622-D889-4B78-88DF-55C34EBB92A5}"/>
    <cellStyle name="Normal 11 2 4 3 10" xfId="10742" xr:uid="{D5CDEC03-D5D4-4B91-8A12-C374427F264A}"/>
    <cellStyle name="Normal 11 2 4 3 11" xfId="11888" xr:uid="{C1A90879-6812-476E-8F64-EBCA8D83502F}"/>
    <cellStyle name="Normal 11 2 4 3 12" xfId="14141" xr:uid="{1E2AA95F-0C07-40B9-8E8E-C29F26E29E61}"/>
    <cellStyle name="Normal 11 2 4 3 13" xfId="16394" xr:uid="{47817AA9-01C0-468E-9D32-6C97A74EA159}"/>
    <cellStyle name="Normal 11 2 4 3 2" xfId="1731" xr:uid="{5979DC08-AAE5-43AF-89DE-0FBB099B2371}"/>
    <cellStyle name="Normal 11 2 4 3 2 2" xfId="13015" xr:uid="{A1C19A55-2748-4F2E-93B8-3142E16CB7A5}"/>
    <cellStyle name="Normal 11 2 4 3 2 3" xfId="15268" xr:uid="{DCFFA16B-81DC-45F6-A70A-F4D2879E5254}"/>
    <cellStyle name="Normal 11 2 4 3 2 4" xfId="17521" xr:uid="{1BF27561-FE93-45E1-B31B-5C839554FA69}"/>
    <cellStyle name="Normal 11 2 4 3 3" xfId="2857" xr:uid="{16A98602-846A-41D5-9D84-514E03AF527B}"/>
    <cellStyle name="Normal 11 2 4 3 4" xfId="3983" xr:uid="{616056BF-E387-4FEF-B526-3979D2CF2695}"/>
    <cellStyle name="Normal 11 2 4 3 5" xfId="5109" xr:uid="{10F0EF48-D0BD-446F-9101-E28B0E56DCBD}"/>
    <cellStyle name="Normal 11 2 4 3 6" xfId="6236" xr:uid="{D51744DC-B83E-4EB7-A037-E6D724318821}"/>
    <cellStyle name="Normal 11 2 4 3 7" xfId="7369" xr:uid="{527BD6E9-97FF-4DFC-BEC7-76C5B9590A6E}"/>
    <cellStyle name="Normal 11 2 4 3 8" xfId="8478" xr:uid="{FDFF146E-EC96-4EA0-A007-84A015CB19DA}"/>
    <cellStyle name="Normal 11 2 4 3 9" xfId="9615" xr:uid="{86A89FB4-C8A4-4C10-B689-CE2FD3E59522}"/>
    <cellStyle name="Normal 11 2 4 4" xfId="1729" xr:uid="{3CFB40D1-4A72-4D3D-B890-907A642C6CB5}"/>
    <cellStyle name="Normal 11 2 4 4 2" xfId="13013" xr:uid="{635B41AC-E7F5-4B2E-BC3B-174E2C636967}"/>
    <cellStyle name="Normal 11 2 4 4 3" xfId="15266" xr:uid="{6DC5628E-F3DF-49C9-9742-0BA7D1F220FC}"/>
    <cellStyle name="Normal 11 2 4 4 4" xfId="17519" xr:uid="{A2C5425E-A5B3-45ED-8880-810253F325EC}"/>
    <cellStyle name="Normal 11 2 4 5" xfId="2855" xr:uid="{EDF3BB0F-A142-4B20-BC60-A4716C2D39A4}"/>
    <cellStyle name="Normal 11 2 4 6" xfId="3981" xr:uid="{09414130-A5FC-47BE-9424-A6260CDD000F}"/>
    <cellStyle name="Normal 11 2 4 7" xfId="5107" xr:uid="{F9A8F225-A94B-4CBC-9E05-D02502C25E20}"/>
    <cellStyle name="Normal 11 2 4 8" xfId="6234" xr:uid="{712DF876-561B-46E9-B577-C7B1A780B9EC}"/>
    <cellStyle name="Normal 11 2 4 9" xfId="7367" xr:uid="{A401466A-9F77-4377-854E-DF0C6CB74E4B}"/>
    <cellStyle name="Normal 11 2 5" xfId="601" xr:uid="{C0D7D48F-ABED-4D91-8984-753D3EA1187C}"/>
    <cellStyle name="Normal 11 2 5 10" xfId="10741" xr:uid="{1092DC02-5E37-4703-925E-78FDD6FF481F}"/>
    <cellStyle name="Normal 11 2 5 11" xfId="11889" xr:uid="{BC17E7C1-1394-419D-A09B-0B73BD38E3BB}"/>
    <cellStyle name="Normal 11 2 5 12" xfId="14142" xr:uid="{38698052-9790-4E6E-B856-969FD0037C10}"/>
    <cellStyle name="Normal 11 2 5 13" xfId="16395" xr:uid="{9B9CFEE5-BD36-4705-B981-AE49687F47B0}"/>
    <cellStyle name="Normal 11 2 5 2" xfId="1732" xr:uid="{E009F5B6-66AA-4B00-85F9-714CBDA7DEE0}"/>
    <cellStyle name="Normal 11 2 5 2 2" xfId="13016" xr:uid="{A0873BF9-8803-4D1C-94AC-2F9281DDA82A}"/>
    <cellStyle name="Normal 11 2 5 2 3" xfId="15269" xr:uid="{BB753DC7-F5A2-4E96-B7DF-7860F64A315B}"/>
    <cellStyle name="Normal 11 2 5 2 4" xfId="17522" xr:uid="{DC6591B4-AEE8-4A00-A35F-D852BC61895F}"/>
    <cellStyle name="Normal 11 2 5 3" xfId="2858" xr:uid="{FC867C69-0780-4BF2-BD5B-90DC2AE4D26B}"/>
    <cellStyle name="Normal 11 2 5 4" xfId="3984" xr:uid="{FC1C2853-9D9B-43EE-9A07-F7B9D34483A0}"/>
    <cellStyle name="Normal 11 2 5 5" xfId="5110" xr:uid="{62A900CA-16BA-40EF-9B94-CA5104938ED7}"/>
    <cellStyle name="Normal 11 2 5 6" xfId="6237" xr:uid="{3A60D61D-12C2-4526-8004-DC114783CBE7}"/>
    <cellStyle name="Normal 11 2 5 7" xfId="7370" xr:uid="{77BA8553-E47B-4CE8-99C9-F88047301F97}"/>
    <cellStyle name="Normal 11 2 5 8" xfId="8477" xr:uid="{EAE144F2-71F8-4928-85D7-9B03F605DB70}"/>
    <cellStyle name="Normal 11 2 5 9" xfId="9614" xr:uid="{F7E2B928-E609-4090-A80B-CFA84FD77624}"/>
    <cellStyle name="Normal 11 2 6" xfId="602" xr:uid="{E96E0045-4992-47B7-8BEE-0F7DF9B7F16F}"/>
    <cellStyle name="Normal 11 2 6 10" xfId="10740" xr:uid="{B393547E-9185-40DD-9E0D-9F544D4D8D74}"/>
    <cellStyle name="Normal 11 2 6 11" xfId="11890" xr:uid="{672CF9BF-CBC3-4164-B505-D40B235E2E0F}"/>
    <cellStyle name="Normal 11 2 6 12" xfId="14143" xr:uid="{2294A664-BB8A-44C1-B004-197B0AF5CC7C}"/>
    <cellStyle name="Normal 11 2 6 13" xfId="16396" xr:uid="{E30649FF-2276-403E-BD34-E8DAE74FD070}"/>
    <cellStyle name="Normal 11 2 6 2" xfId="1733" xr:uid="{2FF23CD6-0C95-4674-819C-C1877E5DF1BC}"/>
    <cellStyle name="Normal 11 2 6 2 2" xfId="13017" xr:uid="{8800A430-6675-47AF-9596-D3542A1EE460}"/>
    <cellStyle name="Normal 11 2 6 2 3" xfId="15270" xr:uid="{065A5B18-7A1F-4AD0-A3EB-1B7F541D607C}"/>
    <cellStyle name="Normal 11 2 6 2 4" xfId="17523" xr:uid="{C52C24E7-4231-4B6B-AE18-E37F3A85FEF9}"/>
    <cellStyle name="Normal 11 2 6 3" xfId="2859" xr:uid="{88948123-5750-4A06-BBD1-9BEBC76A896B}"/>
    <cellStyle name="Normal 11 2 6 4" xfId="3985" xr:uid="{E162A06C-901E-4901-A74F-1F8894A2BE65}"/>
    <cellStyle name="Normal 11 2 6 5" xfId="5111" xr:uid="{5D51F3FA-EFAC-47AF-9E36-855175842D81}"/>
    <cellStyle name="Normal 11 2 6 6" xfId="6238" xr:uid="{F99DE160-5417-49E8-82E3-ADC42190E9AF}"/>
    <cellStyle name="Normal 11 2 6 7" xfId="7371" xr:uid="{CA25A64B-9E28-4524-9BDA-FA5F59FD295E}"/>
    <cellStyle name="Normal 11 2 6 8" xfId="8476" xr:uid="{6349D4EB-6852-4119-AB51-460FE7F96AAC}"/>
    <cellStyle name="Normal 11 2 6 9" xfId="9613" xr:uid="{A6C2C01D-8C65-4DE4-8B5F-641FC6BFCD03}"/>
    <cellStyle name="Normal 11 2 7" xfId="1710" xr:uid="{51219085-F6DE-4723-BF80-650AD7E5D63D}"/>
    <cellStyle name="Normal 11 2 7 2" xfId="12994" xr:uid="{6E678E25-70BD-4946-A0FF-9F787A4D632E}"/>
    <cellStyle name="Normal 11 2 7 3" xfId="15247" xr:uid="{9CF34AE8-44A9-42D4-A738-6EB025B47451}"/>
    <cellStyle name="Normal 11 2 7 4" xfId="17500" xr:uid="{9B2DDD0A-AECB-42CA-BF7A-5E9A2C03E081}"/>
    <cellStyle name="Normal 11 2 8" xfId="2836" xr:uid="{070A70B5-4F95-43D5-AB3B-F20CBC227AE5}"/>
    <cellStyle name="Normal 11 2 9" xfId="3962" xr:uid="{AA539E5B-67F7-4EA8-B82F-5980ACF95431}"/>
    <cellStyle name="Normal 11 3" xfId="603" xr:uid="{8A832613-3617-4802-BACA-F623BCC4C852}"/>
    <cellStyle name="Normal 11 3 10" xfId="6239" xr:uid="{08C5320C-F014-4A2D-A08F-0770154954DB}"/>
    <cellStyle name="Normal 11 3 11" xfId="7372" xr:uid="{40813CED-7DD8-412D-9311-91774D4E761A}"/>
    <cellStyle name="Normal 11 3 12" xfId="8475" xr:uid="{1266F5EA-03DE-4CEB-AAE3-2C25FD710A45}"/>
    <cellStyle name="Normal 11 3 13" xfId="9612" xr:uid="{BB9CBAD9-708A-483B-9472-112A2117B447}"/>
    <cellStyle name="Normal 11 3 14" xfId="10739" xr:uid="{0E117B96-D096-4FBD-A390-95D997A8C5E0}"/>
    <cellStyle name="Normal 11 3 15" xfId="11891" xr:uid="{5BD1B973-60A0-44C6-AECC-02E0DD9FC6A6}"/>
    <cellStyle name="Normal 11 3 16" xfId="14144" xr:uid="{F484E5B3-08F1-4BEB-92E2-B4352380BD3F}"/>
    <cellStyle name="Normal 11 3 17" xfId="16397" xr:uid="{1CEDD158-847F-436C-857D-9A01EC86B173}"/>
    <cellStyle name="Normal 11 3 2" xfId="604" xr:uid="{333F2A60-EB32-4FB2-B4BE-44CE89E077A2}"/>
    <cellStyle name="Normal 11 3 2 10" xfId="7373" xr:uid="{3D42616D-7A2D-49CD-AD46-585CB59614FA}"/>
    <cellStyle name="Normal 11 3 2 11" xfId="8474" xr:uid="{B8505245-2422-45D9-9EF9-A28B5430B8A8}"/>
    <cellStyle name="Normal 11 3 2 12" xfId="9611" xr:uid="{A8F72AA0-0386-4F94-BC4F-6B441D0E9401}"/>
    <cellStyle name="Normal 11 3 2 13" xfId="10738" xr:uid="{845E7374-FC8A-42D6-B395-FF37C5CCAD84}"/>
    <cellStyle name="Normal 11 3 2 14" xfId="11892" xr:uid="{DD92ED91-C551-478D-8193-41A611311009}"/>
    <cellStyle name="Normal 11 3 2 15" xfId="14145" xr:uid="{4D524421-4F7E-42BE-9787-7FF2FE994327}"/>
    <cellStyle name="Normal 11 3 2 16" xfId="16398" xr:uid="{C59462EB-3E7F-46B4-A95B-0F7BC2937DBF}"/>
    <cellStyle name="Normal 11 3 2 2" xfId="605" xr:uid="{C2D1373C-838F-4E8D-87E9-095899E0CD63}"/>
    <cellStyle name="Normal 11 3 2 2 10" xfId="8473" xr:uid="{5D1DBFBB-D69D-40F6-BBF1-EF0D4D3FFB67}"/>
    <cellStyle name="Normal 11 3 2 2 11" xfId="9610" xr:uid="{557B27AC-620B-4D37-AE6C-2ACE51E24EE8}"/>
    <cellStyle name="Normal 11 3 2 2 12" xfId="10737" xr:uid="{07FD3B1E-D16B-4FC2-934D-EFF982F8AEC6}"/>
    <cellStyle name="Normal 11 3 2 2 13" xfId="11893" xr:uid="{2C4F6253-7A3E-4175-A79F-9BC485012297}"/>
    <cellStyle name="Normal 11 3 2 2 14" xfId="14146" xr:uid="{8E01566A-C58E-4496-98C4-9BFCB74509D5}"/>
    <cellStyle name="Normal 11 3 2 2 15" xfId="16399" xr:uid="{6D8F1A51-FD31-4DF7-A1D4-856ADC823913}"/>
    <cellStyle name="Normal 11 3 2 2 2" xfId="606" xr:uid="{9C954F7D-9446-4AF1-A343-CA4C83492325}"/>
    <cellStyle name="Normal 11 3 2 2 2 10" xfId="10736" xr:uid="{034C1EF6-946C-4803-8E42-D21D4E3D5817}"/>
    <cellStyle name="Normal 11 3 2 2 2 11" xfId="11894" xr:uid="{789A4C1F-C8E7-4DD3-A6E2-1B70EE8A04B1}"/>
    <cellStyle name="Normal 11 3 2 2 2 12" xfId="14147" xr:uid="{C8BE0D34-F28C-4727-A398-8DAC199D0F85}"/>
    <cellStyle name="Normal 11 3 2 2 2 13" xfId="16400" xr:uid="{AB602ACA-54FE-4DF2-830F-F33A469B9D92}"/>
    <cellStyle name="Normal 11 3 2 2 2 2" xfId="1737" xr:uid="{E452FFD6-AE0F-4DD8-BD76-9124D0BE6369}"/>
    <cellStyle name="Normal 11 3 2 2 2 2 2" xfId="13021" xr:uid="{A7CF21F6-1FF3-4CC0-89E6-B55FB0B29378}"/>
    <cellStyle name="Normal 11 3 2 2 2 2 3" xfId="15274" xr:uid="{F45B6F97-D9F6-4BDC-A4CC-5048B64B9301}"/>
    <cellStyle name="Normal 11 3 2 2 2 2 4" xfId="17527" xr:uid="{A27BE3FE-03C9-4CF7-9D8D-AB6B07B30775}"/>
    <cellStyle name="Normal 11 3 2 2 2 3" xfId="2863" xr:uid="{2957E485-8556-4E8B-A2F9-98932A5342F5}"/>
    <cellStyle name="Normal 11 3 2 2 2 4" xfId="3989" xr:uid="{4B387077-5EAA-49DF-A1B6-EB1C9EAD8940}"/>
    <cellStyle name="Normal 11 3 2 2 2 5" xfId="5115" xr:uid="{5A70EF59-7DFA-4A8C-8DBE-E2EF383032FB}"/>
    <cellStyle name="Normal 11 3 2 2 2 6" xfId="6242" xr:uid="{86FE339D-8641-45A5-9B88-A34EC5723A6D}"/>
    <cellStyle name="Normal 11 3 2 2 2 7" xfId="7375" xr:uid="{E4399FA4-C8E3-49DE-8B84-12221CC909EE}"/>
    <cellStyle name="Normal 11 3 2 2 2 8" xfId="8472" xr:uid="{C8F099C5-551F-4750-8A5F-5A23368F01D3}"/>
    <cellStyle name="Normal 11 3 2 2 2 9" xfId="9609" xr:uid="{D1BC58DE-75BA-416A-8AF1-A7B2DFA6405F}"/>
    <cellStyle name="Normal 11 3 2 2 3" xfId="607" xr:uid="{2AFAA18A-0629-4803-8ED8-F0F2D961BB97}"/>
    <cellStyle name="Normal 11 3 2 2 3 10" xfId="10735" xr:uid="{62E26F29-E4D8-4DAC-ACC5-9457B68C34DD}"/>
    <cellStyle name="Normal 11 3 2 2 3 11" xfId="11895" xr:uid="{2EAFD51C-037B-42FE-9944-C8A52716696D}"/>
    <cellStyle name="Normal 11 3 2 2 3 12" xfId="14148" xr:uid="{38ACF519-895E-4D4A-A863-FF3C638E51CD}"/>
    <cellStyle name="Normal 11 3 2 2 3 13" xfId="16401" xr:uid="{C2B2D3D8-202B-4DF8-80FD-4617D56F5E3F}"/>
    <cellStyle name="Normal 11 3 2 2 3 2" xfId="1738" xr:uid="{550EE59A-3DF2-47E4-98F0-16127EA92C51}"/>
    <cellStyle name="Normal 11 3 2 2 3 2 2" xfId="13022" xr:uid="{144393B7-99A0-4398-863B-E7A6BBCA2B87}"/>
    <cellStyle name="Normal 11 3 2 2 3 2 3" xfId="15275" xr:uid="{F93EEE6F-CB31-465F-84CE-37AA2B660E3F}"/>
    <cellStyle name="Normal 11 3 2 2 3 2 4" xfId="17528" xr:uid="{D0D31AFE-1536-426F-9A98-77724AF6DE65}"/>
    <cellStyle name="Normal 11 3 2 2 3 3" xfId="2864" xr:uid="{4123A7BF-DB61-4FE2-9928-D87424A14119}"/>
    <cellStyle name="Normal 11 3 2 2 3 4" xfId="3990" xr:uid="{09BE1B71-6E52-40DC-B0AA-6FCDB0972FA3}"/>
    <cellStyle name="Normal 11 3 2 2 3 5" xfId="5116" xr:uid="{80082F87-6AD9-4FC4-95CD-12D5C38B286B}"/>
    <cellStyle name="Normal 11 3 2 2 3 6" xfId="6243" xr:uid="{61BEA0C2-83E8-4B79-9B86-7740A261FBA5}"/>
    <cellStyle name="Normal 11 3 2 2 3 7" xfId="7376" xr:uid="{FBE7F334-C049-492C-91AC-309934F47DA9}"/>
    <cellStyle name="Normal 11 3 2 2 3 8" xfId="8471" xr:uid="{BF544DA9-3FE1-4A38-A6C0-D5B14EF882C9}"/>
    <cellStyle name="Normal 11 3 2 2 3 9" xfId="9608" xr:uid="{C8342596-C575-4E1B-8C97-721AACD6E037}"/>
    <cellStyle name="Normal 11 3 2 2 4" xfId="1736" xr:uid="{E08ECDF0-9E9B-49FA-A418-556FCF83B657}"/>
    <cellStyle name="Normal 11 3 2 2 4 2" xfId="13020" xr:uid="{4EC01800-C98A-426A-BA93-F29C54BEB864}"/>
    <cellStyle name="Normal 11 3 2 2 4 3" xfId="15273" xr:uid="{4F6E6D53-CC7A-4402-9A93-FE22D21D217B}"/>
    <cellStyle name="Normal 11 3 2 2 4 4" xfId="17526" xr:uid="{B431F2EA-E529-499F-8867-A4F32CA5B15F}"/>
    <cellStyle name="Normal 11 3 2 2 5" xfId="2862" xr:uid="{9EA658ED-6E0A-41AB-8DBB-1A9F71B08BE5}"/>
    <cellStyle name="Normal 11 3 2 2 6" xfId="3988" xr:uid="{B81B2FA4-9ED9-4713-89CA-53275A53CA1C}"/>
    <cellStyle name="Normal 11 3 2 2 7" xfId="5114" xr:uid="{FA89CF47-38A1-4BCE-85F2-C89D9F424693}"/>
    <cellStyle name="Normal 11 3 2 2 8" xfId="6241" xr:uid="{48418543-6B50-436B-A5D3-1C51E132D595}"/>
    <cellStyle name="Normal 11 3 2 2 9" xfId="7374" xr:uid="{607D8F63-5951-4C6B-A1CF-B71AAB7F9BA5}"/>
    <cellStyle name="Normal 11 3 2 3" xfId="608" xr:uid="{5B166CE8-3F45-4A3F-8E07-D3864BE87CC3}"/>
    <cellStyle name="Normal 11 3 2 3 10" xfId="10734" xr:uid="{77D96E7F-CC70-46A3-A51E-6A532C8D64D7}"/>
    <cellStyle name="Normal 11 3 2 3 11" xfId="11896" xr:uid="{6ACD927A-87F1-438C-A4B2-37B1E4045D52}"/>
    <cellStyle name="Normal 11 3 2 3 12" xfId="14149" xr:uid="{F80DAD5E-1196-400D-BC9E-C8A79B1291D6}"/>
    <cellStyle name="Normal 11 3 2 3 13" xfId="16402" xr:uid="{3BCECC5F-9750-49BA-9AD9-C59BCF23E347}"/>
    <cellStyle name="Normal 11 3 2 3 2" xfId="1739" xr:uid="{57518995-B5CD-4502-93A8-D05C6BCF78FA}"/>
    <cellStyle name="Normal 11 3 2 3 2 2" xfId="13023" xr:uid="{960A5D5C-3186-4C66-8A67-8CBDF69332E7}"/>
    <cellStyle name="Normal 11 3 2 3 2 3" xfId="15276" xr:uid="{D231AF29-5F1C-4948-85F4-5A58E4A843EF}"/>
    <cellStyle name="Normal 11 3 2 3 2 4" xfId="17529" xr:uid="{DE551745-918A-4432-8190-6F83F1309025}"/>
    <cellStyle name="Normal 11 3 2 3 3" xfId="2865" xr:uid="{5E332389-AB53-4A6B-AD5D-0D9B55200B26}"/>
    <cellStyle name="Normal 11 3 2 3 4" xfId="3991" xr:uid="{AC6D45C8-82F6-46C4-8B06-33AD1C1BEAEE}"/>
    <cellStyle name="Normal 11 3 2 3 5" xfId="5117" xr:uid="{F1CA1A30-311E-43FD-83DB-3CD7EDFE4FE7}"/>
    <cellStyle name="Normal 11 3 2 3 6" xfId="6244" xr:uid="{F771FC42-B564-4DC8-B0EF-8DB6EA822EF3}"/>
    <cellStyle name="Normal 11 3 2 3 7" xfId="7377" xr:uid="{971DE62F-43ED-4B43-A0B8-A3C76DDA9573}"/>
    <cellStyle name="Normal 11 3 2 3 8" xfId="8470" xr:uid="{94F358DD-6DEC-4DA1-9EF6-0AE58E244249}"/>
    <cellStyle name="Normal 11 3 2 3 9" xfId="9607" xr:uid="{32F5ACB4-6E97-421B-A15F-A770F5A02B16}"/>
    <cellStyle name="Normal 11 3 2 4" xfId="609" xr:uid="{3E5852C1-351C-4D85-B74F-80FB91943DDD}"/>
    <cellStyle name="Normal 11 3 2 4 10" xfId="10733" xr:uid="{9DEDD3E5-8B18-4C4F-8523-CAC51DEE693A}"/>
    <cellStyle name="Normal 11 3 2 4 11" xfId="11897" xr:uid="{9EF2D8CA-FBEC-463B-B769-DB14C92F971C}"/>
    <cellStyle name="Normal 11 3 2 4 12" xfId="14150" xr:uid="{A5225BAA-BB1E-4031-AF1C-42EC3907E801}"/>
    <cellStyle name="Normal 11 3 2 4 13" xfId="16403" xr:uid="{D61790C6-78DF-4674-A491-FBCCDD90B675}"/>
    <cellStyle name="Normal 11 3 2 4 2" xfId="1740" xr:uid="{D3AC3D5F-EC2A-4B16-B751-FC2DE80CF3EA}"/>
    <cellStyle name="Normal 11 3 2 4 2 2" xfId="13024" xr:uid="{022C2FED-B289-48C4-B6F0-8B9F34464695}"/>
    <cellStyle name="Normal 11 3 2 4 2 3" xfId="15277" xr:uid="{5FBE6E42-BC15-48B5-954F-AFA5B4FA3F07}"/>
    <cellStyle name="Normal 11 3 2 4 2 4" xfId="17530" xr:uid="{E73922CD-0A86-4E17-BD47-5E113284F3E9}"/>
    <cellStyle name="Normal 11 3 2 4 3" xfId="2866" xr:uid="{40C57BF8-AED8-4307-9E77-E33BD65A4CED}"/>
    <cellStyle name="Normal 11 3 2 4 4" xfId="3992" xr:uid="{2F5001EE-CA0A-4596-B400-AD30D4ADB28F}"/>
    <cellStyle name="Normal 11 3 2 4 5" xfId="5118" xr:uid="{F7856E57-906E-4745-A13E-6070947E9552}"/>
    <cellStyle name="Normal 11 3 2 4 6" xfId="6245" xr:uid="{FA7A5000-2599-4D00-9F89-1AF6826DAA3F}"/>
    <cellStyle name="Normal 11 3 2 4 7" xfId="7378" xr:uid="{EABC7B16-3B81-4026-8634-F8A4D02282BF}"/>
    <cellStyle name="Normal 11 3 2 4 8" xfId="8469" xr:uid="{7C48BCEE-68A4-4952-9F4F-9CE10460DF6F}"/>
    <cellStyle name="Normal 11 3 2 4 9" xfId="9606" xr:uid="{3ED4D600-A60B-4143-88B5-2E6C742ED715}"/>
    <cellStyle name="Normal 11 3 2 5" xfId="1735" xr:uid="{73A3BAC5-177B-4FDF-8817-DE47E6C102D5}"/>
    <cellStyle name="Normal 11 3 2 5 2" xfId="13019" xr:uid="{233E134D-85FC-42DE-9730-6B71E0A4846C}"/>
    <cellStyle name="Normal 11 3 2 5 3" xfId="15272" xr:uid="{2633273C-E43A-4E5C-B3D6-C3B709B92A29}"/>
    <cellStyle name="Normal 11 3 2 5 4" xfId="17525" xr:uid="{D98BBFBA-8D11-40D0-A1E5-54FCE0024B98}"/>
    <cellStyle name="Normal 11 3 2 6" xfId="2861" xr:uid="{93647B4E-D7C1-4057-BDEC-F80F4C48CBB1}"/>
    <cellStyle name="Normal 11 3 2 7" xfId="3987" xr:uid="{26905835-E76E-4168-8911-5D81D3B7FB16}"/>
    <cellStyle name="Normal 11 3 2 8" xfId="5113" xr:uid="{CF6D60B9-3588-40BA-AAEE-A97FDEA9337F}"/>
    <cellStyle name="Normal 11 3 2 9" xfId="6240" xr:uid="{F82B424A-F3A5-4BBA-9962-B53B09BD0011}"/>
    <cellStyle name="Normal 11 3 3" xfId="610" xr:uid="{79BC0756-BFCC-402A-80CE-2F7BE3C8E518}"/>
    <cellStyle name="Normal 11 3 3 10" xfId="8468" xr:uid="{9455AFD7-C288-4717-A327-FD66F5224290}"/>
    <cellStyle name="Normal 11 3 3 11" xfId="9605" xr:uid="{4562825A-6353-4CA6-A080-8984C60B7842}"/>
    <cellStyle name="Normal 11 3 3 12" xfId="10732" xr:uid="{75791ED2-175D-4150-A1E3-F5346A34C6B3}"/>
    <cellStyle name="Normal 11 3 3 13" xfId="11898" xr:uid="{7802D6C6-2E8C-4BD4-A99D-D7301490DC98}"/>
    <cellStyle name="Normal 11 3 3 14" xfId="14151" xr:uid="{3EE87845-3944-4801-951E-AF3F6B4F54E5}"/>
    <cellStyle name="Normal 11 3 3 15" xfId="16404" xr:uid="{62660E59-2213-408E-ABA7-5B306E126ABE}"/>
    <cellStyle name="Normal 11 3 3 2" xfId="611" xr:uid="{71F0BD6F-F9F4-461A-BEF1-D2B3D4330711}"/>
    <cellStyle name="Normal 11 3 3 2 10" xfId="10731" xr:uid="{DED11E55-5741-4230-A309-BBCB23B2EF4D}"/>
    <cellStyle name="Normal 11 3 3 2 11" xfId="11899" xr:uid="{6D862E28-98B2-4AD3-8926-47ABC716ADFA}"/>
    <cellStyle name="Normal 11 3 3 2 12" xfId="14152" xr:uid="{47200BB0-7714-4B17-A638-70DC85E67AB6}"/>
    <cellStyle name="Normal 11 3 3 2 13" xfId="16405" xr:uid="{87B0155E-5CB9-47BF-8D05-85C56DEA196B}"/>
    <cellStyle name="Normal 11 3 3 2 2" xfId="1742" xr:uid="{C14FCBC4-94EC-42F6-8551-551EF0F2B9A0}"/>
    <cellStyle name="Normal 11 3 3 2 2 2" xfId="13026" xr:uid="{DA1ECC02-9F2C-40EE-A8C2-98E7C0247EE4}"/>
    <cellStyle name="Normal 11 3 3 2 2 3" xfId="15279" xr:uid="{239B44B6-EA2D-4CE7-A3EB-F984A336DB5C}"/>
    <cellStyle name="Normal 11 3 3 2 2 4" xfId="17532" xr:uid="{BF964BE7-6716-48BA-90F6-AA9FC82EF48E}"/>
    <cellStyle name="Normal 11 3 3 2 3" xfId="2868" xr:uid="{B7B9AD80-B4C1-4096-BD57-363484CC5D53}"/>
    <cellStyle name="Normal 11 3 3 2 4" xfId="3994" xr:uid="{047E0B39-4FD6-40A2-8444-954D90AE4441}"/>
    <cellStyle name="Normal 11 3 3 2 5" xfId="5120" xr:uid="{91169933-3357-40B1-A439-2C77536D3AB3}"/>
    <cellStyle name="Normal 11 3 3 2 6" xfId="6247" xr:uid="{FAB16349-27CB-4DB1-9B6D-F96D53B85934}"/>
    <cellStyle name="Normal 11 3 3 2 7" xfId="7380" xr:uid="{5E48517C-383C-4BAB-8D6A-B5627E19B51E}"/>
    <cellStyle name="Normal 11 3 3 2 8" xfId="8467" xr:uid="{F6F733F7-6BB8-432D-B0D1-D0FC5BC76CB3}"/>
    <cellStyle name="Normal 11 3 3 2 9" xfId="9604" xr:uid="{A2970A6C-313B-4D13-B40D-683B0D56C67C}"/>
    <cellStyle name="Normal 11 3 3 3" xfId="612" xr:uid="{8633F589-F21E-4EBC-AC13-F82A62076D9A}"/>
    <cellStyle name="Normal 11 3 3 3 10" xfId="10730" xr:uid="{28B1A23C-40DE-49ED-93A3-D5D67419F509}"/>
    <cellStyle name="Normal 11 3 3 3 11" xfId="11900" xr:uid="{100C904F-A3A6-4608-8380-0F492BD9A2B7}"/>
    <cellStyle name="Normal 11 3 3 3 12" xfId="14153" xr:uid="{F927909D-6A40-4417-AE91-66F23C272906}"/>
    <cellStyle name="Normal 11 3 3 3 13" xfId="16406" xr:uid="{F06E1858-E4F1-4961-99DC-60E93A161E62}"/>
    <cellStyle name="Normal 11 3 3 3 2" xfId="1743" xr:uid="{3B4214E9-602F-4678-A986-0DAB8800F7AC}"/>
    <cellStyle name="Normal 11 3 3 3 2 2" xfId="13027" xr:uid="{62CECD92-33C4-44C0-8C08-2A9ACC395C71}"/>
    <cellStyle name="Normal 11 3 3 3 2 3" xfId="15280" xr:uid="{8C06C22C-F190-4E84-98CA-65567198895A}"/>
    <cellStyle name="Normal 11 3 3 3 2 4" xfId="17533" xr:uid="{AC75EA97-A15A-4900-B851-6BCB22E60FD5}"/>
    <cellStyle name="Normal 11 3 3 3 3" xfId="2869" xr:uid="{59BAD1DB-D461-4808-8740-130B5248A977}"/>
    <cellStyle name="Normal 11 3 3 3 4" xfId="3995" xr:uid="{268297D0-849B-4768-9366-89CD681A4F45}"/>
    <cellStyle name="Normal 11 3 3 3 5" xfId="5121" xr:uid="{0B7B2A0F-646E-4CC0-8D7D-08A8B7CC6C30}"/>
    <cellStyle name="Normal 11 3 3 3 6" xfId="6248" xr:uid="{6D8D415F-CE33-4B98-BAE7-1FDA8AA22064}"/>
    <cellStyle name="Normal 11 3 3 3 7" xfId="7381" xr:uid="{8DD5C2C9-4F3F-4BBD-9F2F-682D37708052}"/>
    <cellStyle name="Normal 11 3 3 3 8" xfId="8466" xr:uid="{10C74FF6-A13C-4159-871C-643F7D00BED1}"/>
    <cellStyle name="Normal 11 3 3 3 9" xfId="9603" xr:uid="{23923338-5D39-46C6-A21D-CE7384797595}"/>
    <cellStyle name="Normal 11 3 3 4" xfId="1741" xr:uid="{2F28300C-DCA2-4449-81EE-2DA1F3701C43}"/>
    <cellStyle name="Normal 11 3 3 4 2" xfId="13025" xr:uid="{29EC4B8D-A495-405D-85CB-0F67F301DF5F}"/>
    <cellStyle name="Normal 11 3 3 4 3" xfId="15278" xr:uid="{145EE018-9262-41FB-B3A9-3F8C91D5E307}"/>
    <cellStyle name="Normal 11 3 3 4 4" xfId="17531" xr:uid="{3BBFE3D9-5C65-491C-B9E1-65C8C9CB9CB6}"/>
    <cellStyle name="Normal 11 3 3 5" xfId="2867" xr:uid="{9D99D99D-C92D-44FD-B2D2-0A3EAFAE811E}"/>
    <cellStyle name="Normal 11 3 3 6" xfId="3993" xr:uid="{C3D92870-2350-4410-8439-3DD2F543C3DC}"/>
    <cellStyle name="Normal 11 3 3 7" xfId="5119" xr:uid="{484E0B9E-32FF-4408-8416-B7DF28F6C061}"/>
    <cellStyle name="Normal 11 3 3 8" xfId="6246" xr:uid="{14CDED64-5088-413B-B257-7FD884FB4BE5}"/>
    <cellStyle name="Normal 11 3 3 9" xfId="7379" xr:uid="{A430DEE8-3424-4659-98E0-CEB15E468AB8}"/>
    <cellStyle name="Normal 11 3 4" xfId="613" xr:uid="{7875DC47-2DEB-4909-997A-7A8FEDD10333}"/>
    <cellStyle name="Normal 11 3 4 10" xfId="10729" xr:uid="{A4551E14-8F9A-4E5B-8BAA-F7E89F199699}"/>
    <cellStyle name="Normal 11 3 4 11" xfId="11901" xr:uid="{6EF0230B-42B5-4DF2-94D2-D5C91B0420D6}"/>
    <cellStyle name="Normal 11 3 4 12" xfId="14154" xr:uid="{AF15D303-ED05-4B41-B625-F130DE69F5BC}"/>
    <cellStyle name="Normal 11 3 4 13" xfId="16407" xr:uid="{841C9BEF-C3C2-4034-8193-428417E01D81}"/>
    <cellStyle name="Normal 11 3 4 2" xfId="1744" xr:uid="{BD17D858-F7AB-4973-93BA-F8A9A461B966}"/>
    <cellStyle name="Normal 11 3 4 2 2" xfId="13028" xr:uid="{52740916-4CE4-4556-95EB-DF35FFAB47EF}"/>
    <cellStyle name="Normal 11 3 4 2 3" xfId="15281" xr:uid="{4BF51168-8DED-469E-B6BA-081810601972}"/>
    <cellStyle name="Normal 11 3 4 2 4" xfId="17534" xr:uid="{463D1DDD-A502-429D-8295-EDC74771966B}"/>
    <cellStyle name="Normal 11 3 4 3" xfId="2870" xr:uid="{4FB836DC-0AB8-43B4-BEB9-215313CA7FA0}"/>
    <cellStyle name="Normal 11 3 4 4" xfId="3996" xr:uid="{A6057DAF-D848-4AB6-97DD-F330CB64B723}"/>
    <cellStyle name="Normal 11 3 4 5" xfId="5122" xr:uid="{DCF42CBF-667F-4800-AF94-23B617AA1716}"/>
    <cellStyle name="Normal 11 3 4 6" xfId="6249" xr:uid="{81A9E855-9EF4-4528-9564-C37004647A7C}"/>
    <cellStyle name="Normal 11 3 4 7" xfId="7382" xr:uid="{FFF538A7-CB43-4F47-A73F-E6F9222C1167}"/>
    <cellStyle name="Normal 11 3 4 8" xfId="8465" xr:uid="{EF2A8226-36A5-452A-8CA9-E171BC1864B0}"/>
    <cellStyle name="Normal 11 3 4 9" xfId="9602" xr:uid="{A6E51C20-A8FE-4F3B-87D5-6DA79A2604D7}"/>
    <cellStyle name="Normal 11 3 5" xfId="614" xr:uid="{19BEC760-78B4-4CF4-9AA3-E64335360278}"/>
    <cellStyle name="Normal 11 3 5 10" xfId="10728" xr:uid="{B62918BA-18F3-4B31-BC74-F8152CACCB00}"/>
    <cellStyle name="Normal 11 3 5 11" xfId="11902" xr:uid="{ED046748-EBE2-4E35-9E18-E472FAD042EE}"/>
    <cellStyle name="Normal 11 3 5 12" xfId="14155" xr:uid="{40E883A9-0003-4894-A81A-60CF08F3FDF2}"/>
    <cellStyle name="Normal 11 3 5 13" xfId="16408" xr:uid="{A7C93DC0-2483-40FD-A40C-39C7885A91FF}"/>
    <cellStyle name="Normal 11 3 5 2" xfId="1745" xr:uid="{3DB6CAA8-2852-4A6F-BB7F-F8E9B4D89F0C}"/>
    <cellStyle name="Normal 11 3 5 2 2" xfId="13029" xr:uid="{A2A02D28-4BF8-4F42-B757-33A0D08CADF7}"/>
    <cellStyle name="Normal 11 3 5 2 3" xfId="15282" xr:uid="{68319042-F614-445C-A287-0FC344DC0EFF}"/>
    <cellStyle name="Normal 11 3 5 2 4" xfId="17535" xr:uid="{D8591EE8-45E4-4EF6-BBA4-CCD8C96878B9}"/>
    <cellStyle name="Normal 11 3 5 3" xfId="2871" xr:uid="{AF46ABD1-5005-4FB0-BCEC-1DEB702143F7}"/>
    <cellStyle name="Normal 11 3 5 4" xfId="3997" xr:uid="{4BB90625-0735-4D10-B7FB-379434D2FE03}"/>
    <cellStyle name="Normal 11 3 5 5" xfId="5123" xr:uid="{9BCE9DE3-54AD-4E7A-86C6-C406FD33D845}"/>
    <cellStyle name="Normal 11 3 5 6" xfId="6250" xr:uid="{078969D7-CF9C-4F92-BCE7-5F8E928AC904}"/>
    <cellStyle name="Normal 11 3 5 7" xfId="7383" xr:uid="{99D84303-D012-4D19-9C2B-4C35014F0073}"/>
    <cellStyle name="Normal 11 3 5 8" xfId="8464" xr:uid="{41DC8521-409B-47DA-B4E1-7CC80013CE86}"/>
    <cellStyle name="Normal 11 3 5 9" xfId="9601" xr:uid="{CB8AB586-2A7A-4CE0-B038-EFF6C5F991A0}"/>
    <cellStyle name="Normal 11 3 6" xfId="1734" xr:uid="{CF5CC821-92E6-4C70-9C16-663B540F0313}"/>
    <cellStyle name="Normal 11 3 6 2" xfId="13018" xr:uid="{B06CEB0F-8CD6-4AB9-BEBE-0731ABFEE399}"/>
    <cellStyle name="Normal 11 3 6 3" xfId="15271" xr:uid="{45FA523B-92A1-4EB9-AEB1-A13B286DC201}"/>
    <cellStyle name="Normal 11 3 6 4" xfId="17524" xr:uid="{6EAB401C-79F5-4EFD-AA99-84F5679934BB}"/>
    <cellStyle name="Normal 11 3 7" xfId="2860" xr:uid="{444F0837-FC46-4CD8-B0F2-2C5B38AE1DDD}"/>
    <cellStyle name="Normal 11 3 8" xfId="3986" xr:uid="{565B1D32-324F-4405-8816-B1182EC15DDC}"/>
    <cellStyle name="Normal 11 3 9" xfId="5112" xr:uid="{994F1753-F294-4B6D-B896-D48CAAF7CAB5}"/>
    <cellStyle name="Normal 11 4" xfId="615" xr:uid="{665419E7-A827-4A7B-A491-20B9FF20C3EA}"/>
    <cellStyle name="Normal 11 4 10" xfId="7384" xr:uid="{592D4EFC-E0F6-45EB-A0B5-C4C8503568BD}"/>
    <cellStyle name="Normal 11 4 11" xfId="8463" xr:uid="{7762F559-1820-426B-8A64-85E51CE6DA7E}"/>
    <cellStyle name="Normal 11 4 12" xfId="9600" xr:uid="{1AEF78D2-9EAA-40B8-8F3F-AE6F42A6EE3C}"/>
    <cellStyle name="Normal 11 4 13" xfId="10727" xr:uid="{7A27CC25-C750-41FF-93D7-481F2DA92FA7}"/>
    <cellStyle name="Normal 11 4 14" xfId="11903" xr:uid="{D1E75609-7E55-4D2A-9B24-050272907A01}"/>
    <cellStyle name="Normal 11 4 15" xfId="14156" xr:uid="{F9AA00A9-666C-4D4C-9E46-976FCD12C933}"/>
    <cellStyle name="Normal 11 4 16" xfId="16409" xr:uid="{2EFC8DDB-8E5E-4C49-91FF-700EDCCF5EA1}"/>
    <cellStyle name="Normal 11 4 2" xfId="616" xr:uid="{2B4E9E35-FF7E-4936-96CD-4D7A42950FE1}"/>
    <cellStyle name="Normal 11 4 2 10" xfId="8462" xr:uid="{868EF78F-88DD-46E1-8FF8-F61B5D255262}"/>
    <cellStyle name="Normal 11 4 2 11" xfId="9599" xr:uid="{7D39ED4A-35AB-4116-812C-DA329F79D484}"/>
    <cellStyle name="Normal 11 4 2 12" xfId="10726" xr:uid="{E6419309-A486-415B-B2E6-71C2F6EADE42}"/>
    <cellStyle name="Normal 11 4 2 13" xfId="11904" xr:uid="{5963E6A1-3CFC-430B-9271-01DBEFF9500A}"/>
    <cellStyle name="Normal 11 4 2 14" xfId="14157" xr:uid="{A3262B6F-DC14-4BEB-9735-AFE9708F9C9F}"/>
    <cellStyle name="Normal 11 4 2 15" xfId="16410" xr:uid="{32F77D9D-6B3D-439C-93DC-7A0D18DC1496}"/>
    <cellStyle name="Normal 11 4 2 2" xfId="617" xr:uid="{C24E4F6A-6D5E-4440-B784-A1D8ED41934F}"/>
    <cellStyle name="Normal 11 4 2 2 10" xfId="10725" xr:uid="{E12D2737-A976-4CF8-94E4-5BA432F6DA99}"/>
    <cellStyle name="Normal 11 4 2 2 11" xfId="11905" xr:uid="{EB7D7794-DEDC-4B97-9C1E-AF709CA106A1}"/>
    <cellStyle name="Normal 11 4 2 2 12" xfId="14158" xr:uid="{5AE3D118-97AD-41F3-AE66-2F5A33D9795F}"/>
    <cellStyle name="Normal 11 4 2 2 13" xfId="16411" xr:uid="{DAE74A07-7A0F-4D93-AF2A-C4E4E0AF9F44}"/>
    <cellStyle name="Normal 11 4 2 2 2" xfId="1748" xr:uid="{5D2E1D2C-E394-40F4-97A8-BAE32CF02F63}"/>
    <cellStyle name="Normal 11 4 2 2 2 2" xfId="13032" xr:uid="{45EC42C1-9A6E-4B63-9204-12305E8645A4}"/>
    <cellStyle name="Normal 11 4 2 2 2 3" xfId="15285" xr:uid="{6FB29542-9762-4E33-A192-318EE8863FF0}"/>
    <cellStyle name="Normal 11 4 2 2 2 4" xfId="17538" xr:uid="{90181EFE-206E-4E6E-A15F-435E00C2BB0F}"/>
    <cellStyle name="Normal 11 4 2 2 3" xfId="2874" xr:uid="{7B17F8F8-3177-47EA-AF9D-BBB8645A3576}"/>
    <cellStyle name="Normal 11 4 2 2 4" xfId="4000" xr:uid="{0ABDF495-9D71-47BD-8BBD-4B81FC0DE704}"/>
    <cellStyle name="Normal 11 4 2 2 5" xfId="5126" xr:uid="{2A637AA5-46E1-4EBD-B8A6-5FC76D62AF91}"/>
    <cellStyle name="Normal 11 4 2 2 6" xfId="6253" xr:uid="{33278C9B-FA71-4F65-992E-95FC68371EBE}"/>
    <cellStyle name="Normal 11 4 2 2 7" xfId="7386" xr:uid="{5DE6F399-042D-4740-90B5-AC8C09BE151F}"/>
    <cellStyle name="Normal 11 4 2 2 8" xfId="8461" xr:uid="{C7C499CB-9578-4F10-B0FE-DC8595755523}"/>
    <cellStyle name="Normal 11 4 2 2 9" xfId="9598" xr:uid="{12E715B5-8085-4EB9-9F5F-D19B9E9CD114}"/>
    <cellStyle name="Normal 11 4 2 3" xfId="618" xr:uid="{FB72663C-B6C2-4D55-9ACF-8F2EC4511E35}"/>
    <cellStyle name="Normal 11 4 2 3 10" xfId="10724" xr:uid="{05330108-074C-4A39-919B-DDAD99383AAB}"/>
    <cellStyle name="Normal 11 4 2 3 11" xfId="11906" xr:uid="{B99A3DB4-9805-4A78-8C8D-B84BAF563559}"/>
    <cellStyle name="Normal 11 4 2 3 12" xfId="14159" xr:uid="{7103E057-F3F7-451F-B72E-AB554B14CA7E}"/>
    <cellStyle name="Normal 11 4 2 3 13" xfId="16412" xr:uid="{6386A190-1938-46F6-BEEF-D12CE859BE85}"/>
    <cellStyle name="Normal 11 4 2 3 2" xfId="1749" xr:uid="{9E9FE465-F510-4DBC-AA70-024A9E88BDA3}"/>
    <cellStyle name="Normal 11 4 2 3 2 2" xfId="13033" xr:uid="{67010FD4-84F6-427A-80C3-A66B9A74B7C0}"/>
    <cellStyle name="Normal 11 4 2 3 2 3" xfId="15286" xr:uid="{A71106B7-CCF2-44AE-B68C-5023DAE04421}"/>
    <cellStyle name="Normal 11 4 2 3 2 4" xfId="17539" xr:uid="{B191C6F4-0005-4D23-B525-8FAF0DDF42A8}"/>
    <cellStyle name="Normal 11 4 2 3 3" xfId="2875" xr:uid="{030B8D38-D24D-4C32-8369-8506339CEF39}"/>
    <cellStyle name="Normal 11 4 2 3 4" xfId="4001" xr:uid="{CE470E9C-B354-47DD-9505-076F2E5CF110}"/>
    <cellStyle name="Normal 11 4 2 3 5" xfId="5127" xr:uid="{1A0C032D-75FA-4FCD-A813-26290557843C}"/>
    <cellStyle name="Normal 11 4 2 3 6" xfId="6254" xr:uid="{8624FED4-EFDB-4932-8E45-B74004161470}"/>
    <cellStyle name="Normal 11 4 2 3 7" xfId="7387" xr:uid="{E207198B-3983-4F33-8307-3B50F6096DB4}"/>
    <cellStyle name="Normal 11 4 2 3 8" xfId="8460" xr:uid="{0347972F-16E4-48D0-B59C-B035F129D3CF}"/>
    <cellStyle name="Normal 11 4 2 3 9" xfId="9597" xr:uid="{26D6F34D-F41F-44DE-8B6D-7B6564AC062F}"/>
    <cellStyle name="Normal 11 4 2 4" xfId="1747" xr:uid="{C77EB99F-1312-4DED-B494-1AD20AC6BD20}"/>
    <cellStyle name="Normal 11 4 2 4 2" xfId="13031" xr:uid="{F90C3E91-E3AB-4BF8-A386-3A3DEC91F521}"/>
    <cellStyle name="Normal 11 4 2 4 3" xfId="15284" xr:uid="{3131596E-E658-433E-A4A5-C4798CCD7E6F}"/>
    <cellStyle name="Normal 11 4 2 4 4" xfId="17537" xr:uid="{5F62877F-5EC4-4106-B732-D97CFB1DF8FD}"/>
    <cellStyle name="Normal 11 4 2 5" xfId="2873" xr:uid="{F8C0E8F0-9B07-4D35-8CB7-A3FEFB75D2CB}"/>
    <cellStyle name="Normal 11 4 2 6" xfId="3999" xr:uid="{933645DB-B89F-4EBD-B991-E45E9FFF00E1}"/>
    <cellStyle name="Normal 11 4 2 7" xfId="5125" xr:uid="{766A92C2-0732-4A7F-8CDB-2660DB649F57}"/>
    <cellStyle name="Normal 11 4 2 8" xfId="6252" xr:uid="{4EB13E11-9BF2-48AA-94A7-9DF85874FB3A}"/>
    <cellStyle name="Normal 11 4 2 9" xfId="7385" xr:uid="{6F177888-A244-431B-88F5-F2584BF9993C}"/>
    <cellStyle name="Normal 11 4 3" xfId="619" xr:uid="{96637FC2-4CB9-4785-AC03-0F34BD3C5C1F}"/>
    <cellStyle name="Normal 11 4 3 10" xfId="10723" xr:uid="{1E7DA116-536B-4AC5-BC23-C247A53BFD96}"/>
    <cellStyle name="Normal 11 4 3 11" xfId="11907" xr:uid="{8A903EB5-6850-4167-B6E2-2BFAAED59E8D}"/>
    <cellStyle name="Normal 11 4 3 12" xfId="14160" xr:uid="{E394959C-0FD1-4092-BF15-6B40BC5256CD}"/>
    <cellStyle name="Normal 11 4 3 13" xfId="16413" xr:uid="{044D921D-D62C-4124-9F43-38F265BF5457}"/>
    <cellStyle name="Normal 11 4 3 2" xfId="1750" xr:uid="{8DD77E33-1E6E-4DC1-926C-E205A9986F8A}"/>
    <cellStyle name="Normal 11 4 3 2 2" xfId="13034" xr:uid="{2D56FC6E-154A-4C69-9795-34FCF969638D}"/>
    <cellStyle name="Normal 11 4 3 2 3" xfId="15287" xr:uid="{94F32171-E2F4-47F3-BEDC-5762F986D768}"/>
    <cellStyle name="Normal 11 4 3 2 4" xfId="17540" xr:uid="{9053AC66-C2C2-4AFD-8DFE-34C7CFE09D69}"/>
    <cellStyle name="Normal 11 4 3 3" xfId="2876" xr:uid="{4AC55EE9-BF66-480B-8B9A-43C67ADAAC11}"/>
    <cellStyle name="Normal 11 4 3 4" xfId="4002" xr:uid="{3B66A4A9-823F-443F-9B81-5B797A1149E8}"/>
    <cellStyle name="Normal 11 4 3 5" xfId="5128" xr:uid="{80F2DF9D-EDFF-4B61-85C9-1450AFBB7C7E}"/>
    <cellStyle name="Normal 11 4 3 6" xfId="6255" xr:uid="{C6118BE5-0B01-458E-8229-75289980E74F}"/>
    <cellStyle name="Normal 11 4 3 7" xfId="7388" xr:uid="{F33CE5D5-78C8-4FA4-BF67-55FDBE5004F0}"/>
    <cellStyle name="Normal 11 4 3 8" xfId="8459" xr:uid="{981C54E2-FA4E-465B-8648-F695C0AB7934}"/>
    <cellStyle name="Normal 11 4 3 9" xfId="9596" xr:uid="{B777E68B-BFB8-43F8-BE89-314497A85AD9}"/>
    <cellStyle name="Normal 11 4 4" xfId="620" xr:uid="{013A9F88-4028-4BCC-B0F1-52E538827C58}"/>
    <cellStyle name="Normal 11 4 4 10" xfId="10722" xr:uid="{C4EE7929-0F69-48C7-A50A-8AF6F172072A}"/>
    <cellStyle name="Normal 11 4 4 11" xfId="11908" xr:uid="{F986BCBD-368C-46AC-A2D0-78584FF5EF4E}"/>
    <cellStyle name="Normal 11 4 4 12" xfId="14161" xr:uid="{DC1A61F6-C2F4-4FDE-B68F-2016A0F57068}"/>
    <cellStyle name="Normal 11 4 4 13" xfId="16414" xr:uid="{DE70C688-7805-4920-83DF-05E468E4A9C3}"/>
    <cellStyle name="Normal 11 4 4 2" xfId="1751" xr:uid="{B989B74F-3133-4A5F-AF16-857B027B6D1E}"/>
    <cellStyle name="Normal 11 4 4 2 2" xfId="13035" xr:uid="{E1CBB9D0-D704-46DA-A20F-1EC4B89F92F6}"/>
    <cellStyle name="Normal 11 4 4 2 3" xfId="15288" xr:uid="{7043E191-58B9-4FBB-BC51-714F70FB6E3B}"/>
    <cellStyle name="Normal 11 4 4 2 4" xfId="17541" xr:uid="{86213C33-9D8E-4D6A-92DB-BC6E02EE301B}"/>
    <cellStyle name="Normal 11 4 4 3" xfId="2877" xr:uid="{AE77E1C1-2952-47DD-9D44-638FBD47F525}"/>
    <cellStyle name="Normal 11 4 4 4" xfId="4003" xr:uid="{1661A5A1-D5A1-4496-B9F8-48E9447AB305}"/>
    <cellStyle name="Normal 11 4 4 5" xfId="5129" xr:uid="{6BF29FB6-24B9-4A96-A0E5-FC31721B22B3}"/>
    <cellStyle name="Normal 11 4 4 6" xfId="6256" xr:uid="{50494005-7BCA-45F6-9484-D2D5CA2DAE9F}"/>
    <cellStyle name="Normal 11 4 4 7" xfId="7389" xr:uid="{4F9DEFB1-9658-4387-8513-939848FFB655}"/>
    <cellStyle name="Normal 11 4 4 8" xfId="8458" xr:uid="{B7B53063-20AE-460E-AA0B-6AAD9D2454A8}"/>
    <cellStyle name="Normal 11 4 4 9" xfId="9595" xr:uid="{DCA1D851-3F4A-4FE6-B21D-22E1AD35D465}"/>
    <cellStyle name="Normal 11 4 5" xfId="1746" xr:uid="{A4BA724C-F157-4859-B804-6EFF4C487C38}"/>
    <cellStyle name="Normal 11 4 5 2" xfId="13030" xr:uid="{47670444-CCB1-4614-AD65-0E4802007B4C}"/>
    <cellStyle name="Normal 11 4 5 3" xfId="15283" xr:uid="{06518F71-C015-418E-9622-300DA23861A7}"/>
    <cellStyle name="Normal 11 4 5 4" xfId="17536" xr:uid="{EB1666E8-6E63-42B3-BB40-71D9974AEA34}"/>
    <cellStyle name="Normal 11 4 6" xfId="2872" xr:uid="{90EEF1B9-C33E-4E46-B12B-D7D02A011253}"/>
    <cellStyle name="Normal 11 4 7" xfId="3998" xr:uid="{6E0B6008-AE4A-4A24-B7D6-ABC9570EA39C}"/>
    <cellStyle name="Normal 11 4 8" xfId="5124" xr:uid="{3C3DBE6B-C0A2-4A1F-81B2-42F5DABF8344}"/>
    <cellStyle name="Normal 11 4 9" xfId="6251" xr:uid="{24A6E2AE-00A4-4EB7-B5DC-4770C710ABF2}"/>
    <cellStyle name="Normal 11 5" xfId="621" xr:uid="{F60106CA-3934-4AB5-9204-3666DF95580D}"/>
    <cellStyle name="Normal 11 5 10" xfId="8457" xr:uid="{5A0CCA3A-D5B2-45E7-8A8B-4D59B28A26DC}"/>
    <cellStyle name="Normal 11 5 11" xfId="9594" xr:uid="{5AC66A35-8871-4744-B84C-1E35D7FA80A7}"/>
    <cellStyle name="Normal 11 5 12" xfId="10721" xr:uid="{4112F5B4-249A-4E87-A397-22021BF0B7D4}"/>
    <cellStyle name="Normal 11 5 13" xfId="11909" xr:uid="{27987BBA-7711-49EB-B4A7-0BA02318BA65}"/>
    <cellStyle name="Normal 11 5 14" xfId="14162" xr:uid="{4094D96B-97F1-4CCC-8997-1BF30A2E3C39}"/>
    <cellStyle name="Normal 11 5 15" xfId="16415" xr:uid="{4AB8639C-7547-4CAB-9A75-0C31DAE5D5D7}"/>
    <cellStyle name="Normal 11 5 2" xfId="622" xr:uid="{A404CB90-9EC1-4212-911C-D7EA93A4D0B6}"/>
    <cellStyle name="Normal 11 5 2 10" xfId="10720" xr:uid="{3EB3CC8B-6E9A-47C1-94FF-F92890ADE93C}"/>
    <cellStyle name="Normal 11 5 2 11" xfId="11910" xr:uid="{98D526A8-7A96-4967-80F4-E2F2D200275F}"/>
    <cellStyle name="Normal 11 5 2 12" xfId="14163" xr:uid="{FBF4BF6E-C065-4283-8FC0-63EE720BB967}"/>
    <cellStyle name="Normal 11 5 2 13" xfId="16416" xr:uid="{A91B6E94-ABA7-4C6C-8872-8B77483862FB}"/>
    <cellStyle name="Normal 11 5 2 2" xfId="1753" xr:uid="{2F1FDF3F-5495-4FA6-8E6C-C7DA0A2DC0A9}"/>
    <cellStyle name="Normal 11 5 2 2 2" xfId="13037" xr:uid="{301202EA-1948-42BB-98CE-B7560F811C14}"/>
    <cellStyle name="Normal 11 5 2 2 3" xfId="15290" xr:uid="{9707B136-1F49-44E6-89D2-77A4EF2D238C}"/>
    <cellStyle name="Normal 11 5 2 2 4" xfId="17543" xr:uid="{D3C9E1EE-AE03-4B89-B87B-9AD84174AFE7}"/>
    <cellStyle name="Normal 11 5 2 3" xfId="2879" xr:uid="{11F3428E-6403-4FA4-9DA2-480A9E1B3860}"/>
    <cellStyle name="Normal 11 5 2 4" xfId="4005" xr:uid="{BD0B7708-17BA-4C01-A205-EE2BFE27B180}"/>
    <cellStyle name="Normal 11 5 2 5" xfId="5131" xr:uid="{793FBD1F-0DAB-4E86-A49E-828BCF662AEB}"/>
    <cellStyle name="Normal 11 5 2 6" xfId="6258" xr:uid="{1AE38612-A008-49AA-8D5E-770056B6E52C}"/>
    <cellStyle name="Normal 11 5 2 7" xfId="7391" xr:uid="{3A37AB44-0E6A-430B-ADDC-DB5347F0FB0C}"/>
    <cellStyle name="Normal 11 5 2 8" xfId="8456" xr:uid="{78B776CA-F438-4967-856D-539B8216ED9C}"/>
    <cellStyle name="Normal 11 5 2 9" xfId="9593" xr:uid="{D2E2431A-65E3-4301-AC4D-A89F0A241D0D}"/>
    <cellStyle name="Normal 11 5 3" xfId="623" xr:uid="{E2B469CF-2009-4A17-8B22-19959928F9BF}"/>
    <cellStyle name="Normal 11 5 3 10" xfId="10719" xr:uid="{E37DD05B-8689-48A6-9388-A993F21D0308}"/>
    <cellStyle name="Normal 11 5 3 11" xfId="11911" xr:uid="{498762C7-696D-4545-A587-917758D14C21}"/>
    <cellStyle name="Normal 11 5 3 12" xfId="14164" xr:uid="{ED10B4BA-5B10-41CF-BF7C-117F61FB4E22}"/>
    <cellStyle name="Normal 11 5 3 13" xfId="16417" xr:uid="{95C46A6C-92DA-41C7-9E71-2F4B663133E1}"/>
    <cellStyle name="Normal 11 5 3 2" xfId="1754" xr:uid="{9D7FCF69-79BD-47E3-8DAA-E845F905EA7B}"/>
    <cellStyle name="Normal 11 5 3 2 2" xfId="13038" xr:uid="{76A81BC0-B245-4A4B-B894-0FF326D41C6B}"/>
    <cellStyle name="Normal 11 5 3 2 3" xfId="15291" xr:uid="{34CCDAE7-5D50-47E1-944A-06CCB6D57EDD}"/>
    <cellStyle name="Normal 11 5 3 2 4" xfId="17544" xr:uid="{6832B8B7-2F95-461D-9F6C-4F2D358572A3}"/>
    <cellStyle name="Normal 11 5 3 3" xfId="2880" xr:uid="{02A6B6B1-FA11-446D-B4A6-DA77B527FF21}"/>
    <cellStyle name="Normal 11 5 3 4" xfId="4006" xr:uid="{FFCCC4F0-93F1-4212-B3AB-40C9A776D84C}"/>
    <cellStyle name="Normal 11 5 3 5" xfId="5132" xr:uid="{BAD65F2A-6C31-49C1-8271-8D05058C4DF2}"/>
    <cellStyle name="Normal 11 5 3 6" xfId="6259" xr:uid="{5233DA2B-12AC-47AA-92C4-FFA62B4121B6}"/>
    <cellStyle name="Normal 11 5 3 7" xfId="7392" xr:uid="{B7E17988-4429-4B16-AF31-75B92D862EDB}"/>
    <cellStyle name="Normal 11 5 3 8" xfId="8455" xr:uid="{F15D8A39-3F85-4F8C-9D79-AD7525449488}"/>
    <cellStyle name="Normal 11 5 3 9" xfId="9592" xr:uid="{7B00531F-2C60-4C7D-9C92-6E5214BCEE6F}"/>
    <cellStyle name="Normal 11 5 4" xfId="1752" xr:uid="{CF9A5558-1805-46C3-8483-4B2BC9D75006}"/>
    <cellStyle name="Normal 11 5 4 2" xfId="13036" xr:uid="{B9BF974A-8B5B-43F7-935E-68AB714B38D8}"/>
    <cellStyle name="Normal 11 5 4 3" xfId="15289" xr:uid="{30265957-15AC-4461-A957-D806509E052B}"/>
    <cellStyle name="Normal 11 5 4 4" xfId="17542" xr:uid="{57369572-9F06-487A-ACD0-A16942956CD5}"/>
    <cellStyle name="Normal 11 5 5" xfId="2878" xr:uid="{1ACFD283-62BE-4AFC-97C3-0DC00A8E4CEB}"/>
    <cellStyle name="Normal 11 5 6" xfId="4004" xr:uid="{F56D373A-E797-4BDB-A497-123D3D739C2A}"/>
    <cellStyle name="Normal 11 5 7" xfId="5130" xr:uid="{F484593E-9EEA-4022-8466-23DD38BE8805}"/>
    <cellStyle name="Normal 11 5 8" xfId="6257" xr:uid="{3C4E7D1E-3589-4821-B43A-B09B6B45FF85}"/>
    <cellStyle name="Normal 11 5 9" xfId="7390" xr:uid="{ED002744-5FCB-430B-AB02-D6B07E5C760E}"/>
    <cellStyle name="Normal 11 6" xfId="624" xr:uid="{6FDA6563-EB2C-4DC4-9279-A5313CA4AF50}"/>
    <cellStyle name="Normal 11 6 10" xfId="10718" xr:uid="{B3481BA4-E95A-4D21-A23C-43D1582B0074}"/>
    <cellStyle name="Normal 11 6 11" xfId="11912" xr:uid="{2894C7FB-72AC-4215-9FB3-128158114049}"/>
    <cellStyle name="Normal 11 6 12" xfId="14165" xr:uid="{E9C5B616-3946-465A-BBFC-396FB7DBAEBE}"/>
    <cellStyle name="Normal 11 6 13" xfId="16418" xr:uid="{72FDBAAA-9E14-4F3D-AC4C-B29EC42B0DCB}"/>
    <cellStyle name="Normal 11 6 2" xfId="1755" xr:uid="{6486357F-B9FC-42E1-B051-400174F28DBF}"/>
    <cellStyle name="Normal 11 6 2 2" xfId="13039" xr:uid="{8737A0C7-EB5A-4145-A6C5-59F9F8049E58}"/>
    <cellStyle name="Normal 11 6 2 3" xfId="15292" xr:uid="{174DDE42-2C4C-46F2-A36B-0F4D49415A21}"/>
    <cellStyle name="Normal 11 6 2 4" xfId="17545" xr:uid="{F6DA0ADC-E858-4A49-BD3B-89AB30B317BC}"/>
    <cellStyle name="Normal 11 6 3" xfId="2881" xr:uid="{A0E44AAB-BA9D-413D-9BDC-898B8A7BA767}"/>
    <cellStyle name="Normal 11 6 4" xfId="4007" xr:uid="{B681885C-3B87-4840-AD86-70573FF92C3D}"/>
    <cellStyle name="Normal 11 6 5" xfId="5133" xr:uid="{28196100-56E8-4EEF-B41D-E043E479E43D}"/>
    <cellStyle name="Normal 11 6 6" xfId="6260" xr:uid="{FC3CEDD3-158E-4F07-A1E1-DF4CA7B84BE4}"/>
    <cellStyle name="Normal 11 6 7" xfId="7393" xr:uid="{4E78658E-6708-41B9-B49F-59FB291E3934}"/>
    <cellStyle name="Normal 11 6 8" xfId="6790" xr:uid="{38021394-E06A-4E11-9A70-9F9FECA60010}"/>
    <cellStyle name="Normal 11 6 9" xfId="9591" xr:uid="{9C42CAB5-6CD1-479A-BB69-004EF28E43E7}"/>
    <cellStyle name="Normal 11 7" xfId="625" xr:uid="{6C9CEA0B-2E0C-4FEB-8272-278A2B9056A5}"/>
    <cellStyle name="Normal 11 7 10" xfId="10717" xr:uid="{82C4C75E-1383-485B-98F4-530EB7140232}"/>
    <cellStyle name="Normal 11 7 11" xfId="11913" xr:uid="{9ABFBE4B-2908-4184-963D-D452505FCB4E}"/>
    <cellStyle name="Normal 11 7 12" xfId="14166" xr:uid="{7D1C8ADA-E4C4-4EDC-8F01-693E8EA394C6}"/>
    <cellStyle name="Normal 11 7 13" xfId="16419" xr:uid="{0B596753-4B90-42B0-9BCA-BFEADF6F3455}"/>
    <cellStyle name="Normal 11 7 2" xfId="1756" xr:uid="{AC88859C-3C44-4561-9C58-39D7FBF93887}"/>
    <cellStyle name="Normal 11 7 2 2" xfId="13040" xr:uid="{8C3F405F-826A-4ED6-8BDA-C5CEEB02764A}"/>
    <cellStyle name="Normal 11 7 2 3" xfId="15293" xr:uid="{7842D73C-2EF4-4181-8EBC-90DF8B56F74C}"/>
    <cellStyle name="Normal 11 7 2 4" xfId="17546" xr:uid="{E9BA1FA2-EAA5-4463-959F-264CDF13EA32}"/>
    <cellStyle name="Normal 11 7 3" xfId="2882" xr:uid="{F896BED9-E46F-4A6D-9761-84454460F479}"/>
    <cellStyle name="Normal 11 7 4" xfId="4008" xr:uid="{1027EC9E-9365-4DDB-9366-E204FDE4D1D9}"/>
    <cellStyle name="Normal 11 7 5" xfId="5134" xr:uid="{0BDF432E-D04F-4808-BDA7-11E41D480884}"/>
    <cellStyle name="Normal 11 7 6" xfId="6261" xr:uid="{53A0B3D0-A476-472A-808F-46001765CF27}"/>
    <cellStyle name="Normal 11 7 7" xfId="7394" xr:uid="{75EFC6FB-1EB6-4FC9-829B-02C1CB88BEA8}"/>
    <cellStyle name="Normal 11 7 8" xfId="8454" xr:uid="{CE9C6E0C-98F1-402C-99A9-DC5D878C1C23}"/>
    <cellStyle name="Normal 11 7 9" xfId="9590" xr:uid="{CB84B080-91D1-456B-829E-8BF010A44E6A}"/>
    <cellStyle name="Normal 11 8" xfId="1709" xr:uid="{90002653-EB4D-4BDF-BB5E-955C35A625D6}"/>
    <cellStyle name="Normal 11 8 2" xfId="12993" xr:uid="{08F3E10D-E50D-4B9F-8D02-3D0684E4DC0A}"/>
    <cellStyle name="Normal 11 8 3" xfId="15246" xr:uid="{AF6B2CC1-9DE5-4746-86AA-413E849D2790}"/>
    <cellStyle name="Normal 11 8 4" xfId="17499" xr:uid="{2755A876-5C86-454A-B2C0-32EC79D96754}"/>
    <cellStyle name="Normal 11 9" xfId="2835" xr:uid="{F6F2A321-097E-4F3F-86E0-E65A0DEF2271}"/>
    <cellStyle name="Normal 12" xfId="626" xr:uid="{C87C4FB8-AF5C-43E9-B4AE-CCD941241CD5}"/>
    <cellStyle name="Normal 12 10" xfId="5135" xr:uid="{D3EA7E95-9FFB-4E44-A6EE-6037EA472E03}"/>
    <cellStyle name="Normal 12 11" xfId="6262" xr:uid="{51D90CE0-B362-40C0-A9F4-157EF050C717}"/>
    <cellStyle name="Normal 12 12" xfId="7395" xr:uid="{FDD3ABFA-EC64-4E20-96F9-E41046E89BA5}"/>
    <cellStyle name="Normal 12 13" xfId="8453" xr:uid="{21E1A29B-DA75-4317-85D0-B258596F6336}"/>
    <cellStyle name="Normal 12 14" xfId="9589" xr:uid="{85E0041B-4834-4247-B2E5-51CA474CA0F0}"/>
    <cellStyle name="Normal 12 15" xfId="10716" xr:uid="{4CBEE02E-5B88-405B-8035-D59DE03587D4}"/>
    <cellStyle name="Normal 12 16" xfId="11914" xr:uid="{AB5224BF-5A0C-4397-90D8-5AC6A0DD005B}"/>
    <cellStyle name="Normal 12 17" xfId="14167" xr:uid="{6C96BED4-42A4-4053-915F-2C382833C1C7}"/>
    <cellStyle name="Normal 12 18" xfId="16420" xr:uid="{0C07AD8B-C714-40F1-AF9C-572DE8901125}"/>
    <cellStyle name="Normal 12 2" xfId="627" xr:uid="{C22EC650-3398-438D-A973-8A3CCD0E8E7A}"/>
    <cellStyle name="Normal 12 2 10" xfId="6263" xr:uid="{17DD3B2B-B85E-408C-B603-AB4816BDA252}"/>
    <cellStyle name="Normal 12 2 11" xfId="7396" xr:uid="{E63951C9-9DD8-4355-AE11-A773027D1FD0}"/>
    <cellStyle name="Normal 12 2 12" xfId="8452" xr:uid="{16710939-6327-4AFD-AEBE-C8D4CB127D0D}"/>
    <cellStyle name="Normal 12 2 13" xfId="9061" xr:uid="{ECC045AF-3280-489D-9649-D9FF5B9FA0CF}"/>
    <cellStyle name="Normal 12 2 14" xfId="10188" xr:uid="{229380B6-D34F-454D-B97D-1559CC4968B3}"/>
    <cellStyle name="Normal 12 2 15" xfId="11915" xr:uid="{DE99BE0D-EEF4-4F15-97B7-E2D6053C562E}"/>
    <cellStyle name="Normal 12 2 16" xfId="14168" xr:uid="{736A2A71-4D0E-42B8-B7DD-898ADE2D64D7}"/>
    <cellStyle name="Normal 12 2 17" xfId="16421" xr:uid="{71DD9EBF-E89D-463E-A9B2-D1BCDA4AE3C6}"/>
    <cellStyle name="Normal 12 2 2" xfId="628" xr:uid="{AFA19F29-B9F9-4D01-BF8C-B09A7A53E6F2}"/>
    <cellStyle name="Normal 12 2 2 10" xfId="7397" xr:uid="{B58BA492-8489-4D23-BA64-E6EC36DA7162}"/>
    <cellStyle name="Normal 12 2 2 11" xfId="8451" xr:uid="{6FC40DF4-B19B-4A74-9E02-9A3FBC42B5BC}"/>
    <cellStyle name="Normal 12 2 2 12" xfId="9588" xr:uid="{8E740E58-7C6B-4D7E-8F4B-17C16E47C167}"/>
    <cellStyle name="Normal 12 2 2 13" xfId="10715" xr:uid="{CD8D7AF9-8570-44DF-A872-4CFC81DAEF93}"/>
    <cellStyle name="Normal 12 2 2 14" xfId="11916" xr:uid="{CCEC95AE-EFFE-45CE-9F8E-B24D67BFEE7A}"/>
    <cellStyle name="Normal 12 2 2 15" xfId="14169" xr:uid="{D3456A47-A0B0-43AF-9606-D7D6F91C191A}"/>
    <cellStyle name="Normal 12 2 2 16" xfId="16422" xr:uid="{EF2BC347-1A98-4BBF-9E63-9D27E596FFE1}"/>
    <cellStyle name="Normal 12 2 2 2" xfId="629" xr:uid="{E53615E8-4A12-463E-AFCD-996A074C57BD}"/>
    <cellStyle name="Normal 12 2 2 2 10" xfId="8450" xr:uid="{E1C45F1B-DE29-4F95-94E5-83F0AAEE865D}"/>
    <cellStyle name="Normal 12 2 2 2 11" xfId="9587" xr:uid="{78F98B72-DDFB-4FA9-A673-C3B2A15BBA65}"/>
    <cellStyle name="Normal 12 2 2 2 12" xfId="10714" xr:uid="{13CAE3B1-1A19-4F4B-8791-32327919FAA7}"/>
    <cellStyle name="Normal 12 2 2 2 13" xfId="11917" xr:uid="{F8B875C3-22B4-47BE-A841-F603B14E85CC}"/>
    <cellStyle name="Normal 12 2 2 2 14" xfId="14170" xr:uid="{2CBCDF41-311E-4CAF-9767-DE8CC374FCFC}"/>
    <cellStyle name="Normal 12 2 2 2 15" xfId="16423" xr:uid="{6A928CB1-9457-4785-BB42-0BB23476878B}"/>
    <cellStyle name="Normal 12 2 2 2 2" xfId="630" xr:uid="{E64A97FA-6C4C-4569-AE51-9454AF2D16E1}"/>
    <cellStyle name="Normal 12 2 2 2 2 10" xfId="10713" xr:uid="{5924F745-6929-425C-90A0-A0D19346927E}"/>
    <cellStyle name="Normal 12 2 2 2 2 11" xfId="11918" xr:uid="{07379D48-2407-4A23-B771-F885038D4FD0}"/>
    <cellStyle name="Normal 12 2 2 2 2 12" xfId="14171" xr:uid="{DAC80C4F-45F9-47BF-8CF4-C6BC6D8A7232}"/>
    <cellStyle name="Normal 12 2 2 2 2 13" xfId="16424" xr:uid="{97FCF4B7-5767-40AE-BE3D-F6AF29F4E28F}"/>
    <cellStyle name="Normal 12 2 2 2 2 2" xfId="1761" xr:uid="{57BCD49B-8983-4E2A-8307-30E201CF3521}"/>
    <cellStyle name="Normal 12 2 2 2 2 2 2" xfId="13045" xr:uid="{E9EBAFE3-1A07-4AF2-A588-C54AFB31D52D}"/>
    <cellStyle name="Normal 12 2 2 2 2 2 3" xfId="15298" xr:uid="{7E1ADCB5-A29F-408E-81C8-179C477D4EDE}"/>
    <cellStyle name="Normal 12 2 2 2 2 2 4" xfId="17551" xr:uid="{AC030BEE-4D5B-4AD7-8E17-FD679019FAF2}"/>
    <cellStyle name="Normal 12 2 2 2 2 3" xfId="2887" xr:uid="{A74A82F1-92ED-4169-B1FB-76723B3C20D2}"/>
    <cellStyle name="Normal 12 2 2 2 2 4" xfId="4013" xr:uid="{224CA6BB-30D9-4B0A-9898-1056B6083783}"/>
    <cellStyle name="Normal 12 2 2 2 2 5" xfId="5139" xr:uid="{CA5F4947-E040-4D19-ACAF-C04449CF602B}"/>
    <cellStyle name="Normal 12 2 2 2 2 6" xfId="6266" xr:uid="{8C17D13E-8C85-4A59-A3CB-B0BB6D2F589C}"/>
    <cellStyle name="Normal 12 2 2 2 2 7" xfId="7399" xr:uid="{06833CDB-6D22-45D4-B556-13634CB174A3}"/>
    <cellStyle name="Normal 12 2 2 2 2 8" xfId="8449" xr:uid="{D8EFD0C8-9E99-4EE8-BB07-CAABC3B8B3CD}"/>
    <cellStyle name="Normal 12 2 2 2 2 9" xfId="9586" xr:uid="{371D013A-2EB0-40EE-B6FD-EF1FA626AC73}"/>
    <cellStyle name="Normal 12 2 2 2 3" xfId="631" xr:uid="{9603E8C2-8135-40CE-A216-BB0BA24820CB}"/>
    <cellStyle name="Normal 12 2 2 2 3 10" xfId="10712" xr:uid="{CC833E8D-9848-41AF-9B93-535EAB29083D}"/>
    <cellStyle name="Normal 12 2 2 2 3 11" xfId="11919" xr:uid="{215385A2-7803-41B5-892D-7F19D6E4C289}"/>
    <cellStyle name="Normal 12 2 2 2 3 12" xfId="14172" xr:uid="{3A719419-8129-4EF0-8D56-984A3B7C75C5}"/>
    <cellStyle name="Normal 12 2 2 2 3 13" xfId="16425" xr:uid="{E6ED390D-2BF7-4F6A-A26F-47383ECF9B0B}"/>
    <cellStyle name="Normal 12 2 2 2 3 2" xfId="1762" xr:uid="{42E2E532-F0E2-4B79-9619-18A4A97F4107}"/>
    <cellStyle name="Normal 12 2 2 2 3 2 2" xfId="13046" xr:uid="{1E96C868-321A-4C32-AC54-D8460C0E48B2}"/>
    <cellStyle name="Normal 12 2 2 2 3 2 3" xfId="15299" xr:uid="{D6F08D91-330A-4D7D-9F17-585D171E49A5}"/>
    <cellStyle name="Normal 12 2 2 2 3 2 4" xfId="17552" xr:uid="{45B0B393-5209-437F-A200-60CC018AE51F}"/>
    <cellStyle name="Normal 12 2 2 2 3 3" xfId="2888" xr:uid="{DA2E6A3E-F0FD-4993-8C96-A34848EC956A}"/>
    <cellStyle name="Normal 12 2 2 2 3 4" xfId="4014" xr:uid="{399B24EB-FA45-430B-8DAD-3E0A6466E5A7}"/>
    <cellStyle name="Normal 12 2 2 2 3 5" xfId="5140" xr:uid="{2EE00740-5E91-4510-9E02-8FE02CB2AF2E}"/>
    <cellStyle name="Normal 12 2 2 2 3 6" xfId="6267" xr:uid="{68C6E54C-84D0-4728-93D2-41F4610D9B70}"/>
    <cellStyle name="Normal 12 2 2 2 3 7" xfId="7400" xr:uid="{BACF56B1-A54A-43D4-8FDB-4C99C9FD4045}"/>
    <cellStyle name="Normal 12 2 2 2 3 8" xfId="8448" xr:uid="{D84DF18F-EBB9-47E3-9AD0-6E1F799714A6}"/>
    <cellStyle name="Normal 12 2 2 2 3 9" xfId="9585" xr:uid="{729545F6-DB75-4371-868A-D019AE36679F}"/>
    <cellStyle name="Normal 12 2 2 2 4" xfId="1760" xr:uid="{D9A11612-AF62-428E-B1D9-225E2B814FFA}"/>
    <cellStyle name="Normal 12 2 2 2 4 2" xfId="13044" xr:uid="{E5EA7AE6-25E7-4856-9258-FD4F8A05417B}"/>
    <cellStyle name="Normal 12 2 2 2 4 3" xfId="15297" xr:uid="{B4ECC570-7A8A-4826-9922-AC37CC0B2A8A}"/>
    <cellStyle name="Normal 12 2 2 2 4 4" xfId="17550" xr:uid="{AF4E0EDA-343B-429F-ABC7-1015FC411D15}"/>
    <cellStyle name="Normal 12 2 2 2 5" xfId="2886" xr:uid="{1E9E006F-5CEB-4DA9-B201-2A7F58DCE2C4}"/>
    <cellStyle name="Normal 12 2 2 2 6" xfId="4012" xr:uid="{268B6784-D1A3-455D-825F-159A35B2165B}"/>
    <cellStyle name="Normal 12 2 2 2 7" xfId="5138" xr:uid="{C772A57D-286C-4DE5-8B1A-7F71C4E65F63}"/>
    <cellStyle name="Normal 12 2 2 2 8" xfId="6265" xr:uid="{8B03AF71-B369-4B06-9669-CFCF4DA41CF8}"/>
    <cellStyle name="Normal 12 2 2 2 9" xfId="7398" xr:uid="{339D588E-900F-4AC2-82EA-D66126873F06}"/>
    <cellStyle name="Normal 12 2 2 3" xfId="632" xr:uid="{9F2CFE8C-873E-4E72-A8C2-340636D22095}"/>
    <cellStyle name="Normal 12 2 2 3 10" xfId="10711" xr:uid="{449B8523-C939-4DAB-899D-CD3D8230E0E9}"/>
    <cellStyle name="Normal 12 2 2 3 11" xfId="11920" xr:uid="{5CE21D2F-E755-45E0-B832-A0B94CE973EE}"/>
    <cellStyle name="Normal 12 2 2 3 12" xfId="14173" xr:uid="{F9E8D01F-6852-47DF-A22B-0302F2B9A11E}"/>
    <cellStyle name="Normal 12 2 2 3 13" xfId="16426" xr:uid="{E79259C8-D76A-4CA3-BFB5-8EE7D1179153}"/>
    <cellStyle name="Normal 12 2 2 3 2" xfId="1763" xr:uid="{566812C1-C8EB-4A9B-B558-E1A5271F8B29}"/>
    <cellStyle name="Normal 12 2 2 3 2 2" xfId="13047" xr:uid="{CCD6F22A-A46D-44D0-8A9D-F66C30D1718E}"/>
    <cellStyle name="Normal 12 2 2 3 2 3" xfId="15300" xr:uid="{C57CCD42-F4C2-4102-8B08-34D800CFD398}"/>
    <cellStyle name="Normal 12 2 2 3 2 4" xfId="17553" xr:uid="{DFAB51E1-7E3D-492E-A4CC-3D6187839FD6}"/>
    <cellStyle name="Normal 12 2 2 3 3" xfId="2889" xr:uid="{405104AE-AFB7-4F1F-8A8D-EF048D6895C9}"/>
    <cellStyle name="Normal 12 2 2 3 4" xfId="4015" xr:uid="{42E74D1E-A3BA-4E68-A8EA-E36B49A8951B}"/>
    <cellStyle name="Normal 12 2 2 3 5" xfId="5141" xr:uid="{4CFC5FC5-8B21-433A-A9B0-6CA90428EFCE}"/>
    <cellStyle name="Normal 12 2 2 3 6" xfId="6268" xr:uid="{BB44485D-0577-4AC5-9B62-29495684BAFF}"/>
    <cellStyle name="Normal 12 2 2 3 7" xfId="7401" xr:uid="{5FF3B2DA-86A9-472D-A40A-151A1364CD21}"/>
    <cellStyle name="Normal 12 2 2 3 8" xfId="8447" xr:uid="{38932D28-F6BD-49DB-8569-8F2F5A539FB0}"/>
    <cellStyle name="Normal 12 2 2 3 9" xfId="9584" xr:uid="{376B7F5A-D192-4CE4-99FF-12185E242CC2}"/>
    <cellStyle name="Normal 12 2 2 4" xfId="633" xr:uid="{6B6029FC-E8B0-468B-9032-86D546749930}"/>
    <cellStyle name="Normal 12 2 2 4 10" xfId="10710" xr:uid="{D1EE270E-5C9E-4DFF-843E-242488E4069D}"/>
    <cellStyle name="Normal 12 2 2 4 11" xfId="11921" xr:uid="{5E45D149-A59C-4FAC-8C83-BF66F88C0F75}"/>
    <cellStyle name="Normal 12 2 2 4 12" xfId="14174" xr:uid="{BAE1AAF2-6A35-4A27-BAF3-242A9731FA28}"/>
    <cellStyle name="Normal 12 2 2 4 13" xfId="16427" xr:uid="{81FB56F8-5FCD-49EC-AE3B-A28DC85A48FB}"/>
    <cellStyle name="Normal 12 2 2 4 2" xfId="1764" xr:uid="{06EA872E-E2E6-4BFA-AEF3-88E43FE517E3}"/>
    <cellStyle name="Normal 12 2 2 4 2 2" xfId="13048" xr:uid="{6933AF44-D4E0-4E9A-81F6-8AB6EC592D7C}"/>
    <cellStyle name="Normal 12 2 2 4 2 3" xfId="15301" xr:uid="{BF4283A8-D044-40AF-BF81-18B5CC07B1A5}"/>
    <cellStyle name="Normal 12 2 2 4 2 4" xfId="17554" xr:uid="{7D80313C-96C7-442D-BA8C-BA5BD9CA2F97}"/>
    <cellStyle name="Normal 12 2 2 4 3" xfId="2890" xr:uid="{14DA0C4C-2941-4253-8B2A-C244A7CA0706}"/>
    <cellStyle name="Normal 12 2 2 4 4" xfId="4016" xr:uid="{5D723473-FB38-4D6C-AE6B-1AC6E7E9E339}"/>
    <cellStyle name="Normal 12 2 2 4 5" xfId="5142" xr:uid="{88F59F01-5106-4EC1-8F2F-AFC736A47F68}"/>
    <cellStyle name="Normal 12 2 2 4 6" xfId="6269" xr:uid="{85E6E210-A246-4E90-A141-565FC0605A3E}"/>
    <cellStyle name="Normal 12 2 2 4 7" xfId="7402" xr:uid="{350D59AC-CE2F-43E5-B0AB-52181831F4E7}"/>
    <cellStyle name="Normal 12 2 2 4 8" xfId="8446" xr:uid="{E5E9D078-BA7F-4546-A308-29BB52138C9C}"/>
    <cellStyle name="Normal 12 2 2 4 9" xfId="9583" xr:uid="{89109B9F-9751-4FD7-8404-A445F3FC2078}"/>
    <cellStyle name="Normal 12 2 2 5" xfId="1759" xr:uid="{A018FED5-AF31-44C2-8E03-CEBFC621D5AA}"/>
    <cellStyle name="Normal 12 2 2 5 2" xfId="13043" xr:uid="{BCBC0EEE-1548-4D1C-8A10-9F7494E926DF}"/>
    <cellStyle name="Normal 12 2 2 5 3" xfId="15296" xr:uid="{7BC7E147-D6AE-429B-A0D0-5D0CFB2A0642}"/>
    <cellStyle name="Normal 12 2 2 5 4" xfId="17549" xr:uid="{D45255CB-F7B5-4230-84F1-D90E111D7EB2}"/>
    <cellStyle name="Normal 12 2 2 6" xfId="2885" xr:uid="{A3CDBF56-0999-463F-A03F-79488E748502}"/>
    <cellStyle name="Normal 12 2 2 7" xfId="4011" xr:uid="{4ED276CE-7B0C-442D-8258-DBBEA28562F2}"/>
    <cellStyle name="Normal 12 2 2 8" xfId="5137" xr:uid="{C4D43CE2-B650-43E4-9E45-98C4EF8FCF87}"/>
    <cellStyle name="Normal 12 2 2 9" xfId="6264" xr:uid="{FCD11E8A-5CCE-4891-BF52-794ADE937FDA}"/>
    <cellStyle name="Normal 12 2 3" xfId="634" xr:uid="{19461613-5AB6-4DDB-B07E-59005C2DAEE4}"/>
    <cellStyle name="Normal 12 2 3 10" xfId="8445" xr:uid="{43551F67-7CFF-416F-B34B-2F8997A43AB1}"/>
    <cellStyle name="Normal 12 2 3 11" xfId="9582" xr:uid="{B49FF43F-6D08-4FB6-98C2-1F787FA61B1C}"/>
    <cellStyle name="Normal 12 2 3 12" xfId="10709" xr:uid="{83B3302D-2226-4B00-A685-72D085B02B97}"/>
    <cellStyle name="Normal 12 2 3 13" xfId="11922" xr:uid="{3EA0D6B5-F3D1-4474-BBFF-0864FF7618FD}"/>
    <cellStyle name="Normal 12 2 3 14" xfId="14175" xr:uid="{66605CA3-BC05-497F-B909-D0F152016859}"/>
    <cellStyle name="Normal 12 2 3 15" xfId="16428" xr:uid="{FF5E15B3-FCEE-456D-AF99-2CA0D07D12EF}"/>
    <cellStyle name="Normal 12 2 3 2" xfId="635" xr:uid="{9CFCD38C-4053-4F81-8315-8E771C106027}"/>
    <cellStyle name="Normal 12 2 3 2 10" xfId="10708" xr:uid="{CDAEF43C-E6E7-41BD-B076-E8C970C92793}"/>
    <cellStyle name="Normal 12 2 3 2 11" xfId="11923" xr:uid="{0B996DD9-713B-426F-A6A7-367C0D2F21C2}"/>
    <cellStyle name="Normal 12 2 3 2 12" xfId="14176" xr:uid="{AB3128B2-B54E-4A5B-84F3-A4B5380132CD}"/>
    <cellStyle name="Normal 12 2 3 2 13" xfId="16429" xr:uid="{64E234F5-51E0-4EDB-BD5E-A8F32EE7F3ED}"/>
    <cellStyle name="Normal 12 2 3 2 2" xfId="1766" xr:uid="{EFD30025-9C9C-4D60-B670-C753D7198D06}"/>
    <cellStyle name="Normal 12 2 3 2 2 2" xfId="13050" xr:uid="{95B79693-20D2-4EAE-828A-AD7B03F863CE}"/>
    <cellStyle name="Normal 12 2 3 2 2 3" xfId="15303" xr:uid="{A5776751-9B82-490C-87F6-073CC1ACBABB}"/>
    <cellStyle name="Normal 12 2 3 2 2 4" xfId="17556" xr:uid="{1F8559E5-8FD3-4F42-B8EA-EDDAC3A84963}"/>
    <cellStyle name="Normal 12 2 3 2 3" xfId="2892" xr:uid="{1928C03A-1F82-434C-89E2-B6059C401CD7}"/>
    <cellStyle name="Normal 12 2 3 2 4" xfId="4018" xr:uid="{31641872-7077-42FB-9987-CFB3AA06A026}"/>
    <cellStyle name="Normal 12 2 3 2 5" xfId="5144" xr:uid="{76024F11-89BB-4375-8EF0-DD74CA09A49A}"/>
    <cellStyle name="Normal 12 2 3 2 6" xfId="6271" xr:uid="{720FCA9A-CEFD-41E9-9C24-660405620084}"/>
    <cellStyle name="Normal 12 2 3 2 7" xfId="7404" xr:uid="{007F8910-6715-452F-A3AF-D2C0139D33C8}"/>
    <cellStyle name="Normal 12 2 3 2 8" xfId="8444" xr:uid="{29C4543A-9725-49DC-9312-5340D5D81408}"/>
    <cellStyle name="Normal 12 2 3 2 9" xfId="9581" xr:uid="{A9C3EA79-4765-4D8B-84FF-E7BAE457292C}"/>
    <cellStyle name="Normal 12 2 3 3" xfId="636" xr:uid="{F10383A6-C5BA-4DFC-8C01-CED94063904A}"/>
    <cellStyle name="Normal 12 2 3 3 10" xfId="10707" xr:uid="{E7083F6B-DACF-4BE1-A40C-3768C9BB26C8}"/>
    <cellStyle name="Normal 12 2 3 3 11" xfId="11924" xr:uid="{DCEE4FA3-CF8E-4F9D-8A29-4F86AC98A621}"/>
    <cellStyle name="Normal 12 2 3 3 12" xfId="14177" xr:uid="{E80F1555-9374-42D5-9661-D55826B3DEB5}"/>
    <cellStyle name="Normal 12 2 3 3 13" xfId="16430" xr:uid="{50746AEC-6D2F-4FB8-944E-BBC529CF32C8}"/>
    <cellStyle name="Normal 12 2 3 3 2" xfId="1767" xr:uid="{FA427B97-D423-499F-B583-EAFC11B8517F}"/>
    <cellStyle name="Normal 12 2 3 3 2 2" xfId="13051" xr:uid="{567B52D3-AB25-4D20-A655-CAA0B55913EB}"/>
    <cellStyle name="Normal 12 2 3 3 2 3" xfId="15304" xr:uid="{A919BF21-BD21-47C8-8846-B18F5AB03B35}"/>
    <cellStyle name="Normal 12 2 3 3 2 4" xfId="17557" xr:uid="{B72D948A-E59D-4BF5-8F63-D3B3EBEA3AAE}"/>
    <cellStyle name="Normal 12 2 3 3 3" xfId="2893" xr:uid="{49A39939-4EC7-4BCB-8BC9-88BB733C0A11}"/>
    <cellStyle name="Normal 12 2 3 3 4" xfId="4019" xr:uid="{364DD455-5D06-4AA6-9C90-9976463E29F3}"/>
    <cellStyle name="Normal 12 2 3 3 5" xfId="5145" xr:uid="{7331BB85-4657-4C93-8235-52CAD8C1095D}"/>
    <cellStyle name="Normal 12 2 3 3 6" xfId="6272" xr:uid="{490FECCB-F51E-46A1-B4F4-2BEAAC415269}"/>
    <cellStyle name="Normal 12 2 3 3 7" xfId="7405" xr:uid="{1489656D-3DF5-4753-ACB1-01596D1FFE02}"/>
    <cellStyle name="Normal 12 2 3 3 8" xfId="8443" xr:uid="{D4AC4DDF-669B-4B0E-AA5E-A946A116AF0F}"/>
    <cellStyle name="Normal 12 2 3 3 9" xfId="9580" xr:uid="{8B78BAA9-0E3C-42C7-88D4-1859FFDE16C0}"/>
    <cellStyle name="Normal 12 2 3 4" xfId="1765" xr:uid="{668B516D-2F8A-400B-ACA5-7B5FD7FC8A73}"/>
    <cellStyle name="Normal 12 2 3 4 2" xfId="13049" xr:uid="{8BBD1D91-AFD5-4580-8755-48D62D44EBAB}"/>
    <cellStyle name="Normal 12 2 3 4 3" xfId="15302" xr:uid="{DF9A263A-E51C-4F92-8426-56D177269A84}"/>
    <cellStyle name="Normal 12 2 3 4 4" xfId="17555" xr:uid="{49B94688-2B6A-46B7-8EBF-19AAFE9049E0}"/>
    <cellStyle name="Normal 12 2 3 5" xfId="2891" xr:uid="{6A4C39B4-FA74-4DF6-B86C-FF4E99A05D95}"/>
    <cellStyle name="Normal 12 2 3 6" xfId="4017" xr:uid="{9B049DCD-EA3F-444D-9F24-6E18E2BF46E4}"/>
    <cellStyle name="Normal 12 2 3 7" xfId="5143" xr:uid="{A1797C3F-8467-4BB3-899C-59926FE62E05}"/>
    <cellStyle name="Normal 12 2 3 8" xfId="6270" xr:uid="{05277A84-E97F-45E7-86CA-7BA010CEAD77}"/>
    <cellStyle name="Normal 12 2 3 9" xfId="7403" xr:uid="{C1B381A5-CB45-4B0B-9D60-35A24D7A21E1}"/>
    <cellStyle name="Normal 12 2 4" xfId="637" xr:uid="{5BA5D9E4-F890-4D05-A016-C7CAE59CCCBD}"/>
    <cellStyle name="Normal 12 2 4 10" xfId="10706" xr:uid="{0BFCC02B-10F7-4E79-BC75-17C8F841AFAE}"/>
    <cellStyle name="Normal 12 2 4 11" xfId="11925" xr:uid="{D18CEBD0-EBFD-4CE4-A53A-807156A8F263}"/>
    <cellStyle name="Normal 12 2 4 12" xfId="14178" xr:uid="{F3AEBCA2-4208-4C15-BA38-2E9300838182}"/>
    <cellStyle name="Normal 12 2 4 13" xfId="16431" xr:uid="{6EFD56C3-CC49-4C3E-8F1D-1460801F582B}"/>
    <cellStyle name="Normal 12 2 4 2" xfId="1768" xr:uid="{C28A1EE4-8AA0-4CE1-992D-B890F2D79502}"/>
    <cellStyle name="Normal 12 2 4 2 2" xfId="13052" xr:uid="{B17AC57F-983E-4007-ADF1-A416FAFD300D}"/>
    <cellStyle name="Normal 12 2 4 2 3" xfId="15305" xr:uid="{D3045345-DF5D-4F68-A7BC-B42C9AE8C8C6}"/>
    <cellStyle name="Normal 12 2 4 2 4" xfId="17558" xr:uid="{D319F97E-DC74-42BB-94DA-45CA4E44D688}"/>
    <cellStyle name="Normal 12 2 4 3" xfId="2894" xr:uid="{CF698241-6E0C-48A0-89D4-B5AD8D1EAF42}"/>
    <cellStyle name="Normal 12 2 4 4" xfId="4020" xr:uid="{E48615AB-6205-409D-AD59-F579EAD43494}"/>
    <cellStyle name="Normal 12 2 4 5" xfId="5146" xr:uid="{2421B79F-CC03-4698-A4BE-AD51BB1F4E02}"/>
    <cellStyle name="Normal 12 2 4 6" xfId="6273" xr:uid="{8B55C83F-0B29-4000-BD2D-52327239058F}"/>
    <cellStyle name="Normal 12 2 4 7" xfId="7406" xr:uid="{6713A223-89F9-40D4-BDE2-9362B4D92CEC}"/>
    <cellStyle name="Normal 12 2 4 8" xfId="8442" xr:uid="{ACABA7D6-C366-4EDD-91EE-C12EF9C1607D}"/>
    <cellStyle name="Normal 12 2 4 9" xfId="9579" xr:uid="{71ED2D0E-012C-456F-A27F-89D8BBB5C258}"/>
    <cellStyle name="Normal 12 2 5" xfId="638" xr:uid="{DF02D2F0-5403-42BE-9BF3-5C53700654AD}"/>
    <cellStyle name="Normal 12 2 5 10" xfId="10705" xr:uid="{0B330264-50EA-4487-9282-9ACC86521924}"/>
    <cellStyle name="Normal 12 2 5 11" xfId="11926" xr:uid="{4AF8F6DA-0EA8-4888-BB9D-4D94946673E0}"/>
    <cellStyle name="Normal 12 2 5 12" xfId="14179" xr:uid="{9F3FCB30-8DBB-4993-BBB9-FE04848FA0FA}"/>
    <cellStyle name="Normal 12 2 5 13" xfId="16432" xr:uid="{D2993BF4-F7F3-4BFB-B8CD-64F1935F1B04}"/>
    <cellStyle name="Normal 12 2 5 2" xfId="1769" xr:uid="{A462CC32-2DC8-4B10-8DA4-DC4451A1203B}"/>
    <cellStyle name="Normal 12 2 5 2 2" xfId="13053" xr:uid="{37F3640C-29DB-4084-B57E-8BFC78B406EB}"/>
    <cellStyle name="Normal 12 2 5 2 3" xfId="15306" xr:uid="{5B238DF4-1739-4FBC-9075-7C726BB29486}"/>
    <cellStyle name="Normal 12 2 5 2 4" xfId="17559" xr:uid="{98BD710E-0ABE-40BF-B85E-3A6449FB37EC}"/>
    <cellStyle name="Normal 12 2 5 3" xfId="2895" xr:uid="{00D57E8A-3417-4620-8CB1-911B9BC043F4}"/>
    <cellStyle name="Normal 12 2 5 4" xfId="4021" xr:uid="{6EDDACE0-FD4D-42DB-A6B6-2944D6AD50C4}"/>
    <cellStyle name="Normal 12 2 5 5" xfId="5147" xr:uid="{8609B286-AC0C-438F-85F0-D7199488CB19}"/>
    <cellStyle name="Normal 12 2 5 6" xfId="6274" xr:uid="{381744E6-76D9-44CB-A032-42EB44EAE2E4}"/>
    <cellStyle name="Normal 12 2 5 7" xfId="7407" xr:uid="{04D326CB-B2C4-43B5-9FE0-ABD5C0F0063F}"/>
    <cellStyle name="Normal 12 2 5 8" xfId="8441" xr:uid="{8A5F1083-DA9B-4340-BD8C-72739FD3FCD8}"/>
    <cellStyle name="Normal 12 2 5 9" xfId="9578" xr:uid="{9D34CFD2-6FD8-43C6-A82C-525CF360ED5C}"/>
    <cellStyle name="Normal 12 2 6" xfId="1758" xr:uid="{FD292866-734B-4001-9391-813AE4928FA8}"/>
    <cellStyle name="Normal 12 2 6 2" xfId="13042" xr:uid="{F1BA928B-3062-402C-935E-BBD201C0DEC1}"/>
    <cellStyle name="Normal 12 2 6 3" xfId="15295" xr:uid="{42CA01B4-3158-4C73-AD98-88D2D4DA5893}"/>
    <cellStyle name="Normal 12 2 6 4" xfId="17548" xr:uid="{674C69C3-1B87-4C0D-9364-5C332742D3B8}"/>
    <cellStyle name="Normal 12 2 7" xfId="2884" xr:uid="{9616309C-F528-4064-9051-AD9B22ACC3FB}"/>
    <cellStyle name="Normal 12 2 8" xfId="4010" xr:uid="{EFDE3B70-A2B2-41AA-80E3-2EE4E1FC3F35}"/>
    <cellStyle name="Normal 12 2 9" xfId="5136" xr:uid="{D361C391-6833-435E-A20D-90B0B3711FE9}"/>
    <cellStyle name="Normal 12 3" xfId="639" xr:uid="{DCF2CA6F-1F60-4AC6-9D41-142025DD4D2E}"/>
    <cellStyle name="Normal 12 3 10" xfId="7408" xr:uid="{F72F1D54-A000-4C16-BCC5-F830247E8631}"/>
    <cellStyle name="Normal 12 3 11" xfId="8440" xr:uid="{9F8C671A-436C-4EC2-916E-C6F77433AEDA}"/>
    <cellStyle name="Normal 12 3 12" xfId="9577" xr:uid="{64B28AE3-0474-409B-B8FA-2BDE897526FC}"/>
    <cellStyle name="Normal 12 3 13" xfId="10704" xr:uid="{8FFDF597-4C64-4C20-B6D0-D2644D988342}"/>
    <cellStyle name="Normal 12 3 14" xfId="11927" xr:uid="{7EF448E1-AB30-44FA-B1F1-A29A434F07EF}"/>
    <cellStyle name="Normal 12 3 15" xfId="14180" xr:uid="{84DFCF2A-9071-4219-A2DC-C643A6F50C6A}"/>
    <cellStyle name="Normal 12 3 16" xfId="16433" xr:uid="{BB836AF4-DE32-4B61-B809-AE497EBE4CF3}"/>
    <cellStyle name="Normal 12 3 2" xfId="640" xr:uid="{A340360B-4646-448E-A7A7-D07702AC5BF3}"/>
    <cellStyle name="Normal 12 3 2 10" xfId="8439" xr:uid="{6545087B-726B-4043-AD01-334D88F102DD}"/>
    <cellStyle name="Normal 12 3 2 11" xfId="9576" xr:uid="{73B22C4A-D433-47A7-8806-D63249E389AD}"/>
    <cellStyle name="Normal 12 3 2 12" xfId="10703" xr:uid="{9EA6D498-1C55-4DD6-89A2-973CCE02669F}"/>
    <cellStyle name="Normal 12 3 2 13" xfId="11928" xr:uid="{10117B7E-6A54-42F9-88A7-82D8BF73E766}"/>
    <cellStyle name="Normal 12 3 2 14" xfId="14181" xr:uid="{59C61AAA-4587-44BF-991E-71EBBCE30305}"/>
    <cellStyle name="Normal 12 3 2 15" xfId="16434" xr:uid="{D4125170-F828-4460-80FD-7625BD5A5325}"/>
    <cellStyle name="Normal 12 3 2 2" xfId="641" xr:uid="{0DC517ED-1CD9-4D7C-BAB6-0389B34C0F69}"/>
    <cellStyle name="Normal 12 3 2 2 10" xfId="10702" xr:uid="{3DA0A49D-4FC8-4D21-863C-A6ABDAE13460}"/>
    <cellStyle name="Normal 12 3 2 2 11" xfId="11929" xr:uid="{2787DBF0-B73B-46A5-974C-8F155AC26891}"/>
    <cellStyle name="Normal 12 3 2 2 12" xfId="14182" xr:uid="{7152D7E1-4FBC-4205-BD11-A80DE617B5FF}"/>
    <cellStyle name="Normal 12 3 2 2 13" xfId="16435" xr:uid="{4E1EB649-C79D-41EC-BA82-B9ABD94531D4}"/>
    <cellStyle name="Normal 12 3 2 2 2" xfId="1772" xr:uid="{B24BD208-23D0-4305-8C57-CB96E52A76CC}"/>
    <cellStyle name="Normal 12 3 2 2 2 2" xfId="13056" xr:uid="{B24C7D61-EBDA-4562-A829-06F393198388}"/>
    <cellStyle name="Normal 12 3 2 2 2 3" xfId="15309" xr:uid="{31F27ED9-38AC-4F05-A87A-5EE55C00F386}"/>
    <cellStyle name="Normal 12 3 2 2 2 4" xfId="17562" xr:uid="{C9E7E8FA-4282-4695-9CCD-E32731EA8C1E}"/>
    <cellStyle name="Normal 12 3 2 2 3" xfId="2898" xr:uid="{ECA76D03-7BFA-4523-86AF-6ACBA300C6FB}"/>
    <cellStyle name="Normal 12 3 2 2 4" xfId="4024" xr:uid="{F34FD5F3-44FF-457D-9A5C-7B5888D3163E}"/>
    <cellStyle name="Normal 12 3 2 2 5" xfId="5150" xr:uid="{41DA7577-1F6B-4745-8E59-29155910ED1F}"/>
    <cellStyle name="Normal 12 3 2 2 6" xfId="6277" xr:uid="{D3823191-C71F-45DF-B889-4D815845F253}"/>
    <cellStyle name="Normal 12 3 2 2 7" xfId="7410" xr:uid="{A81C699B-C98B-4061-A502-43EADEB8EA8C}"/>
    <cellStyle name="Normal 12 3 2 2 8" xfId="8438" xr:uid="{40CF9E47-AC9E-4C81-AE73-9DE6CFD652EB}"/>
    <cellStyle name="Normal 12 3 2 2 9" xfId="9575" xr:uid="{B89CBBA3-1DA5-4B84-A194-DFE8838F2006}"/>
    <cellStyle name="Normal 12 3 2 3" xfId="642" xr:uid="{EA869158-B3FE-49C1-A942-40050DA88EB7}"/>
    <cellStyle name="Normal 12 3 2 3 10" xfId="10701" xr:uid="{C9135578-1C03-4491-81FB-517FF4C6446B}"/>
    <cellStyle name="Normal 12 3 2 3 11" xfId="11930" xr:uid="{D4D86877-10BB-4010-AF3D-5ABA58F875F1}"/>
    <cellStyle name="Normal 12 3 2 3 12" xfId="14183" xr:uid="{35C892C3-F6C3-491A-8398-46F29931A556}"/>
    <cellStyle name="Normal 12 3 2 3 13" xfId="16436" xr:uid="{647D4EDE-1256-4BA2-B83C-C0D5BBE57717}"/>
    <cellStyle name="Normal 12 3 2 3 2" xfId="1773" xr:uid="{02BB85B3-289E-4450-9DEB-3328543D760B}"/>
    <cellStyle name="Normal 12 3 2 3 2 2" xfId="13057" xr:uid="{94CE9B21-7EFA-46FB-9BDC-0BFF36B02636}"/>
    <cellStyle name="Normal 12 3 2 3 2 3" xfId="15310" xr:uid="{CB60DE0B-B3CF-4255-ADF4-7080928910FC}"/>
    <cellStyle name="Normal 12 3 2 3 2 4" xfId="17563" xr:uid="{F2D97BE7-5C65-48E9-A33F-7894AECFAE54}"/>
    <cellStyle name="Normal 12 3 2 3 3" xfId="2899" xr:uid="{82B52E9B-7499-4A3E-9408-25703114CEEE}"/>
    <cellStyle name="Normal 12 3 2 3 4" xfId="4025" xr:uid="{6BD0F1BB-4A4B-433F-9E5E-049336473BCF}"/>
    <cellStyle name="Normal 12 3 2 3 5" xfId="5151" xr:uid="{89A7930B-7A32-49DC-89B3-9F132B503071}"/>
    <cellStyle name="Normal 12 3 2 3 6" xfId="6278" xr:uid="{14EE886B-B162-45D8-B7F8-AC12A9E155A7}"/>
    <cellStyle name="Normal 12 3 2 3 7" xfId="7411" xr:uid="{F267C307-C90B-4953-83B8-13A5042CD7DD}"/>
    <cellStyle name="Normal 12 3 2 3 8" xfId="8437" xr:uid="{0FB17A70-4FD1-493E-BB4D-5AFD1D3377E1}"/>
    <cellStyle name="Normal 12 3 2 3 9" xfId="9574" xr:uid="{45CC4418-AC2D-4D11-8152-3A8F4D3D3B45}"/>
    <cellStyle name="Normal 12 3 2 4" xfId="1771" xr:uid="{D748BF93-59DC-4637-A7D2-FBD405C29CA8}"/>
    <cellStyle name="Normal 12 3 2 4 2" xfId="13055" xr:uid="{D7381271-E151-42C1-94F0-AF94EB78C267}"/>
    <cellStyle name="Normal 12 3 2 4 3" xfId="15308" xr:uid="{8642A884-3B4F-4D1D-ABBD-06E342D2BA0F}"/>
    <cellStyle name="Normal 12 3 2 4 4" xfId="17561" xr:uid="{C806271C-14C8-43E6-BF20-A820122123E5}"/>
    <cellStyle name="Normal 12 3 2 5" xfId="2897" xr:uid="{EFCDE4EB-DD4D-41CD-8249-E53117B31706}"/>
    <cellStyle name="Normal 12 3 2 6" xfId="4023" xr:uid="{5E9BAAD2-A3C9-4016-AC80-5C5EE2DF65B1}"/>
    <cellStyle name="Normal 12 3 2 7" xfId="5149" xr:uid="{8B4688B8-C993-4A66-ACFC-2D6C043CB61B}"/>
    <cellStyle name="Normal 12 3 2 8" xfId="6276" xr:uid="{FA059087-7051-4B88-8BC6-4DF04A24C75D}"/>
    <cellStyle name="Normal 12 3 2 9" xfId="7409" xr:uid="{CAF3D163-0084-4908-96C8-D26B63D36B99}"/>
    <cellStyle name="Normal 12 3 3" xfId="643" xr:uid="{D67F9CCD-18F0-4147-8E5D-12EBF2783657}"/>
    <cellStyle name="Normal 12 3 3 10" xfId="10700" xr:uid="{058256C1-425B-4EAD-AE65-34F8D894F22C}"/>
    <cellStyle name="Normal 12 3 3 11" xfId="11931" xr:uid="{9D54DA88-BB98-4434-AA99-1773465CAB98}"/>
    <cellStyle name="Normal 12 3 3 12" xfId="14184" xr:uid="{60F2B779-8C48-459C-9CF3-51097FA59CE1}"/>
    <cellStyle name="Normal 12 3 3 13" xfId="16437" xr:uid="{D4119B2F-3EE8-41B7-B9C1-96DFB247B1D1}"/>
    <cellStyle name="Normal 12 3 3 2" xfId="1774" xr:uid="{FA74EB1A-A6B9-4D82-A324-9BD5F41D07A9}"/>
    <cellStyle name="Normal 12 3 3 2 2" xfId="13058" xr:uid="{E68F409D-920C-49DA-A0EC-675D0D943AB6}"/>
    <cellStyle name="Normal 12 3 3 2 3" xfId="15311" xr:uid="{95351CD5-8E30-4CB7-BA75-075D2A9B2228}"/>
    <cellStyle name="Normal 12 3 3 2 4" xfId="17564" xr:uid="{4213BFF8-9DDF-4147-B5B7-E2B1A180C23E}"/>
    <cellStyle name="Normal 12 3 3 3" xfId="2900" xr:uid="{B6F1F4AA-4475-4F62-8303-448051B5A14E}"/>
    <cellStyle name="Normal 12 3 3 4" xfId="4026" xr:uid="{5D604160-D060-41E0-B2C8-08ACA5F76803}"/>
    <cellStyle name="Normal 12 3 3 5" xfId="5152" xr:uid="{120040D7-AB03-4AF9-979F-08BB549D513F}"/>
    <cellStyle name="Normal 12 3 3 6" xfId="6279" xr:uid="{7C0BE40A-7EE2-46AD-BB9A-482F6B8BF084}"/>
    <cellStyle name="Normal 12 3 3 7" xfId="7412" xr:uid="{B1D2CD87-827C-4B63-8570-5FDD8341E56E}"/>
    <cellStyle name="Normal 12 3 3 8" xfId="8436" xr:uid="{17397624-D011-46F6-898E-385A72BB1D16}"/>
    <cellStyle name="Normal 12 3 3 9" xfId="9573" xr:uid="{BA4B2C8E-B516-4143-868C-860D951325A2}"/>
    <cellStyle name="Normal 12 3 4" xfId="644" xr:uid="{C0E207CA-4B0B-477F-8B0D-36FC7EA11297}"/>
    <cellStyle name="Normal 12 3 4 10" xfId="10699" xr:uid="{4BCF53C4-E176-457F-9426-362636B81E4A}"/>
    <cellStyle name="Normal 12 3 4 11" xfId="11932" xr:uid="{E1BA4894-419F-44FF-B379-7E18E785770F}"/>
    <cellStyle name="Normal 12 3 4 12" xfId="14185" xr:uid="{391B4C2A-8C54-42E3-85BE-F6D4EE0BB9E2}"/>
    <cellStyle name="Normal 12 3 4 13" xfId="16438" xr:uid="{B28B982C-3E1E-4BF7-8AE7-83E592AA107F}"/>
    <cellStyle name="Normal 12 3 4 2" xfId="1775" xr:uid="{3F15EEAE-982C-47FC-BF06-A0AAB01390E6}"/>
    <cellStyle name="Normal 12 3 4 2 2" xfId="13059" xr:uid="{319455D5-0520-4D43-8046-C9D27FD81163}"/>
    <cellStyle name="Normal 12 3 4 2 3" xfId="15312" xr:uid="{12DB730F-B717-4718-B866-F3A480022C76}"/>
    <cellStyle name="Normal 12 3 4 2 4" xfId="17565" xr:uid="{55854D74-F857-46EC-8BB0-F585E7D5CB68}"/>
    <cellStyle name="Normal 12 3 4 3" xfId="2901" xr:uid="{67BE6368-5FE7-4E27-B7A6-8D486C16F7DA}"/>
    <cellStyle name="Normal 12 3 4 4" xfId="4027" xr:uid="{DD2E3F67-63B3-4891-B7EA-6F7805DE92E4}"/>
    <cellStyle name="Normal 12 3 4 5" xfId="5153" xr:uid="{0C4868A2-A1A6-4628-9006-283B028A3844}"/>
    <cellStyle name="Normal 12 3 4 6" xfId="6280" xr:uid="{AEAC470D-6643-4FAF-8680-3913DFF17820}"/>
    <cellStyle name="Normal 12 3 4 7" xfId="7413" xr:uid="{04BA9207-FF79-4295-A149-CEBB88897597}"/>
    <cellStyle name="Normal 12 3 4 8" xfId="8435" xr:uid="{3A6D5588-7D13-4CFC-B5D6-50D2316F045A}"/>
    <cellStyle name="Normal 12 3 4 9" xfId="9572" xr:uid="{F6090588-0C1E-4611-B36D-2D5C3F092140}"/>
    <cellStyle name="Normal 12 3 5" xfId="1770" xr:uid="{71D49535-4FD2-4DF4-8CCC-E18249173943}"/>
    <cellStyle name="Normal 12 3 5 2" xfId="13054" xr:uid="{2DE31418-F5F1-4B56-858F-983249F7EC7B}"/>
    <cellStyle name="Normal 12 3 5 3" xfId="15307" xr:uid="{9AADD813-8D8F-453A-840A-B8CB359FA3DA}"/>
    <cellStyle name="Normal 12 3 5 4" xfId="17560" xr:uid="{52B18280-8956-4AA3-9075-5ECA95777E89}"/>
    <cellStyle name="Normal 12 3 6" xfId="2896" xr:uid="{2830947F-8375-45E7-A764-1076758D8789}"/>
    <cellStyle name="Normal 12 3 7" xfId="4022" xr:uid="{DFE9FC9F-7A6E-4041-B705-5E35B544FB8D}"/>
    <cellStyle name="Normal 12 3 8" xfId="5148" xr:uid="{A88A29EF-E736-4F4B-9E2E-A45DD3DF37F8}"/>
    <cellStyle name="Normal 12 3 9" xfId="6275" xr:uid="{D4784FDA-EEA6-4808-A40D-BE8433CEB48C}"/>
    <cellStyle name="Normal 12 4" xfId="645" xr:uid="{05E6E62D-9232-4373-B8ED-C5905FF9414E}"/>
    <cellStyle name="Normal 12 4 10" xfId="8434" xr:uid="{42E322D8-BD69-4F5B-B7BE-910496F46352}"/>
    <cellStyle name="Normal 12 4 11" xfId="9571" xr:uid="{CD54BA98-410F-4C1B-BDAA-A1B247A45CCA}"/>
    <cellStyle name="Normal 12 4 12" xfId="10698" xr:uid="{67381389-491B-4012-B76A-20595C2A9F53}"/>
    <cellStyle name="Normal 12 4 13" xfId="11933" xr:uid="{F0CEE720-A9B2-46FE-9C03-1FF6B0F1086E}"/>
    <cellStyle name="Normal 12 4 14" xfId="14186" xr:uid="{6FF2E0BE-0843-4CB0-AC83-3B64E43C3CBA}"/>
    <cellStyle name="Normal 12 4 15" xfId="16439" xr:uid="{DB9E6057-EF6E-45C9-9916-936DE63BF1D7}"/>
    <cellStyle name="Normal 12 4 2" xfId="646" xr:uid="{7D83D0A8-5F86-4C9E-938B-FBCED94E42B1}"/>
    <cellStyle name="Normal 12 4 2 10" xfId="10697" xr:uid="{20E0538D-1109-4643-8EEF-DB33645B00D3}"/>
    <cellStyle name="Normal 12 4 2 11" xfId="11934" xr:uid="{7AC3ABFD-6E16-4F00-BC4F-E0D3DE15A80B}"/>
    <cellStyle name="Normal 12 4 2 12" xfId="14187" xr:uid="{74432748-B070-42FE-B4FB-0F379D7B8CCB}"/>
    <cellStyle name="Normal 12 4 2 13" xfId="16440" xr:uid="{31175227-F53D-48E1-AABA-6BF80C0EA9EF}"/>
    <cellStyle name="Normal 12 4 2 2" xfId="1777" xr:uid="{2825F9B1-AC98-41EC-9670-5B7A8D74A2E2}"/>
    <cellStyle name="Normal 12 4 2 2 2" xfId="13061" xr:uid="{4394C4CC-E8D3-4120-9BAE-315057E96900}"/>
    <cellStyle name="Normal 12 4 2 2 3" xfId="15314" xr:uid="{BF9FA869-3F71-43CB-99D6-5E5DC9B46DA4}"/>
    <cellStyle name="Normal 12 4 2 2 4" xfId="17567" xr:uid="{E5D69AD9-913E-46FD-9D10-12959EC780C2}"/>
    <cellStyle name="Normal 12 4 2 3" xfId="2903" xr:uid="{E1D249DE-4A3F-4E66-ACE8-1EBA26BF3857}"/>
    <cellStyle name="Normal 12 4 2 4" xfId="4029" xr:uid="{0FF7AB0B-B2AF-49E7-BFB1-A03E2A753304}"/>
    <cellStyle name="Normal 12 4 2 5" xfId="5155" xr:uid="{ECC059AE-91DD-47E4-A05C-983665577680}"/>
    <cellStyle name="Normal 12 4 2 6" xfId="6282" xr:uid="{CF61A71C-82D1-49AF-8C56-155DFAF70C88}"/>
    <cellStyle name="Normal 12 4 2 7" xfId="7415" xr:uid="{E0F29A84-9832-4424-B6C0-ECED86BC6291}"/>
    <cellStyle name="Normal 12 4 2 8" xfId="8433" xr:uid="{9D251FDD-1F1D-4D81-AE4C-0D7C6B2150FE}"/>
    <cellStyle name="Normal 12 4 2 9" xfId="9570" xr:uid="{E0BF9B4C-9063-400F-A960-C1AFE8448BFC}"/>
    <cellStyle name="Normal 12 4 3" xfId="647" xr:uid="{FC3714F5-A93B-4330-9897-CAF027C27734}"/>
    <cellStyle name="Normal 12 4 3 10" xfId="10696" xr:uid="{104A5F46-F617-4389-8270-285D80D07F82}"/>
    <cellStyle name="Normal 12 4 3 11" xfId="11935" xr:uid="{B76B6E00-4704-429A-9E26-C98D22439C6B}"/>
    <cellStyle name="Normal 12 4 3 12" xfId="14188" xr:uid="{4FBC1626-F975-4EFD-AC47-857EB014DA42}"/>
    <cellStyle name="Normal 12 4 3 13" xfId="16441" xr:uid="{7002C616-CAE1-42D9-BAA3-E42E25DCB832}"/>
    <cellStyle name="Normal 12 4 3 2" xfId="1778" xr:uid="{87824585-303A-4B68-A9C7-795FAA47F75A}"/>
    <cellStyle name="Normal 12 4 3 2 2" xfId="13062" xr:uid="{A1A4B935-FEB7-43DF-AD89-DF8FE0EA1C58}"/>
    <cellStyle name="Normal 12 4 3 2 3" xfId="15315" xr:uid="{42F8038D-3D69-4813-8A9B-42CFF1D92742}"/>
    <cellStyle name="Normal 12 4 3 2 4" xfId="17568" xr:uid="{A242C1B3-B96D-468B-B3C3-0F2A7F6CB5C6}"/>
    <cellStyle name="Normal 12 4 3 3" xfId="2904" xr:uid="{BEEDB3B4-1DDE-42D4-9154-7A66CD58F3F5}"/>
    <cellStyle name="Normal 12 4 3 4" xfId="4030" xr:uid="{F5085E2C-064C-4139-A570-15B2CC5F386D}"/>
    <cellStyle name="Normal 12 4 3 5" xfId="5156" xr:uid="{3664E7AB-4DCC-463B-BB9C-9075210D5609}"/>
    <cellStyle name="Normal 12 4 3 6" xfId="6283" xr:uid="{6796B948-F461-4188-B1D1-A5086FA0C275}"/>
    <cellStyle name="Normal 12 4 3 7" xfId="7416" xr:uid="{A5DD2BE5-C149-4E20-9500-23F85531F979}"/>
    <cellStyle name="Normal 12 4 3 8" xfId="8432" xr:uid="{DB5CC7AA-78FD-4E3A-93F5-2C23DA057191}"/>
    <cellStyle name="Normal 12 4 3 9" xfId="9569" xr:uid="{563C2280-26DF-4F09-AF56-CA662CE0C164}"/>
    <cellStyle name="Normal 12 4 4" xfId="1776" xr:uid="{0DA804B6-8FBA-440D-BEF6-8399EC1CF08C}"/>
    <cellStyle name="Normal 12 4 4 2" xfId="13060" xr:uid="{0E0395F3-40D7-462B-9CBC-608D25177AAA}"/>
    <cellStyle name="Normal 12 4 4 3" xfId="15313" xr:uid="{89E888DC-A626-4223-AE52-21047581C83F}"/>
    <cellStyle name="Normal 12 4 4 4" xfId="17566" xr:uid="{D2BAA862-E0E2-4849-AB43-BF28D1ABEB19}"/>
    <cellStyle name="Normal 12 4 5" xfId="2902" xr:uid="{4AEB1FAE-77BF-4AD7-9BE8-D92F5C48980C}"/>
    <cellStyle name="Normal 12 4 6" xfId="4028" xr:uid="{9C23EB5D-76EC-481A-87D7-9D51F2EA8931}"/>
    <cellStyle name="Normal 12 4 7" xfId="5154" xr:uid="{ED5A9A7D-0959-4E39-ADB1-961756F131CE}"/>
    <cellStyle name="Normal 12 4 8" xfId="6281" xr:uid="{46046F3F-FC86-46B5-9CA2-F247FF2CE49B}"/>
    <cellStyle name="Normal 12 4 9" xfId="7414" xr:uid="{6E35A6AE-7CB8-4228-BC54-EC5169388A3C}"/>
    <cellStyle name="Normal 12 5" xfId="648" xr:uid="{926D7317-A875-4349-B1F4-845C51F765BD}"/>
    <cellStyle name="Normal 12 5 10" xfId="10695" xr:uid="{FA32922B-D89E-47F6-91C3-E7FFD62B311A}"/>
    <cellStyle name="Normal 12 5 11" xfId="11936" xr:uid="{0330C8D1-F97C-46FD-8F1D-37F7E80DAF4D}"/>
    <cellStyle name="Normal 12 5 12" xfId="14189" xr:uid="{32D987B8-DFC6-423C-BCA6-260DFE168B46}"/>
    <cellStyle name="Normal 12 5 13" xfId="16442" xr:uid="{F365D9F1-2C61-47FD-8E8A-ADBE1CD29E2B}"/>
    <cellStyle name="Normal 12 5 2" xfId="1779" xr:uid="{8ADF2486-933B-474E-805E-EA190DEAC312}"/>
    <cellStyle name="Normal 12 5 2 2" xfId="13063" xr:uid="{58CA5881-1B28-4F37-9937-4411458E36DF}"/>
    <cellStyle name="Normal 12 5 2 3" xfId="15316" xr:uid="{FF1657A1-350D-40E7-9260-ADDC410ACECD}"/>
    <cellStyle name="Normal 12 5 2 4" xfId="17569" xr:uid="{42EE547A-F88F-4955-A1C9-3657B9FD1D57}"/>
    <cellStyle name="Normal 12 5 3" xfId="2905" xr:uid="{8C4C9895-590F-4D70-9B31-20773B5ED5E0}"/>
    <cellStyle name="Normal 12 5 4" xfId="4031" xr:uid="{52EC54D0-EFD5-4BD2-8F0F-CB0AC6E651C9}"/>
    <cellStyle name="Normal 12 5 5" xfId="5157" xr:uid="{CF72A391-E664-4519-91DA-0A30F6D5D109}"/>
    <cellStyle name="Normal 12 5 6" xfId="6284" xr:uid="{CE5D740C-F2F1-43A2-892D-9FEE37309A72}"/>
    <cellStyle name="Normal 12 5 7" xfId="7417" xr:uid="{BE6EBB0E-43B9-4643-8F1D-E205B2FE8D72}"/>
    <cellStyle name="Normal 12 5 8" xfId="8431" xr:uid="{7C3B2AB4-054A-4B24-8C3B-C811AC419E60}"/>
    <cellStyle name="Normal 12 5 9" xfId="9568" xr:uid="{7B56A4FB-3071-4A41-9349-1835C5BC7593}"/>
    <cellStyle name="Normal 12 6" xfId="649" xr:uid="{62F315AD-8ED1-4415-A591-4A5BF192A2E7}"/>
    <cellStyle name="Normal 12 6 10" xfId="10694" xr:uid="{FD21D932-95C1-4CC2-814F-45C0324B47C5}"/>
    <cellStyle name="Normal 12 6 11" xfId="11937" xr:uid="{AA6ACC77-7E0E-4EF9-AD5B-610ECDDBC02C}"/>
    <cellStyle name="Normal 12 6 12" xfId="14190" xr:uid="{CDD177E2-5A2E-4B75-8508-A3C8D93741B8}"/>
    <cellStyle name="Normal 12 6 13" xfId="16443" xr:uid="{D20298E0-367F-4CDA-BA6F-17FFAE467141}"/>
    <cellStyle name="Normal 12 6 2" xfId="1780" xr:uid="{CE5411F6-75F2-4C78-B0D2-CDB7DBD37E77}"/>
    <cellStyle name="Normal 12 6 2 2" xfId="13064" xr:uid="{6564261B-B511-46E8-872C-215EC7D7ABBA}"/>
    <cellStyle name="Normal 12 6 2 3" xfId="15317" xr:uid="{CA9741A2-CD27-43A9-9CED-2D980D558FCA}"/>
    <cellStyle name="Normal 12 6 2 4" xfId="17570" xr:uid="{B8B9343F-DAE5-433E-98B8-DBFA10DCF305}"/>
    <cellStyle name="Normal 12 6 3" xfId="2906" xr:uid="{234F01CF-6F9E-40EE-A848-3E1E2F6C9610}"/>
    <cellStyle name="Normal 12 6 4" xfId="4032" xr:uid="{12D0096D-F538-45C5-B1C8-F2953A13AEC1}"/>
    <cellStyle name="Normal 12 6 5" xfId="5158" xr:uid="{57E91852-B5BF-44DA-BA21-006466AB7B46}"/>
    <cellStyle name="Normal 12 6 6" xfId="6285" xr:uid="{3C85CB9A-413C-4D9C-94A5-6CF6D3A7FF55}"/>
    <cellStyle name="Normal 12 6 7" xfId="7418" xr:uid="{3AC3A369-E750-456C-A61A-5CBD15B25B6B}"/>
    <cellStyle name="Normal 12 6 8" xfId="8430" xr:uid="{8DD07639-E834-4F75-AB95-25FCECA94595}"/>
    <cellStyle name="Normal 12 6 9" xfId="9567" xr:uid="{F9E05802-DFFE-4E20-AE58-4952DBC446CB}"/>
    <cellStyle name="Normal 12 7" xfId="1757" xr:uid="{0A5DDD30-637E-42B5-987E-89D3AD4B14E7}"/>
    <cellStyle name="Normal 12 7 2" xfId="13041" xr:uid="{6DB3E31E-1FF6-4237-B1E1-5074456DCCCA}"/>
    <cellStyle name="Normal 12 7 3" xfId="15294" xr:uid="{21BBDAD6-1A95-4A93-8C5D-9C6C0837EB76}"/>
    <cellStyle name="Normal 12 7 4" xfId="17547" xr:uid="{4C64E80A-E03B-4578-8114-E5B7A9DE1AC2}"/>
    <cellStyle name="Normal 12 8" xfId="2883" xr:uid="{885DE8C0-A311-464E-82A9-1F8C204CF65A}"/>
    <cellStyle name="Normal 12 9" xfId="4009" xr:uid="{C2BDEA8D-6AE4-4AD4-B56A-A866A6170AB9}"/>
    <cellStyle name="Normal 13" xfId="650" xr:uid="{1EE45013-925A-4684-9ABE-57EBEC9E81FB}"/>
    <cellStyle name="Normal 13 10" xfId="5159" xr:uid="{B44F05CF-A497-435F-B6C3-BEEE36EAB6CD}"/>
    <cellStyle name="Normal 13 11" xfId="6286" xr:uid="{CC155C02-4FB1-477F-B8D0-D64ECBAE8A2A}"/>
    <cellStyle name="Normal 13 12" xfId="7419" xr:uid="{A48F467A-473A-49DB-814B-053A31A61A4F}"/>
    <cellStyle name="Normal 13 13" xfId="8429" xr:uid="{318B29A5-A96F-4258-82A9-B320D9146240}"/>
    <cellStyle name="Normal 13 14" xfId="9566" xr:uid="{9804BA73-E439-4A17-A3DF-1318776AC73F}"/>
    <cellStyle name="Normal 13 15" xfId="10693" xr:uid="{E42C4B56-D62A-4D54-94B4-68EC8A773B5A}"/>
    <cellStyle name="Normal 13 16" xfId="11938" xr:uid="{02B35F01-8D23-4BD6-B0CC-DB3DD189C692}"/>
    <cellStyle name="Normal 13 17" xfId="14191" xr:uid="{D569507D-CC46-4940-AB53-15AD974426C0}"/>
    <cellStyle name="Normal 13 18" xfId="16444" xr:uid="{85A94062-D4E2-496A-A148-D252018204BB}"/>
    <cellStyle name="Normal 13 2" xfId="651" xr:uid="{FD577B48-2DB8-498C-A960-1326ADED37A9}"/>
    <cellStyle name="Normal 13 2 10" xfId="6287" xr:uid="{6C194941-F41B-4522-B1A5-23715E1D97C1}"/>
    <cellStyle name="Normal 13 2 11" xfId="7420" xr:uid="{753601B1-F475-456C-B14A-EE540F40054B}"/>
    <cellStyle name="Normal 13 2 12" xfId="8428" xr:uid="{B49DBA3D-D799-491D-8E8B-3727FA7940D3}"/>
    <cellStyle name="Normal 13 2 13" xfId="9565" xr:uid="{FF83AD4A-84CA-4C1F-8197-D4798BF45F69}"/>
    <cellStyle name="Normal 13 2 14" xfId="10692" xr:uid="{DE278699-B344-4226-BEBF-D2DD4665AE45}"/>
    <cellStyle name="Normal 13 2 15" xfId="11939" xr:uid="{3C9F6097-A992-4E17-BE76-6B5B4F423A83}"/>
    <cellStyle name="Normal 13 2 16" xfId="14192" xr:uid="{C9049E61-7BB0-4F12-B305-444BA108DF14}"/>
    <cellStyle name="Normal 13 2 17" xfId="16445" xr:uid="{CF7427FA-E8E6-400E-AEDB-FEA4C7486EF7}"/>
    <cellStyle name="Normal 13 2 2" xfId="652" xr:uid="{C78DE749-0DCB-40D9-BB16-10D2C28A4D89}"/>
    <cellStyle name="Normal 13 2 2 10" xfId="7421" xr:uid="{020C2B0F-92B8-4816-ADA4-F7E6C84344C5}"/>
    <cellStyle name="Normal 13 2 2 11" xfId="8427" xr:uid="{6C8BB88B-1F9C-4831-9233-B03A5B43555C}"/>
    <cellStyle name="Normal 13 2 2 12" xfId="9564" xr:uid="{8EC4504F-2141-4CBE-ACDC-2A65CCAD55E4}"/>
    <cellStyle name="Normal 13 2 2 13" xfId="10691" xr:uid="{9C08B69B-9ED9-4E32-8572-34F6D3BA25F6}"/>
    <cellStyle name="Normal 13 2 2 14" xfId="11940" xr:uid="{4E3F5EC0-D336-4F96-BA89-8353310BCBEC}"/>
    <cellStyle name="Normal 13 2 2 15" xfId="14193" xr:uid="{E752ECD4-CC90-401B-BB31-D89DC6EE585D}"/>
    <cellStyle name="Normal 13 2 2 16" xfId="16446" xr:uid="{6A73AF04-2943-4420-B4BD-59F06DACEEA7}"/>
    <cellStyle name="Normal 13 2 2 2" xfId="653" xr:uid="{D12AFFAA-D5DF-4D32-B44E-9F0405F105D9}"/>
    <cellStyle name="Normal 13 2 2 2 10" xfId="8426" xr:uid="{2E8653D9-6FF8-4BF9-AE27-173E0CC19A41}"/>
    <cellStyle name="Normal 13 2 2 2 11" xfId="9563" xr:uid="{9A07297E-25B7-484A-BBD6-2BC94C40060F}"/>
    <cellStyle name="Normal 13 2 2 2 12" xfId="10690" xr:uid="{261FD9EA-F720-4BE0-86CD-0203C7391876}"/>
    <cellStyle name="Normal 13 2 2 2 13" xfId="11941" xr:uid="{FEB24954-E94A-4BB2-92E2-C8470B5CF8D4}"/>
    <cellStyle name="Normal 13 2 2 2 14" xfId="14194" xr:uid="{CFB4837A-3C7A-4AFB-8F72-4BBBF6852D11}"/>
    <cellStyle name="Normal 13 2 2 2 15" xfId="16447" xr:uid="{1258B1FC-445D-4140-BEB6-D830EC31E861}"/>
    <cellStyle name="Normal 13 2 2 2 2" xfId="654" xr:uid="{EA10538B-9F2D-4945-BD69-F7D1F9189437}"/>
    <cellStyle name="Normal 13 2 2 2 2 10" xfId="10689" xr:uid="{663CC896-B61A-48B9-A23D-21AAAD8833ED}"/>
    <cellStyle name="Normal 13 2 2 2 2 11" xfId="11942" xr:uid="{D7B86F04-FC3E-4169-ADF1-271927DAE1BF}"/>
    <cellStyle name="Normal 13 2 2 2 2 12" xfId="14195" xr:uid="{EE91384C-8337-41A7-9F48-234C211F34E4}"/>
    <cellStyle name="Normal 13 2 2 2 2 13" xfId="16448" xr:uid="{DE8524E1-32B9-4313-8B00-84DC20DFDE26}"/>
    <cellStyle name="Normal 13 2 2 2 2 2" xfId="1785" xr:uid="{09DCB6BB-A1AF-447C-B767-1E9F6EFE7C67}"/>
    <cellStyle name="Normal 13 2 2 2 2 2 2" xfId="13069" xr:uid="{0ABAC33F-B051-45AD-B914-6CDAEC382A8F}"/>
    <cellStyle name="Normal 13 2 2 2 2 2 3" xfId="15322" xr:uid="{61E16BD6-9D9B-4823-823E-0F7C35B2DB6A}"/>
    <cellStyle name="Normal 13 2 2 2 2 2 4" xfId="17575" xr:uid="{6C4CF882-F0CC-4555-A9CA-F338E6F69CDB}"/>
    <cellStyle name="Normal 13 2 2 2 2 3" xfId="2911" xr:uid="{2517C624-7DF9-4756-AD1F-E2E6B73594F1}"/>
    <cellStyle name="Normal 13 2 2 2 2 4" xfId="4037" xr:uid="{914057F2-3DDC-48DF-9A2C-658D86781F39}"/>
    <cellStyle name="Normal 13 2 2 2 2 5" xfId="5163" xr:uid="{ABE676C4-190C-42C0-BE8E-34CE22B55A3C}"/>
    <cellStyle name="Normal 13 2 2 2 2 6" xfId="6290" xr:uid="{CAA0F120-91F4-4242-A0DA-FAD1823F1B85}"/>
    <cellStyle name="Normal 13 2 2 2 2 7" xfId="7423" xr:uid="{6BA4BEC7-E6B8-4CE0-BA06-017D396ABE2C}"/>
    <cellStyle name="Normal 13 2 2 2 2 8" xfId="8425" xr:uid="{8369F118-B406-4072-BD5D-79D98471D662}"/>
    <cellStyle name="Normal 13 2 2 2 2 9" xfId="9562" xr:uid="{3DDE721E-3DE0-4961-ABEC-3F6143489D15}"/>
    <cellStyle name="Normal 13 2 2 2 3" xfId="655" xr:uid="{0762FF7E-A514-46DB-86A6-23E9C1833ACE}"/>
    <cellStyle name="Normal 13 2 2 2 3 10" xfId="10688" xr:uid="{8F68F44C-2705-4119-A378-7FAAFD306C22}"/>
    <cellStyle name="Normal 13 2 2 2 3 11" xfId="11943" xr:uid="{B335C245-7B66-4E72-9D71-FA9976626B2F}"/>
    <cellStyle name="Normal 13 2 2 2 3 12" xfId="14196" xr:uid="{41305DD1-1E35-4F3B-ABA8-BB63E0AC7134}"/>
    <cellStyle name="Normal 13 2 2 2 3 13" xfId="16449" xr:uid="{FE94B444-99C6-4207-8F97-4BDD305E8084}"/>
    <cellStyle name="Normal 13 2 2 2 3 2" xfId="1786" xr:uid="{7FB646AD-9377-4A6D-8690-759F14AFAB72}"/>
    <cellStyle name="Normal 13 2 2 2 3 2 2" xfId="13070" xr:uid="{FF7452B2-9E60-4A0D-A452-2318BA2385F5}"/>
    <cellStyle name="Normal 13 2 2 2 3 2 3" xfId="15323" xr:uid="{CEDBAC80-5383-4406-80EB-D12960BD2BC2}"/>
    <cellStyle name="Normal 13 2 2 2 3 2 4" xfId="17576" xr:uid="{08217D07-43A2-4DD4-BC03-7369FDB218EA}"/>
    <cellStyle name="Normal 13 2 2 2 3 3" xfId="2912" xr:uid="{F65782A2-0F00-4334-A529-74BABCD6AC21}"/>
    <cellStyle name="Normal 13 2 2 2 3 4" xfId="4038" xr:uid="{6B2B2D0B-D106-4C92-95B4-777767F7423E}"/>
    <cellStyle name="Normal 13 2 2 2 3 5" xfId="5164" xr:uid="{9BF66542-957D-485D-B39A-B639F0CF2A4A}"/>
    <cellStyle name="Normal 13 2 2 2 3 6" xfId="6291" xr:uid="{2CD5B9CC-0C5B-4DE1-8D8B-E2E57FC175E4}"/>
    <cellStyle name="Normal 13 2 2 2 3 7" xfId="7424" xr:uid="{17D43609-300A-4199-8B3A-26D241B6CE31}"/>
    <cellStyle name="Normal 13 2 2 2 3 8" xfId="8424" xr:uid="{6EFBFCB6-9833-408D-A925-8D6E17F8C2B3}"/>
    <cellStyle name="Normal 13 2 2 2 3 9" xfId="9561" xr:uid="{024409DA-23F6-4229-BF7C-C4BE29902062}"/>
    <cellStyle name="Normal 13 2 2 2 4" xfId="1784" xr:uid="{30C88E30-6115-4913-9FFB-E2B4E6FDD457}"/>
    <cellStyle name="Normal 13 2 2 2 4 2" xfId="13068" xr:uid="{C7D32CFB-290A-4F6C-A01B-B98F458B6FE8}"/>
    <cellStyle name="Normal 13 2 2 2 4 3" xfId="15321" xr:uid="{A3B86917-2AD1-46B0-AD06-BBA155A1AAEA}"/>
    <cellStyle name="Normal 13 2 2 2 4 4" xfId="17574" xr:uid="{B2B52C6F-B20E-4D51-A842-6C0DB0B9C066}"/>
    <cellStyle name="Normal 13 2 2 2 5" xfId="2910" xr:uid="{C55DF10F-1AD1-458E-90FF-FCD1F377A0E4}"/>
    <cellStyle name="Normal 13 2 2 2 6" xfId="4036" xr:uid="{582A0B46-5FD1-4274-BB62-500E16263501}"/>
    <cellStyle name="Normal 13 2 2 2 7" xfId="5162" xr:uid="{5F591CAF-3A10-4B59-AB2B-8C1284C87FCA}"/>
    <cellStyle name="Normal 13 2 2 2 8" xfId="6289" xr:uid="{DB338DCE-5F52-4166-A765-05E8C157800A}"/>
    <cellStyle name="Normal 13 2 2 2 9" xfId="7422" xr:uid="{79CDB4E9-EC37-491C-8743-AE708E0A16DF}"/>
    <cellStyle name="Normal 13 2 2 3" xfId="656" xr:uid="{C49669F1-5A40-4E9A-B129-6BA4FD1FF87F}"/>
    <cellStyle name="Normal 13 2 2 3 10" xfId="10687" xr:uid="{E8D0AE51-F041-4B32-8C42-F6BBFD79E56D}"/>
    <cellStyle name="Normal 13 2 2 3 11" xfId="11944" xr:uid="{381FFB66-B87A-4FD2-80F5-EB470ACBD5D7}"/>
    <cellStyle name="Normal 13 2 2 3 12" xfId="14197" xr:uid="{CAB77435-F736-4BE6-9443-41C55CDB4143}"/>
    <cellStyle name="Normal 13 2 2 3 13" xfId="16450" xr:uid="{F9A7BE48-A7E9-46A2-B9B3-8033FA7C4E34}"/>
    <cellStyle name="Normal 13 2 2 3 2" xfId="1787" xr:uid="{42A2753B-D09C-4D17-993D-09DA7D2847F4}"/>
    <cellStyle name="Normal 13 2 2 3 2 2" xfId="13071" xr:uid="{69DE967D-18A9-4688-B583-BD42FA4D6167}"/>
    <cellStyle name="Normal 13 2 2 3 2 3" xfId="15324" xr:uid="{77D6FEAD-D4FD-4C98-8D05-EF621EA25D6B}"/>
    <cellStyle name="Normal 13 2 2 3 2 4" xfId="17577" xr:uid="{B5FF59B8-571D-4C0E-8B5E-765C3BA10373}"/>
    <cellStyle name="Normal 13 2 2 3 3" xfId="2913" xr:uid="{45E0AA70-081A-43B7-A242-E24C30BCEEB6}"/>
    <cellStyle name="Normal 13 2 2 3 4" xfId="4039" xr:uid="{A0F46115-ED24-40D1-B83E-C35A5573C286}"/>
    <cellStyle name="Normal 13 2 2 3 5" xfId="5165" xr:uid="{CFA4577A-F522-4587-84EB-703D0BF26670}"/>
    <cellStyle name="Normal 13 2 2 3 6" xfId="6292" xr:uid="{0A7619DE-9B38-46A4-89E4-3BCC6AF2466C}"/>
    <cellStyle name="Normal 13 2 2 3 7" xfId="7425" xr:uid="{54F2FA48-45CC-44A3-9F87-E8679D78BB60}"/>
    <cellStyle name="Normal 13 2 2 3 8" xfId="8423" xr:uid="{E320A04F-ADF3-4ED1-B3DA-F8CA4E318050}"/>
    <cellStyle name="Normal 13 2 2 3 9" xfId="9560" xr:uid="{8E371C5A-F936-4355-AEE7-FE60A13E471A}"/>
    <cellStyle name="Normal 13 2 2 4" xfId="657" xr:uid="{D0AD6B6B-234C-47A2-9C3C-45F84F6FF814}"/>
    <cellStyle name="Normal 13 2 2 4 10" xfId="10686" xr:uid="{71457D46-2AB7-4BFF-A2AB-79788627CF8B}"/>
    <cellStyle name="Normal 13 2 2 4 11" xfId="11945" xr:uid="{DE4527CE-C092-4183-8673-417B30055CDE}"/>
    <cellStyle name="Normal 13 2 2 4 12" xfId="14198" xr:uid="{131D3A2D-697E-4C18-A1E2-F5F9DD3CD8A3}"/>
    <cellStyle name="Normal 13 2 2 4 13" xfId="16451" xr:uid="{74920F22-67DA-4A76-A2A1-ADFED8B67D7C}"/>
    <cellStyle name="Normal 13 2 2 4 2" xfId="1788" xr:uid="{7E5988F1-A1B7-4A2E-A6CB-A29A90874B04}"/>
    <cellStyle name="Normal 13 2 2 4 2 2" xfId="13072" xr:uid="{FE655D04-8798-47E1-9D23-9B6B10368043}"/>
    <cellStyle name="Normal 13 2 2 4 2 3" xfId="15325" xr:uid="{7E24BF71-612D-487F-91BD-6CA50570334D}"/>
    <cellStyle name="Normal 13 2 2 4 2 4" xfId="17578" xr:uid="{0A9BA45F-AF85-4A9A-BEBF-B032823DF408}"/>
    <cellStyle name="Normal 13 2 2 4 3" xfId="2914" xr:uid="{4747E9A8-9EBF-4B25-9FA1-B2B4B07898A4}"/>
    <cellStyle name="Normal 13 2 2 4 4" xfId="4040" xr:uid="{F2065420-7667-4A9F-A961-69DCE3EE5715}"/>
    <cellStyle name="Normal 13 2 2 4 5" xfId="5166" xr:uid="{475260F8-B418-4F00-B3B9-C815E28C7D61}"/>
    <cellStyle name="Normal 13 2 2 4 6" xfId="6293" xr:uid="{4FEFB994-72C0-4948-AA83-E019E7C3A570}"/>
    <cellStyle name="Normal 13 2 2 4 7" xfId="7426" xr:uid="{B873F783-9D24-4832-A382-DBBA72C72F7C}"/>
    <cellStyle name="Normal 13 2 2 4 8" xfId="8422" xr:uid="{62B73D7D-2E11-479B-9135-58266D9126F5}"/>
    <cellStyle name="Normal 13 2 2 4 9" xfId="9559" xr:uid="{DDCB311E-FBC3-4EFA-B092-DDD4985BCF5D}"/>
    <cellStyle name="Normal 13 2 2 5" xfId="1783" xr:uid="{D6201D3B-D389-48B4-AEFD-7DEB29FB14DA}"/>
    <cellStyle name="Normal 13 2 2 5 2" xfId="13067" xr:uid="{A7C548AA-7AA3-4C26-9C2B-4052C5FDA9A4}"/>
    <cellStyle name="Normal 13 2 2 5 3" xfId="15320" xr:uid="{533DCA8F-E5B3-4037-A733-F093B6D816DD}"/>
    <cellStyle name="Normal 13 2 2 5 4" xfId="17573" xr:uid="{116B7E98-68F0-4E29-9E57-F0774BD7E98C}"/>
    <cellStyle name="Normal 13 2 2 6" xfId="2909" xr:uid="{A7BD56D6-472A-43B2-8FFC-B7720F8434E5}"/>
    <cellStyle name="Normal 13 2 2 7" xfId="4035" xr:uid="{08570497-738A-4918-A370-ABE9662370CE}"/>
    <cellStyle name="Normal 13 2 2 8" xfId="5161" xr:uid="{A8D07D06-188D-4C83-BE82-473F5743E152}"/>
    <cellStyle name="Normal 13 2 2 9" xfId="6288" xr:uid="{E62B4BED-90F5-4BA3-9925-3315FCF8B3B9}"/>
    <cellStyle name="Normal 13 2 3" xfId="658" xr:uid="{D0412D95-E5A3-4A53-8770-FFDA7D2A5B9E}"/>
    <cellStyle name="Normal 13 2 3 10" xfId="8421" xr:uid="{1085D611-8478-4DE7-97B6-BA706764A631}"/>
    <cellStyle name="Normal 13 2 3 11" xfId="9558" xr:uid="{7E2030FF-2636-40A0-BCB6-D1647E83A0E3}"/>
    <cellStyle name="Normal 13 2 3 12" xfId="10685" xr:uid="{C2C245A0-744E-4818-9E12-DCAA7CAAA161}"/>
    <cellStyle name="Normal 13 2 3 13" xfId="11946" xr:uid="{F484EA89-37A8-4072-AA71-EE2545503781}"/>
    <cellStyle name="Normal 13 2 3 14" xfId="14199" xr:uid="{9809866D-9758-4FC5-A8AC-133B3255C5F5}"/>
    <cellStyle name="Normal 13 2 3 15" xfId="16452" xr:uid="{C8B1EA6B-90BC-4B60-83A7-3836DE4FEB7F}"/>
    <cellStyle name="Normal 13 2 3 2" xfId="659" xr:uid="{61DE9E17-477B-496E-A2FF-EE63844ED426}"/>
    <cellStyle name="Normal 13 2 3 2 10" xfId="10684" xr:uid="{AC478DC7-A9CC-4867-81B9-AA1C38DEB54E}"/>
    <cellStyle name="Normal 13 2 3 2 11" xfId="11947" xr:uid="{8C9CB7BF-A8EB-4DB1-8DCC-555D368195D4}"/>
    <cellStyle name="Normal 13 2 3 2 12" xfId="14200" xr:uid="{72BF9E63-D42B-4A8A-8DED-7BD4639C747D}"/>
    <cellStyle name="Normal 13 2 3 2 13" xfId="16453" xr:uid="{A6CCA88E-6E14-4C24-8809-D5C3509B9A14}"/>
    <cellStyle name="Normal 13 2 3 2 2" xfId="1790" xr:uid="{DD16F56E-B839-495F-A9EE-36FB594EFA05}"/>
    <cellStyle name="Normal 13 2 3 2 2 2" xfId="13074" xr:uid="{31A29448-2591-4A43-9F7C-025513423D4B}"/>
    <cellStyle name="Normal 13 2 3 2 2 3" xfId="15327" xr:uid="{9953674F-8AEE-4BA1-AA30-3AFE93E0C932}"/>
    <cellStyle name="Normal 13 2 3 2 2 4" xfId="17580" xr:uid="{E42DAF0A-B041-400E-B1E7-E5EE90DE4F0A}"/>
    <cellStyle name="Normal 13 2 3 2 3" xfId="2916" xr:uid="{8A87D6C5-3EEE-40C0-A0BE-BF51C6599653}"/>
    <cellStyle name="Normal 13 2 3 2 4" xfId="4042" xr:uid="{53AF55F4-8EAF-4370-AC88-21FFA98F7151}"/>
    <cellStyle name="Normal 13 2 3 2 5" xfId="5168" xr:uid="{16567B3F-1C5F-4668-9136-379A2A87E3BA}"/>
    <cellStyle name="Normal 13 2 3 2 6" xfId="6295" xr:uid="{6F71D378-19CD-4D87-A0B2-0DB141E29313}"/>
    <cellStyle name="Normal 13 2 3 2 7" xfId="7428" xr:uid="{1B0AF7E5-D6B6-43D2-B2CB-75419C69156A}"/>
    <cellStyle name="Normal 13 2 3 2 8" xfId="8420" xr:uid="{842369ED-3230-4826-90B4-76DABF4CC0E1}"/>
    <cellStyle name="Normal 13 2 3 2 9" xfId="9557" xr:uid="{71675971-C000-4E06-9FB3-922F2F7466D1}"/>
    <cellStyle name="Normal 13 2 3 3" xfId="660" xr:uid="{C8A18AAD-ED28-42F0-BF01-2E961299A75E}"/>
    <cellStyle name="Normal 13 2 3 3 10" xfId="10683" xr:uid="{401F2E16-A6AD-448B-95B3-FFBBB170CF6C}"/>
    <cellStyle name="Normal 13 2 3 3 11" xfId="11948" xr:uid="{6ECFF139-E951-47B0-995B-9D69AC604D9F}"/>
    <cellStyle name="Normal 13 2 3 3 12" xfId="14201" xr:uid="{25474627-C04F-4E61-BD00-AC19D9B7174D}"/>
    <cellStyle name="Normal 13 2 3 3 13" xfId="16454" xr:uid="{B61E5732-3B03-4210-8BC6-286B9481514F}"/>
    <cellStyle name="Normal 13 2 3 3 2" xfId="1791" xr:uid="{F559466E-AE9E-4DE4-8EB5-76A7DAC3660C}"/>
    <cellStyle name="Normal 13 2 3 3 2 2" xfId="13075" xr:uid="{07D8813F-179D-42C4-84B4-D7B4302EE080}"/>
    <cellStyle name="Normal 13 2 3 3 2 3" xfId="15328" xr:uid="{7B518C9E-DC8D-4273-9512-2DB253A426BD}"/>
    <cellStyle name="Normal 13 2 3 3 2 4" xfId="17581" xr:uid="{594E35BB-13CB-40B3-AAEB-590DB026D083}"/>
    <cellStyle name="Normal 13 2 3 3 3" xfId="2917" xr:uid="{7A78A9B1-B341-41E3-88DC-2A5FD365B8EB}"/>
    <cellStyle name="Normal 13 2 3 3 4" xfId="4043" xr:uid="{243AE9C0-7AE1-4EA6-AAE0-1A38285CD85C}"/>
    <cellStyle name="Normal 13 2 3 3 5" xfId="5169" xr:uid="{83EB2C4D-E306-4CBD-BCBE-0D75AFD23111}"/>
    <cellStyle name="Normal 13 2 3 3 6" xfId="6296" xr:uid="{2D94A262-F7D8-4942-AFF9-99A8F99FB728}"/>
    <cellStyle name="Normal 13 2 3 3 7" xfId="7429" xr:uid="{BF19B89B-1FE5-4874-82EB-8F21DF731B68}"/>
    <cellStyle name="Normal 13 2 3 3 8" xfId="8419" xr:uid="{6D262ADD-68C6-4B83-9E92-F030CFE0D393}"/>
    <cellStyle name="Normal 13 2 3 3 9" xfId="9556" xr:uid="{EF1364CE-3230-4987-98E1-BDEE8E55064D}"/>
    <cellStyle name="Normal 13 2 3 4" xfId="1789" xr:uid="{B9383E01-5F7D-43AC-BF34-6B6D6DE56080}"/>
    <cellStyle name="Normal 13 2 3 4 2" xfId="13073" xr:uid="{B3094594-BC5A-4C61-B61F-F62FF221BBE3}"/>
    <cellStyle name="Normal 13 2 3 4 3" xfId="15326" xr:uid="{32B3E82D-EEFD-4967-B0F1-5D4354351136}"/>
    <cellStyle name="Normal 13 2 3 4 4" xfId="17579" xr:uid="{3216790E-BEDD-4D29-A7D5-AC21E55B26DE}"/>
    <cellStyle name="Normal 13 2 3 5" xfId="2915" xr:uid="{F7A2BEAE-3178-4C71-9EF1-0ACF2975C346}"/>
    <cellStyle name="Normal 13 2 3 6" xfId="4041" xr:uid="{097F4448-FFE9-4247-8182-E53D6BFDFFEC}"/>
    <cellStyle name="Normal 13 2 3 7" xfId="5167" xr:uid="{D944B6C6-776B-442D-B1CA-F27D65DE5763}"/>
    <cellStyle name="Normal 13 2 3 8" xfId="6294" xr:uid="{B81B7CA7-9BBB-4C18-8C9E-A20194306B83}"/>
    <cellStyle name="Normal 13 2 3 9" xfId="7427" xr:uid="{E1AC90A1-04E9-4023-9519-1C0F5713051A}"/>
    <cellStyle name="Normal 13 2 4" xfId="661" xr:uid="{8A340F69-7C61-4100-8F6A-D31AA77BF79E}"/>
    <cellStyle name="Normal 13 2 4 10" xfId="10682" xr:uid="{405D2563-A774-4858-A898-64FFF9669E79}"/>
    <cellStyle name="Normal 13 2 4 11" xfId="11949" xr:uid="{FB9A0794-450B-469F-90E2-41DA68DC002E}"/>
    <cellStyle name="Normal 13 2 4 12" xfId="14202" xr:uid="{A2190C67-BC33-48C5-BE8F-3F6BE3156470}"/>
    <cellStyle name="Normal 13 2 4 13" xfId="16455" xr:uid="{E0DF6604-62D9-4CE8-974D-FB43BC82F5A1}"/>
    <cellStyle name="Normal 13 2 4 2" xfId="1792" xr:uid="{11EE8EF9-A117-4B58-9FA9-048F82793D43}"/>
    <cellStyle name="Normal 13 2 4 2 2" xfId="13076" xr:uid="{FDB0895E-0D1F-41E3-A862-88DB20FF7334}"/>
    <cellStyle name="Normal 13 2 4 2 3" xfId="15329" xr:uid="{5AFAB251-4A2C-461B-BD07-A8032DCCB6DB}"/>
    <cellStyle name="Normal 13 2 4 2 4" xfId="17582" xr:uid="{4AED3BB5-6892-4F97-893A-921D57B1AD9B}"/>
    <cellStyle name="Normal 13 2 4 3" xfId="2918" xr:uid="{E03D785E-9F50-425E-857E-32ADA4F47657}"/>
    <cellStyle name="Normal 13 2 4 4" xfId="4044" xr:uid="{F818211C-CEF8-4EB5-9639-068554C182AA}"/>
    <cellStyle name="Normal 13 2 4 5" xfId="5170" xr:uid="{265A2B34-2DC2-4C96-BF62-358DEA4325B3}"/>
    <cellStyle name="Normal 13 2 4 6" xfId="6297" xr:uid="{96221C9C-3A21-4A32-A82D-0AA89A6C8E05}"/>
    <cellStyle name="Normal 13 2 4 7" xfId="7430" xr:uid="{1907354E-E593-4C4F-B16F-0127958DFF99}"/>
    <cellStyle name="Normal 13 2 4 8" xfId="8418" xr:uid="{3E494207-843E-47A8-A143-4130BDC2F587}"/>
    <cellStyle name="Normal 13 2 4 9" xfId="9555" xr:uid="{7A8328C1-4922-446F-A7A2-A46F41BCE38C}"/>
    <cellStyle name="Normal 13 2 5" xfId="662" xr:uid="{93A787F1-D31E-432D-A1C6-B4AA8A5A357F}"/>
    <cellStyle name="Normal 13 2 5 10" xfId="10681" xr:uid="{13F790D4-6BF4-43D9-A302-83BF5C42D7BF}"/>
    <cellStyle name="Normal 13 2 5 11" xfId="11950" xr:uid="{14FD2D78-6153-483F-B34B-07F1B429EC3E}"/>
    <cellStyle name="Normal 13 2 5 12" xfId="14203" xr:uid="{CB126B58-532E-466F-8ECF-E59772677EAF}"/>
    <cellStyle name="Normal 13 2 5 13" xfId="16456" xr:uid="{82ED702A-64F2-4A05-813D-4AAA4D8B80DE}"/>
    <cellStyle name="Normal 13 2 5 2" xfId="1793" xr:uid="{E45A4112-101A-46D5-B698-4CAA31D4C862}"/>
    <cellStyle name="Normal 13 2 5 2 2" xfId="13077" xr:uid="{5C5E6D0F-93E6-4619-9AC2-AF776B29F24D}"/>
    <cellStyle name="Normal 13 2 5 2 3" xfId="15330" xr:uid="{D87ADE1B-A3EA-4CDE-B209-0B319D3E1717}"/>
    <cellStyle name="Normal 13 2 5 2 4" xfId="17583" xr:uid="{B0611106-7D39-420A-A793-5671CCDFB9C0}"/>
    <cellStyle name="Normal 13 2 5 3" xfId="2919" xr:uid="{16F61419-EB89-43C4-A6DC-9914AB9C1C4B}"/>
    <cellStyle name="Normal 13 2 5 4" xfId="4045" xr:uid="{DABCB472-1821-4C5B-B502-7F1111F7AEEA}"/>
    <cellStyle name="Normal 13 2 5 5" xfId="5171" xr:uid="{2B40049D-5C1A-4412-8CA1-DC59F81EF2D7}"/>
    <cellStyle name="Normal 13 2 5 6" xfId="6298" xr:uid="{B03E85C0-214B-4B72-B09C-3E964BFF37CB}"/>
    <cellStyle name="Normal 13 2 5 7" xfId="7431" xr:uid="{34648AF4-79CC-44DA-A3B4-CC3FBB5D785B}"/>
    <cellStyle name="Normal 13 2 5 8" xfId="8417" xr:uid="{4F5AC3D9-638A-4230-A325-278A7300F305}"/>
    <cellStyle name="Normal 13 2 5 9" xfId="9554" xr:uid="{A4440418-1A5E-465D-AB29-7A81C2F38609}"/>
    <cellStyle name="Normal 13 2 6" xfId="1782" xr:uid="{7D68415C-2FE1-48B7-86F4-5CF3E5078ABA}"/>
    <cellStyle name="Normal 13 2 6 2" xfId="13066" xr:uid="{F72D9415-B3AF-45B5-A22E-344F858F6722}"/>
    <cellStyle name="Normal 13 2 6 3" xfId="15319" xr:uid="{044F934B-5DB2-499D-AAD2-6EB55D4FC612}"/>
    <cellStyle name="Normal 13 2 6 4" xfId="17572" xr:uid="{7BC6F51E-E25E-48BE-9C40-96F1F83E1FD4}"/>
    <cellStyle name="Normal 13 2 7" xfId="2908" xr:uid="{1A9DF2BC-50B5-489A-8394-3DA977712105}"/>
    <cellStyle name="Normal 13 2 8" xfId="4034" xr:uid="{60C1E94C-D8A0-4FBC-9828-0BAC2797B586}"/>
    <cellStyle name="Normal 13 2 9" xfId="5160" xr:uid="{304F6D02-6DFD-494C-9FA6-C7685641C723}"/>
    <cellStyle name="Normal 13 3" xfId="663" xr:uid="{3F87345B-361F-4B55-9D90-C888A8C89F04}"/>
    <cellStyle name="Normal 13 3 10" xfId="7432" xr:uid="{FD883851-0493-4DCA-BD66-CD64B11AB8E7}"/>
    <cellStyle name="Normal 13 3 11" xfId="8416" xr:uid="{317F79E3-8191-4789-A3D4-9BE53D5FF99A}"/>
    <cellStyle name="Normal 13 3 12" xfId="9553" xr:uid="{29295076-4BA8-49B4-A1F6-1110DB96F449}"/>
    <cellStyle name="Normal 13 3 13" xfId="10680" xr:uid="{E8E4C8C8-2D2E-463E-B09D-BCDF1F6A12A1}"/>
    <cellStyle name="Normal 13 3 14" xfId="11951" xr:uid="{A0B465E9-7C11-430B-B5FF-704C5B5807E0}"/>
    <cellStyle name="Normal 13 3 15" xfId="14204" xr:uid="{369F8A59-1A09-42C8-95F8-80B72C517B46}"/>
    <cellStyle name="Normal 13 3 16" xfId="16457" xr:uid="{43099C7F-09BB-475A-B599-0242FBF68562}"/>
    <cellStyle name="Normal 13 3 2" xfId="664" xr:uid="{F0E305E5-22F3-415B-B2BE-F60A28D71C28}"/>
    <cellStyle name="Normal 13 3 2 10" xfId="8415" xr:uid="{FCF4D85B-4808-4CC8-87E6-A205A764523A}"/>
    <cellStyle name="Normal 13 3 2 11" xfId="9552" xr:uid="{3A9EF9B4-83A4-4F91-84B1-69922E34DB6A}"/>
    <cellStyle name="Normal 13 3 2 12" xfId="10679" xr:uid="{9F0497FD-EF29-42D9-AE70-AB16143F7553}"/>
    <cellStyle name="Normal 13 3 2 13" xfId="11952" xr:uid="{05F8790F-1911-4F56-873D-542DD48E37AF}"/>
    <cellStyle name="Normal 13 3 2 14" xfId="14205" xr:uid="{46A72BC4-7495-46DC-A142-6CF683C1E301}"/>
    <cellStyle name="Normal 13 3 2 15" xfId="16458" xr:uid="{D2ED1E8A-ABD9-4F78-8F95-39536701AAFD}"/>
    <cellStyle name="Normal 13 3 2 2" xfId="665" xr:uid="{4ED697B8-3321-4562-B8DF-3AE5361B7780}"/>
    <cellStyle name="Normal 13 3 2 2 10" xfId="10678" xr:uid="{DB1556E0-C602-49E4-B673-08649296A47B}"/>
    <cellStyle name="Normal 13 3 2 2 11" xfId="11953" xr:uid="{6FC384A8-91E4-4032-AF9C-FE32D37EC50B}"/>
    <cellStyle name="Normal 13 3 2 2 12" xfId="14206" xr:uid="{D585D386-FCFE-4E1A-9873-7301FD3C81DE}"/>
    <cellStyle name="Normal 13 3 2 2 13" xfId="16459" xr:uid="{840415DB-7B62-48FC-B8F4-0B92A59554BD}"/>
    <cellStyle name="Normal 13 3 2 2 2" xfId="1796" xr:uid="{7C9835C9-30DD-4377-92A7-DD1DA2A74C73}"/>
    <cellStyle name="Normal 13 3 2 2 2 2" xfId="13080" xr:uid="{1C9C3C6E-A933-4EB7-A283-3E55D705CC68}"/>
    <cellStyle name="Normal 13 3 2 2 2 3" xfId="15333" xr:uid="{E4A1AED3-B127-4E4F-BD23-8D1E702B8CA1}"/>
    <cellStyle name="Normal 13 3 2 2 2 4" xfId="17586" xr:uid="{632D2DFD-BB0A-4047-88AE-F1E824D8E580}"/>
    <cellStyle name="Normal 13 3 2 2 3" xfId="2922" xr:uid="{98D790BF-E5F8-417B-8342-6643728EA79D}"/>
    <cellStyle name="Normal 13 3 2 2 4" xfId="4048" xr:uid="{250627DD-C76F-4D83-B95A-0BC2122140A5}"/>
    <cellStyle name="Normal 13 3 2 2 5" xfId="5174" xr:uid="{55CF77CA-EA39-4114-BD56-D9358C4233DF}"/>
    <cellStyle name="Normal 13 3 2 2 6" xfId="6301" xr:uid="{DA4332D3-A814-49DD-9B15-A4179FBCAC94}"/>
    <cellStyle name="Normal 13 3 2 2 7" xfId="7434" xr:uid="{EFBB64AA-E716-483A-96B9-199984D6A604}"/>
    <cellStyle name="Normal 13 3 2 2 8" xfId="8414" xr:uid="{B9D6B39C-F9A6-4BE4-B1E0-AEE31F1A31BA}"/>
    <cellStyle name="Normal 13 3 2 2 9" xfId="9551" xr:uid="{3AA66D58-70B6-4B8D-A84E-F2D52ABCC972}"/>
    <cellStyle name="Normal 13 3 2 3" xfId="666" xr:uid="{EFF225F3-A71C-4611-8B9D-C7BEA4FE50D5}"/>
    <cellStyle name="Normal 13 3 2 3 10" xfId="10677" xr:uid="{F6E23909-5B95-4240-A8BD-58B4EA35AFD2}"/>
    <cellStyle name="Normal 13 3 2 3 11" xfId="11954" xr:uid="{AA10CF1A-D2A2-4CD7-8D38-59E99930C2A9}"/>
    <cellStyle name="Normal 13 3 2 3 12" xfId="14207" xr:uid="{D19AF318-1A0C-4451-B028-686B693516E3}"/>
    <cellStyle name="Normal 13 3 2 3 13" xfId="16460" xr:uid="{BF47DFD1-0475-4606-879E-4770C1FC2959}"/>
    <cellStyle name="Normal 13 3 2 3 2" xfId="1797" xr:uid="{9F0ED068-0228-479C-A79F-61B4E040891D}"/>
    <cellStyle name="Normal 13 3 2 3 2 2" xfId="13081" xr:uid="{D4837F9C-B2B8-467F-8672-06C18CEC98B4}"/>
    <cellStyle name="Normal 13 3 2 3 2 3" xfId="15334" xr:uid="{53438A10-C11D-4FFF-AA4D-CEFE4B2E08EC}"/>
    <cellStyle name="Normal 13 3 2 3 2 4" xfId="17587" xr:uid="{FEAAA8BC-5C41-4F37-864E-63D43FE9721C}"/>
    <cellStyle name="Normal 13 3 2 3 3" xfId="2923" xr:uid="{DC49D1A0-5C25-4DE8-9568-20EF882E7FBC}"/>
    <cellStyle name="Normal 13 3 2 3 4" xfId="4049" xr:uid="{219FCD37-8F1D-449A-8951-CC9E888A42FE}"/>
    <cellStyle name="Normal 13 3 2 3 5" xfId="5175" xr:uid="{8BACFD83-59CF-4795-B44D-AA726568981E}"/>
    <cellStyle name="Normal 13 3 2 3 6" xfId="6302" xr:uid="{768E67F0-C6AB-46C6-A32C-5C076B555E51}"/>
    <cellStyle name="Normal 13 3 2 3 7" xfId="7435" xr:uid="{2536092A-0C56-40E2-ADCC-49FC293BA4B0}"/>
    <cellStyle name="Normal 13 3 2 3 8" xfId="8413" xr:uid="{ADFDD64C-00A5-45E9-933B-D3E7875E9353}"/>
    <cellStyle name="Normal 13 3 2 3 9" xfId="9550" xr:uid="{C8DD2B15-D4AC-4121-BF67-A3CB50BFAA07}"/>
    <cellStyle name="Normal 13 3 2 4" xfId="1795" xr:uid="{B3400274-31A7-489D-8DD0-887D7682F270}"/>
    <cellStyle name="Normal 13 3 2 4 2" xfId="13079" xr:uid="{DD6BFE05-E170-433D-8E2B-78CBAA63E1F0}"/>
    <cellStyle name="Normal 13 3 2 4 3" xfId="15332" xr:uid="{96A4231E-5F34-47BB-9210-023E0A1F627C}"/>
    <cellStyle name="Normal 13 3 2 4 4" xfId="17585" xr:uid="{39239815-0A14-439C-9410-FE9ED63EA8F8}"/>
    <cellStyle name="Normal 13 3 2 5" xfId="2921" xr:uid="{1203FEE9-132B-4335-848A-CCE12673B899}"/>
    <cellStyle name="Normal 13 3 2 6" xfId="4047" xr:uid="{37325010-7066-432E-937F-DE748C4360C6}"/>
    <cellStyle name="Normal 13 3 2 7" xfId="5173" xr:uid="{11AD554F-2A97-44EF-908D-B222996C1F28}"/>
    <cellStyle name="Normal 13 3 2 8" xfId="6300" xr:uid="{54D4E0C3-07BB-400E-AB88-B04BE2640A69}"/>
    <cellStyle name="Normal 13 3 2 9" xfId="7433" xr:uid="{39B6592F-C3C1-49D3-B03D-E0AA8D49CA19}"/>
    <cellStyle name="Normal 13 3 3" xfId="667" xr:uid="{7C20F1B7-C998-4BFF-8C9C-E2C76A05E8F6}"/>
    <cellStyle name="Normal 13 3 3 10" xfId="10676" xr:uid="{3C1D9459-29C3-445E-8ADD-B7A62CB6A554}"/>
    <cellStyle name="Normal 13 3 3 11" xfId="11955" xr:uid="{37B150B5-DF61-4D0A-BAF7-402CF765B27B}"/>
    <cellStyle name="Normal 13 3 3 12" xfId="14208" xr:uid="{39F5F22D-013A-46B0-B1D9-0A5CDA9EAB35}"/>
    <cellStyle name="Normal 13 3 3 13" xfId="16461" xr:uid="{E8BD4ED7-A605-49DB-AAF1-97A2FB78C0CA}"/>
    <cellStyle name="Normal 13 3 3 2" xfId="1798" xr:uid="{DBAB14B6-1BC1-413F-9603-D01DD3097F12}"/>
    <cellStyle name="Normal 13 3 3 2 2" xfId="13082" xr:uid="{74CC8421-733C-4269-802C-7BEB492022FF}"/>
    <cellStyle name="Normal 13 3 3 2 3" xfId="15335" xr:uid="{3B861462-F6EE-4B4E-B7E4-1FA243CF2A5E}"/>
    <cellStyle name="Normal 13 3 3 2 4" xfId="17588" xr:uid="{7AA6FF1C-8C2E-46B9-9699-F72B49D824BC}"/>
    <cellStyle name="Normal 13 3 3 3" xfId="2924" xr:uid="{A721C2A3-7D14-42BC-9F33-B15ED1514AC9}"/>
    <cellStyle name="Normal 13 3 3 4" xfId="4050" xr:uid="{75546D29-BAB0-41D4-91C1-AFA992293BD7}"/>
    <cellStyle name="Normal 13 3 3 5" xfId="5176" xr:uid="{AEC4F400-B505-4C1D-AEEA-6B97DA9B080E}"/>
    <cellStyle name="Normal 13 3 3 6" xfId="6303" xr:uid="{33ADAF47-B359-4470-AFF3-859F6060AC02}"/>
    <cellStyle name="Normal 13 3 3 7" xfId="7436" xr:uid="{F9BF2FB1-961B-4C57-8883-349C0502A677}"/>
    <cellStyle name="Normal 13 3 3 8" xfId="8412" xr:uid="{67E269CE-AA4C-4653-8FB4-5541E308C051}"/>
    <cellStyle name="Normal 13 3 3 9" xfId="9549" xr:uid="{19E0D1A7-FECD-4B7C-8B41-A3FC1C3D8CD8}"/>
    <cellStyle name="Normal 13 3 4" xfId="668" xr:uid="{9895B07A-1B5F-4451-833D-9FFBBC32B487}"/>
    <cellStyle name="Normal 13 3 4 10" xfId="10675" xr:uid="{6E187566-B829-4020-9F36-FE8E2771673A}"/>
    <cellStyle name="Normal 13 3 4 11" xfId="11956" xr:uid="{83E0B1DE-8CA3-4E65-98E8-6D3D5957465F}"/>
    <cellStyle name="Normal 13 3 4 12" xfId="14209" xr:uid="{8FAB882B-7D62-469F-ABCC-A7E7548482A4}"/>
    <cellStyle name="Normal 13 3 4 13" xfId="16462" xr:uid="{3631AED0-F447-4971-AEBE-DB3AD5E8B150}"/>
    <cellStyle name="Normal 13 3 4 2" xfId="1799" xr:uid="{63A3CDA8-7649-43EF-91A0-176F417E7A71}"/>
    <cellStyle name="Normal 13 3 4 2 2" xfId="13083" xr:uid="{5D33BCA8-A379-46BF-830E-E92197017749}"/>
    <cellStyle name="Normal 13 3 4 2 3" xfId="15336" xr:uid="{A83A9C30-8158-4B93-9E5A-7C731D37A441}"/>
    <cellStyle name="Normal 13 3 4 2 4" xfId="17589" xr:uid="{3EB312DA-19DD-4C17-AF52-994B2BD34339}"/>
    <cellStyle name="Normal 13 3 4 3" xfId="2925" xr:uid="{09B171FC-AB01-424C-946F-90F4B7A2291F}"/>
    <cellStyle name="Normal 13 3 4 4" xfId="4051" xr:uid="{FFA128C7-B744-4C5C-9F33-8C02670A30D0}"/>
    <cellStyle name="Normal 13 3 4 5" xfId="5177" xr:uid="{591D4B39-A71A-47F7-B32C-C0E608F9296B}"/>
    <cellStyle name="Normal 13 3 4 6" xfId="6304" xr:uid="{24C15A7E-E3A4-46C4-BA69-F262B6E5463F}"/>
    <cellStyle name="Normal 13 3 4 7" xfId="7437" xr:uid="{9CE4ED8D-5EF4-48ED-817C-23E491AA7D12}"/>
    <cellStyle name="Normal 13 3 4 8" xfId="8411" xr:uid="{A71E867A-06F9-4ACA-9D62-082CB688038C}"/>
    <cellStyle name="Normal 13 3 4 9" xfId="9548" xr:uid="{7CCCB4B1-D357-482D-AA12-E34826E38541}"/>
    <cellStyle name="Normal 13 3 5" xfId="1794" xr:uid="{56B95F45-E80E-4D18-80EE-FE8473605699}"/>
    <cellStyle name="Normal 13 3 5 2" xfId="13078" xr:uid="{180E4226-7B3B-4A93-8B68-B822A69140AB}"/>
    <cellStyle name="Normal 13 3 5 3" xfId="15331" xr:uid="{25B2D7C7-5B66-44D4-8DE1-1EFE952BF514}"/>
    <cellStyle name="Normal 13 3 5 4" xfId="17584" xr:uid="{7F545200-B802-4142-B3B7-55C3B82AEF91}"/>
    <cellStyle name="Normal 13 3 6" xfId="2920" xr:uid="{BA59BD6E-0FCF-4BFD-9140-EF21C1D74E7A}"/>
    <cellStyle name="Normal 13 3 7" xfId="4046" xr:uid="{FA34FE60-193A-41FB-829B-A73CFA2ABCFF}"/>
    <cellStyle name="Normal 13 3 8" xfId="5172" xr:uid="{0D62A00B-CFAE-43D0-9BDE-FA65B2E9BD7B}"/>
    <cellStyle name="Normal 13 3 9" xfId="6299" xr:uid="{3B0A5ECA-E103-4F65-AE1E-3502FC8870F9}"/>
    <cellStyle name="Normal 13 4" xfId="669" xr:uid="{BCB100E9-BA62-4902-B3A7-D6A07E3B12A2}"/>
    <cellStyle name="Normal 13 4 10" xfId="8410" xr:uid="{48FC2399-C473-4366-95E4-09BF28EDA24D}"/>
    <cellStyle name="Normal 13 4 11" xfId="9547" xr:uid="{1758F520-1CB9-46A9-8EDC-58C25F39CE68}"/>
    <cellStyle name="Normal 13 4 12" xfId="10674" xr:uid="{90A48F43-62BE-4058-BA33-772791C07B88}"/>
    <cellStyle name="Normal 13 4 13" xfId="11957" xr:uid="{F61AC8AE-6E2D-44D2-9924-4E9E2ECF2975}"/>
    <cellStyle name="Normal 13 4 14" xfId="14210" xr:uid="{4AACBD05-ABE7-404B-AC00-D49D56C34C65}"/>
    <cellStyle name="Normal 13 4 15" xfId="16463" xr:uid="{50A6AA35-F899-4F27-98AC-29DD5D74185A}"/>
    <cellStyle name="Normal 13 4 2" xfId="670" xr:uid="{CC0AF5A0-A095-4A44-BAE3-2F7DFD43F6F6}"/>
    <cellStyle name="Normal 13 4 2 10" xfId="10673" xr:uid="{3C98C6E3-E5AA-4BE1-9960-ECD27F375F5A}"/>
    <cellStyle name="Normal 13 4 2 11" xfId="11958" xr:uid="{09F8C776-D32C-4003-8F1A-A715B6D49FED}"/>
    <cellStyle name="Normal 13 4 2 12" xfId="14211" xr:uid="{0A7E2D00-BC45-4647-8843-796C104AC2DA}"/>
    <cellStyle name="Normal 13 4 2 13" xfId="16464" xr:uid="{6FF90B82-31D2-4685-966A-B7D97A8E928D}"/>
    <cellStyle name="Normal 13 4 2 2" xfId="1801" xr:uid="{754C2165-7DE8-4E0D-95D5-8EC420CA8D8B}"/>
    <cellStyle name="Normal 13 4 2 2 2" xfId="13085" xr:uid="{A06D45FA-795A-4A07-898E-5D90345ED420}"/>
    <cellStyle name="Normal 13 4 2 2 3" xfId="15338" xr:uid="{BAD81602-1461-4910-8178-2735C214D9BA}"/>
    <cellStyle name="Normal 13 4 2 2 4" xfId="17591" xr:uid="{BFA1D0A7-2786-4D9C-BE59-01BDBFFD8D7E}"/>
    <cellStyle name="Normal 13 4 2 3" xfId="2927" xr:uid="{97A18D80-DC04-4D5B-8D6B-DF8CF9D73CF9}"/>
    <cellStyle name="Normal 13 4 2 4" xfId="4053" xr:uid="{01ACF65B-B469-4931-9258-F9B3D14E4313}"/>
    <cellStyle name="Normal 13 4 2 5" xfId="5179" xr:uid="{5646C700-548A-4DE6-A38B-C9158313DFC8}"/>
    <cellStyle name="Normal 13 4 2 6" xfId="6306" xr:uid="{26C8AC57-66D3-4722-8DA8-698B510014E8}"/>
    <cellStyle name="Normal 13 4 2 7" xfId="7439" xr:uid="{3DD88736-CFEA-4726-84C6-9F4DB4B7BC94}"/>
    <cellStyle name="Normal 13 4 2 8" xfId="8409" xr:uid="{664FBD43-DFC3-4C25-932F-27A3527E0BE1}"/>
    <cellStyle name="Normal 13 4 2 9" xfId="9546" xr:uid="{2F0ACF16-5AD3-41CA-8C0E-A381B8C53F3D}"/>
    <cellStyle name="Normal 13 4 3" xfId="671" xr:uid="{6F851662-A1FA-43B8-857F-F960C531F561}"/>
    <cellStyle name="Normal 13 4 3 10" xfId="10672" xr:uid="{3A617742-7706-4554-BEAF-B020A0EC6064}"/>
    <cellStyle name="Normal 13 4 3 11" xfId="11959" xr:uid="{DDDE213A-BACB-4005-89A9-54CE78CC52DA}"/>
    <cellStyle name="Normal 13 4 3 12" xfId="14212" xr:uid="{3FC4B62E-4844-43B5-BC51-D1EDABCB076F}"/>
    <cellStyle name="Normal 13 4 3 13" xfId="16465" xr:uid="{E28A8F50-9A13-4F67-889D-EC9464FA9885}"/>
    <cellStyle name="Normal 13 4 3 2" xfId="1802" xr:uid="{D8AA6970-EAA4-446A-8D03-FDA436960C7E}"/>
    <cellStyle name="Normal 13 4 3 2 2" xfId="13086" xr:uid="{D7369C1B-317C-487C-A3F5-FBB09D25100D}"/>
    <cellStyle name="Normal 13 4 3 2 3" xfId="15339" xr:uid="{F336F5F8-2252-40AD-A6AE-B79259B32E63}"/>
    <cellStyle name="Normal 13 4 3 2 4" xfId="17592" xr:uid="{8C8F83E7-F323-4AB6-B9CA-DD91307167FB}"/>
    <cellStyle name="Normal 13 4 3 3" xfId="2928" xr:uid="{67FA9ED4-7DBE-4977-86B7-4E68DB157906}"/>
    <cellStyle name="Normal 13 4 3 4" xfId="4054" xr:uid="{6125C106-025F-4997-8DF4-7578E85153B4}"/>
    <cellStyle name="Normal 13 4 3 5" xfId="5180" xr:uid="{2E9B4927-B18B-453A-82CF-DC30E91C925A}"/>
    <cellStyle name="Normal 13 4 3 6" xfId="6307" xr:uid="{F4C10AF3-F5F3-41DC-B9D4-BF8747DEF641}"/>
    <cellStyle name="Normal 13 4 3 7" xfId="7440" xr:uid="{3F6B80FF-422E-4C8F-83B4-225C8A447F98}"/>
    <cellStyle name="Normal 13 4 3 8" xfId="8408" xr:uid="{B4F06258-FE44-4D8C-83B7-3D8D78931DED}"/>
    <cellStyle name="Normal 13 4 3 9" xfId="9545" xr:uid="{097467F0-BF81-4AD3-A861-F9D7C03B421C}"/>
    <cellStyle name="Normal 13 4 4" xfId="1800" xr:uid="{79EFB1E5-345D-4A9F-9FBB-A95D119DD39D}"/>
    <cellStyle name="Normal 13 4 4 2" xfId="13084" xr:uid="{85381AC5-E564-408F-8651-9CDC53828BF0}"/>
    <cellStyle name="Normal 13 4 4 3" xfId="15337" xr:uid="{C7280C2F-D111-483E-8406-33704A6BD3AE}"/>
    <cellStyle name="Normal 13 4 4 4" xfId="17590" xr:uid="{B8095219-E567-49B6-98AD-72ABD0A42E13}"/>
    <cellStyle name="Normal 13 4 5" xfId="2926" xr:uid="{4DBC6431-36AA-43A7-8405-A77E59F612EA}"/>
    <cellStyle name="Normal 13 4 6" xfId="4052" xr:uid="{FF0EBDF6-3E86-416F-AC9A-40FF0CA1E693}"/>
    <cellStyle name="Normal 13 4 7" xfId="5178" xr:uid="{08C2C63E-6254-4AE3-9829-B0F8371792AF}"/>
    <cellStyle name="Normal 13 4 8" xfId="6305" xr:uid="{80575AF1-5822-41C3-9DE8-6800D7AECE4B}"/>
    <cellStyle name="Normal 13 4 9" xfId="7438" xr:uid="{684B2F90-817B-4C71-8B07-AA3CAA005B20}"/>
    <cellStyle name="Normal 13 5" xfId="672" xr:uid="{DC17D7C1-5A59-414E-995C-BA52359B0F67}"/>
    <cellStyle name="Normal 13 5 10" xfId="10671" xr:uid="{1CEFE7D8-5788-4F66-BB8A-8387483C7F22}"/>
    <cellStyle name="Normal 13 5 11" xfId="11960" xr:uid="{AFE713E2-3240-4F39-B36F-F49F7A4F2DAB}"/>
    <cellStyle name="Normal 13 5 12" xfId="14213" xr:uid="{E6D53FA2-7280-46D7-AA23-1FFC6381384C}"/>
    <cellStyle name="Normal 13 5 13" xfId="16466" xr:uid="{D4E0CA43-36CE-447F-A9DD-3585AB5DE8D9}"/>
    <cellStyle name="Normal 13 5 2" xfId="1803" xr:uid="{D53F9866-99E5-477F-8667-C1CEC0AD6614}"/>
    <cellStyle name="Normal 13 5 2 2" xfId="13087" xr:uid="{2BE5DA28-5E75-429D-BBDB-8A267BCBC495}"/>
    <cellStyle name="Normal 13 5 2 3" xfId="15340" xr:uid="{C32FB07B-0526-454D-8F51-1213027D5F96}"/>
    <cellStyle name="Normal 13 5 2 4" xfId="17593" xr:uid="{752BD19D-AC50-45FE-8CA7-79C37BBE6FF1}"/>
    <cellStyle name="Normal 13 5 3" xfId="2929" xr:uid="{ED72E8CF-AF0A-44E8-AD40-0424841DC925}"/>
    <cellStyle name="Normal 13 5 4" xfId="4055" xr:uid="{8E9D12F8-20CB-4A06-8FBD-DEC78090395B}"/>
    <cellStyle name="Normal 13 5 5" xfId="5181" xr:uid="{B507F2C0-4F51-4591-8661-C0AB07D29CB7}"/>
    <cellStyle name="Normal 13 5 6" xfId="6308" xr:uid="{C84A1EB3-B44C-4912-9B3C-943F34B12A63}"/>
    <cellStyle name="Normal 13 5 7" xfId="7441" xr:uid="{4623A010-2646-487D-9406-B3F1C58C1876}"/>
    <cellStyle name="Normal 13 5 8" xfId="8407" xr:uid="{4F7BA1E0-3BE7-45D2-B25C-8E2FD9E2ABC6}"/>
    <cellStyle name="Normal 13 5 9" xfId="9544" xr:uid="{8450117B-BA82-4650-AD82-D3979B37A9D2}"/>
    <cellStyle name="Normal 13 6" xfId="673" xr:uid="{79635AE6-D459-49FE-BCEB-9295A55D76B2}"/>
    <cellStyle name="Normal 13 6 10" xfId="10670" xr:uid="{C6A60FFE-690C-4C57-8BE7-CB9B9F150A8A}"/>
    <cellStyle name="Normal 13 6 11" xfId="11961" xr:uid="{D7A755C7-86E8-4733-BE46-EF51662CAA84}"/>
    <cellStyle name="Normal 13 6 12" xfId="14214" xr:uid="{BD4CB5B1-CC1A-4E03-A2DB-80157BF1AF5A}"/>
    <cellStyle name="Normal 13 6 13" xfId="16467" xr:uid="{E021941A-23B2-4A64-BBD3-F00F1E000458}"/>
    <cellStyle name="Normal 13 6 2" xfId="1804" xr:uid="{3AF952DB-9CD5-4B28-BA98-01308547B167}"/>
    <cellStyle name="Normal 13 6 2 2" xfId="13088" xr:uid="{3369262B-D3EC-46B7-81F4-2A21B4B27400}"/>
    <cellStyle name="Normal 13 6 2 3" xfId="15341" xr:uid="{A0F1C968-4D8F-48DC-AB39-9B08371DD0B5}"/>
    <cellStyle name="Normal 13 6 2 4" xfId="17594" xr:uid="{E76086C0-1B22-4933-8E81-05CB5E07F727}"/>
    <cellStyle name="Normal 13 6 3" xfId="2930" xr:uid="{46D90C8B-C601-4DD7-B0DA-94362474E8FE}"/>
    <cellStyle name="Normal 13 6 4" xfId="4056" xr:uid="{A3C5F728-51A5-4348-829D-54D8EC6CDBC3}"/>
    <cellStyle name="Normal 13 6 5" xfId="5182" xr:uid="{3A8E1851-D551-43BC-AA4F-4B3ABBFBA409}"/>
    <cellStyle name="Normal 13 6 6" xfId="6309" xr:uid="{EBB3BCAE-5EE2-47B0-91CA-D0FCACB69ED9}"/>
    <cellStyle name="Normal 13 6 7" xfId="7442" xr:uid="{D84DC8A0-6866-4051-9B4F-8EC4F35309BC}"/>
    <cellStyle name="Normal 13 6 8" xfId="8406" xr:uid="{4C76BB2F-F99C-4B67-AC84-6ADFE40824E0}"/>
    <cellStyle name="Normal 13 6 9" xfId="9543" xr:uid="{82B9A19E-B95C-456A-A766-C1153BC8C7DA}"/>
    <cellStyle name="Normal 13 7" xfId="1781" xr:uid="{FCAC9500-6A00-4D7C-A2F0-AA70F353D275}"/>
    <cellStyle name="Normal 13 7 2" xfId="13065" xr:uid="{71343747-0FB1-403C-93B5-6A484099641B}"/>
    <cellStyle name="Normal 13 7 3" xfId="15318" xr:uid="{F088E2F0-C054-41AA-A658-E89F34E04008}"/>
    <cellStyle name="Normal 13 7 4" xfId="17571" xr:uid="{F624ABF0-5374-4DD3-8FA5-9C232EDE3693}"/>
    <cellStyle name="Normal 13 8" xfId="2907" xr:uid="{14D4F092-1D74-419A-A4AC-D42B6724EA56}"/>
    <cellStyle name="Normal 13 9" xfId="4033" xr:uid="{09166F77-A2C3-47A5-A9C3-60C59441A5E9}"/>
    <cellStyle name="Normal 14" xfId="674" xr:uid="{7F354787-5050-48B9-8904-D1E92A38CD0A}"/>
    <cellStyle name="Normal 14 10" xfId="5183" xr:uid="{7C52BABE-C6FF-4FE7-AE5D-AF5ABD7CD964}"/>
    <cellStyle name="Normal 14 11" xfId="6310" xr:uid="{0930676A-DF33-47F9-8AF5-82949FD04BB7}"/>
    <cellStyle name="Normal 14 12" xfId="7443" xr:uid="{B9F64F4D-36D3-441C-9E4A-1E55AD96BA37}"/>
    <cellStyle name="Normal 14 13" xfId="8405" xr:uid="{99E0D633-E1EE-402E-82C2-7754D12A3F4C}"/>
    <cellStyle name="Normal 14 14" xfId="9542" xr:uid="{6BDC2D06-457E-40C6-83D1-72FB8E60D7DA}"/>
    <cellStyle name="Normal 14 15" xfId="10669" xr:uid="{7998E072-4DB6-45D9-A685-B8C072B189E8}"/>
    <cellStyle name="Normal 14 16" xfId="11962" xr:uid="{9369B46A-33BB-498F-84FC-663E6C62D533}"/>
    <cellStyle name="Normal 14 17" xfId="14215" xr:uid="{1D34ACBD-7FEA-49CF-9AE6-0C25236B7C50}"/>
    <cellStyle name="Normal 14 18" xfId="16468" xr:uid="{742C2210-2391-4373-8D8A-CE32C133F2C1}"/>
    <cellStyle name="Normal 14 2" xfId="675" xr:uid="{FE5C5B97-EF61-47A2-B907-19EDB7DAEEFF}"/>
    <cellStyle name="Normal 14 2 10" xfId="6311" xr:uid="{541B60D3-F7BF-4C5E-82AB-EE247E642695}"/>
    <cellStyle name="Normal 14 2 11" xfId="7444" xr:uid="{EE13A204-6DB9-42A5-AD67-E962BD98BD69}"/>
    <cellStyle name="Normal 14 2 12" xfId="8404" xr:uid="{E82D7168-56AA-4FE0-9317-171A48FF7BEE}"/>
    <cellStyle name="Normal 14 2 13" xfId="9541" xr:uid="{4F05C891-CF25-4087-984E-E776F164EADE}"/>
    <cellStyle name="Normal 14 2 14" xfId="10668" xr:uid="{3062D3C7-61D8-4252-8EDD-35F8CB195CAB}"/>
    <cellStyle name="Normal 14 2 15" xfId="11963" xr:uid="{04B4632C-A351-4BF5-B7F6-49FA43A8C5FD}"/>
    <cellStyle name="Normal 14 2 16" xfId="14216" xr:uid="{86DEEA85-C0AE-43F0-B94B-D04801AD96C6}"/>
    <cellStyle name="Normal 14 2 17" xfId="16469" xr:uid="{F6911A4C-3405-47B8-B550-12AB9CCFA607}"/>
    <cellStyle name="Normal 14 2 2" xfId="676" xr:uid="{18D66192-0CA7-468B-933E-B603BCB1AD3C}"/>
    <cellStyle name="Normal 14 2 2 10" xfId="7445" xr:uid="{A8FD3C49-F063-4E19-B86C-DDEF62CD98C0}"/>
    <cellStyle name="Normal 14 2 2 11" xfId="8403" xr:uid="{A7C36194-259E-459A-A494-487F2423A03B}"/>
    <cellStyle name="Normal 14 2 2 12" xfId="9540" xr:uid="{8DD6BBEA-6CEE-4CDE-8191-CE79C3AFC86E}"/>
    <cellStyle name="Normal 14 2 2 13" xfId="10667" xr:uid="{89EEDFA3-A8E5-4B5E-BEEB-EE5E52F80D70}"/>
    <cellStyle name="Normal 14 2 2 14" xfId="11964" xr:uid="{75DF8D0E-4B94-4531-A8AA-BFB6098369C5}"/>
    <cellStyle name="Normal 14 2 2 15" xfId="14217" xr:uid="{668F3272-92D9-4DF7-88A3-35991743F1E7}"/>
    <cellStyle name="Normal 14 2 2 16" xfId="16470" xr:uid="{3A92BDC6-21A1-436E-B2B7-B4B80F91A2E8}"/>
    <cellStyle name="Normal 14 2 2 2" xfId="677" xr:uid="{DB2DA9D7-EFDF-417F-BD9B-B776D1F36EFD}"/>
    <cellStyle name="Normal 14 2 2 2 10" xfId="8402" xr:uid="{FC971F4B-3D07-4A3E-9517-67FD24063675}"/>
    <cellStyle name="Normal 14 2 2 2 11" xfId="9539" xr:uid="{67309BEA-CD09-49F6-BE0B-F0126D7A7406}"/>
    <cellStyle name="Normal 14 2 2 2 12" xfId="10666" xr:uid="{9F18BE5B-3A7F-4B85-B0ED-84A16A89C45B}"/>
    <cellStyle name="Normal 14 2 2 2 13" xfId="11965" xr:uid="{69250C78-C58E-4199-A126-42F68EFD0C1E}"/>
    <cellStyle name="Normal 14 2 2 2 14" xfId="14218" xr:uid="{249DAB83-628B-470A-BF6D-4F3DAEAA810C}"/>
    <cellStyle name="Normal 14 2 2 2 15" xfId="16471" xr:uid="{3D581DC6-56F2-42B6-9721-79D73EAF67F8}"/>
    <cellStyle name="Normal 14 2 2 2 2" xfId="678" xr:uid="{853BD134-D6C0-41A8-898F-DF6DC83AFA1D}"/>
    <cellStyle name="Normal 14 2 2 2 2 10" xfId="10665" xr:uid="{40D96BE2-08FE-4135-A319-4EDCDF9A4E43}"/>
    <cellStyle name="Normal 14 2 2 2 2 11" xfId="11966" xr:uid="{7D2A1551-1124-4C21-A335-C4C7F578ED1D}"/>
    <cellStyle name="Normal 14 2 2 2 2 12" xfId="14219" xr:uid="{E82A73EC-C9A7-4188-A83C-8F85064F452E}"/>
    <cellStyle name="Normal 14 2 2 2 2 13" xfId="16472" xr:uid="{C1BD0CCF-761C-40B4-A6B7-B5559199A8A1}"/>
    <cellStyle name="Normal 14 2 2 2 2 2" xfId="1809" xr:uid="{31AA006B-5FF0-4DE3-8E50-BFB4786CB07C}"/>
    <cellStyle name="Normal 14 2 2 2 2 2 2" xfId="13093" xr:uid="{5717A238-1987-48DA-8839-BBC4620905E7}"/>
    <cellStyle name="Normal 14 2 2 2 2 2 3" xfId="15346" xr:uid="{1E5E8B66-156C-49B4-8050-340AA7734F3E}"/>
    <cellStyle name="Normal 14 2 2 2 2 2 4" xfId="17599" xr:uid="{70943D30-DAE5-49EB-8414-0C1D990D4960}"/>
    <cellStyle name="Normal 14 2 2 2 2 3" xfId="2935" xr:uid="{5653177F-1C88-466A-BDA9-18EA3A8033EB}"/>
    <cellStyle name="Normal 14 2 2 2 2 4" xfId="4061" xr:uid="{F1A1B974-D3E7-457E-93FC-E2F9FF084AF8}"/>
    <cellStyle name="Normal 14 2 2 2 2 5" xfId="5187" xr:uid="{E64C753B-2C18-40D3-9D01-FE290027E8F4}"/>
    <cellStyle name="Normal 14 2 2 2 2 6" xfId="6314" xr:uid="{28E75BE3-25B0-44F8-BD71-C5910233BDC5}"/>
    <cellStyle name="Normal 14 2 2 2 2 7" xfId="7447" xr:uid="{3C4D4CCB-E4A9-4892-B753-3845D13631E4}"/>
    <cellStyle name="Normal 14 2 2 2 2 8" xfId="8401" xr:uid="{8DCF7D44-799B-4425-9EAB-63954E4A4F31}"/>
    <cellStyle name="Normal 14 2 2 2 2 9" xfId="9538" xr:uid="{A6E91A7D-92DC-4448-BFF8-7DC5D3917B5B}"/>
    <cellStyle name="Normal 14 2 2 2 3" xfId="679" xr:uid="{85EC0086-C428-407B-825A-661F570931FF}"/>
    <cellStyle name="Normal 14 2 2 2 3 10" xfId="10664" xr:uid="{63932ABC-9A08-4B2C-B318-82F2B3F69A04}"/>
    <cellStyle name="Normal 14 2 2 2 3 11" xfId="11967" xr:uid="{790DDCDC-8C84-4C94-8E66-B80BD31F1642}"/>
    <cellStyle name="Normal 14 2 2 2 3 12" xfId="14220" xr:uid="{1AB1CDAC-8456-4EF3-858D-9B50110CCD81}"/>
    <cellStyle name="Normal 14 2 2 2 3 13" xfId="16473" xr:uid="{AC2823A3-3FA9-4AC4-BD68-FB8C9E33FCCB}"/>
    <cellStyle name="Normal 14 2 2 2 3 2" xfId="1810" xr:uid="{C2071790-B1B4-4D52-8518-4C0AD9EC7A46}"/>
    <cellStyle name="Normal 14 2 2 2 3 2 2" xfId="13094" xr:uid="{D7C4E0AC-49D2-4E30-9A74-3FDCF5D46189}"/>
    <cellStyle name="Normal 14 2 2 2 3 2 3" xfId="15347" xr:uid="{77557268-B0B1-4B70-9855-681B4DAA0507}"/>
    <cellStyle name="Normal 14 2 2 2 3 2 4" xfId="17600" xr:uid="{21D0AA78-2943-4CAA-AB24-99DCB848A987}"/>
    <cellStyle name="Normal 14 2 2 2 3 3" xfId="2936" xr:uid="{AD6B5EEB-AB09-4040-A7FF-365BBF319517}"/>
    <cellStyle name="Normal 14 2 2 2 3 4" xfId="4062" xr:uid="{94FAB808-8357-41BB-AF0A-77331B889071}"/>
    <cellStyle name="Normal 14 2 2 2 3 5" xfId="5188" xr:uid="{7D505735-1457-4965-82D8-19BBBEF964B1}"/>
    <cellStyle name="Normal 14 2 2 2 3 6" xfId="6315" xr:uid="{9F3C61C6-78ED-44C9-AFCA-C0C58F0985A0}"/>
    <cellStyle name="Normal 14 2 2 2 3 7" xfId="7448" xr:uid="{3A182341-36FA-42B6-9EF1-851161048C71}"/>
    <cellStyle name="Normal 14 2 2 2 3 8" xfId="8400" xr:uid="{D4F7711C-75E0-4DB4-A6B9-F82DBE02F924}"/>
    <cellStyle name="Normal 14 2 2 2 3 9" xfId="9537" xr:uid="{C7F67A37-3658-4A6D-8F29-462A56E20A1F}"/>
    <cellStyle name="Normal 14 2 2 2 4" xfId="1808" xr:uid="{506DCB45-E2BE-4159-A24E-158CEB32BFBB}"/>
    <cellStyle name="Normal 14 2 2 2 4 2" xfId="13092" xr:uid="{C1AFA381-515C-4FD0-9C34-AA47E48F0659}"/>
    <cellStyle name="Normal 14 2 2 2 4 3" xfId="15345" xr:uid="{62BF48B1-1A5B-454F-8F57-4BC8C316CB2D}"/>
    <cellStyle name="Normal 14 2 2 2 4 4" xfId="17598" xr:uid="{A79E9A01-B61D-4206-931D-3DEA1925723E}"/>
    <cellStyle name="Normal 14 2 2 2 5" xfId="2934" xr:uid="{5F54D78C-61F7-4C2B-BA56-3A21AB401312}"/>
    <cellStyle name="Normal 14 2 2 2 6" xfId="4060" xr:uid="{979E979C-67DD-41F1-BB96-BD8EF94D05E7}"/>
    <cellStyle name="Normal 14 2 2 2 7" xfId="5186" xr:uid="{C45375EA-75A0-4524-BF2D-D264561C0847}"/>
    <cellStyle name="Normal 14 2 2 2 8" xfId="6313" xr:uid="{0127BA8D-56D2-477D-9770-6D6C3E4C75F4}"/>
    <cellStyle name="Normal 14 2 2 2 9" xfId="7446" xr:uid="{92CFCF79-6BE9-43AE-811E-91A65457AE3E}"/>
    <cellStyle name="Normal 14 2 2 3" xfId="680" xr:uid="{A4B685D1-A9D2-4496-96BE-4DC7053A8706}"/>
    <cellStyle name="Normal 14 2 2 3 10" xfId="10663" xr:uid="{FF9FA598-8935-4DE3-A338-CD4519ACAFCB}"/>
    <cellStyle name="Normal 14 2 2 3 11" xfId="11968" xr:uid="{FE7771B9-F88A-4034-BB9E-A78307B29EDD}"/>
    <cellStyle name="Normal 14 2 2 3 12" xfId="14221" xr:uid="{6598593D-9CF7-45AE-8A8C-612823090AAA}"/>
    <cellStyle name="Normal 14 2 2 3 13" xfId="16474" xr:uid="{1CAE6BF5-B0AA-483A-81D6-177FD3E3B3D6}"/>
    <cellStyle name="Normal 14 2 2 3 2" xfId="1811" xr:uid="{0E3EF41F-B374-4B1C-8B6F-2BC4040889A6}"/>
    <cellStyle name="Normal 14 2 2 3 2 2" xfId="13095" xr:uid="{19AE8AED-8010-47DD-A4B0-C038F2CB155A}"/>
    <cellStyle name="Normal 14 2 2 3 2 3" xfId="15348" xr:uid="{05F141FC-6257-4821-92AB-38E9CCBD6E63}"/>
    <cellStyle name="Normal 14 2 2 3 2 4" xfId="17601" xr:uid="{F0983BA3-B917-4E08-83A2-57A15B23A0D4}"/>
    <cellStyle name="Normal 14 2 2 3 3" xfId="2937" xr:uid="{ACF04276-883A-4784-A351-BBDAAE9CB87F}"/>
    <cellStyle name="Normal 14 2 2 3 4" xfId="4063" xr:uid="{E92BCC88-91A4-453E-840D-D50CA8F22D41}"/>
    <cellStyle name="Normal 14 2 2 3 5" xfId="5189" xr:uid="{F127BEE6-AAF8-40B5-96CC-552D57D545C0}"/>
    <cellStyle name="Normal 14 2 2 3 6" xfId="6316" xr:uid="{BA9B0823-7985-47C5-BCBD-7100BAD4E347}"/>
    <cellStyle name="Normal 14 2 2 3 7" xfId="7449" xr:uid="{43141E89-4924-4740-BE01-40248C662C66}"/>
    <cellStyle name="Normal 14 2 2 3 8" xfId="8399" xr:uid="{59A32AAB-C4B2-4C42-A17C-D29F9378663E}"/>
    <cellStyle name="Normal 14 2 2 3 9" xfId="9536" xr:uid="{E9ED4513-2CDD-4506-9D29-3D1B0C8C05AF}"/>
    <cellStyle name="Normal 14 2 2 4" xfId="681" xr:uid="{433AA44D-250C-40E8-97F7-D88DB1BE7E07}"/>
    <cellStyle name="Normal 14 2 2 4 10" xfId="10662" xr:uid="{2B4CC1BF-83D3-4593-AD0C-2CA8F9EE4337}"/>
    <cellStyle name="Normal 14 2 2 4 11" xfId="11969" xr:uid="{58D1EEA1-2816-4E4C-A3A1-BAD9ECF12EFF}"/>
    <cellStyle name="Normal 14 2 2 4 12" xfId="14222" xr:uid="{2AAD8999-C660-4BE3-B588-EFCA4717DDF7}"/>
    <cellStyle name="Normal 14 2 2 4 13" xfId="16475" xr:uid="{CAABB657-83A3-44AC-8C13-E52549C35214}"/>
    <cellStyle name="Normal 14 2 2 4 2" xfId="1812" xr:uid="{6703A8B1-5D38-4E19-B666-F41112FDD600}"/>
    <cellStyle name="Normal 14 2 2 4 2 2" xfId="13096" xr:uid="{363A3869-CB4B-4D27-BD22-AA7FD39829AD}"/>
    <cellStyle name="Normal 14 2 2 4 2 3" xfId="15349" xr:uid="{03701FF3-27D8-4C0B-8B17-C3880D85B763}"/>
    <cellStyle name="Normal 14 2 2 4 2 4" xfId="17602" xr:uid="{08D9A38C-DC61-4909-BBFF-01775FA775A6}"/>
    <cellStyle name="Normal 14 2 2 4 3" xfId="2938" xr:uid="{CDE690C2-9133-478D-A104-55AA84F84B08}"/>
    <cellStyle name="Normal 14 2 2 4 4" xfId="4064" xr:uid="{15292FD1-8B83-4273-9D3F-1BE826BB885D}"/>
    <cellStyle name="Normal 14 2 2 4 5" xfId="5190" xr:uid="{130DBA99-F662-4204-B77E-1803F915C76C}"/>
    <cellStyle name="Normal 14 2 2 4 6" xfId="6317" xr:uid="{28CBD5F5-9ECA-48E7-B9C6-F06D4EE7C7DC}"/>
    <cellStyle name="Normal 14 2 2 4 7" xfId="7450" xr:uid="{4953B8AF-726E-459A-B97E-CB1F40576952}"/>
    <cellStyle name="Normal 14 2 2 4 8" xfId="8398" xr:uid="{DFB2818E-3F7C-4B76-BB47-E81FFBB467E3}"/>
    <cellStyle name="Normal 14 2 2 4 9" xfId="9535" xr:uid="{1F8CE25B-3D45-414A-BE4E-D50A0B922ABB}"/>
    <cellStyle name="Normal 14 2 2 5" xfId="1807" xr:uid="{FCE3439E-1096-4FFE-9E86-336A5A763377}"/>
    <cellStyle name="Normal 14 2 2 5 2" xfId="13091" xr:uid="{2174D40D-6F58-4114-A82A-157AFE8DFEE7}"/>
    <cellStyle name="Normal 14 2 2 5 3" xfId="15344" xr:uid="{8E3CA233-C854-489B-A179-527C92827C09}"/>
    <cellStyle name="Normal 14 2 2 5 4" xfId="17597" xr:uid="{04C7F630-EDF0-409D-87A5-26F81F15E3A3}"/>
    <cellStyle name="Normal 14 2 2 6" xfId="2933" xr:uid="{C44DE164-AB34-49F4-B737-BF6F3557542C}"/>
    <cellStyle name="Normal 14 2 2 7" xfId="4059" xr:uid="{75D5B6DD-1CE6-40AF-BAB4-51891961E977}"/>
    <cellStyle name="Normal 14 2 2 8" xfId="5185" xr:uid="{601196A3-5977-481A-9A5B-AFFCA77F53E3}"/>
    <cellStyle name="Normal 14 2 2 9" xfId="6312" xr:uid="{08AD0413-EAC5-4E71-A445-3B96093E511F}"/>
    <cellStyle name="Normal 14 2 3" xfId="682" xr:uid="{FE4662B6-ED4D-4BD4-84E7-32A9E8FDE27B}"/>
    <cellStyle name="Normal 14 2 3 10" xfId="8397" xr:uid="{5F3647D2-2EC4-4828-BD32-79A51CA3B1C4}"/>
    <cellStyle name="Normal 14 2 3 11" xfId="9534" xr:uid="{14A68EAE-6E56-4594-A92B-8C5B120A34F6}"/>
    <cellStyle name="Normal 14 2 3 12" xfId="10661" xr:uid="{D3139C92-30B6-45C1-A15B-72CEE80434B4}"/>
    <cellStyle name="Normal 14 2 3 13" xfId="11970" xr:uid="{119B619E-B95B-4F90-97D8-72AEB56DC9D6}"/>
    <cellStyle name="Normal 14 2 3 14" xfId="14223" xr:uid="{E549AC62-BB33-41B5-AF2E-839B15457C0A}"/>
    <cellStyle name="Normal 14 2 3 15" xfId="16476" xr:uid="{608EB695-73C6-4BB1-8A5E-EE3B5E08B874}"/>
    <cellStyle name="Normal 14 2 3 2" xfId="683" xr:uid="{B94935E4-A92E-4932-87BE-7557433E8A8B}"/>
    <cellStyle name="Normal 14 2 3 2 10" xfId="10660" xr:uid="{E0A89B08-58E3-431A-9162-0EA5D62D9B1D}"/>
    <cellStyle name="Normal 14 2 3 2 11" xfId="11971" xr:uid="{EEEAD7C8-15F3-4BC4-9F85-FFF56768BC19}"/>
    <cellStyle name="Normal 14 2 3 2 12" xfId="14224" xr:uid="{E1BBD7A9-09E0-4CDA-AE1D-28CB594FBEA8}"/>
    <cellStyle name="Normal 14 2 3 2 13" xfId="16477" xr:uid="{E9D9636A-F430-44CA-9E83-41D277F707C0}"/>
    <cellStyle name="Normal 14 2 3 2 2" xfId="1814" xr:uid="{E3BD8958-FED9-4586-9508-B629A2B497C2}"/>
    <cellStyle name="Normal 14 2 3 2 2 2" xfId="13098" xr:uid="{213D323D-4DFF-427B-888C-1EA58858B1D4}"/>
    <cellStyle name="Normal 14 2 3 2 2 3" xfId="15351" xr:uid="{BBCF2D77-32CA-4C91-BE3F-4E3008090E8B}"/>
    <cellStyle name="Normal 14 2 3 2 2 4" xfId="17604" xr:uid="{1BED9BDD-9AC3-4835-AFB5-2E4823F16FA8}"/>
    <cellStyle name="Normal 14 2 3 2 3" xfId="2940" xr:uid="{D98547F9-F9D7-4F1A-84CA-14F1232D6A34}"/>
    <cellStyle name="Normal 14 2 3 2 4" xfId="4066" xr:uid="{3C715AE5-46D9-40BD-B12E-6369D1936042}"/>
    <cellStyle name="Normal 14 2 3 2 5" xfId="5192" xr:uid="{CB7430B1-4AA5-4F8A-8B2B-E7AE1D8ECB46}"/>
    <cellStyle name="Normal 14 2 3 2 6" xfId="6319" xr:uid="{E560A78F-DD33-4A74-9573-41C0CFFA5405}"/>
    <cellStyle name="Normal 14 2 3 2 7" xfId="7452" xr:uid="{052216BE-7A57-4037-890C-6BACB1109316}"/>
    <cellStyle name="Normal 14 2 3 2 8" xfId="8396" xr:uid="{30EEC79C-B075-4AB1-8598-F296C30331BC}"/>
    <cellStyle name="Normal 14 2 3 2 9" xfId="9533" xr:uid="{4218D595-F9D8-4EAC-AB18-697417CDC644}"/>
    <cellStyle name="Normal 14 2 3 3" xfId="684" xr:uid="{A6E7C472-F1FE-4213-BCB9-BF98C72DFF8E}"/>
    <cellStyle name="Normal 14 2 3 3 10" xfId="10659" xr:uid="{58FB7784-57BE-4DD7-B7AE-0558E3574E85}"/>
    <cellStyle name="Normal 14 2 3 3 11" xfId="11972" xr:uid="{17CD1194-32A6-4D5D-85DF-E0A96922617A}"/>
    <cellStyle name="Normal 14 2 3 3 12" xfId="14225" xr:uid="{E69BE878-9E24-4FE1-8480-0D93EFDD9EEC}"/>
    <cellStyle name="Normal 14 2 3 3 13" xfId="16478" xr:uid="{CCAE3D26-1135-434F-9098-1387297ADDD3}"/>
    <cellStyle name="Normal 14 2 3 3 2" xfId="1815" xr:uid="{4853EE72-6D68-4F87-978C-681F9E061805}"/>
    <cellStyle name="Normal 14 2 3 3 2 2" xfId="13099" xr:uid="{E5384DC3-1B47-46EA-B2F7-46984575DDB1}"/>
    <cellStyle name="Normal 14 2 3 3 2 3" xfId="15352" xr:uid="{20C34F6C-AB87-4C33-88B7-9014EBA89575}"/>
    <cellStyle name="Normal 14 2 3 3 2 4" xfId="17605" xr:uid="{876E39F1-A77E-4FCE-9586-62CC96C0BFBC}"/>
    <cellStyle name="Normal 14 2 3 3 3" xfId="2941" xr:uid="{90F70B24-3D3A-473F-AAB8-FCC6BA28402C}"/>
    <cellStyle name="Normal 14 2 3 3 4" xfId="4067" xr:uid="{FF59656C-57D3-46D2-823E-2110E4A3953C}"/>
    <cellStyle name="Normal 14 2 3 3 5" xfId="5193" xr:uid="{58F3C444-A02C-47E0-A1B3-C8AB08C06A07}"/>
    <cellStyle name="Normal 14 2 3 3 6" xfId="6320" xr:uid="{40A8B577-449D-451C-94EB-D58875226BEF}"/>
    <cellStyle name="Normal 14 2 3 3 7" xfId="7453" xr:uid="{22F7B9FC-4992-42AD-A4E9-CBC695ACC21E}"/>
    <cellStyle name="Normal 14 2 3 3 8" xfId="8395" xr:uid="{7BC98341-ABDF-473C-B39D-1FC0BF75FD9B}"/>
    <cellStyle name="Normal 14 2 3 3 9" xfId="9532" xr:uid="{668938C7-BC4B-4A78-80A1-288191E1BEF9}"/>
    <cellStyle name="Normal 14 2 3 4" xfId="1813" xr:uid="{7E9969A3-92C1-4FF7-B45B-6B6094A358D1}"/>
    <cellStyle name="Normal 14 2 3 4 2" xfId="13097" xr:uid="{3573410F-C302-4CE4-96FD-5894090D0B4A}"/>
    <cellStyle name="Normal 14 2 3 4 3" xfId="15350" xr:uid="{36B6C66E-A451-430C-AF09-723A393226B1}"/>
    <cellStyle name="Normal 14 2 3 4 4" xfId="17603" xr:uid="{DCE6AB8D-8E4B-4F50-8EEE-60B903C69D86}"/>
    <cellStyle name="Normal 14 2 3 5" xfId="2939" xr:uid="{1E71E937-B317-4100-B8F4-860C84951E28}"/>
    <cellStyle name="Normal 14 2 3 6" xfId="4065" xr:uid="{4FDCEC54-317A-4A37-8B7A-1EC5782554BD}"/>
    <cellStyle name="Normal 14 2 3 7" xfId="5191" xr:uid="{A0254FA5-66CA-4683-907A-E8E8283E7522}"/>
    <cellStyle name="Normal 14 2 3 8" xfId="6318" xr:uid="{AB04C041-A188-4815-A625-B5C4C9C49690}"/>
    <cellStyle name="Normal 14 2 3 9" xfId="7451" xr:uid="{287CBB33-DD32-4811-8734-5BA62339448B}"/>
    <cellStyle name="Normal 14 2 4" xfId="685" xr:uid="{8997477A-BE09-46E2-BB3A-7654905A16D9}"/>
    <cellStyle name="Normal 14 2 4 10" xfId="10658" xr:uid="{7EADCE15-B3A2-460D-A4C3-637A33C158A2}"/>
    <cellStyle name="Normal 14 2 4 11" xfId="11973" xr:uid="{0B252CCB-089F-4D14-883E-A283A20450CC}"/>
    <cellStyle name="Normal 14 2 4 12" xfId="14226" xr:uid="{9566A6CB-C9AF-45F2-B79E-FE118270B944}"/>
    <cellStyle name="Normal 14 2 4 13" xfId="16479" xr:uid="{1C515099-7918-4DB0-92D5-FB2E8A02139A}"/>
    <cellStyle name="Normal 14 2 4 2" xfId="1816" xr:uid="{41A50820-8536-4676-A93F-F7C4AA7299DD}"/>
    <cellStyle name="Normal 14 2 4 2 2" xfId="13100" xr:uid="{DF0C6BF9-8F09-4801-B2B6-DE7DE1EB71E6}"/>
    <cellStyle name="Normal 14 2 4 2 3" xfId="15353" xr:uid="{F2E4DB57-52FB-4BEE-8302-5E3644B36340}"/>
    <cellStyle name="Normal 14 2 4 2 4" xfId="17606" xr:uid="{5FFD386A-A17C-4588-86F0-F4006AE9304B}"/>
    <cellStyle name="Normal 14 2 4 3" xfId="2942" xr:uid="{7AAF1DEC-C8E0-4DF9-84A5-E609CCB6E13D}"/>
    <cellStyle name="Normal 14 2 4 4" xfId="4068" xr:uid="{21F7E850-8457-4E32-9CA6-6FB7F0D41BAA}"/>
    <cellStyle name="Normal 14 2 4 5" xfId="5194" xr:uid="{625E8A98-AE41-4BE7-B5AB-B02980530377}"/>
    <cellStyle name="Normal 14 2 4 6" xfId="6321" xr:uid="{D89C8DB7-227D-42D3-B24E-22A5F0511F57}"/>
    <cellStyle name="Normal 14 2 4 7" xfId="7454" xr:uid="{E7EC57F5-C455-4B97-AE03-F4A8053E7D3E}"/>
    <cellStyle name="Normal 14 2 4 8" xfId="8394" xr:uid="{46F0A486-6960-45F2-88CA-BC05F9D40210}"/>
    <cellStyle name="Normal 14 2 4 9" xfId="9531" xr:uid="{12129A30-69A8-469F-A230-5901134FD004}"/>
    <cellStyle name="Normal 14 2 5" xfId="686" xr:uid="{BBDF366C-72AB-41ED-88ED-9439DA978987}"/>
    <cellStyle name="Normal 14 2 5 10" xfId="10657" xr:uid="{DD4E495F-E9AE-42BC-A7BE-BC841F8C8A06}"/>
    <cellStyle name="Normal 14 2 5 11" xfId="11974" xr:uid="{6B8006F1-533C-46C0-AEC8-6078D6EA6AA0}"/>
    <cellStyle name="Normal 14 2 5 12" xfId="14227" xr:uid="{74A3575C-23B1-4F78-A643-551D8517B088}"/>
    <cellStyle name="Normal 14 2 5 13" xfId="16480" xr:uid="{89B95875-4BEF-4850-9768-F3CE3079839F}"/>
    <cellStyle name="Normal 14 2 5 2" xfId="1817" xr:uid="{28B912C7-536D-4209-AFF6-C2D027149225}"/>
    <cellStyle name="Normal 14 2 5 2 2" xfId="13101" xr:uid="{E495CBD4-D938-416D-9290-29DF22B44085}"/>
    <cellStyle name="Normal 14 2 5 2 3" xfId="15354" xr:uid="{0B7C4A42-B455-4767-8937-AA0F3E7CDC04}"/>
    <cellStyle name="Normal 14 2 5 2 4" xfId="17607" xr:uid="{19564B7A-AFA0-4BF5-9383-4AEED863ADA5}"/>
    <cellStyle name="Normal 14 2 5 3" xfId="2943" xr:uid="{891BCB30-3CE6-498D-8001-2167D14EA38C}"/>
    <cellStyle name="Normal 14 2 5 4" xfId="4069" xr:uid="{396605C0-A792-411B-BFE8-940B4C954B59}"/>
    <cellStyle name="Normal 14 2 5 5" xfId="5195" xr:uid="{B25FDE60-4EBF-4F4A-B5B7-BFEE82176033}"/>
    <cellStyle name="Normal 14 2 5 6" xfId="6322" xr:uid="{06419A4A-3B6B-412A-B5F0-9DE29C31146B}"/>
    <cellStyle name="Normal 14 2 5 7" xfId="7455" xr:uid="{5072010C-30D8-4AC3-B057-EE68A80BF029}"/>
    <cellStyle name="Normal 14 2 5 8" xfId="8393" xr:uid="{AA0DEA29-1028-4995-B8F8-875094F3C62C}"/>
    <cellStyle name="Normal 14 2 5 9" xfId="9530" xr:uid="{EF4AAAB8-74EB-4A36-99F9-7B58775F9C8C}"/>
    <cellStyle name="Normal 14 2 6" xfId="1806" xr:uid="{2162B6E2-9A0C-450D-9ED5-F9969742B333}"/>
    <cellStyle name="Normal 14 2 6 2" xfId="13090" xr:uid="{9F77968F-C55F-49F7-A997-CBBF7A7027E7}"/>
    <cellStyle name="Normal 14 2 6 3" xfId="15343" xr:uid="{3FA970DF-C104-4851-AFBD-30E831FFC780}"/>
    <cellStyle name="Normal 14 2 6 4" xfId="17596" xr:uid="{0749D09A-A8BF-4289-B3B5-9E07B389B259}"/>
    <cellStyle name="Normal 14 2 7" xfId="2932" xr:uid="{4F6C374A-DF2A-4DE1-9B16-696782A442A8}"/>
    <cellStyle name="Normal 14 2 8" xfId="4058" xr:uid="{5D6351A6-0397-4C76-BA49-AC588D2E133B}"/>
    <cellStyle name="Normal 14 2 9" xfId="5184" xr:uid="{1C5CDA81-D759-4DCE-A553-1414B1705988}"/>
    <cellStyle name="Normal 14 3" xfId="687" xr:uid="{A25F8898-1AAE-4B2F-B568-622234CA15F8}"/>
    <cellStyle name="Normal 14 3 10" xfId="7456" xr:uid="{7C43AFB1-21BB-48A5-82DF-902388AC4479}"/>
    <cellStyle name="Normal 14 3 11" xfId="8392" xr:uid="{BE381F68-5ECE-4FC6-A953-086BF1DA0566}"/>
    <cellStyle name="Normal 14 3 12" xfId="9529" xr:uid="{8163ABED-D919-4A12-A864-635831344A06}"/>
    <cellStyle name="Normal 14 3 13" xfId="10656" xr:uid="{E07ECE19-2CF9-46CE-A346-017A960EDF5C}"/>
    <cellStyle name="Normal 14 3 14" xfId="11975" xr:uid="{61A004BC-8173-4D78-A953-AE5F72184AEB}"/>
    <cellStyle name="Normal 14 3 15" xfId="14228" xr:uid="{E9B673E1-3ADD-49AB-9762-C007A2189C73}"/>
    <cellStyle name="Normal 14 3 16" xfId="16481" xr:uid="{6905B7B4-0388-4ADD-B82E-2E97D9F1DC78}"/>
    <cellStyle name="Normal 14 3 2" xfId="688" xr:uid="{6361B203-BEC6-4C5F-BBDA-BCC2E7FDB7FD}"/>
    <cellStyle name="Normal 14 3 2 10" xfId="8391" xr:uid="{DC244430-15D0-4C53-AF35-D6700BFCF698}"/>
    <cellStyle name="Normal 14 3 2 11" xfId="9528" xr:uid="{1F916B19-C0C1-4F6D-BFE8-09269A923F55}"/>
    <cellStyle name="Normal 14 3 2 12" xfId="10655" xr:uid="{0DC3B848-7F7C-48B9-8F5C-B761491A3161}"/>
    <cellStyle name="Normal 14 3 2 13" xfId="11976" xr:uid="{9F68FC34-B87D-4164-A511-069953BE0847}"/>
    <cellStyle name="Normal 14 3 2 14" xfId="14229" xr:uid="{1CCF011A-671D-47DD-852D-1146131CA1F0}"/>
    <cellStyle name="Normal 14 3 2 15" xfId="16482" xr:uid="{8EA55969-2ECB-43CE-96BF-9E6A8C2B5BF3}"/>
    <cellStyle name="Normal 14 3 2 2" xfId="689" xr:uid="{23648635-A924-43B6-9F84-4E92A3371FD4}"/>
    <cellStyle name="Normal 14 3 2 2 10" xfId="10654" xr:uid="{2A282595-C164-4139-8269-681CA41DA978}"/>
    <cellStyle name="Normal 14 3 2 2 11" xfId="11977" xr:uid="{C1A60173-F771-4BAF-BEA8-21D1793CE17B}"/>
    <cellStyle name="Normal 14 3 2 2 12" xfId="14230" xr:uid="{4DEE4ADF-0B82-4B7C-B1BC-5D2E04A39CC2}"/>
    <cellStyle name="Normal 14 3 2 2 13" xfId="16483" xr:uid="{7D8864D8-3E4A-4D25-919A-22503759967F}"/>
    <cellStyle name="Normal 14 3 2 2 2" xfId="1820" xr:uid="{4B5A7653-4D0E-4686-9DC0-8DCD0D8F4CAB}"/>
    <cellStyle name="Normal 14 3 2 2 2 2" xfId="13104" xr:uid="{B5CE4C7F-6687-40EA-B8C8-6A9C7482E383}"/>
    <cellStyle name="Normal 14 3 2 2 2 3" xfId="15357" xr:uid="{5A9D8CE5-32E4-4026-AF2E-8EB83D6FAA23}"/>
    <cellStyle name="Normal 14 3 2 2 2 4" xfId="17610" xr:uid="{9F57BBA5-6D61-46CB-B6DE-4EFC8E2918DF}"/>
    <cellStyle name="Normal 14 3 2 2 3" xfId="2946" xr:uid="{E62210FE-6FBF-4722-9C44-CAFCCB521527}"/>
    <cellStyle name="Normal 14 3 2 2 4" xfId="4072" xr:uid="{A303C18D-B7E1-4744-8148-E42AA769FD48}"/>
    <cellStyle name="Normal 14 3 2 2 5" xfId="5198" xr:uid="{18B72789-EDEB-4B11-AC1C-459DB3128475}"/>
    <cellStyle name="Normal 14 3 2 2 6" xfId="6325" xr:uid="{50915F9A-FD6C-4805-8493-F60BAAFA515A}"/>
    <cellStyle name="Normal 14 3 2 2 7" xfId="7458" xr:uid="{8C81D44D-F810-427B-9484-FB2E4C7D0C7A}"/>
    <cellStyle name="Normal 14 3 2 2 8" xfId="8390" xr:uid="{ADBD0801-FE7E-4B5B-9097-7DF67E4A3979}"/>
    <cellStyle name="Normal 14 3 2 2 9" xfId="9527" xr:uid="{5CBE3E92-E97B-4F52-B9F4-77943E889573}"/>
    <cellStyle name="Normal 14 3 2 3" xfId="690" xr:uid="{641D0C03-73EE-4E8B-86FF-2D7BE70732AA}"/>
    <cellStyle name="Normal 14 3 2 3 10" xfId="10653" xr:uid="{74D283F3-6BB6-48D5-8A7F-FC320CE54A26}"/>
    <cellStyle name="Normal 14 3 2 3 11" xfId="11978" xr:uid="{447A3360-E504-474A-B8BF-9A8F09C82301}"/>
    <cellStyle name="Normal 14 3 2 3 12" xfId="14231" xr:uid="{FEE746F1-C3D7-4635-8E41-6E2AE049DCF5}"/>
    <cellStyle name="Normal 14 3 2 3 13" xfId="16484" xr:uid="{BF380E28-DFA5-4FF5-BE9E-F09AA33A0A91}"/>
    <cellStyle name="Normal 14 3 2 3 2" xfId="1821" xr:uid="{07D7A70A-98B5-4063-BDB2-7BF8AA48577B}"/>
    <cellStyle name="Normal 14 3 2 3 2 2" xfId="13105" xr:uid="{97587C8E-7AF5-47DA-BE12-C33B6F4D29C7}"/>
    <cellStyle name="Normal 14 3 2 3 2 3" xfId="15358" xr:uid="{DCFFBE5D-E166-4981-AE50-E685577338D5}"/>
    <cellStyle name="Normal 14 3 2 3 2 4" xfId="17611" xr:uid="{B7B7701C-5665-46DE-86CC-B273239628F8}"/>
    <cellStyle name="Normal 14 3 2 3 3" xfId="2947" xr:uid="{84331428-CF86-4DAA-A5CE-E8D20B7239A7}"/>
    <cellStyle name="Normal 14 3 2 3 4" xfId="4073" xr:uid="{111EB6BB-65CD-49C9-BA4A-58630C7A104C}"/>
    <cellStyle name="Normal 14 3 2 3 5" xfId="5199" xr:uid="{7CBDBE13-D5C2-437B-8FA6-3014C55B61C2}"/>
    <cellStyle name="Normal 14 3 2 3 6" xfId="6326" xr:uid="{D640C59E-E313-4682-B22A-08E8125895AB}"/>
    <cellStyle name="Normal 14 3 2 3 7" xfId="7459" xr:uid="{A8EBF4D9-E0F7-4702-9879-5197C1A1984F}"/>
    <cellStyle name="Normal 14 3 2 3 8" xfId="8389" xr:uid="{2837F6C3-349D-43ED-9C21-676E5A8CFFC4}"/>
    <cellStyle name="Normal 14 3 2 3 9" xfId="9526" xr:uid="{25643E7C-7327-47AC-9184-6CB49451E84B}"/>
    <cellStyle name="Normal 14 3 2 4" xfId="1819" xr:uid="{260F79B2-8902-4FF5-80E9-1786CDCEF6BE}"/>
    <cellStyle name="Normal 14 3 2 4 2" xfId="13103" xr:uid="{DC715C96-A516-4A38-BD6B-2F0A4F8E9C9E}"/>
    <cellStyle name="Normal 14 3 2 4 3" xfId="15356" xr:uid="{528132A5-BE19-4CA9-8AB7-50D983F8C6F1}"/>
    <cellStyle name="Normal 14 3 2 4 4" xfId="17609" xr:uid="{B9B29459-5235-44DA-80FE-51A02CB7006D}"/>
    <cellStyle name="Normal 14 3 2 5" xfId="2945" xr:uid="{EFA2872F-8FCB-4A6A-ADDF-7FFBFCFD43AD}"/>
    <cellStyle name="Normal 14 3 2 6" xfId="4071" xr:uid="{7D2E477A-DBEA-41EF-9FBD-49C3604CA3FA}"/>
    <cellStyle name="Normal 14 3 2 7" xfId="5197" xr:uid="{DCF1DA57-E112-4FDA-8B37-6EC2C7D907E3}"/>
    <cellStyle name="Normal 14 3 2 8" xfId="6324" xr:uid="{F0B68007-FF27-43BE-BB7F-5C6AB9209DF9}"/>
    <cellStyle name="Normal 14 3 2 9" xfId="7457" xr:uid="{8782568F-A915-4F32-9FB8-503B11383337}"/>
    <cellStyle name="Normal 14 3 3" xfId="691" xr:uid="{9247B778-D997-4958-AA49-0D813DF17D3B}"/>
    <cellStyle name="Normal 14 3 3 10" xfId="10652" xr:uid="{331DF111-D347-459C-BC48-C13BB1F25BA2}"/>
    <cellStyle name="Normal 14 3 3 11" xfId="11979" xr:uid="{F2379D26-65F8-418F-A18F-3F5EDE9CC538}"/>
    <cellStyle name="Normal 14 3 3 12" xfId="14232" xr:uid="{125F4EB2-7236-470C-ADE9-8ED2F272A245}"/>
    <cellStyle name="Normal 14 3 3 13" xfId="16485" xr:uid="{080A2B47-5E78-47E3-9854-CE396CB2DEF9}"/>
    <cellStyle name="Normal 14 3 3 2" xfId="1822" xr:uid="{6D4B7B04-6C9D-48E0-9CC7-462DE5373FDA}"/>
    <cellStyle name="Normal 14 3 3 2 2" xfId="13106" xr:uid="{25323AA5-B0C0-400A-B496-3D7CEC9401A7}"/>
    <cellStyle name="Normal 14 3 3 2 3" xfId="15359" xr:uid="{05748F0E-21F1-4436-94A1-C445F13A921D}"/>
    <cellStyle name="Normal 14 3 3 2 4" xfId="17612" xr:uid="{68568C62-CDC8-45B3-878E-6846E459FFDD}"/>
    <cellStyle name="Normal 14 3 3 3" xfId="2948" xr:uid="{5F9312EC-1C5F-4F88-AC4A-AE2BD752DD4D}"/>
    <cellStyle name="Normal 14 3 3 4" xfId="4074" xr:uid="{D0C47AD9-4A69-4589-B50C-96FA472EFE20}"/>
    <cellStyle name="Normal 14 3 3 5" xfId="5200" xr:uid="{1B3C9C7D-07A7-431D-B4E4-EBEB3641FD47}"/>
    <cellStyle name="Normal 14 3 3 6" xfId="6327" xr:uid="{3D9D1AA8-F835-4FEC-90C9-6F76D2DC8D5F}"/>
    <cellStyle name="Normal 14 3 3 7" xfId="7460" xr:uid="{1B81CE52-4955-4BE8-8B3B-81AE411351CC}"/>
    <cellStyle name="Normal 14 3 3 8" xfId="8388" xr:uid="{74DBC1D7-E7F1-45B5-B9B7-8D1D356FF4C7}"/>
    <cellStyle name="Normal 14 3 3 9" xfId="9525" xr:uid="{7CE991C7-D4B9-4800-A12A-6140C0A34795}"/>
    <cellStyle name="Normal 14 3 4" xfId="692" xr:uid="{2B41E9DD-0EEF-4231-BE86-FAAAD25CE886}"/>
    <cellStyle name="Normal 14 3 4 10" xfId="10651" xr:uid="{D7242FBD-2C29-4BCA-A7AE-CA6AA1D81DA4}"/>
    <cellStyle name="Normal 14 3 4 11" xfId="11980" xr:uid="{5C10D423-73C2-425C-B202-AC3F1FAC9479}"/>
    <cellStyle name="Normal 14 3 4 12" xfId="14233" xr:uid="{310E0CA0-3CDD-494F-896A-4584F7BF03CB}"/>
    <cellStyle name="Normal 14 3 4 13" xfId="16486" xr:uid="{8F3005C9-7286-4ADA-86AC-3699D88685BE}"/>
    <cellStyle name="Normal 14 3 4 2" xfId="1823" xr:uid="{EBD0DC9B-F1E3-44B5-8823-793857A16ECE}"/>
    <cellStyle name="Normal 14 3 4 2 2" xfId="13107" xr:uid="{C3F53443-5014-478F-B277-EA63204D3D12}"/>
    <cellStyle name="Normal 14 3 4 2 3" xfId="15360" xr:uid="{A9BE3158-B583-4EE0-8B23-3D2192205182}"/>
    <cellStyle name="Normal 14 3 4 2 4" xfId="17613" xr:uid="{C6D0F152-AB26-43A1-8604-3C5199DD6248}"/>
    <cellStyle name="Normal 14 3 4 3" xfId="2949" xr:uid="{69EE4E45-33AF-4BAC-BF67-C9B8575E38E8}"/>
    <cellStyle name="Normal 14 3 4 4" xfId="4075" xr:uid="{85D4D065-8406-478F-9EBF-D467D418389C}"/>
    <cellStyle name="Normal 14 3 4 5" xfId="5201" xr:uid="{C038CF0C-66BC-40E0-9839-B05BAC971B7C}"/>
    <cellStyle name="Normal 14 3 4 6" xfId="6328" xr:uid="{B6C49634-E448-4C04-9ED0-F8EB83061AFC}"/>
    <cellStyle name="Normal 14 3 4 7" xfId="7461" xr:uid="{DFCBEC78-7FFC-4CCD-8C1A-C50795D822F4}"/>
    <cellStyle name="Normal 14 3 4 8" xfId="8387" xr:uid="{9B081AB3-D5C0-4329-96BB-00410D3F8016}"/>
    <cellStyle name="Normal 14 3 4 9" xfId="9524" xr:uid="{908939F4-8C0C-4E37-809A-4A9BFB3E14A2}"/>
    <cellStyle name="Normal 14 3 5" xfId="1818" xr:uid="{7B639DBE-9C8C-4DC0-BC27-57074E1C630D}"/>
    <cellStyle name="Normal 14 3 5 2" xfId="13102" xr:uid="{EFA38D19-94F1-4CA1-B5E5-A6FF2363231F}"/>
    <cellStyle name="Normal 14 3 5 3" xfId="15355" xr:uid="{3079CC24-8B3E-427F-9CCF-1B02BEA8C611}"/>
    <cellStyle name="Normal 14 3 5 4" xfId="17608" xr:uid="{E21E4692-66F4-4EC3-B1BB-82664F95C0B7}"/>
    <cellStyle name="Normal 14 3 6" xfId="2944" xr:uid="{60DE06D9-3594-42B5-9284-822CB65B214C}"/>
    <cellStyle name="Normal 14 3 7" xfId="4070" xr:uid="{DE535C8F-0EED-492D-8977-E19349B7DACC}"/>
    <cellStyle name="Normal 14 3 8" xfId="5196" xr:uid="{B210CBEB-86F8-42A2-9314-032E46410067}"/>
    <cellStyle name="Normal 14 3 9" xfId="6323" xr:uid="{DFDD0330-42AF-4744-BB07-054397C3C2FD}"/>
    <cellStyle name="Normal 14 4" xfId="693" xr:uid="{78118814-7544-474F-B565-FD65FCD04D61}"/>
    <cellStyle name="Normal 14 4 10" xfId="8386" xr:uid="{C290D169-1081-4B5F-8A86-C0BDD8A425C8}"/>
    <cellStyle name="Normal 14 4 11" xfId="9523" xr:uid="{7A29622B-305B-45FB-9C6A-EA670CA8476A}"/>
    <cellStyle name="Normal 14 4 12" xfId="10650" xr:uid="{9E4677EB-D30C-4BC4-8642-C5D9D766B70A}"/>
    <cellStyle name="Normal 14 4 13" xfId="11981" xr:uid="{E7FA2FB9-35DE-4368-80AF-D7249A3C39AF}"/>
    <cellStyle name="Normal 14 4 14" xfId="14234" xr:uid="{5835D05A-F9F5-400F-8784-01382409CE40}"/>
    <cellStyle name="Normal 14 4 15" xfId="16487" xr:uid="{9625043C-4154-442B-BE76-EF23D6EA8E45}"/>
    <cellStyle name="Normal 14 4 2" xfId="694" xr:uid="{D2E8EBB7-9036-4C27-ADF9-C771796684D4}"/>
    <cellStyle name="Normal 14 4 2 10" xfId="10649" xr:uid="{4DC47891-04EB-4C72-8D35-4E4D9DFB2E48}"/>
    <cellStyle name="Normal 14 4 2 11" xfId="11982" xr:uid="{0AF20B34-5320-4365-BF07-8A734286DD58}"/>
    <cellStyle name="Normal 14 4 2 12" xfId="14235" xr:uid="{06F06EDE-665C-4C0F-851B-A45D21D37979}"/>
    <cellStyle name="Normal 14 4 2 13" xfId="16488" xr:uid="{867327F6-9580-4A4E-9E38-D94BF8C90285}"/>
    <cellStyle name="Normal 14 4 2 2" xfId="1825" xr:uid="{A7E1CCBA-2C45-4ABF-9706-0ED8853FBCC7}"/>
    <cellStyle name="Normal 14 4 2 2 2" xfId="13109" xr:uid="{C6F09E4C-CA0C-4256-8F94-489A6BC7F466}"/>
    <cellStyle name="Normal 14 4 2 2 3" xfId="15362" xr:uid="{B91BF53F-07F2-4158-8F49-ACFD437043B5}"/>
    <cellStyle name="Normal 14 4 2 2 4" xfId="17615" xr:uid="{1ECF3A8D-4C68-40ED-AD56-0007519B5C2D}"/>
    <cellStyle name="Normal 14 4 2 3" xfId="2951" xr:uid="{EAFE4099-99A2-4988-BBE3-FCB6D182248A}"/>
    <cellStyle name="Normal 14 4 2 4" xfId="4077" xr:uid="{6CD9D490-51E2-4929-BAF6-13DD52030526}"/>
    <cellStyle name="Normal 14 4 2 5" xfId="5203" xr:uid="{393B34E0-F107-4776-A581-D2E05E0A5E17}"/>
    <cellStyle name="Normal 14 4 2 6" xfId="6330" xr:uid="{C5372481-C6B3-4DF0-8393-C449433B20A6}"/>
    <cellStyle name="Normal 14 4 2 7" xfId="7463" xr:uid="{D0CDC86C-3835-42C4-8D28-5C561F63FBEF}"/>
    <cellStyle name="Normal 14 4 2 8" xfId="8385" xr:uid="{81EAD898-2E71-43DC-8100-2FC93238622D}"/>
    <cellStyle name="Normal 14 4 2 9" xfId="9522" xr:uid="{4562B33B-E25D-4F38-A9AA-4661AAEA078B}"/>
    <cellStyle name="Normal 14 4 3" xfId="695" xr:uid="{E8D4371A-B849-4849-A5A5-A0702BD120A0}"/>
    <cellStyle name="Normal 14 4 3 10" xfId="10648" xr:uid="{E220718A-F8A2-42F6-BF47-95EB6D65B251}"/>
    <cellStyle name="Normal 14 4 3 11" xfId="11983" xr:uid="{430E4EBA-ABF4-44AB-BD16-0D0FF22D0345}"/>
    <cellStyle name="Normal 14 4 3 12" xfId="14236" xr:uid="{DC5BF9B4-8E62-45D9-ABCD-AEC0AAD30202}"/>
    <cellStyle name="Normal 14 4 3 13" xfId="16489" xr:uid="{07D058C4-642A-483B-95BC-1F0B909D0EEA}"/>
    <cellStyle name="Normal 14 4 3 2" xfId="1826" xr:uid="{E018B55E-91D2-45F0-8462-87DF1A1BB9AE}"/>
    <cellStyle name="Normal 14 4 3 2 2" xfId="13110" xr:uid="{DA70ED02-45BA-4F3A-A4AD-5517C342CE01}"/>
    <cellStyle name="Normal 14 4 3 2 3" xfId="15363" xr:uid="{22F7FEBF-4E44-4F92-BBF2-261944716373}"/>
    <cellStyle name="Normal 14 4 3 2 4" xfId="17616" xr:uid="{61F99634-34C1-4F96-91A7-D6A5B74232A8}"/>
    <cellStyle name="Normal 14 4 3 3" xfId="2952" xr:uid="{89DAB4A9-BEB4-426E-BC12-F13D14FBE46C}"/>
    <cellStyle name="Normal 14 4 3 4" xfId="4078" xr:uid="{5BB3E994-361E-4755-841D-A4BFF5DFC222}"/>
    <cellStyle name="Normal 14 4 3 5" xfId="5204" xr:uid="{7FD9F6F9-169A-479A-8586-678C54D6044D}"/>
    <cellStyle name="Normal 14 4 3 6" xfId="6331" xr:uid="{C210A8BE-9838-4FA8-9446-6A3227CAAB9B}"/>
    <cellStyle name="Normal 14 4 3 7" xfId="7464" xr:uid="{E2DB97E0-43C1-476D-B2A9-EEB107F6C6CA}"/>
    <cellStyle name="Normal 14 4 3 8" xfId="8384" xr:uid="{506437FD-3FE4-49FA-8371-B9799BCE12F1}"/>
    <cellStyle name="Normal 14 4 3 9" xfId="9521" xr:uid="{DEF7E97F-3D0D-4284-AF5A-F9541684255A}"/>
    <cellStyle name="Normal 14 4 4" xfId="1824" xr:uid="{B573056C-8A99-4557-9F3F-FC1B57DFA418}"/>
    <cellStyle name="Normal 14 4 4 2" xfId="13108" xr:uid="{411C18D8-90E2-4AD8-9DA4-F3CCFEDD7D8A}"/>
    <cellStyle name="Normal 14 4 4 3" xfId="15361" xr:uid="{940BB420-BD02-40A6-A21B-094D2840A50C}"/>
    <cellStyle name="Normal 14 4 4 4" xfId="17614" xr:uid="{4E904650-E678-4CF0-8BB1-9A31747C2A76}"/>
    <cellStyle name="Normal 14 4 5" xfId="2950" xr:uid="{DE767371-DB32-4194-B341-A0A5D754E779}"/>
    <cellStyle name="Normal 14 4 6" xfId="4076" xr:uid="{BF3F2846-476C-4504-8D74-60C511B2AF50}"/>
    <cellStyle name="Normal 14 4 7" xfId="5202" xr:uid="{4209F5DA-46C9-44D8-9FF5-D877150210F2}"/>
    <cellStyle name="Normal 14 4 8" xfId="6329" xr:uid="{C898C939-D22A-4A6C-88CB-484757E3FB74}"/>
    <cellStyle name="Normal 14 4 9" xfId="7462" xr:uid="{633F647A-60E5-42B5-8A3A-36ECE924E546}"/>
    <cellStyle name="Normal 14 5" xfId="696" xr:uid="{53C2F485-CD19-4981-A790-F9954206593B}"/>
    <cellStyle name="Normal 14 5 10" xfId="10647" xr:uid="{7991F07E-E0CD-4759-8D7F-6AC12A59BD22}"/>
    <cellStyle name="Normal 14 5 11" xfId="11984" xr:uid="{361EE4CF-0733-4422-BFD8-8721D7A1C5A4}"/>
    <cellStyle name="Normal 14 5 12" xfId="14237" xr:uid="{62C438EA-F245-46DC-9F21-2E9851398CCB}"/>
    <cellStyle name="Normal 14 5 13" xfId="16490" xr:uid="{7431F492-4B2D-4DDD-9F82-4D4535A9AF5D}"/>
    <cellStyle name="Normal 14 5 2" xfId="1827" xr:uid="{0E8DB0B4-B709-4B5C-BE25-F982DB7377E6}"/>
    <cellStyle name="Normal 14 5 2 2" xfId="13111" xr:uid="{20AE925F-A73F-4907-BD0E-798E03DF9B26}"/>
    <cellStyle name="Normal 14 5 2 3" xfId="15364" xr:uid="{3D397336-8F53-46AA-ACC4-1EA23AAA9A9F}"/>
    <cellStyle name="Normal 14 5 2 4" xfId="17617" xr:uid="{4863855F-8F1F-48E6-969F-1A73C919ACC3}"/>
    <cellStyle name="Normal 14 5 3" xfId="2953" xr:uid="{AC8F1BBA-AE56-4492-B0BB-6181AD60F541}"/>
    <cellStyle name="Normal 14 5 4" xfId="4079" xr:uid="{2D25E07E-4827-49D5-87D0-573C35815903}"/>
    <cellStyle name="Normal 14 5 5" xfId="5205" xr:uid="{AF2B6D97-11D5-4DC9-81F9-DD7C664E7ACD}"/>
    <cellStyle name="Normal 14 5 6" xfId="6332" xr:uid="{EFB6BC10-FD76-4D03-8541-33C6D8449BBC}"/>
    <cellStyle name="Normal 14 5 7" xfId="7465" xr:uid="{3E011617-3D9F-44BD-BC48-3258A80A4253}"/>
    <cellStyle name="Normal 14 5 8" xfId="8383" xr:uid="{FED78CA6-56D3-4BE1-A72A-85603C05D39D}"/>
    <cellStyle name="Normal 14 5 9" xfId="9520" xr:uid="{C85485E2-38B7-4490-8264-62651C01A30F}"/>
    <cellStyle name="Normal 14 6" xfId="697" xr:uid="{2A334562-EF93-446D-9000-3BF679D14FDC}"/>
    <cellStyle name="Normal 14 6 10" xfId="10646" xr:uid="{E8BB94B0-93F2-4D2E-AAAD-14D82A4A15C5}"/>
    <cellStyle name="Normal 14 6 11" xfId="11985" xr:uid="{71CAD819-7EAE-4ADB-B4BE-8C209E2AA41F}"/>
    <cellStyle name="Normal 14 6 12" xfId="14238" xr:uid="{456B08FA-486D-42C4-AD76-63330EF65067}"/>
    <cellStyle name="Normal 14 6 13" xfId="16491" xr:uid="{1052F07E-24DC-46B9-A571-FAD651C32F79}"/>
    <cellStyle name="Normal 14 6 2" xfId="1828" xr:uid="{C634B61D-93D7-41F4-A913-954239C4DF3B}"/>
    <cellStyle name="Normal 14 6 2 2" xfId="13112" xr:uid="{E5460697-FE8A-4E7F-815C-7390DB5AAAEE}"/>
    <cellStyle name="Normal 14 6 2 3" xfId="15365" xr:uid="{2CE05F4B-7179-4584-894E-58ECEDAAC376}"/>
    <cellStyle name="Normal 14 6 2 4" xfId="17618" xr:uid="{E31B26B6-F3AA-4880-9E1B-F3658547A7FE}"/>
    <cellStyle name="Normal 14 6 3" xfId="2954" xr:uid="{ED982685-B2B0-4AC4-B53E-EA516DC0A810}"/>
    <cellStyle name="Normal 14 6 4" xfId="4080" xr:uid="{784B22E3-270F-4612-AF61-B61EF6BF3C83}"/>
    <cellStyle name="Normal 14 6 5" xfId="5206" xr:uid="{FE036330-F17D-4EC8-9D59-97F8042AFA20}"/>
    <cellStyle name="Normal 14 6 6" xfId="6333" xr:uid="{29974F43-0961-47B7-8206-B4CD1A83B607}"/>
    <cellStyle name="Normal 14 6 7" xfId="7466" xr:uid="{C517E725-201C-4D92-9E7F-C3B3C7E48B80}"/>
    <cellStyle name="Normal 14 6 8" xfId="8382" xr:uid="{A5D99C3C-30A4-4EC2-89EC-02D174236C12}"/>
    <cellStyle name="Normal 14 6 9" xfId="9519" xr:uid="{C93412B0-BEE2-45BB-A899-92A5C86459C0}"/>
    <cellStyle name="Normal 14 7" xfId="1805" xr:uid="{0A40D993-3DEC-47F0-8F10-895F2F5317A2}"/>
    <cellStyle name="Normal 14 7 2" xfId="13089" xr:uid="{D6A41CD2-2DB9-4F16-9625-B376E7F8BE04}"/>
    <cellStyle name="Normal 14 7 3" xfId="15342" xr:uid="{06B05F88-0271-4BAA-A1F7-9340FAF28C79}"/>
    <cellStyle name="Normal 14 7 4" xfId="17595" xr:uid="{548239A9-8AED-404E-8F16-95BA1AEB3C6C}"/>
    <cellStyle name="Normal 14 8" xfId="2931" xr:uid="{C0EB292A-4FA8-4002-B75E-DB55D20C6DB4}"/>
    <cellStyle name="Normal 14 9" xfId="4057" xr:uid="{A3C207A5-D9F9-41F4-9E62-0A8D1A81FB1C}"/>
    <cellStyle name="Normal 15" xfId="698" xr:uid="{B623A6F2-6E19-4275-BD1D-9FC4F853BE19}"/>
    <cellStyle name="Normal 15 10" xfId="7467" xr:uid="{069D4E74-FD88-4A5B-AD33-7808773445E5}"/>
    <cellStyle name="Normal 15 11" xfId="8381" xr:uid="{4BC8E4FB-9F6B-484D-9F10-779B616AA075}"/>
    <cellStyle name="Normal 15 12" xfId="9518" xr:uid="{F61746BB-B806-4883-975D-133FDF821DC1}"/>
    <cellStyle name="Normal 15 13" xfId="10645" xr:uid="{6A7539A7-14FE-487F-9687-3E9E255C4A6F}"/>
    <cellStyle name="Normal 15 14" xfId="11986" xr:uid="{01FB295C-3B8C-43C1-9F93-76F8C233086C}"/>
    <cellStyle name="Normal 15 15" xfId="14239" xr:uid="{FC019A26-1C38-422B-BB4A-31EECD012498}"/>
    <cellStyle name="Normal 15 16" xfId="16492" xr:uid="{36F48D4D-D0E9-4F48-A50D-FC4BFC9B2C4B}"/>
    <cellStyle name="Normal 15 2" xfId="699" xr:uid="{87195317-F44A-4448-AAC6-872B0C9A54AE}"/>
    <cellStyle name="Normal 15 2 10" xfId="8380" xr:uid="{46286E85-2AB1-4430-A24B-45EF6BFBAB72}"/>
    <cellStyle name="Normal 15 2 11" xfId="9517" xr:uid="{314B930C-2283-479B-B52D-1586B22CDD71}"/>
    <cellStyle name="Normal 15 2 12" xfId="10644" xr:uid="{3EE17348-6DC9-48F4-A35F-D732BDDFF096}"/>
    <cellStyle name="Normal 15 2 13" xfId="11987" xr:uid="{92C46A5F-3CC1-4F78-AEB1-327D8085DD2E}"/>
    <cellStyle name="Normal 15 2 14" xfId="14240" xr:uid="{F01DDF0A-48D6-4771-AE65-8B2DBCCD5D66}"/>
    <cellStyle name="Normal 15 2 15" xfId="16493" xr:uid="{1806AD6F-8401-41A0-A139-6074DE040186}"/>
    <cellStyle name="Normal 15 2 2" xfId="700" xr:uid="{44E9BD12-885A-4E9D-A240-BEC63FD3E488}"/>
    <cellStyle name="Normal 15 2 2 10" xfId="10643" xr:uid="{612F5AFD-8E43-4A32-87D8-C06C714B46EA}"/>
    <cellStyle name="Normal 15 2 2 11" xfId="11988" xr:uid="{5B1B17D3-98F3-4E99-AA60-BC9C80CE08CE}"/>
    <cellStyle name="Normal 15 2 2 12" xfId="14241" xr:uid="{F91AD198-2B09-4F47-957F-FA333DB06C34}"/>
    <cellStyle name="Normal 15 2 2 13" xfId="16494" xr:uid="{9A09853A-3C09-4BEC-BB6E-F64136317362}"/>
    <cellStyle name="Normal 15 2 2 2" xfId="1831" xr:uid="{3232A0D7-0302-4A69-BCDD-3289C223BE38}"/>
    <cellStyle name="Normal 15 2 2 2 2" xfId="13115" xr:uid="{EA3B78F6-659A-4354-AF11-E4323D73A8AF}"/>
    <cellStyle name="Normal 15 2 2 2 3" xfId="15368" xr:uid="{AA6619A6-3AB2-403E-BE29-BF39135C329C}"/>
    <cellStyle name="Normal 15 2 2 2 4" xfId="17621" xr:uid="{89B2741B-57D2-47BC-8778-826D928B0BF5}"/>
    <cellStyle name="Normal 15 2 2 3" xfId="2957" xr:uid="{59C320D1-CF70-4EE6-9744-421C9B08D236}"/>
    <cellStyle name="Normal 15 2 2 4" xfId="4083" xr:uid="{5BE89BC5-61EE-4EE3-B446-986899430383}"/>
    <cellStyle name="Normal 15 2 2 5" xfId="5209" xr:uid="{0890F820-E123-4DF4-A4D0-6AAA8C4604D9}"/>
    <cellStyle name="Normal 15 2 2 6" xfId="6336" xr:uid="{54F4AE0C-56C3-4C67-B752-E4D94FD861A2}"/>
    <cellStyle name="Normal 15 2 2 7" xfId="7469" xr:uid="{67310586-445F-4733-B6A5-9A9FB7BDDF4A}"/>
    <cellStyle name="Normal 15 2 2 8" xfId="8379" xr:uid="{3E689E1D-7BB3-431B-A090-BC8DE7466292}"/>
    <cellStyle name="Normal 15 2 2 9" xfId="9516" xr:uid="{ED40D68E-7EAA-4776-AD1A-56E96E75CEF1}"/>
    <cellStyle name="Normal 15 2 3" xfId="701" xr:uid="{944FF4BE-E1EC-439C-BF81-EAF90EEB6A55}"/>
    <cellStyle name="Normal 15 2 3 10" xfId="10642" xr:uid="{130E9EB3-EE3C-4F2F-9A7E-1DEC5A039600}"/>
    <cellStyle name="Normal 15 2 3 11" xfId="11989" xr:uid="{A98268CC-A57B-482C-90FA-E1F7ED08D44F}"/>
    <cellStyle name="Normal 15 2 3 12" xfId="14242" xr:uid="{3B7A4614-CB1D-4F8F-9B4A-BD5201F966B5}"/>
    <cellStyle name="Normal 15 2 3 13" xfId="16495" xr:uid="{890CAC9E-F3EC-4C51-AB3C-810F4D7B527B}"/>
    <cellStyle name="Normal 15 2 3 2" xfId="1832" xr:uid="{01CEBE83-A9F2-4EC7-AF03-1700072361A9}"/>
    <cellStyle name="Normal 15 2 3 2 2" xfId="13116" xr:uid="{029D3687-597F-4DFB-84A4-FC723CCCAB9D}"/>
    <cellStyle name="Normal 15 2 3 2 3" xfId="15369" xr:uid="{D428A555-4000-4C72-8FEA-C35E144C99A7}"/>
    <cellStyle name="Normal 15 2 3 2 4" xfId="17622" xr:uid="{7A7D90BC-4F78-4316-A42B-71B1E09D0EBB}"/>
    <cellStyle name="Normal 15 2 3 3" xfId="2958" xr:uid="{57A1FD5F-1210-4F65-92B1-64AD13876F25}"/>
    <cellStyle name="Normal 15 2 3 4" xfId="4084" xr:uid="{334946C7-C25A-4C5D-AC8B-28923661541D}"/>
    <cellStyle name="Normal 15 2 3 5" xfId="5210" xr:uid="{AB831217-C90B-4105-8920-CB50A3942B2B}"/>
    <cellStyle name="Normal 15 2 3 6" xfId="6337" xr:uid="{F72C3743-39D6-42C6-82AD-A485A1BCD051}"/>
    <cellStyle name="Normal 15 2 3 7" xfId="7470" xr:uid="{1C9F3F38-0696-4ADB-B336-36F85E61A738}"/>
    <cellStyle name="Normal 15 2 3 8" xfId="8378" xr:uid="{CF737E32-45E9-48BC-A8B1-FCD0410C2BB1}"/>
    <cellStyle name="Normal 15 2 3 9" xfId="9515" xr:uid="{8244CF99-3468-4B0E-A1B0-07EE0D2518F4}"/>
    <cellStyle name="Normal 15 2 4" xfId="1830" xr:uid="{D5EFA70F-A850-4AEA-AA4F-215C9024CC5C}"/>
    <cellStyle name="Normal 15 2 4 2" xfId="13114" xr:uid="{3024DC54-3F27-41D8-8986-5E068D1DECBC}"/>
    <cellStyle name="Normal 15 2 4 3" xfId="15367" xr:uid="{7D56457F-091C-4B3B-8E77-4DB4CAF9D42F}"/>
    <cellStyle name="Normal 15 2 4 4" xfId="17620" xr:uid="{05D19D36-2134-4690-9782-BA5C8031D35E}"/>
    <cellStyle name="Normal 15 2 5" xfId="2956" xr:uid="{62EB1EE8-407F-40FE-84B2-E51EED168257}"/>
    <cellStyle name="Normal 15 2 6" xfId="4082" xr:uid="{19BE09C6-A473-4ED3-A561-ED8F747C8CE1}"/>
    <cellStyle name="Normal 15 2 7" xfId="5208" xr:uid="{1CC16D02-64CE-4B70-B90D-8BE95A0F6CD6}"/>
    <cellStyle name="Normal 15 2 8" xfId="6335" xr:uid="{5E6AFD32-CA23-480D-A34A-EB94FC6AAA29}"/>
    <cellStyle name="Normal 15 2 9" xfId="7468" xr:uid="{E2270172-6271-45F2-9400-2A10251B54E3}"/>
    <cellStyle name="Normal 15 3" xfId="702" xr:uid="{A56517DF-D5E9-47AC-82F9-C3D71EBE5445}"/>
    <cellStyle name="Normal 15 3 10" xfId="10641" xr:uid="{82BDF08B-C66A-4D99-81B2-94E5E21F5350}"/>
    <cellStyle name="Normal 15 3 11" xfId="11990" xr:uid="{58BD405F-14A4-464D-BF81-0291DB2D5BE2}"/>
    <cellStyle name="Normal 15 3 12" xfId="14243" xr:uid="{A5B8D2EE-CAA7-40B7-B4FC-A29B6C284C9D}"/>
    <cellStyle name="Normal 15 3 13" xfId="16496" xr:uid="{74768AB0-6DF5-489E-8FEE-351FF5C84E49}"/>
    <cellStyle name="Normal 15 3 2" xfId="1833" xr:uid="{11361C04-2A57-4368-8E48-DA4BA968248E}"/>
    <cellStyle name="Normal 15 3 2 2" xfId="13117" xr:uid="{01DD6CA7-4E28-4E56-A004-0852FB97BE06}"/>
    <cellStyle name="Normal 15 3 2 3" xfId="15370" xr:uid="{C5193E2F-4C8F-4BF0-BD12-36FC546FEE74}"/>
    <cellStyle name="Normal 15 3 2 4" xfId="17623" xr:uid="{45C99FDE-B613-4453-8D6B-A702AA1EF3DB}"/>
    <cellStyle name="Normal 15 3 3" xfId="2959" xr:uid="{32990808-7B64-4439-8D83-2688B50D97FC}"/>
    <cellStyle name="Normal 15 3 4" xfId="4085" xr:uid="{58F0E16A-193F-4271-A573-5FC26A429717}"/>
    <cellStyle name="Normal 15 3 5" xfId="5211" xr:uid="{1C9C0A5B-DAC1-40C0-8A4A-6AE5341C443A}"/>
    <cellStyle name="Normal 15 3 6" xfId="6338" xr:uid="{74789C66-9D09-42EB-995F-057F327224A8}"/>
    <cellStyle name="Normal 15 3 7" xfId="7471" xr:uid="{5ABE824D-CD6C-409C-9A1B-2D31871E8539}"/>
    <cellStyle name="Normal 15 3 8" xfId="8377" xr:uid="{5BDF6026-9CF5-40A9-9B91-FECE54771973}"/>
    <cellStyle name="Normal 15 3 9" xfId="9514" xr:uid="{A64612B3-E10F-4713-A9B4-4CB6C4E5510C}"/>
    <cellStyle name="Normal 15 4" xfId="703" xr:uid="{22EE5DD3-3575-4F7E-9EDE-C47036EBDC92}"/>
    <cellStyle name="Normal 15 4 10" xfId="10640" xr:uid="{FFA4DB0A-A6D0-43D6-B0B9-18DCFA0E3D4D}"/>
    <cellStyle name="Normal 15 4 11" xfId="11991" xr:uid="{5C2BEBB3-5B63-43F1-9098-FAB5255FAE2B}"/>
    <cellStyle name="Normal 15 4 12" xfId="14244" xr:uid="{EC70E3FE-A0B4-457B-99B5-884D90491112}"/>
    <cellStyle name="Normal 15 4 13" xfId="16497" xr:uid="{121839D9-6EDB-467F-9998-5771BDC5FB4C}"/>
    <cellStyle name="Normal 15 4 2" xfId="1834" xr:uid="{8669008A-47CE-4126-BDA6-E58719C5CE23}"/>
    <cellStyle name="Normal 15 4 2 2" xfId="13118" xr:uid="{7D4B07C0-91C2-4068-BE50-E4D1EC141E8B}"/>
    <cellStyle name="Normal 15 4 2 3" xfId="15371" xr:uid="{1FDFDB09-EE65-4EBE-A583-FCDB2D0045F5}"/>
    <cellStyle name="Normal 15 4 2 4" xfId="17624" xr:uid="{3F7DF6E7-A5A2-439F-8AE6-12D3438BB6BE}"/>
    <cellStyle name="Normal 15 4 3" xfId="2960" xr:uid="{00AC1926-7298-45A8-A659-95F65AB250CF}"/>
    <cellStyle name="Normal 15 4 4" xfId="4086" xr:uid="{AEBED929-0D0A-4FF3-AD90-5588090E86DF}"/>
    <cellStyle name="Normal 15 4 5" xfId="5212" xr:uid="{34CF5034-B01A-446E-B688-14002DD64F71}"/>
    <cellStyle name="Normal 15 4 6" xfId="6339" xr:uid="{3C5D5C05-3FD6-4778-B0E3-C3B1ED4CF3AB}"/>
    <cellStyle name="Normal 15 4 7" xfId="7472" xr:uid="{D326A216-F9C2-4FF0-AEAA-CB70115314CA}"/>
    <cellStyle name="Normal 15 4 8" xfId="8376" xr:uid="{67B819AE-C290-4AEC-9294-349CACE55E12}"/>
    <cellStyle name="Normal 15 4 9" xfId="9513" xr:uid="{AAA03C0E-0CC4-4643-A856-91E0E9F50B68}"/>
    <cellStyle name="Normal 15 5" xfId="1829" xr:uid="{538BC262-69A6-4624-BF76-5CDB4C754547}"/>
    <cellStyle name="Normal 15 5 2" xfId="13113" xr:uid="{F9AB4077-DB1A-4817-9285-E4B44D71773C}"/>
    <cellStyle name="Normal 15 5 3" xfId="15366" xr:uid="{5B2C2501-14C2-4175-B46B-C8359DD3B868}"/>
    <cellStyle name="Normal 15 5 4" xfId="17619" xr:uid="{BD48D43C-74EF-4D8A-B3CF-12FAE36347B7}"/>
    <cellStyle name="Normal 15 6" xfId="2955" xr:uid="{E9605874-A798-46D7-9A9A-07C7E6558D8A}"/>
    <cellStyle name="Normal 15 7" xfId="4081" xr:uid="{1120DA4E-B8FA-43AE-B095-08A31AF5DBF6}"/>
    <cellStyle name="Normal 15 8" xfId="5207" xr:uid="{6CE40DC9-C5A9-4414-B76A-B78842E84A95}"/>
    <cellStyle name="Normal 15 9" xfId="6334" xr:uid="{795F673C-8592-46E0-A761-982C91423F93}"/>
    <cellStyle name="Normal 16" xfId="704" xr:uid="{8524CAD3-8731-490B-B0D5-847A260E6B96}"/>
    <cellStyle name="Normal 16 10" xfId="8375" xr:uid="{E6ED85C3-2176-40CD-BA33-2185575780C6}"/>
    <cellStyle name="Normal 16 11" xfId="9512" xr:uid="{B30A2A8B-3374-4ADF-AD54-A18E81940ACC}"/>
    <cellStyle name="Normal 16 12" xfId="10639" xr:uid="{16EDBD92-B5FD-43C0-8F52-F21527B97532}"/>
    <cellStyle name="Normal 16 13" xfId="11992" xr:uid="{39D4ED08-9DA5-4527-82CB-2D39293AB49F}"/>
    <cellStyle name="Normal 16 14" xfId="14245" xr:uid="{BE7A996A-FA10-4F96-BEB9-08AC14ADBF65}"/>
    <cellStyle name="Normal 16 15" xfId="16498" xr:uid="{B4D5E641-3160-4B4E-8219-64DE7C906CB9}"/>
    <cellStyle name="Normal 16 2" xfId="705" xr:uid="{8FF690F9-923F-47BE-BC47-C840B9E0CAF7}"/>
    <cellStyle name="Normal 16 2 10" xfId="10638" xr:uid="{665C61F9-D07A-436A-88E2-7747A649C848}"/>
    <cellStyle name="Normal 16 2 11" xfId="11993" xr:uid="{099252DB-8568-433F-B4C3-AFCFF36630F8}"/>
    <cellStyle name="Normal 16 2 12" xfId="14246" xr:uid="{BD0F7136-5516-4A80-9BA9-E86B8E35BFB7}"/>
    <cellStyle name="Normal 16 2 13" xfId="16499" xr:uid="{EEE1CE57-8B2E-4760-A09F-4AFED4635E6C}"/>
    <cellStyle name="Normal 16 2 2" xfId="1836" xr:uid="{E65EDB79-8D68-459C-8D30-A6929CEA5B71}"/>
    <cellStyle name="Normal 16 2 2 2" xfId="13120" xr:uid="{B5081DE3-D5E5-4903-97F5-AEB9B7662240}"/>
    <cellStyle name="Normal 16 2 2 3" xfId="15373" xr:uid="{D7A0BB58-4854-459A-8594-492A07B614AF}"/>
    <cellStyle name="Normal 16 2 2 4" xfId="17626" xr:uid="{F4BAF23F-D768-4E90-80C2-763109DE7699}"/>
    <cellStyle name="Normal 16 2 3" xfId="2962" xr:uid="{502C16A8-3394-42C5-ADA3-DB99A60E0144}"/>
    <cellStyle name="Normal 16 2 4" xfId="4088" xr:uid="{88A9C82A-1196-4424-A627-DA1791B30B84}"/>
    <cellStyle name="Normal 16 2 5" xfId="5214" xr:uid="{05FF5AC0-2E83-49BA-B47C-D1A3DF38F24A}"/>
    <cellStyle name="Normal 16 2 6" xfId="6341" xr:uid="{FD8730BD-6DD9-4446-AA97-870ED5E333EF}"/>
    <cellStyle name="Normal 16 2 7" xfId="7474" xr:uid="{DF624291-B741-4756-AA66-644FC1420831}"/>
    <cellStyle name="Normal 16 2 8" xfId="8374" xr:uid="{B1BB51B7-44C2-4B69-9FC5-39A348A2386E}"/>
    <cellStyle name="Normal 16 2 9" xfId="9511" xr:uid="{2BA0D938-D4C0-405D-BC3F-B424997866B9}"/>
    <cellStyle name="Normal 16 3" xfId="706" xr:uid="{1F5D2B4D-3447-47A6-99C8-DC69CEA3CD38}"/>
    <cellStyle name="Normal 16 3 10" xfId="10637" xr:uid="{AE57219F-97E8-412A-BA07-4E9901140422}"/>
    <cellStyle name="Normal 16 3 11" xfId="11994" xr:uid="{208326F3-97FF-44B8-9381-A807422A88BC}"/>
    <cellStyle name="Normal 16 3 12" xfId="14247" xr:uid="{6FD20CB8-476D-442C-9113-08295C86E37C}"/>
    <cellStyle name="Normal 16 3 13" xfId="16500" xr:uid="{CC1F0422-5514-4FA9-88A9-71FE2F7AE834}"/>
    <cellStyle name="Normal 16 3 2" xfId="1837" xr:uid="{AA4E7006-2DF4-4F61-BC9E-0EC119AB9694}"/>
    <cellStyle name="Normal 16 3 2 2" xfId="13121" xr:uid="{C36F58B2-E2E8-4BA9-8A6C-CC04DEF48DA8}"/>
    <cellStyle name="Normal 16 3 2 3" xfId="15374" xr:uid="{51057E1C-6126-4818-B570-B6EA1E3F277E}"/>
    <cellStyle name="Normal 16 3 2 4" xfId="17627" xr:uid="{BF011BE8-6248-484C-B305-480372D23112}"/>
    <cellStyle name="Normal 16 3 3" xfId="2963" xr:uid="{129E0D27-C990-4685-B940-803087F036A7}"/>
    <cellStyle name="Normal 16 3 4" xfId="4089" xr:uid="{52D14792-49A1-41A5-8D0B-C081EA2C1C23}"/>
    <cellStyle name="Normal 16 3 5" xfId="5215" xr:uid="{9EE7F9CE-8BF2-4188-B774-8A962227CD9B}"/>
    <cellStyle name="Normal 16 3 6" xfId="6342" xr:uid="{D726FD88-0E3E-4127-BD1E-315B584C1F28}"/>
    <cellStyle name="Normal 16 3 7" xfId="7475" xr:uid="{17606451-8707-477F-81E9-33165F2A3A0F}"/>
    <cellStyle name="Normal 16 3 8" xfId="8373" xr:uid="{1EF27AC7-1A46-47D3-9AD5-EA3F6AB1941D}"/>
    <cellStyle name="Normal 16 3 9" xfId="9510" xr:uid="{25E76F04-40BE-4586-A510-F87345F95A69}"/>
    <cellStyle name="Normal 16 4" xfId="1835" xr:uid="{C8981265-2377-4FFA-BD06-DEA7BEEDBB07}"/>
    <cellStyle name="Normal 16 4 2" xfId="13119" xr:uid="{40206B96-3E14-4523-A8FD-F3CD2C1C6C08}"/>
    <cellStyle name="Normal 16 4 3" xfId="15372" xr:uid="{A985B30B-4E88-43F3-B2FF-362979B4AB21}"/>
    <cellStyle name="Normal 16 4 4" xfId="17625" xr:uid="{BDFB938F-AE30-4582-973A-F3CC145F805B}"/>
    <cellStyle name="Normal 16 5" xfId="2961" xr:uid="{7A83D432-9233-4035-BE5E-2B0783B1D596}"/>
    <cellStyle name="Normal 16 6" xfId="4087" xr:uid="{0A86618B-78F6-45DD-91EF-90705BD52443}"/>
    <cellStyle name="Normal 16 7" xfId="5213" xr:uid="{4F99F2B2-A39A-4444-824E-BF6D9E53AF34}"/>
    <cellStyle name="Normal 16 8" xfId="6340" xr:uid="{85DE6B5F-874C-4616-8B26-5E8FEF04C1F0}"/>
    <cellStyle name="Normal 16 9" xfId="7473" xr:uid="{8D609B58-4F83-459C-96EF-5CEEAEE3B7F5}"/>
    <cellStyle name="Normal 17" xfId="707" xr:uid="{7F8DCE9C-4752-4BD5-8027-6DE58291CEF5}"/>
    <cellStyle name="Normal 17 10" xfId="8372" xr:uid="{A9783DB1-32C2-41D0-BC4C-47915BA22593}"/>
    <cellStyle name="Normal 17 11" xfId="9509" xr:uid="{48BD79A2-F933-4E2F-8677-E14E491B3278}"/>
    <cellStyle name="Normal 17 12" xfId="10636" xr:uid="{209D12FB-E736-44ED-AE7D-C193C8D4FCDD}"/>
    <cellStyle name="Normal 17 13" xfId="11995" xr:uid="{684804B1-FBB5-4DC2-99AB-A7EA356DD8B3}"/>
    <cellStyle name="Normal 17 14" xfId="14248" xr:uid="{EB40CD85-4D26-45C5-85B9-F025F2D0960C}"/>
    <cellStyle name="Normal 17 15" xfId="16501" xr:uid="{FDA3FBDD-9AB6-47D7-BD1F-A30264A97E9C}"/>
    <cellStyle name="Normal 17 2" xfId="708" xr:uid="{7C5B45BE-ECD4-4177-BD92-08476BFF3205}"/>
    <cellStyle name="Normal 17 2 10" xfId="10635" xr:uid="{471F3674-9A3C-4F20-B82E-FAAF27017719}"/>
    <cellStyle name="Normal 17 2 11" xfId="11996" xr:uid="{D7F8F990-7098-40E7-B532-52F86FCEAD52}"/>
    <cellStyle name="Normal 17 2 12" xfId="14249" xr:uid="{2D22696D-D26B-453F-9BA8-CE7D2615C8E6}"/>
    <cellStyle name="Normal 17 2 13" xfId="16502" xr:uid="{08CA6161-2A5D-44C2-A7AE-D6B164F7542B}"/>
    <cellStyle name="Normal 17 2 2" xfId="1839" xr:uid="{E7B17DCC-96D9-43E9-943E-D1F25C2D5C79}"/>
    <cellStyle name="Normal 17 2 2 2" xfId="13123" xr:uid="{21A00333-14E2-4206-9F11-9F5698700DDA}"/>
    <cellStyle name="Normal 17 2 2 3" xfId="15376" xr:uid="{805E37A1-3980-41C1-864C-AF1A203476EC}"/>
    <cellStyle name="Normal 17 2 2 4" xfId="17629" xr:uid="{E95022EF-F0B4-48A8-8F0D-EF7C2375AEC3}"/>
    <cellStyle name="Normal 17 2 3" xfId="2965" xr:uid="{9205D55C-C89F-46B0-BA86-1CF7484C48ED}"/>
    <cellStyle name="Normal 17 2 4" xfId="4091" xr:uid="{02049A68-5787-456E-91C0-BB14D07849D3}"/>
    <cellStyle name="Normal 17 2 5" xfId="5217" xr:uid="{B18DAB39-2F1B-48C6-B067-F59C4DD6771D}"/>
    <cellStyle name="Normal 17 2 6" xfId="6344" xr:uid="{1BEE2E06-12D2-49F6-A693-B46A0A041648}"/>
    <cellStyle name="Normal 17 2 7" xfId="7477" xr:uid="{8EF54275-E096-4D17-A453-D30A3145179E}"/>
    <cellStyle name="Normal 17 2 8" xfId="8371" xr:uid="{6701C492-8905-4FA9-AB72-DC20E2BCDF78}"/>
    <cellStyle name="Normal 17 2 9" xfId="9508" xr:uid="{001E31EC-E4C2-4E69-B003-B7617024553C}"/>
    <cellStyle name="Normal 17 3" xfId="709" xr:uid="{07FDE53D-2066-4ADF-9F22-7BB5E318229A}"/>
    <cellStyle name="Normal 17 3 10" xfId="10634" xr:uid="{BF4B2F90-647F-48AB-83B1-75295932E678}"/>
    <cellStyle name="Normal 17 3 11" xfId="11997" xr:uid="{6B14E52F-03EC-4C68-A927-BA9CDFE8764B}"/>
    <cellStyle name="Normal 17 3 12" xfId="14250" xr:uid="{9BA8D274-4BCD-4DBF-9CA8-1FBBABA8361E}"/>
    <cellStyle name="Normal 17 3 13" xfId="16503" xr:uid="{125D7A6A-9C00-4320-908B-676F17FB22A3}"/>
    <cellStyle name="Normal 17 3 2" xfId="1840" xr:uid="{C18CC67D-98C1-4D41-BF0C-8D24F3D369B1}"/>
    <cellStyle name="Normal 17 3 2 2" xfId="13124" xr:uid="{8B95AD61-CA47-4533-8AA4-1BD30FFEA44B}"/>
    <cellStyle name="Normal 17 3 2 3" xfId="15377" xr:uid="{28851C64-AED2-4F56-B149-3D41D8A13BDB}"/>
    <cellStyle name="Normal 17 3 2 4" xfId="17630" xr:uid="{86E863F9-616E-4905-8D66-D63305B162DB}"/>
    <cellStyle name="Normal 17 3 3" xfId="2966" xr:uid="{72CF3B91-58B1-4E46-AF3B-1AAB7BFAE81B}"/>
    <cellStyle name="Normal 17 3 4" xfId="4092" xr:uid="{184E0A40-08AD-4B65-85D3-3C747417001C}"/>
    <cellStyle name="Normal 17 3 5" xfId="5218" xr:uid="{7549FB94-3313-4E6F-BAE1-675C87D2D00C}"/>
    <cellStyle name="Normal 17 3 6" xfId="6345" xr:uid="{1A8339EE-CCC4-464A-88E9-177A3E7F45F7}"/>
    <cellStyle name="Normal 17 3 7" xfId="7478" xr:uid="{ED99A1BB-BBED-4E5C-B724-AF32F8ED6344}"/>
    <cellStyle name="Normal 17 3 8" xfId="8370" xr:uid="{2A7734DA-78F6-4BED-96C8-8CFEA71C9906}"/>
    <cellStyle name="Normal 17 3 9" xfId="9507" xr:uid="{43E4CF73-FE1F-4567-B9CA-09CABEB4057F}"/>
    <cellStyle name="Normal 17 4" xfId="1838" xr:uid="{287B49E9-1129-425A-BF9C-0AA5F2E6F2DB}"/>
    <cellStyle name="Normal 17 4 2" xfId="13122" xr:uid="{D11FBB66-D543-4E6E-A8C6-DBCB38900421}"/>
    <cellStyle name="Normal 17 4 3" xfId="15375" xr:uid="{59A89C76-75C9-4F0E-A165-C6DE6AF9D2F9}"/>
    <cellStyle name="Normal 17 4 4" xfId="17628" xr:uid="{1926665B-963B-468E-8B7A-766BF9889A9E}"/>
    <cellStyle name="Normal 17 5" xfId="2964" xr:uid="{B581DDA5-ADAC-4199-8F3A-57703A624E13}"/>
    <cellStyle name="Normal 17 6" xfId="4090" xr:uid="{1FA03BB2-461A-465F-890F-FB03E31D3FFA}"/>
    <cellStyle name="Normal 17 7" xfId="5216" xr:uid="{C7917193-7EAA-4326-85E2-2837CE55A338}"/>
    <cellStyle name="Normal 17 8" xfId="6343" xr:uid="{3EBB521C-39B9-413C-94F8-CB9C2E711C8B}"/>
    <cellStyle name="Normal 17 9" xfId="7476" xr:uid="{8954B5DD-39C2-49C1-8341-18E7C4DB16B2}"/>
    <cellStyle name="Normal 18" xfId="710" xr:uid="{D4605607-CD80-44CC-BECD-B7ED8E5EBB51}"/>
    <cellStyle name="Normal 18 10" xfId="10633" xr:uid="{9EE12DE0-FA0F-428C-A2B9-B29139AE5AFB}"/>
    <cellStyle name="Normal 18 11" xfId="11998" xr:uid="{5C1EF220-923A-4473-8C94-3805C5FA1ED8}"/>
    <cellStyle name="Normal 18 12" xfId="14251" xr:uid="{908B93E2-B167-4DC4-B6AB-8AEF00A7B935}"/>
    <cellStyle name="Normal 18 13" xfId="16504" xr:uid="{4EE808B4-9827-4FF0-A1CD-528146A996A1}"/>
    <cellStyle name="Normal 18 2" xfId="1841" xr:uid="{348538EE-3BDA-4B37-AC32-A9E428392F10}"/>
    <cellStyle name="Normal 18 2 2" xfId="13125" xr:uid="{361F8FED-3621-49AE-91FB-B5B942F146C0}"/>
    <cellStyle name="Normal 18 2 3" xfId="15378" xr:uid="{437AAB78-6A35-4F15-A23A-67BDE0512C83}"/>
    <cellStyle name="Normal 18 2 4" xfId="17631" xr:uid="{E8D55044-3A9F-4085-9E38-A38F28D41E3C}"/>
    <cellStyle name="Normal 18 3" xfId="2967" xr:uid="{6A382B55-87F5-442C-9992-A0EA9F58090E}"/>
    <cellStyle name="Normal 18 4" xfId="4093" xr:uid="{B98FDFA9-9D6A-447A-AD49-8DCEAA43D91E}"/>
    <cellStyle name="Normal 18 5" xfId="5219" xr:uid="{FD0A4DDE-9F59-468B-A1BF-1221FB3AEE62}"/>
    <cellStyle name="Normal 18 6" xfId="6346" xr:uid="{CA0FC448-B8D7-4A69-ADA6-FE45CE2BB0C1}"/>
    <cellStyle name="Normal 18 7" xfId="7479" xr:uid="{A4769C25-2B05-406D-89C1-F51D63F178D3}"/>
    <cellStyle name="Normal 18 8" xfId="8369" xr:uid="{1120C30A-2048-4BB7-8CDC-9307E276EDF9}"/>
    <cellStyle name="Normal 18 9" xfId="9506" xr:uid="{31CE4505-0DAD-4574-8C9D-863504B80F4D}"/>
    <cellStyle name="Normal 19" xfId="5663" xr:uid="{37945F92-8BEE-40E4-A7D4-A27643883C06}"/>
    <cellStyle name="Normal 19 2" xfId="12442" xr:uid="{BE5ACF45-6E86-453C-AB9F-DD27B2096F4D}"/>
    <cellStyle name="Normal 19 3" xfId="14695" xr:uid="{8CD97FF3-72C4-4E16-BEB9-AEA6228ED726}"/>
    <cellStyle name="Normal 19 4" xfId="16948" xr:uid="{A03F0539-DD80-4965-8CD5-DBE75B10BCD4}"/>
    <cellStyle name="Normal 2" xfId="11" xr:uid="{00000000-0005-0000-0000-000037000000}"/>
    <cellStyle name="Normal 2 10" xfId="711" xr:uid="{4F87567D-8AA4-4AE8-99ED-D3FE6A1ADE9C}"/>
    <cellStyle name="Normal 2 10 2" xfId="13126" xr:uid="{4AEA1EA8-FCCD-49C3-AA6A-2F1213C0AC66}"/>
    <cellStyle name="Normal 2 10 3" xfId="15379" xr:uid="{7E3BD7D9-13C0-4809-BF19-C60E7E1D3303}"/>
    <cellStyle name="Normal 2 10 4" xfId="17632" xr:uid="{043E4ECC-6429-4EAF-A81C-B4F992643824}"/>
    <cellStyle name="Normal 2 11" xfId="1842" xr:uid="{4F13E4FA-91E7-466B-BEA2-A1C22F9BB9EF}"/>
    <cellStyle name="Normal 2 12" xfId="2968" xr:uid="{5BC3F5AE-CF41-4F81-91E6-7EE15A45C1B8}"/>
    <cellStyle name="Normal 2 13" xfId="4094" xr:uid="{BA8A556E-D2FF-4AA4-9780-49771F998DFC}"/>
    <cellStyle name="Normal 2 14" xfId="5220" xr:uid="{D9978749-800B-4B1F-8B69-A33D97C2F2FE}"/>
    <cellStyle name="Normal 2 15" xfId="6347" xr:uid="{48145AFF-2259-408D-8DC9-8BD91506B877}"/>
    <cellStyle name="Normal 2 16" xfId="7480" xr:uid="{F54748EF-C8EB-48DE-BE96-176B780CEAAC}"/>
    <cellStyle name="Normal 2 17" xfId="8368" xr:uid="{3B00B393-1393-4D20-861A-25FA06172D38}"/>
    <cellStyle name="Normal 2 18" xfId="9058" xr:uid="{1132348C-91EF-4414-B100-9446D040E42B}"/>
    <cellStyle name="Normal 2 19" xfId="9505" xr:uid="{49D1DECE-78C8-4D6E-86D4-B6B0440B4D1C}"/>
    <cellStyle name="Normal 2 2" xfId="12" xr:uid="{00000000-0005-0000-0000-000038000000}"/>
    <cellStyle name="Normal 2 2 10" xfId="4095" xr:uid="{81DF41FF-1DF3-44FB-B1B5-9F01FA106926}"/>
    <cellStyle name="Normal 2 2 11" xfId="5221" xr:uid="{8B35FB2B-D17E-4937-9D59-69659A84DF2B}"/>
    <cellStyle name="Normal 2 2 12" xfId="6348" xr:uid="{BE8CD04E-B905-479C-9852-0522CC4F517F}"/>
    <cellStyle name="Normal 2 2 13" xfId="7481" xr:uid="{59FB0127-969F-4454-A2A8-A3FCA0012D90}"/>
    <cellStyle name="Normal 2 2 14" xfId="8367" xr:uid="{12970945-89A5-43DE-A773-CD4447D0D17F}"/>
    <cellStyle name="Normal 2 2 15" xfId="9504" xr:uid="{2B1B802E-82DC-4F83-9F1B-CED3008A7573}"/>
    <cellStyle name="Normal 2 2 16" xfId="10631" xr:uid="{DEF70BE8-60AB-497F-88D0-B7156055C903}"/>
    <cellStyle name="Normal 2 2 17" xfId="12000" xr:uid="{16530D8F-C274-4CD1-932F-D9C1EADE22F5}"/>
    <cellStyle name="Normal 2 2 18" xfId="14253" xr:uid="{84B73566-BD3F-4877-A269-FF2C927ABA63}"/>
    <cellStyle name="Normal 2 2 19" xfId="16506" xr:uid="{CDD1EB68-42D8-40EF-8144-2A9BA05F856C}"/>
    <cellStyle name="Normal 2 2 2" xfId="13" xr:uid="{00000000-0005-0000-0000-000039000000}"/>
    <cellStyle name="Normal 2 2 2 10" xfId="6349" xr:uid="{D5892C05-2D53-431E-804C-12CC5D9BD1BC}"/>
    <cellStyle name="Normal 2 2 2 11" xfId="7482" xr:uid="{79D07665-A635-475E-ADE8-C5FF467740EB}"/>
    <cellStyle name="Normal 2 2 2 12" xfId="8366" xr:uid="{2844A224-7747-400E-B427-14100568658C}"/>
    <cellStyle name="Normal 2 2 2 13" xfId="9503" xr:uid="{22AF199E-5FF4-4BC8-A2A9-B4207BD4D5D1}"/>
    <cellStyle name="Normal 2 2 2 14" xfId="10630" xr:uid="{F5D3931F-AC89-48FD-A9D9-8B309A094E08}"/>
    <cellStyle name="Normal 2 2 2 15" xfId="12001" xr:uid="{8B94C29D-DD58-435D-B532-B2ECF6934584}"/>
    <cellStyle name="Normal 2 2 2 16" xfId="14254" xr:uid="{A55188CB-73D8-4DD8-9139-193BAAD78B84}"/>
    <cellStyle name="Normal 2 2 2 17" xfId="16507" xr:uid="{3C9AD01B-0617-4D4B-A856-ACDDE150DAFB}"/>
    <cellStyle name="Normal 2 2 2 2" xfId="714" xr:uid="{8E5C8897-CAC9-4345-BCBD-351B265C7917}"/>
    <cellStyle name="Normal 2 2 2 2 10" xfId="8365" xr:uid="{5D30971A-1115-4800-B7DE-AA2BFC863B00}"/>
    <cellStyle name="Normal 2 2 2 2 11" xfId="9502" xr:uid="{DAE33743-8142-468F-95D2-87AED70990AF}"/>
    <cellStyle name="Normal 2 2 2 2 12" xfId="10629" xr:uid="{E157AD52-E63D-417A-9090-65B9E30BEB18}"/>
    <cellStyle name="Normal 2 2 2 2 13" xfId="12002" xr:uid="{A3BA7E2D-AA21-480B-A0F4-EE32035FEFEA}"/>
    <cellStyle name="Normal 2 2 2 2 14" xfId="14255" xr:uid="{134CB98F-D617-40D9-8644-4EA7E69B0F47}"/>
    <cellStyle name="Normal 2 2 2 2 15" xfId="16508" xr:uid="{B35E078D-CA17-42D9-BD6E-81B333645F20}"/>
    <cellStyle name="Normal 2 2 2 2 2" xfId="715" xr:uid="{72255880-DC8F-4170-A9DC-22A53D93CEF3}"/>
    <cellStyle name="Normal 2 2 2 2 2 10" xfId="10628" xr:uid="{177C61DB-F070-497A-A20D-5A0E72E9D46C}"/>
    <cellStyle name="Normal 2 2 2 2 2 11" xfId="12003" xr:uid="{EBD31665-B2CD-4F24-9339-2E2DE105654F}"/>
    <cellStyle name="Normal 2 2 2 2 2 12" xfId="14256" xr:uid="{80A26B98-EA4B-471E-B08D-2494A0BA13E3}"/>
    <cellStyle name="Normal 2 2 2 2 2 13" xfId="16509" xr:uid="{22D9607B-3764-46A9-B1F0-D6E4D1C3438B}"/>
    <cellStyle name="Normal 2 2 2 2 2 2" xfId="1846" xr:uid="{4535A504-F044-4DE1-8819-5A790DADC024}"/>
    <cellStyle name="Normal 2 2 2 2 2 2 2" xfId="13130" xr:uid="{57C604F5-3956-4F18-A1F5-8D19006B2056}"/>
    <cellStyle name="Normal 2 2 2 2 2 2 3" xfId="15383" xr:uid="{39483F9A-9317-4451-964E-F32C3E045F3A}"/>
    <cellStyle name="Normal 2 2 2 2 2 2 4" xfId="17636" xr:uid="{0D0C7A97-F3FC-4180-9FC2-6B847E2C6443}"/>
    <cellStyle name="Normal 2 2 2 2 2 3" xfId="2972" xr:uid="{E9C1FFB5-5D78-4917-9E62-F16F9CA74AA7}"/>
    <cellStyle name="Normal 2 2 2 2 2 4" xfId="4098" xr:uid="{5A7C799B-7416-4BE1-B94F-2BE57032A03C}"/>
    <cellStyle name="Normal 2 2 2 2 2 5" xfId="5224" xr:uid="{DFB5B38C-CCBD-4E5B-B5FD-EADE20A47D19}"/>
    <cellStyle name="Normal 2 2 2 2 2 6" xfId="6351" xr:uid="{0DCF0508-89BF-4D37-B91F-9C9B6CE74EE2}"/>
    <cellStyle name="Normal 2 2 2 2 2 7" xfId="7484" xr:uid="{E2FEDA76-7E5A-47D3-A370-01E2C54EF089}"/>
    <cellStyle name="Normal 2 2 2 2 2 8" xfId="8364" xr:uid="{17D6FACB-F94F-44DF-BC27-76531619EC6F}"/>
    <cellStyle name="Normal 2 2 2 2 2 9" xfId="9501" xr:uid="{328DF5F7-FA01-4650-A5F6-4B31A4AC721E}"/>
    <cellStyle name="Normal 2 2 2 2 3" xfId="716" xr:uid="{536F3AAF-E207-449D-8965-4AB4E698CAF6}"/>
    <cellStyle name="Normal 2 2 2 2 3 10" xfId="10627" xr:uid="{D1425087-5768-41CF-BA8C-F856F5380E4D}"/>
    <cellStyle name="Normal 2 2 2 2 3 11" xfId="12004" xr:uid="{4F865623-847A-4C4B-98DB-41EA96998608}"/>
    <cellStyle name="Normal 2 2 2 2 3 12" xfId="14257" xr:uid="{8FD9C58C-0235-4C71-9DEF-27D5509CD52B}"/>
    <cellStyle name="Normal 2 2 2 2 3 13" xfId="16510" xr:uid="{22A93AF5-F90E-4E9D-B779-DC5881277471}"/>
    <cellStyle name="Normal 2 2 2 2 3 2" xfId="1847" xr:uid="{369BE2CA-8214-44BD-9BB0-D83B0A790518}"/>
    <cellStyle name="Normal 2 2 2 2 3 2 2" xfId="13131" xr:uid="{EF94E893-FFDF-4D3F-80C5-1D70B90B833E}"/>
    <cellStyle name="Normal 2 2 2 2 3 2 3" xfId="15384" xr:uid="{9AB1541F-20FD-40F2-8356-159F7F954C92}"/>
    <cellStyle name="Normal 2 2 2 2 3 2 4" xfId="17637" xr:uid="{25BF1D90-2749-4C24-AE4F-014F8977F72E}"/>
    <cellStyle name="Normal 2 2 2 2 3 3" xfId="2973" xr:uid="{EF17DB74-560E-4BD1-9D14-9AECC6753D73}"/>
    <cellStyle name="Normal 2 2 2 2 3 4" xfId="4099" xr:uid="{58C003C0-7F41-4F16-9976-70BCEA54F237}"/>
    <cellStyle name="Normal 2 2 2 2 3 5" xfId="5225" xr:uid="{DCEC7F55-0C32-4D7C-BA87-A5B5288AE828}"/>
    <cellStyle name="Normal 2 2 2 2 3 6" xfId="6352" xr:uid="{D19A2929-6301-4430-A391-55BB5C73D75B}"/>
    <cellStyle name="Normal 2 2 2 2 3 7" xfId="7485" xr:uid="{5EA2AACA-418D-4688-B0D3-4A2172E4AEA5}"/>
    <cellStyle name="Normal 2 2 2 2 3 8" xfId="8363" xr:uid="{1B8742BE-FBCD-4136-8A43-FA9011EF6D96}"/>
    <cellStyle name="Normal 2 2 2 2 3 9" xfId="9500" xr:uid="{4556A15D-4394-4826-B4F2-07F3921D4392}"/>
    <cellStyle name="Normal 2 2 2 2 4" xfId="1845" xr:uid="{8C422837-80D8-4012-AD29-45022753CB3B}"/>
    <cellStyle name="Normal 2 2 2 2 4 2" xfId="13129" xr:uid="{B9E129E7-7A53-4F87-973E-B5FE86440115}"/>
    <cellStyle name="Normal 2 2 2 2 4 3" xfId="15382" xr:uid="{0B7368CA-9168-4FA4-852F-C9447FD95C29}"/>
    <cellStyle name="Normal 2 2 2 2 4 4" xfId="17635" xr:uid="{26ABBF0D-3147-47C7-8F0F-ABB303CF3059}"/>
    <cellStyle name="Normal 2 2 2 2 5" xfId="2971" xr:uid="{181C0268-3FC8-4A7F-9F95-3E5082BB6194}"/>
    <cellStyle name="Normal 2 2 2 2 6" xfId="4097" xr:uid="{40DEF934-F475-417D-B3BD-D1C8823E9112}"/>
    <cellStyle name="Normal 2 2 2 2 7" xfId="5223" xr:uid="{33DA3E67-DAB6-4473-9ED8-ED6DE7CB320E}"/>
    <cellStyle name="Normal 2 2 2 2 8" xfId="6350" xr:uid="{60203BF5-717B-425B-BEA8-8B4B5983909C}"/>
    <cellStyle name="Normal 2 2 2 2 9" xfId="7483" xr:uid="{A43C1C47-E1FC-46DD-93E7-BE2E5782437E}"/>
    <cellStyle name="Normal 2 2 2 3" xfId="717" xr:uid="{A763AD08-7B9A-4043-8A44-5DFD3F6612FC}"/>
    <cellStyle name="Normal 2 2 2 3 10" xfId="10626" xr:uid="{6B3A1C34-5FD7-4585-8458-B03D46DBDB82}"/>
    <cellStyle name="Normal 2 2 2 3 11" xfId="12005" xr:uid="{ED93E3C1-1F15-4D6F-8733-3020A475F81D}"/>
    <cellStyle name="Normal 2 2 2 3 12" xfId="14258" xr:uid="{7D1CB20C-3A8D-45DE-B24C-425075F24B25}"/>
    <cellStyle name="Normal 2 2 2 3 13" xfId="16511" xr:uid="{8869F337-780D-442F-9E46-C9E0EC9BA9F2}"/>
    <cellStyle name="Normal 2 2 2 3 2" xfId="1848" xr:uid="{68782DE3-D099-400F-855F-B006C8E052B1}"/>
    <cellStyle name="Normal 2 2 2 3 2 2" xfId="13132" xr:uid="{00AE4D1E-3A0E-40C5-ABF0-591BC8016B0E}"/>
    <cellStyle name="Normal 2 2 2 3 2 3" xfId="15385" xr:uid="{5FCDDF64-80AC-4E18-9639-A53FDA6DEE78}"/>
    <cellStyle name="Normal 2 2 2 3 2 4" xfId="17638" xr:uid="{08605491-FC3C-4710-85FF-9EB2AEFF848F}"/>
    <cellStyle name="Normal 2 2 2 3 3" xfId="2974" xr:uid="{BA14331A-84C5-40E5-BAF1-6C45737EA4F6}"/>
    <cellStyle name="Normal 2 2 2 3 4" xfId="4100" xr:uid="{D597F2AB-BEF1-4F15-BB30-C4B587DE89C7}"/>
    <cellStyle name="Normal 2 2 2 3 5" xfId="5226" xr:uid="{66847ACE-208B-4558-ACBE-A8F652457A1E}"/>
    <cellStyle name="Normal 2 2 2 3 6" xfId="6353" xr:uid="{FA50DD46-C934-4D6B-9ED7-AA2BB7B1A001}"/>
    <cellStyle name="Normal 2 2 2 3 7" xfId="7486" xr:uid="{771DF45D-2F14-41DA-A6FB-510B49B54405}"/>
    <cellStyle name="Normal 2 2 2 3 8" xfId="8362" xr:uid="{C9BE70F6-E21B-4A2A-A12D-C19653BD7506}"/>
    <cellStyle name="Normal 2 2 2 3 9" xfId="9499" xr:uid="{49345BDC-CF20-4595-92A5-248D32A2ABC2}"/>
    <cellStyle name="Normal 2 2 2 4" xfId="718" xr:uid="{C8B12088-F07D-443A-8EF1-496AA421B172}"/>
    <cellStyle name="Normal 2 2 2 4 10" xfId="10625" xr:uid="{0AA98C42-9E13-40B6-B6A7-09EC091CF763}"/>
    <cellStyle name="Normal 2 2 2 4 11" xfId="12006" xr:uid="{7FBCAC26-2328-4490-A6F8-B3FC90B0F26B}"/>
    <cellStyle name="Normal 2 2 2 4 12" xfId="14259" xr:uid="{E04AE671-9F45-4037-8E28-B79AF2D26DB0}"/>
    <cellStyle name="Normal 2 2 2 4 13" xfId="16512" xr:uid="{D7F468BB-D767-407F-828C-FB2A3F88489B}"/>
    <cellStyle name="Normal 2 2 2 4 2" xfId="1849" xr:uid="{6FBEB466-7CA4-4CF8-B163-2A79829DEC80}"/>
    <cellStyle name="Normal 2 2 2 4 2 2" xfId="13133" xr:uid="{B2527D18-36E3-4AF2-92E2-9A7C3E516537}"/>
    <cellStyle name="Normal 2 2 2 4 2 3" xfId="15386" xr:uid="{9E9DDCA4-A4E8-4A77-95E9-C4F64BEC2F64}"/>
    <cellStyle name="Normal 2 2 2 4 2 4" xfId="17639" xr:uid="{91A7B43A-186D-4F7C-B662-77AD5D92D49D}"/>
    <cellStyle name="Normal 2 2 2 4 3" xfId="2975" xr:uid="{2E259248-6853-42B6-94BA-8EE592E76B8F}"/>
    <cellStyle name="Normal 2 2 2 4 4" xfId="4101" xr:uid="{E93F5B1C-029C-40C5-AC44-71FA17E3BF1B}"/>
    <cellStyle name="Normal 2 2 2 4 5" xfId="5227" xr:uid="{ACD450AB-D3C5-43E2-8E32-57973D2F2946}"/>
    <cellStyle name="Normal 2 2 2 4 6" xfId="6354" xr:uid="{4D26EDD3-6227-4BFF-9699-F4CF13977EAD}"/>
    <cellStyle name="Normal 2 2 2 4 7" xfId="7487" xr:uid="{2D4177C7-E078-4268-8B47-09A8A831B18D}"/>
    <cellStyle name="Normal 2 2 2 4 8" xfId="8361" xr:uid="{B32488CC-C8C0-420F-B3F0-BE9EA682EB03}"/>
    <cellStyle name="Normal 2 2 2 4 9" xfId="9498" xr:uid="{D6A03127-B1BB-407E-9405-89CDA9F20CDE}"/>
    <cellStyle name="Normal 2 2 2 5" xfId="713" xr:uid="{93128AA6-7956-46A3-B89F-A2FE831145F2}"/>
    <cellStyle name="Normal 2 2 2 5 2" xfId="13128" xr:uid="{60D0C139-CC19-4974-849B-9951A1AC9173}"/>
    <cellStyle name="Normal 2 2 2 5 3" xfId="15381" xr:uid="{588D4856-86EF-44B1-AF4D-DA03D0582BF1}"/>
    <cellStyle name="Normal 2 2 2 5 4" xfId="17634" xr:uid="{8A0E8DD2-BEDA-4108-B730-A5EEF05DE836}"/>
    <cellStyle name="Normal 2 2 2 6" xfId="1844" xr:uid="{1C807002-0249-4363-A851-61D1669F44E9}"/>
    <cellStyle name="Normal 2 2 2 7" xfId="2970" xr:uid="{9CC37A51-BD0C-4092-8670-64E500421069}"/>
    <cellStyle name="Normal 2 2 2 8" xfId="4096" xr:uid="{A1015437-86FE-43D7-8ACA-3E56975D8E5A}"/>
    <cellStyle name="Normal 2 2 2 9" xfId="5222" xr:uid="{353649F8-5013-43B2-AD7C-7523EA5F1382}"/>
    <cellStyle name="Normal 2 2 3" xfId="719" xr:uid="{25E4FC4B-D0C8-4E3F-BA50-3924AB905539}"/>
    <cellStyle name="Normal 2 2 3 10" xfId="8360" xr:uid="{C0C955AD-D585-4196-95D5-FE3AB3719DE6}"/>
    <cellStyle name="Normal 2 2 3 11" xfId="9497" xr:uid="{C2670FAE-BD88-4C12-B524-632126D53494}"/>
    <cellStyle name="Normal 2 2 3 12" xfId="10624" xr:uid="{D59B74ED-4C74-4D41-986A-6118DCCC945A}"/>
    <cellStyle name="Normal 2 2 3 13" xfId="12007" xr:uid="{6AE37E26-E43B-4DAB-94C1-45A988A3D994}"/>
    <cellStyle name="Normal 2 2 3 14" xfId="14260" xr:uid="{9EC1BC0F-81A8-41B9-AE20-D66ADDF2141B}"/>
    <cellStyle name="Normal 2 2 3 15" xfId="16513" xr:uid="{F8DED5DD-2AC7-4110-BF7A-9B8EBCB0132F}"/>
    <cellStyle name="Normal 2 2 3 2" xfId="720" xr:uid="{99E01B13-ACE3-4291-B0A6-00778E372825}"/>
    <cellStyle name="Normal 2 2 3 2 10" xfId="10623" xr:uid="{B0D691A8-F40E-4988-8570-9607838A7E05}"/>
    <cellStyle name="Normal 2 2 3 2 11" xfId="12008" xr:uid="{0A8FE395-1FBB-4453-A0B4-ED96E823F223}"/>
    <cellStyle name="Normal 2 2 3 2 12" xfId="14261" xr:uid="{5558234F-E743-48E8-AEF4-312D4DB5D58D}"/>
    <cellStyle name="Normal 2 2 3 2 13" xfId="16514" xr:uid="{ADDE952C-BDA4-4AA0-8A57-7DF5F640F579}"/>
    <cellStyle name="Normal 2 2 3 2 2" xfId="1851" xr:uid="{8E755911-E4E6-427D-95B0-B8C0A052BBF0}"/>
    <cellStyle name="Normal 2 2 3 2 2 2" xfId="13135" xr:uid="{49A85AAD-4182-4648-B336-2377FD5BF560}"/>
    <cellStyle name="Normal 2 2 3 2 2 3" xfId="15388" xr:uid="{508CE93A-793D-41C3-8840-BEFDB7F00CBA}"/>
    <cellStyle name="Normal 2 2 3 2 2 4" xfId="17641" xr:uid="{B8D68613-0A16-4F3E-AA5C-04CD510709E6}"/>
    <cellStyle name="Normal 2 2 3 2 3" xfId="2977" xr:uid="{A1413D7D-DDFF-4ACB-B635-ECD6B9704198}"/>
    <cellStyle name="Normal 2 2 3 2 4" xfId="4103" xr:uid="{2D2D6759-59DE-4A0F-B76D-5C12AC381D97}"/>
    <cellStyle name="Normal 2 2 3 2 5" xfId="5229" xr:uid="{A728CD38-0C31-4C43-AA10-947A70FCC123}"/>
    <cellStyle name="Normal 2 2 3 2 6" xfId="6356" xr:uid="{876DAB19-E989-4176-8001-2BD0D5CA3AAC}"/>
    <cellStyle name="Normal 2 2 3 2 7" xfId="7489" xr:uid="{969EE3C9-579D-431C-8085-DA84FDCE4EF9}"/>
    <cellStyle name="Normal 2 2 3 2 8" xfId="8359" xr:uid="{4D40B7EE-FB20-48FA-B561-B1A448C40848}"/>
    <cellStyle name="Normal 2 2 3 2 9" xfId="9496" xr:uid="{741B9948-D474-45AF-8E0D-D9009945FB41}"/>
    <cellStyle name="Normal 2 2 3 3" xfId="721" xr:uid="{184C69E8-D69E-4904-8765-6D385EBF16B0}"/>
    <cellStyle name="Normal 2 2 3 3 10" xfId="10622" xr:uid="{516FA7E6-08D1-47FF-92E3-176EE6FA41D5}"/>
    <cellStyle name="Normal 2 2 3 3 11" xfId="12009" xr:uid="{862231A3-6CE2-47F5-AFA1-4E0CA45B6051}"/>
    <cellStyle name="Normal 2 2 3 3 12" xfId="14262" xr:uid="{F1498E95-02D6-4FCA-981E-0C2FD272681E}"/>
    <cellStyle name="Normal 2 2 3 3 13" xfId="16515" xr:uid="{C6EECABF-4AA6-415F-8AC8-EA6D5548F939}"/>
    <cellStyle name="Normal 2 2 3 3 2" xfId="1852" xr:uid="{E6358059-51B8-4378-9832-0587D8CB5B2B}"/>
    <cellStyle name="Normal 2 2 3 3 2 2" xfId="13136" xr:uid="{2BB95A67-B6E0-43AD-B56D-BEB06B2DC803}"/>
    <cellStyle name="Normal 2 2 3 3 2 3" xfId="15389" xr:uid="{329ABA45-DD70-4E6C-9E11-29BE6F5A2695}"/>
    <cellStyle name="Normal 2 2 3 3 2 4" xfId="17642" xr:uid="{2CD33AA1-1ECF-4382-BE98-09E105ECB8CA}"/>
    <cellStyle name="Normal 2 2 3 3 3" xfId="2978" xr:uid="{F802F649-5E20-4A80-8D25-B7C670C25167}"/>
    <cellStyle name="Normal 2 2 3 3 4" xfId="4104" xr:uid="{6024030C-F435-4D8E-AFB8-3EAAE4CE81DD}"/>
    <cellStyle name="Normal 2 2 3 3 5" xfId="5230" xr:uid="{74FC729C-618A-460E-8331-5F29BCC6B542}"/>
    <cellStyle name="Normal 2 2 3 3 6" xfId="6357" xr:uid="{75276139-9B72-4D86-A458-60D99CC05C92}"/>
    <cellStyle name="Normal 2 2 3 3 7" xfId="7490" xr:uid="{55AFF51B-A209-4E45-AD4C-9D67E324FF8C}"/>
    <cellStyle name="Normal 2 2 3 3 8" xfId="8358" xr:uid="{22FE6598-F385-4935-8C98-7344DBE067A4}"/>
    <cellStyle name="Normal 2 2 3 3 9" xfId="9495" xr:uid="{5D07C7F9-CDAB-4F52-917E-79FEA8C02630}"/>
    <cellStyle name="Normal 2 2 3 4" xfId="1850" xr:uid="{E28E0AA9-E52F-4E6D-8DE8-B384E7FDDFD6}"/>
    <cellStyle name="Normal 2 2 3 4 2" xfId="13134" xr:uid="{F5D9DEF7-A701-4EB1-889E-C9801763F29F}"/>
    <cellStyle name="Normal 2 2 3 4 3" xfId="15387" xr:uid="{FCB7A784-3E09-40E4-8B66-7CFD6D35E720}"/>
    <cellStyle name="Normal 2 2 3 4 4" xfId="17640" xr:uid="{75B22492-0956-44FA-B594-DD43C00C62C6}"/>
    <cellStyle name="Normal 2 2 3 5" xfId="2976" xr:uid="{20154E9F-4D47-43AB-970B-EEC54A175C1E}"/>
    <cellStyle name="Normal 2 2 3 6" xfId="4102" xr:uid="{20B0D504-42DE-43BA-8472-B349A8ECD483}"/>
    <cellStyle name="Normal 2 2 3 7" xfId="5228" xr:uid="{3E7412A1-24F7-4D5D-AE8D-3FFFAE4C320F}"/>
    <cellStyle name="Normal 2 2 3 8" xfId="6355" xr:uid="{8C163ADA-5F40-4BE4-9A0F-D5B5F19818C3}"/>
    <cellStyle name="Normal 2 2 3 9" xfId="7488" xr:uid="{BA2F805F-5C77-455C-982B-D59A913764AD}"/>
    <cellStyle name="Normal 2 2 4" xfId="722" xr:uid="{CED864A3-7A06-4039-AEB2-43F29EBD8D77}"/>
    <cellStyle name="Normal 2 2 4 2" xfId="7491" xr:uid="{26C06C2A-8F63-4A7E-BF7C-AE5B33E28705}"/>
    <cellStyle name="Normal 2 2 5" xfId="723" xr:uid="{9AEB34A9-589F-4E79-BFE7-D342234A4EDD}"/>
    <cellStyle name="Normal 2 2 5 10" xfId="10621" xr:uid="{7DCCB757-2D52-4D9D-B136-69CA2BF55CAD}"/>
    <cellStyle name="Normal 2 2 5 11" xfId="12010" xr:uid="{44498747-C52B-43DD-A08C-8D84E82BD1F0}"/>
    <cellStyle name="Normal 2 2 5 12" xfId="14263" xr:uid="{4999F6A7-B0FC-42E1-8125-485877A46CFA}"/>
    <cellStyle name="Normal 2 2 5 13" xfId="16516" xr:uid="{D12D6CC0-EC1A-4C0B-AA8B-0932BD5C7926}"/>
    <cellStyle name="Normal 2 2 5 2" xfId="1853" xr:uid="{2444AA94-F248-4196-AB89-D7C003DB12A1}"/>
    <cellStyle name="Normal 2 2 5 2 2" xfId="13137" xr:uid="{2C0BE524-D31A-4E10-BD22-E5C9819A96F9}"/>
    <cellStyle name="Normal 2 2 5 2 3" xfId="15390" xr:uid="{067308A1-2E70-4F04-B041-307745A567C7}"/>
    <cellStyle name="Normal 2 2 5 2 4" xfId="17643" xr:uid="{96BDA6A9-91B6-4C52-A1DE-72ED858C650D}"/>
    <cellStyle name="Normal 2 2 5 3" xfId="2979" xr:uid="{1AF229D8-7E0B-4666-832E-0BD3CF365102}"/>
    <cellStyle name="Normal 2 2 5 4" xfId="4105" xr:uid="{9A8575B2-F042-4433-A388-794DCA1EE4D6}"/>
    <cellStyle name="Normal 2 2 5 5" xfId="5231" xr:uid="{299E1937-3134-4DD1-BAD1-ACC4C30CC3F8}"/>
    <cellStyle name="Normal 2 2 5 6" xfId="6358" xr:uid="{5FCF1958-502D-4B35-B6A0-8FB48B09A702}"/>
    <cellStyle name="Normal 2 2 5 7" xfId="7492" xr:uid="{82E4D3ED-B353-40EF-A97F-518CC82C77C2}"/>
    <cellStyle name="Normal 2 2 5 8" xfId="8357" xr:uid="{26964776-641E-4751-8043-FED24A77447A}"/>
    <cellStyle name="Normal 2 2 5 9" xfId="9494" xr:uid="{A9830D82-37AF-4670-8106-C2234B45ACA9}"/>
    <cellStyle name="Normal 2 2 6" xfId="724" xr:uid="{54D49679-79BD-405C-9C87-54C6E54A8C7D}"/>
    <cellStyle name="Normal 2 2 6 10" xfId="10620" xr:uid="{6E19B0B5-4CBE-4FE6-B98C-D5DD1C580C64}"/>
    <cellStyle name="Normal 2 2 6 11" xfId="12011" xr:uid="{68B55B39-4D98-4361-BEBD-E03D7343BE13}"/>
    <cellStyle name="Normal 2 2 6 12" xfId="14264" xr:uid="{1B745556-E91B-4F26-976C-2FA7763C3524}"/>
    <cellStyle name="Normal 2 2 6 13" xfId="16517" xr:uid="{A0D567A4-A996-4877-A1D5-2D3FEDDAB17C}"/>
    <cellStyle name="Normal 2 2 6 2" xfId="1854" xr:uid="{8DB58DFC-50A9-4A1C-8589-5491E51C62FC}"/>
    <cellStyle name="Normal 2 2 6 2 2" xfId="13138" xr:uid="{C5E45B5D-8183-4B27-948B-F70B476FB059}"/>
    <cellStyle name="Normal 2 2 6 2 3" xfId="15391" xr:uid="{03AEDA58-11FF-4327-9499-B69FD8359CE4}"/>
    <cellStyle name="Normal 2 2 6 2 4" xfId="17644" xr:uid="{75DFC030-8319-45CD-AFB7-4A5D9A83FB71}"/>
    <cellStyle name="Normal 2 2 6 3" xfId="2980" xr:uid="{05A295C6-6735-4C9C-B122-7AC14194946E}"/>
    <cellStyle name="Normal 2 2 6 4" xfId="4106" xr:uid="{65D73CC4-DA95-4477-A130-6C1D7942E577}"/>
    <cellStyle name="Normal 2 2 6 5" xfId="5232" xr:uid="{5E034831-7375-4896-A207-1512603AB420}"/>
    <cellStyle name="Normal 2 2 6 6" xfId="6359" xr:uid="{5531F342-4159-40D9-8F44-7752DD8A46FE}"/>
    <cellStyle name="Normal 2 2 6 7" xfId="7493" xr:uid="{21EDC351-B9C5-4BAB-BF80-47CAA6FF66DF}"/>
    <cellStyle name="Normal 2 2 6 8" xfId="8356" xr:uid="{DFB3FB11-D682-4C95-ABC8-73E638177A11}"/>
    <cellStyle name="Normal 2 2 6 9" xfId="9493" xr:uid="{5C07C622-D272-4318-A170-8B5DCA88C707}"/>
    <cellStyle name="Normal 2 2 7" xfId="712" xr:uid="{5FD15F0A-8ECA-4359-9EF6-5864A4FC3BBE}"/>
    <cellStyle name="Normal 2 2 7 2" xfId="13127" xr:uid="{8FA01E7A-29C0-4F69-9D28-FB19C4634DB5}"/>
    <cellStyle name="Normal 2 2 7 3" xfId="15380" xr:uid="{D49C4BBB-28CA-4C92-8BFE-1AE9004A69F5}"/>
    <cellStyle name="Normal 2 2 7 4" xfId="17633" xr:uid="{2103089D-4328-4A73-A949-4A7DF9E9904F}"/>
    <cellStyle name="Normal 2 2 8" xfId="1843" xr:uid="{F742D822-AE24-4F34-B35F-8CB558202DD6}"/>
    <cellStyle name="Normal 2 2 9" xfId="2969" xr:uid="{032C83A6-B1BE-492E-AAD1-DC72176C4FB7}"/>
    <cellStyle name="Normal 2 20" xfId="10632" xr:uid="{D9507AAB-D0C2-4C80-8F30-8B900DA18A61}"/>
    <cellStyle name="Normal 2 21" xfId="11999" xr:uid="{706B7300-4A6A-4619-88A4-33E6AFAF3B18}"/>
    <cellStyle name="Normal 2 22" xfId="14252" xr:uid="{3DC2F55B-4D0F-4AB4-A329-B16D03947D9E}"/>
    <cellStyle name="Normal 2 23" xfId="16505" xr:uid="{775C5DE1-99B3-42EA-A82F-894A7D9DD1D2}"/>
    <cellStyle name="Normal 2 3" xfId="14" xr:uid="{00000000-0005-0000-0000-00003A000000}"/>
    <cellStyle name="Normal 2 3 10" xfId="4107" xr:uid="{B5E338E4-BFEF-42C5-AD64-8F9854613D79}"/>
    <cellStyle name="Normal 2 3 11" xfId="5233" xr:uid="{CF1139E6-4C2E-4057-8213-E033E44AB413}"/>
    <cellStyle name="Normal 2 3 12" xfId="6360" xr:uid="{A5E5620C-C5F9-467E-ADC7-C5AC8D4AF825}"/>
    <cellStyle name="Normal 2 3 13" xfId="7494" xr:uid="{A5C9EBDA-1076-4BA5-9B61-747EDEE710B8}"/>
    <cellStyle name="Normal 2 3 14" xfId="8355" xr:uid="{FAE2C4EA-8044-4600-AA57-8BC9F093B70E}"/>
    <cellStyle name="Normal 2 3 15" xfId="9492" xr:uid="{5260A792-168B-4B7E-88F9-295066DF6C9C}"/>
    <cellStyle name="Normal 2 3 16" xfId="10619" xr:uid="{348E7757-8012-48E3-867E-FC190108D81A}"/>
    <cellStyle name="Normal 2 3 17" xfId="12012" xr:uid="{B954F016-CDCC-47C7-8EDD-7050DF68F81C}"/>
    <cellStyle name="Normal 2 3 18" xfId="14265" xr:uid="{42FAB492-E026-4F25-863B-92C32EFD4D49}"/>
    <cellStyle name="Normal 2 3 19" xfId="16518" xr:uid="{00CDFA13-4280-464D-AFC2-09DC15BD9113}"/>
    <cellStyle name="Normal 2 3 2" xfId="726" xr:uid="{FC603D14-4832-4D30-8869-DF530DEA5E67}"/>
    <cellStyle name="Normal 2 3 2 10" xfId="6361" xr:uid="{A9C6B05D-59F2-42CF-9A87-8F2317074737}"/>
    <cellStyle name="Normal 2 3 2 11" xfId="7495" xr:uid="{EE97012D-94FE-42A7-A784-E6FB5C34B65D}"/>
    <cellStyle name="Normal 2 3 2 12" xfId="8354" xr:uid="{515C5E5F-1758-472D-9E47-62BA0DF0ED6F}"/>
    <cellStyle name="Normal 2 3 2 13" xfId="9491" xr:uid="{FF4B485A-A255-4934-BB6A-93AE4B94583F}"/>
    <cellStyle name="Normal 2 3 2 14" xfId="10618" xr:uid="{7122C195-575A-451D-BD7D-89DB86D56C69}"/>
    <cellStyle name="Normal 2 3 2 15" xfId="12013" xr:uid="{0FFEF65D-FD6F-4D00-8A48-AA2F19382459}"/>
    <cellStyle name="Normal 2 3 2 16" xfId="14266" xr:uid="{562606F7-1EC3-4F36-9A06-A3D5DE44D774}"/>
    <cellStyle name="Normal 2 3 2 17" xfId="16519" xr:uid="{CCEBEE80-6432-44F8-9066-EE66A031615E}"/>
    <cellStyle name="Normal 2 3 2 2" xfId="727" xr:uid="{415F2340-E348-4F66-9F0C-2522B6572517}"/>
    <cellStyle name="Normal 2 3 2 2 10" xfId="7496" xr:uid="{75B0285F-3237-46F7-A587-90F815D8D7BC}"/>
    <cellStyle name="Normal 2 3 2 2 11" xfId="8353" xr:uid="{7B31FB90-C8A5-4466-83B4-79BD693C72C4}"/>
    <cellStyle name="Normal 2 3 2 2 12" xfId="9490" xr:uid="{6E22293F-BBFE-4354-9F9B-96BCCDEC38C7}"/>
    <cellStyle name="Normal 2 3 2 2 13" xfId="10617" xr:uid="{A3671682-80D7-4212-AE77-22C27FC36590}"/>
    <cellStyle name="Normal 2 3 2 2 14" xfId="12014" xr:uid="{A4F8B056-1DF1-49B6-A294-2EB2F09B73E4}"/>
    <cellStyle name="Normal 2 3 2 2 15" xfId="14267" xr:uid="{0D3C5DF0-775C-4B0C-BDD8-814332AECBFD}"/>
    <cellStyle name="Normal 2 3 2 2 16" xfId="16520" xr:uid="{875FEF1B-D77D-4A32-98E7-17359FFF7A3B}"/>
    <cellStyle name="Normal 2 3 2 2 2" xfId="728" xr:uid="{3BDD4761-BE2E-4BA0-8E30-844AFDFA30FB}"/>
    <cellStyle name="Normal 2 3 2 2 2 10" xfId="8352" xr:uid="{943A7BC3-F6B6-45FF-8C2F-6EF7A755A07D}"/>
    <cellStyle name="Normal 2 3 2 2 2 11" xfId="9489" xr:uid="{194018AA-33F4-4B5A-AD19-716DBEDAE60E}"/>
    <cellStyle name="Normal 2 3 2 2 2 12" xfId="10616" xr:uid="{ACD52DFD-A4A6-4EB6-A188-98349C091C7B}"/>
    <cellStyle name="Normal 2 3 2 2 2 13" xfId="12015" xr:uid="{A29D52A4-BB95-48F3-A711-F29A506D91B5}"/>
    <cellStyle name="Normal 2 3 2 2 2 14" xfId="14268" xr:uid="{D027ACF2-255E-409F-9774-7B5C778A2C50}"/>
    <cellStyle name="Normal 2 3 2 2 2 15" xfId="16521" xr:uid="{B2259072-5AD0-4E58-9D1E-3F9D806F49E5}"/>
    <cellStyle name="Normal 2 3 2 2 2 2" xfId="729" xr:uid="{BB53BFCA-378C-449F-8BA2-D9023868DC20}"/>
    <cellStyle name="Normal 2 3 2 2 2 2 10" xfId="10615" xr:uid="{61AAD86E-8E5E-49C6-BA12-6A9C4D56582E}"/>
    <cellStyle name="Normal 2 3 2 2 2 2 11" xfId="12016" xr:uid="{6DF786A6-04FF-47F0-8F85-E140FB0B1062}"/>
    <cellStyle name="Normal 2 3 2 2 2 2 12" xfId="14269" xr:uid="{134E556C-E417-4060-B51A-283C63216F15}"/>
    <cellStyle name="Normal 2 3 2 2 2 2 13" xfId="16522" xr:uid="{D7E9B927-BBDA-43DA-A297-3B986DABB9F9}"/>
    <cellStyle name="Normal 2 3 2 2 2 2 2" xfId="1859" xr:uid="{9B0D9CF0-4F76-44E7-AD37-DEF722B49ACB}"/>
    <cellStyle name="Normal 2 3 2 2 2 2 2 2" xfId="13143" xr:uid="{F817DE0C-D93D-4D41-BDD1-2D0F9035AE7F}"/>
    <cellStyle name="Normal 2 3 2 2 2 2 2 3" xfId="15396" xr:uid="{92F2CA21-DC3B-47AE-916F-EDFC36AFA2D0}"/>
    <cellStyle name="Normal 2 3 2 2 2 2 2 4" xfId="17649" xr:uid="{D707E7C1-0D5F-461A-83DD-B6DA6BF366E4}"/>
    <cellStyle name="Normal 2 3 2 2 2 2 3" xfId="2985" xr:uid="{B1276D1F-9FA4-4A7A-BBFA-D2DF0944CEF0}"/>
    <cellStyle name="Normal 2 3 2 2 2 2 4" xfId="4111" xr:uid="{A019CB03-E933-422E-8E69-30BBE30CE2DB}"/>
    <cellStyle name="Normal 2 3 2 2 2 2 5" xfId="5237" xr:uid="{D8D9A326-3A28-4583-B638-71706794D053}"/>
    <cellStyle name="Normal 2 3 2 2 2 2 6" xfId="6364" xr:uid="{3E579408-5DB1-4D17-94A6-711006A433A1}"/>
    <cellStyle name="Normal 2 3 2 2 2 2 7" xfId="7498" xr:uid="{F4EA3958-EDE5-468D-8216-6E56A3E162D1}"/>
    <cellStyle name="Normal 2 3 2 2 2 2 8" xfId="8351" xr:uid="{703C4F6E-1DCF-4FA0-883F-40D6330FC696}"/>
    <cellStyle name="Normal 2 3 2 2 2 2 9" xfId="9488" xr:uid="{1397B1BF-DC10-430C-87A3-32EC2D0564DD}"/>
    <cellStyle name="Normal 2 3 2 2 2 3" xfId="730" xr:uid="{89C819D5-546B-4ADB-AD87-7DE262FA0C92}"/>
    <cellStyle name="Normal 2 3 2 2 2 3 10" xfId="10614" xr:uid="{51FBD2E4-0C68-4579-9267-99676F865A3C}"/>
    <cellStyle name="Normal 2 3 2 2 2 3 11" xfId="12017" xr:uid="{0F2E6F95-3E27-4E68-B764-ABA363766E4D}"/>
    <cellStyle name="Normal 2 3 2 2 2 3 12" xfId="14270" xr:uid="{DB25DA6E-2E81-4830-9F48-F6CF587E7888}"/>
    <cellStyle name="Normal 2 3 2 2 2 3 13" xfId="16523" xr:uid="{0F2C1BA1-0C36-41B4-ADF2-6A5EE01F6930}"/>
    <cellStyle name="Normal 2 3 2 2 2 3 2" xfId="1860" xr:uid="{5D1A13AD-71C0-40F1-8F33-615BF77FEC4F}"/>
    <cellStyle name="Normal 2 3 2 2 2 3 2 2" xfId="13144" xr:uid="{44A9B8F1-6A2A-4E6F-A823-E27AEDCBE708}"/>
    <cellStyle name="Normal 2 3 2 2 2 3 2 3" xfId="15397" xr:uid="{E9DBF9AE-905B-41C3-96DE-66B62CFE7D25}"/>
    <cellStyle name="Normal 2 3 2 2 2 3 2 4" xfId="17650" xr:uid="{7F835C96-CF0C-4F92-8440-CD89D4F5F20E}"/>
    <cellStyle name="Normal 2 3 2 2 2 3 3" xfId="2986" xr:uid="{441BF0F3-78C5-4264-8082-897FA2FCAE88}"/>
    <cellStyle name="Normal 2 3 2 2 2 3 4" xfId="4112" xr:uid="{8DC10E02-D6ED-4F93-B9C3-4C036434736F}"/>
    <cellStyle name="Normal 2 3 2 2 2 3 5" xfId="5238" xr:uid="{7BEF3C8E-E33D-4D60-8BF0-AAD745E78C53}"/>
    <cellStyle name="Normal 2 3 2 2 2 3 6" xfId="6365" xr:uid="{FAC91018-8C40-432A-A0BC-205D5EFDE947}"/>
    <cellStyle name="Normal 2 3 2 2 2 3 7" xfId="7499" xr:uid="{77806FCB-1C24-4BB0-A8DA-6C8A8B33A6DF}"/>
    <cellStyle name="Normal 2 3 2 2 2 3 8" xfId="8350" xr:uid="{77722ED8-E1B2-43F5-B7EF-326F80FCE79F}"/>
    <cellStyle name="Normal 2 3 2 2 2 3 9" xfId="9487" xr:uid="{0C69BCD8-38B9-4601-816E-CB04E6AD7F09}"/>
    <cellStyle name="Normal 2 3 2 2 2 4" xfId="1858" xr:uid="{B34AFDFC-A412-4E18-A5EC-12A8A2D60270}"/>
    <cellStyle name="Normal 2 3 2 2 2 4 2" xfId="13142" xr:uid="{402A8CB7-440A-4F50-B12F-A72E5C3B5799}"/>
    <cellStyle name="Normal 2 3 2 2 2 4 3" xfId="15395" xr:uid="{1CE3FB12-72BA-4EA3-89CA-55EBBE2EBCC8}"/>
    <cellStyle name="Normal 2 3 2 2 2 4 4" xfId="17648" xr:uid="{B92C58CA-739F-41BD-9988-C9F0DE3BB75B}"/>
    <cellStyle name="Normal 2 3 2 2 2 5" xfId="2984" xr:uid="{2DC0B9E8-DA99-4C75-8FC7-C8699F89F946}"/>
    <cellStyle name="Normal 2 3 2 2 2 6" xfId="4110" xr:uid="{EDFB6CA5-091B-463D-B539-D7885DAC8B9F}"/>
    <cellStyle name="Normal 2 3 2 2 2 7" xfId="5236" xr:uid="{13A4FB96-22A3-4695-B577-094DFF6A2D62}"/>
    <cellStyle name="Normal 2 3 2 2 2 8" xfId="6363" xr:uid="{2EEA949B-CBA1-4844-8378-724F5766DFBD}"/>
    <cellStyle name="Normal 2 3 2 2 2 9" xfId="7497" xr:uid="{9C0003FA-26FF-4166-94A7-ADB763D11668}"/>
    <cellStyle name="Normal 2 3 2 2 3" xfId="731" xr:uid="{E1A5F7FC-F9C7-4EF2-8865-D8C5AC071E47}"/>
    <cellStyle name="Normal 2 3 2 2 3 10" xfId="10613" xr:uid="{DCCB1F17-B4EC-4B5D-B884-F57B1DBF6E2A}"/>
    <cellStyle name="Normal 2 3 2 2 3 11" xfId="12018" xr:uid="{A86C777B-33D8-45D3-ACF5-366FCEF8D9D9}"/>
    <cellStyle name="Normal 2 3 2 2 3 12" xfId="14271" xr:uid="{4E095355-9552-4F74-A649-39317420CF27}"/>
    <cellStyle name="Normal 2 3 2 2 3 13" xfId="16524" xr:uid="{3DC4DE8A-818C-410F-AC51-96DB969915E7}"/>
    <cellStyle name="Normal 2 3 2 2 3 2" xfId="1861" xr:uid="{83167305-2326-4558-8C47-0A6BD58FAA20}"/>
    <cellStyle name="Normal 2 3 2 2 3 2 2" xfId="13145" xr:uid="{6B12C5CF-B584-4A28-AAE2-1E8423A5414A}"/>
    <cellStyle name="Normal 2 3 2 2 3 2 3" xfId="15398" xr:uid="{55313288-8B88-4DDE-8800-0162993861F0}"/>
    <cellStyle name="Normal 2 3 2 2 3 2 4" xfId="17651" xr:uid="{802B0183-0672-4440-A38C-C64857555923}"/>
    <cellStyle name="Normal 2 3 2 2 3 3" xfId="2987" xr:uid="{D22CF4C5-929E-43BF-BECB-64887AD10389}"/>
    <cellStyle name="Normal 2 3 2 2 3 4" xfId="4113" xr:uid="{EE63952D-27CB-47CC-92BE-DE49F156476B}"/>
    <cellStyle name="Normal 2 3 2 2 3 5" xfId="5239" xr:uid="{F97045AA-B947-4627-A798-1561848B0F97}"/>
    <cellStyle name="Normal 2 3 2 2 3 6" xfId="6366" xr:uid="{EAC827D7-6B1F-4CA8-A0C0-F0D3ECE3547F}"/>
    <cellStyle name="Normal 2 3 2 2 3 7" xfId="7500" xr:uid="{0205656D-D1F1-4F3B-8D09-411C253E0F1A}"/>
    <cellStyle name="Normal 2 3 2 2 3 8" xfId="8349" xr:uid="{174FACBB-F2E4-48B6-9013-D749CED8C484}"/>
    <cellStyle name="Normal 2 3 2 2 3 9" xfId="9486" xr:uid="{35CB5E8D-5AE1-41E4-B2C4-8955003E95ED}"/>
    <cellStyle name="Normal 2 3 2 2 4" xfId="732" xr:uid="{ECEEC7F0-D393-4C7D-A1AE-23654EDC8F63}"/>
    <cellStyle name="Normal 2 3 2 2 4 10" xfId="10612" xr:uid="{7EC689E5-E6AE-406F-BE04-67F282BF97A5}"/>
    <cellStyle name="Normal 2 3 2 2 4 11" xfId="12019" xr:uid="{F9BF677B-B4EB-4D01-A5B6-CBAF3AE2CF62}"/>
    <cellStyle name="Normal 2 3 2 2 4 12" xfId="14272" xr:uid="{0C208046-EBBC-45EC-87FD-BA5F39677DD5}"/>
    <cellStyle name="Normal 2 3 2 2 4 13" xfId="16525" xr:uid="{62834BD0-33B6-43E1-BE0E-2645882C3ADE}"/>
    <cellStyle name="Normal 2 3 2 2 4 2" xfId="1862" xr:uid="{05369DD2-EEFE-447D-836D-AED74E82076D}"/>
    <cellStyle name="Normal 2 3 2 2 4 2 2" xfId="13146" xr:uid="{C2AB32C2-5781-4FE6-9517-491E9A719EEC}"/>
    <cellStyle name="Normal 2 3 2 2 4 2 3" xfId="15399" xr:uid="{CA9E0909-084E-413A-87E8-A9BCD94E4801}"/>
    <cellStyle name="Normal 2 3 2 2 4 2 4" xfId="17652" xr:uid="{268CAF63-3DEF-47E2-B772-E8F4B09FC35B}"/>
    <cellStyle name="Normal 2 3 2 2 4 3" xfId="2988" xr:uid="{26885869-A9A5-41CE-9D26-6B2750019939}"/>
    <cellStyle name="Normal 2 3 2 2 4 4" xfId="4114" xr:uid="{470EDF14-E3C8-4C18-8E91-38BD1775EE13}"/>
    <cellStyle name="Normal 2 3 2 2 4 5" xfId="5240" xr:uid="{B71AFCEA-9483-49BC-985A-4119BF00F093}"/>
    <cellStyle name="Normal 2 3 2 2 4 6" xfId="6367" xr:uid="{2423BB5E-652A-4929-A298-50B3888E2DE4}"/>
    <cellStyle name="Normal 2 3 2 2 4 7" xfId="7501" xr:uid="{C2D3E45A-6981-4843-A8BC-0CCC429CD84B}"/>
    <cellStyle name="Normal 2 3 2 2 4 8" xfId="8348" xr:uid="{78AC2E76-9DB5-4AC1-9235-283CF1A05760}"/>
    <cellStyle name="Normal 2 3 2 2 4 9" xfId="9485" xr:uid="{71AA74E9-C188-4D1D-8635-46DF4817F5E4}"/>
    <cellStyle name="Normal 2 3 2 2 5" xfId="1857" xr:uid="{BD2FC2CD-2B33-49C5-8088-B1540D035EE0}"/>
    <cellStyle name="Normal 2 3 2 2 5 2" xfId="13141" xr:uid="{BA514FB0-F334-40D7-AAD3-76E424326B61}"/>
    <cellStyle name="Normal 2 3 2 2 5 3" xfId="15394" xr:uid="{AE895B1E-F5FA-4030-A4E8-B3F8AAC61622}"/>
    <cellStyle name="Normal 2 3 2 2 5 4" xfId="17647" xr:uid="{95D9428D-827C-4EF2-A2F9-883F438CEE1C}"/>
    <cellStyle name="Normal 2 3 2 2 6" xfId="2983" xr:uid="{3B0B1967-511F-4110-865D-A9C0DFE244D2}"/>
    <cellStyle name="Normal 2 3 2 2 7" xfId="4109" xr:uid="{F831F05F-4DA2-47CA-BBE7-979D5458CB09}"/>
    <cellStyle name="Normal 2 3 2 2 8" xfId="5235" xr:uid="{4FD7A30E-8B87-47F1-AF44-9399E103AB6A}"/>
    <cellStyle name="Normal 2 3 2 2 9" xfId="6362" xr:uid="{85BC2A72-A67E-4F93-8737-3BE2BF4C091A}"/>
    <cellStyle name="Normal 2 3 2 3" xfId="733" xr:uid="{A9AA6ADA-33E4-48F0-8BA1-D9C3225C9A30}"/>
    <cellStyle name="Normal 2 3 2 3 10" xfId="8347" xr:uid="{A0218E3F-29C0-4915-A8AF-6F9B12FDB189}"/>
    <cellStyle name="Normal 2 3 2 3 11" xfId="9484" xr:uid="{F5266BD8-4FA5-4877-9B50-61C9546E7187}"/>
    <cellStyle name="Normal 2 3 2 3 12" xfId="10611" xr:uid="{3990F0BD-E722-46D2-AEB9-76F97C1201F0}"/>
    <cellStyle name="Normal 2 3 2 3 13" xfId="12020" xr:uid="{F7CDAD99-E3F4-49D0-B4DA-41818B944857}"/>
    <cellStyle name="Normal 2 3 2 3 14" xfId="14273" xr:uid="{218F29D8-F9E3-48FE-9C27-7188360EE19C}"/>
    <cellStyle name="Normal 2 3 2 3 15" xfId="16526" xr:uid="{A173592C-6A75-4609-9400-B7697D881E60}"/>
    <cellStyle name="Normal 2 3 2 3 2" xfId="734" xr:uid="{92A7700B-E9F8-4615-8532-5D5A79062F26}"/>
    <cellStyle name="Normal 2 3 2 3 2 10" xfId="10610" xr:uid="{9707BD4F-13B7-4105-9297-608B142D6040}"/>
    <cellStyle name="Normal 2 3 2 3 2 11" xfId="12021" xr:uid="{9D238338-8EC8-4939-8E7B-2C9EE234228A}"/>
    <cellStyle name="Normal 2 3 2 3 2 12" xfId="14274" xr:uid="{3F97678B-E825-4137-97C6-EFBCFA836304}"/>
    <cellStyle name="Normal 2 3 2 3 2 13" xfId="16527" xr:uid="{491A805E-C28C-437C-861B-677AD2BA4E57}"/>
    <cellStyle name="Normal 2 3 2 3 2 2" xfId="1864" xr:uid="{302F5CC9-09C2-4150-AA2B-0B6C4D19E367}"/>
    <cellStyle name="Normal 2 3 2 3 2 2 2" xfId="13148" xr:uid="{50A07F88-1DFD-4E41-A93F-0150EE6A8438}"/>
    <cellStyle name="Normal 2 3 2 3 2 2 3" xfId="15401" xr:uid="{5B8770E5-A1DC-4BA1-9C7C-845FBBAB2D93}"/>
    <cellStyle name="Normal 2 3 2 3 2 2 4" xfId="17654" xr:uid="{21AC011F-E453-4E17-98C4-9952192A072F}"/>
    <cellStyle name="Normal 2 3 2 3 2 3" xfId="2990" xr:uid="{0DBE733D-1DA1-4EB0-B03C-9FFA8F2A3B6A}"/>
    <cellStyle name="Normal 2 3 2 3 2 4" xfId="4116" xr:uid="{9A98D185-F89B-42F8-B6F3-F4484A49D700}"/>
    <cellStyle name="Normal 2 3 2 3 2 5" xfId="5242" xr:uid="{40D6EAC6-53C3-43D5-95BD-F9DBFB6F151A}"/>
    <cellStyle name="Normal 2 3 2 3 2 6" xfId="6369" xr:uid="{72A7A64F-3C1C-416A-833A-43CDD4FC4E81}"/>
    <cellStyle name="Normal 2 3 2 3 2 7" xfId="7503" xr:uid="{F7CFFC91-9DCE-4C03-A558-67C7F2CE2926}"/>
    <cellStyle name="Normal 2 3 2 3 2 8" xfId="8346" xr:uid="{DEA1CDA2-14DC-4E70-9507-00758C055ED1}"/>
    <cellStyle name="Normal 2 3 2 3 2 9" xfId="9483" xr:uid="{780E4CE8-D7F3-4395-B136-C6D648A72D06}"/>
    <cellStyle name="Normal 2 3 2 3 3" xfId="735" xr:uid="{E7FF51C8-C28D-43D5-BFF6-95061D70F074}"/>
    <cellStyle name="Normal 2 3 2 3 3 10" xfId="10609" xr:uid="{2EC548D9-DDE2-483C-AF51-1CA334E48AC5}"/>
    <cellStyle name="Normal 2 3 2 3 3 11" xfId="12022" xr:uid="{50E46F14-0597-4ACD-917C-CA85E7939468}"/>
    <cellStyle name="Normal 2 3 2 3 3 12" xfId="14275" xr:uid="{63057E4F-A330-42EC-925D-92D6F37E41C2}"/>
    <cellStyle name="Normal 2 3 2 3 3 13" xfId="16528" xr:uid="{06CB9F9E-34E2-4130-859E-AFA7E45B69D2}"/>
    <cellStyle name="Normal 2 3 2 3 3 2" xfId="1865" xr:uid="{FE09FBEA-9144-4FF2-A25E-27B6A24F6614}"/>
    <cellStyle name="Normal 2 3 2 3 3 2 2" xfId="13149" xr:uid="{FE7DC828-7C17-4ED7-8E6F-D388B8EFBC2E}"/>
    <cellStyle name="Normal 2 3 2 3 3 2 3" xfId="15402" xr:uid="{4DB2428B-29FC-461E-AC27-38B486FE8B70}"/>
    <cellStyle name="Normal 2 3 2 3 3 2 4" xfId="17655" xr:uid="{AA2E246F-396F-4C58-AAF9-87459FE03DDE}"/>
    <cellStyle name="Normal 2 3 2 3 3 3" xfId="2991" xr:uid="{7398662A-6B2B-425E-8A51-F577C0FAB45D}"/>
    <cellStyle name="Normal 2 3 2 3 3 4" xfId="4117" xr:uid="{F9DD2102-E75A-4E30-BCD1-BEAEB1B815B5}"/>
    <cellStyle name="Normal 2 3 2 3 3 5" xfId="5243" xr:uid="{4B792D49-8CC8-4A5C-889E-369C6269C52B}"/>
    <cellStyle name="Normal 2 3 2 3 3 6" xfId="6370" xr:uid="{0F342B3A-0406-438C-AE79-87382C10E385}"/>
    <cellStyle name="Normal 2 3 2 3 3 7" xfId="7504" xr:uid="{022FB21D-0AA6-496A-B3E2-A5391C752C9C}"/>
    <cellStyle name="Normal 2 3 2 3 3 8" xfId="8345" xr:uid="{5CE22E96-DAA8-46A5-82BB-2019FB046323}"/>
    <cellStyle name="Normal 2 3 2 3 3 9" xfId="9482" xr:uid="{A3F9F9E7-45C0-4998-A7DB-B798B3C5C8E8}"/>
    <cellStyle name="Normal 2 3 2 3 4" xfId="1863" xr:uid="{A6E38E4E-BA14-4260-8E62-EEF6B5EF73FF}"/>
    <cellStyle name="Normal 2 3 2 3 4 2" xfId="13147" xr:uid="{32871CAE-1F49-412F-8D15-8FBE9D42DEE8}"/>
    <cellStyle name="Normal 2 3 2 3 4 3" xfId="15400" xr:uid="{BF3B0A78-7FC3-4DC4-8E4F-62DF4369DD1B}"/>
    <cellStyle name="Normal 2 3 2 3 4 4" xfId="17653" xr:uid="{320024AE-A723-4429-BBC2-F44AE7257819}"/>
    <cellStyle name="Normal 2 3 2 3 5" xfId="2989" xr:uid="{0A4C7811-B4C5-41CE-A06B-4B6083529904}"/>
    <cellStyle name="Normal 2 3 2 3 6" xfId="4115" xr:uid="{B917E166-639C-4FBF-A1E8-73855528D9C8}"/>
    <cellStyle name="Normal 2 3 2 3 7" xfId="5241" xr:uid="{D170E40C-8E9F-4B24-BFF2-3076CD08E540}"/>
    <cellStyle name="Normal 2 3 2 3 8" xfId="6368" xr:uid="{87062DF4-9E8B-4FC4-B9D6-CC02FB0ED978}"/>
    <cellStyle name="Normal 2 3 2 3 9" xfId="7502" xr:uid="{406AA1B1-5EF7-4BAF-9387-5436220727D0}"/>
    <cellStyle name="Normal 2 3 2 4" xfId="736" xr:uid="{2DC8092D-6045-4CE1-9159-743916D7825E}"/>
    <cellStyle name="Normal 2 3 2 4 10" xfId="10608" xr:uid="{445D1881-644C-47F4-8E3D-C22749FB7A02}"/>
    <cellStyle name="Normal 2 3 2 4 11" xfId="12023" xr:uid="{F904C03D-79B3-4EB0-9BBB-4FCED3B7EF0B}"/>
    <cellStyle name="Normal 2 3 2 4 12" xfId="14276" xr:uid="{DF428E8A-D0DE-4507-A689-85BD2E186A92}"/>
    <cellStyle name="Normal 2 3 2 4 13" xfId="16529" xr:uid="{DCCC9210-15CD-4740-A56D-3A94D8CA8C05}"/>
    <cellStyle name="Normal 2 3 2 4 2" xfId="1866" xr:uid="{534312DC-3F07-431A-8EB0-7310E43D7DF7}"/>
    <cellStyle name="Normal 2 3 2 4 2 2" xfId="13150" xr:uid="{4C747E92-1615-4B2E-A27B-088F94648D3E}"/>
    <cellStyle name="Normal 2 3 2 4 2 3" xfId="15403" xr:uid="{C4B91AE6-E995-4C9E-AF98-8DEB0C0B1708}"/>
    <cellStyle name="Normal 2 3 2 4 2 4" xfId="17656" xr:uid="{A120F436-60C0-4496-A444-A4DD9AF8A035}"/>
    <cellStyle name="Normal 2 3 2 4 3" xfId="2992" xr:uid="{DE506CF0-707E-49DE-A415-1CF91DCA6683}"/>
    <cellStyle name="Normal 2 3 2 4 4" xfId="4118" xr:uid="{9900AE30-14DE-47B1-9811-034CC2010383}"/>
    <cellStyle name="Normal 2 3 2 4 5" xfId="5244" xr:uid="{C306AB28-5309-4DFA-9E59-E10564232001}"/>
    <cellStyle name="Normal 2 3 2 4 6" xfId="6371" xr:uid="{F045604D-086E-423B-9D98-B3240EFB9E52}"/>
    <cellStyle name="Normal 2 3 2 4 7" xfId="7505" xr:uid="{1FF4921F-5B0F-44CC-A9F9-BFB373BB5D64}"/>
    <cellStyle name="Normal 2 3 2 4 8" xfId="8344" xr:uid="{68747ADA-69C1-4C51-B43F-3CF8E0E65459}"/>
    <cellStyle name="Normal 2 3 2 4 9" xfId="9481" xr:uid="{2C925C72-5290-4DDA-BEEF-8286DF0B439C}"/>
    <cellStyle name="Normal 2 3 2 5" xfId="737" xr:uid="{A9727598-A053-413A-93BE-E0964FBBA8B1}"/>
    <cellStyle name="Normal 2 3 2 5 10" xfId="10607" xr:uid="{7884DAAE-E92D-4384-9E52-BBF7714221FA}"/>
    <cellStyle name="Normal 2 3 2 5 11" xfId="12024" xr:uid="{B143D6A2-1219-40DA-A5FF-1A6B948878C6}"/>
    <cellStyle name="Normal 2 3 2 5 12" xfId="14277" xr:uid="{D67A9AAE-5263-429E-8C44-E2AD3EB5F091}"/>
    <cellStyle name="Normal 2 3 2 5 13" xfId="16530" xr:uid="{F72185F3-9280-40CB-8A37-C74FF1DE79C5}"/>
    <cellStyle name="Normal 2 3 2 5 2" xfId="1867" xr:uid="{9BE725E1-C9BA-49FE-8AA2-86D61FBB6107}"/>
    <cellStyle name="Normal 2 3 2 5 2 2" xfId="13151" xr:uid="{1B804F0E-2BC9-4E61-B75B-6EDA38482323}"/>
    <cellStyle name="Normal 2 3 2 5 2 3" xfId="15404" xr:uid="{CC73D397-7EB0-451A-9304-4B2ED733D839}"/>
    <cellStyle name="Normal 2 3 2 5 2 4" xfId="17657" xr:uid="{DC03934D-C48A-4C92-99EF-2181483CD837}"/>
    <cellStyle name="Normal 2 3 2 5 3" xfId="2993" xr:uid="{4A546355-0BFF-4437-B621-5CD0C94D062F}"/>
    <cellStyle name="Normal 2 3 2 5 4" xfId="4119" xr:uid="{3CA5F7AE-8421-4826-8EB3-5D6229BC4F7B}"/>
    <cellStyle name="Normal 2 3 2 5 5" xfId="5245" xr:uid="{7A72E9FE-B143-4190-AD45-AB957CCD1C74}"/>
    <cellStyle name="Normal 2 3 2 5 6" xfId="6372" xr:uid="{3F3C2251-6FC1-4575-90C7-5EBADD4E0253}"/>
    <cellStyle name="Normal 2 3 2 5 7" xfId="7506" xr:uid="{778DC24A-07DF-452E-8FAD-DD8089D681D3}"/>
    <cellStyle name="Normal 2 3 2 5 8" xfId="8343" xr:uid="{BD79B2EC-68B0-4A9B-9731-01605C8D8048}"/>
    <cellStyle name="Normal 2 3 2 5 9" xfId="9480" xr:uid="{E09B0C98-7D73-46A1-8672-198A1916FCB0}"/>
    <cellStyle name="Normal 2 3 2 6" xfId="1856" xr:uid="{D4C79023-1034-42D0-B86A-CD011DC22194}"/>
    <cellStyle name="Normal 2 3 2 6 2" xfId="13140" xr:uid="{5F997C62-36AA-490B-B46B-6ED752F4DFE7}"/>
    <cellStyle name="Normal 2 3 2 6 3" xfId="15393" xr:uid="{64A4DDDB-33D9-4172-99FD-689B0D45868D}"/>
    <cellStyle name="Normal 2 3 2 6 4" xfId="17646" xr:uid="{6B9A55BA-C1A0-4DE1-AA88-023082833F09}"/>
    <cellStyle name="Normal 2 3 2 7" xfId="2982" xr:uid="{4ADBD7A2-CDBA-4DCD-970A-819D9086DB19}"/>
    <cellStyle name="Normal 2 3 2 8" xfId="4108" xr:uid="{D36803DB-6EF2-4450-8778-448DC872276D}"/>
    <cellStyle name="Normal 2 3 2 9" xfId="5234" xr:uid="{337618E3-D7C5-41F4-ADDB-6D23848B9B83}"/>
    <cellStyle name="Normal 2 3 3" xfId="738" xr:uid="{E84F1A45-E571-441B-B0E7-B1D4A48287C1}"/>
    <cellStyle name="Normal 2 3 3 10" xfId="7507" xr:uid="{C7E56704-26A9-4BB3-9243-B95AA9C0BBF0}"/>
    <cellStyle name="Normal 2 3 3 11" xfId="8342" xr:uid="{4B4AECBE-CF01-475D-A4CF-EC90D9E3CD0B}"/>
    <cellStyle name="Normal 2 3 3 12" xfId="9479" xr:uid="{67A47741-2D80-426A-870E-1781B1F8CBA0}"/>
    <cellStyle name="Normal 2 3 3 13" xfId="10606" xr:uid="{6E0D338D-36F3-472F-A734-7924DD959F62}"/>
    <cellStyle name="Normal 2 3 3 14" xfId="12025" xr:uid="{A23E6D4B-79AF-4EA1-83AE-5F5CA7D83C2F}"/>
    <cellStyle name="Normal 2 3 3 15" xfId="14278" xr:uid="{AFD6A5F7-4D4F-4FE7-9D87-59E6E2EB6A26}"/>
    <cellStyle name="Normal 2 3 3 16" xfId="16531" xr:uid="{4B0E2D7A-E64A-4B27-A0BA-10F6F73935B1}"/>
    <cellStyle name="Normal 2 3 3 2" xfId="739" xr:uid="{1E2EC3CA-7999-46E0-B505-997D5F0EBEE1}"/>
    <cellStyle name="Normal 2 3 3 2 10" xfId="8341" xr:uid="{259881B9-2EBD-40E4-9B27-03856B2843E3}"/>
    <cellStyle name="Normal 2 3 3 2 11" xfId="9478" xr:uid="{1413CF2E-0B1B-42A1-9D70-9BC296050088}"/>
    <cellStyle name="Normal 2 3 3 2 12" xfId="10605" xr:uid="{9DCACB5C-3ADF-4503-B5AE-C50860A1A13D}"/>
    <cellStyle name="Normal 2 3 3 2 13" xfId="12026" xr:uid="{B3E514E8-FEB0-44C9-B9DC-C14D93F22C04}"/>
    <cellStyle name="Normal 2 3 3 2 14" xfId="14279" xr:uid="{00C59CE3-858D-46F5-BE92-C0B907B28DC5}"/>
    <cellStyle name="Normal 2 3 3 2 15" xfId="16532" xr:uid="{BE351DF2-A777-48D9-942B-969164D989A8}"/>
    <cellStyle name="Normal 2 3 3 2 2" xfId="740" xr:uid="{189DBF07-F520-4B2F-92F0-0421D72D4C92}"/>
    <cellStyle name="Normal 2 3 3 2 2 10" xfId="10604" xr:uid="{EC1B337B-D8E5-4B30-AC30-06BC32D77F8A}"/>
    <cellStyle name="Normal 2 3 3 2 2 11" xfId="12027" xr:uid="{E768BF0C-55B4-42CD-85D2-CBC192B016D7}"/>
    <cellStyle name="Normal 2 3 3 2 2 12" xfId="14280" xr:uid="{C331348F-3325-4D81-AB4A-6C4B0B2E7D02}"/>
    <cellStyle name="Normal 2 3 3 2 2 13" xfId="16533" xr:uid="{1F9C90EC-14AF-47E6-A259-A806FEE9DFE0}"/>
    <cellStyle name="Normal 2 3 3 2 2 2" xfId="1870" xr:uid="{26387CCB-A7A3-4DAE-96E1-90E047122FF9}"/>
    <cellStyle name="Normal 2 3 3 2 2 2 2" xfId="13154" xr:uid="{DEE7E5F0-60A8-4B99-9B26-515BF6B604BD}"/>
    <cellStyle name="Normal 2 3 3 2 2 2 3" xfId="15407" xr:uid="{B3833E23-212C-4A51-B8A6-35BFBC500543}"/>
    <cellStyle name="Normal 2 3 3 2 2 2 4" xfId="17660" xr:uid="{EAC0AF1C-CDBB-41EC-8350-9C85F4D2AAA1}"/>
    <cellStyle name="Normal 2 3 3 2 2 3" xfId="2996" xr:uid="{A7FC3986-255E-4595-8141-E2EF13A92F4A}"/>
    <cellStyle name="Normal 2 3 3 2 2 4" xfId="4122" xr:uid="{15E84BD5-01B2-4D20-BFF9-EBE83C2DB287}"/>
    <cellStyle name="Normal 2 3 3 2 2 5" xfId="5248" xr:uid="{E7EEAC6C-6B0A-4671-9F9C-A01D25284A37}"/>
    <cellStyle name="Normal 2 3 3 2 2 6" xfId="6375" xr:uid="{9CF20F5C-58C8-4D4E-9D73-9E7E255207F2}"/>
    <cellStyle name="Normal 2 3 3 2 2 7" xfId="7509" xr:uid="{C6D76B51-6A4C-4C11-9FCB-44CB37581683}"/>
    <cellStyle name="Normal 2 3 3 2 2 8" xfId="8340" xr:uid="{9087AEFA-BBF9-4BC6-B7E5-49464FCC46BA}"/>
    <cellStyle name="Normal 2 3 3 2 2 9" xfId="9477" xr:uid="{CB7FD4DB-3852-4B92-9589-801EA55BAB93}"/>
    <cellStyle name="Normal 2 3 3 2 3" xfId="741" xr:uid="{1341DFC1-C129-4EF3-B7B4-2FDC13C48BAE}"/>
    <cellStyle name="Normal 2 3 3 2 3 10" xfId="10603" xr:uid="{E176371C-1972-4E3B-A6AC-C4BB01FAC2BC}"/>
    <cellStyle name="Normal 2 3 3 2 3 11" xfId="12028" xr:uid="{62026D8F-0AAA-4658-A663-FE4D6052088D}"/>
    <cellStyle name="Normal 2 3 3 2 3 12" xfId="14281" xr:uid="{1F57596C-2E7B-41F0-A19E-C1F2246FC7AC}"/>
    <cellStyle name="Normal 2 3 3 2 3 13" xfId="16534" xr:uid="{32F87716-E6F0-4289-B7E0-6DCB6A630ACD}"/>
    <cellStyle name="Normal 2 3 3 2 3 2" xfId="1871" xr:uid="{F50F5088-C3EF-4309-8DC9-52AC573B20DD}"/>
    <cellStyle name="Normal 2 3 3 2 3 2 2" xfId="13155" xr:uid="{1696C505-99EB-47A3-99E7-B79C2A1ABA30}"/>
    <cellStyle name="Normal 2 3 3 2 3 2 3" xfId="15408" xr:uid="{EAB44EA9-EA19-452E-98C2-B9B28D0F9207}"/>
    <cellStyle name="Normal 2 3 3 2 3 2 4" xfId="17661" xr:uid="{12D78082-9DEE-462B-90DF-51FCB50FA80B}"/>
    <cellStyle name="Normal 2 3 3 2 3 3" xfId="2997" xr:uid="{62BD61B2-B9DC-410F-ACBD-EF17F54DB81F}"/>
    <cellStyle name="Normal 2 3 3 2 3 4" xfId="4123" xr:uid="{99145BE8-CBB4-471C-A44F-0C75E50A32B5}"/>
    <cellStyle name="Normal 2 3 3 2 3 5" xfId="5249" xr:uid="{A37FF32A-0B5D-4009-B9C0-0F397CE1C6B0}"/>
    <cellStyle name="Normal 2 3 3 2 3 6" xfId="6376" xr:uid="{05386BF1-F36E-4E29-96D6-65B2A4E70F6D}"/>
    <cellStyle name="Normal 2 3 3 2 3 7" xfId="7510" xr:uid="{B5DD58B2-3E25-4324-BF93-9559AEABA94E}"/>
    <cellStyle name="Normal 2 3 3 2 3 8" xfId="8339" xr:uid="{38953383-6EBC-4AED-9356-04FC64359294}"/>
    <cellStyle name="Normal 2 3 3 2 3 9" xfId="9476" xr:uid="{E4835FB0-E72A-4A2A-A151-08FFDDD7D441}"/>
    <cellStyle name="Normal 2 3 3 2 4" xfId="1869" xr:uid="{E0AFA605-F58D-4847-BF48-8FDC88E9A99B}"/>
    <cellStyle name="Normal 2 3 3 2 4 2" xfId="13153" xr:uid="{3736B429-A2DF-4901-BD73-F7A70DEF3DD9}"/>
    <cellStyle name="Normal 2 3 3 2 4 3" xfId="15406" xr:uid="{1E1F8D1D-EC2B-4579-BAC8-B2712A737EB8}"/>
    <cellStyle name="Normal 2 3 3 2 4 4" xfId="17659" xr:uid="{84650E91-7AEB-4393-9FA5-DD64C92E62AB}"/>
    <cellStyle name="Normal 2 3 3 2 5" xfId="2995" xr:uid="{7763AD81-B794-4CE0-ADDD-E0DF3E91324A}"/>
    <cellStyle name="Normal 2 3 3 2 6" xfId="4121" xr:uid="{C94FA378-0047-4CFC-87BC-0D25A69F9581}"/>
    <cellStyle name="Normal 2 3 3 2 7" xfId="5247" xr:uid="{3B737C16-4CA7-48CB-A56E-0840562FE9B1}"/>
    <cellStyle name="Normal 2 3 3 2 8" xfId="6374" xr:uid="{6A10242B-0937-4D2D-8772-4262027C16A0}"/>
    <cellStyle name="Normal 2 3 3 2 9" xfId="7508" xr:uid="{7ABDE00E-A5D1-414C-91A5-C2F88B64DD4E}"/>
    <cellStyle name="Normal 2 3 3 3" xfId="742" xr:uid="{71E762F7-876A-4186-BFD9-D3693F8C3267}"/>
    <cellStyle name="Normal 2 3 3 3 10" xfId="10602" xr:uid="{1B56A128-AEAF-4F62-9634-63861820740A}"/>
    <cellStyle name="Normal 2 3 3 3 11" xfId="12029" xr:uid="{04A8DFA3-B538-4D96-BB8B-020A04970CC7}"/>
    <cellStyle name="Normal 2 3 3 3 12" xfId="14282" xr:uid="{57985FCE-B2DF-4FFB-B8EF-8056E2510563}"/>
    <cellStyle name="Normal 2 3 3 3 13" xfId="16535" xr:uid="{47443CE9-D3F7-4382-984C-2654B5B280D0}"/>
    <cellStyle name="Normal 2 3 3 3 2" xfId="1872" xr:uid="{3B3CFC04-75F1-4579-A861-514270BE8809}"/>
    <cellStyle name="Normal 2 3 3 3 2 2" xfId="13156" xr:uid="{811CD377-A37C-437F-B710-ED4D851C105D}"/>
    <cellStyle name="Normal 2 3 3 3 2 3" xfId="15409" xr:uid="{160A74E9-3F92-475B-884C-635E69AFFDDE}"/>
    <cellStyle name="Normal 2 3 3 3 2 4" xfId="17662" xr:uid="{82E36582-AD21-4E25-9471-FE5CA3D8C449}"/>
    <cellStyle name="Normal 2 3 3 3 3" xfId="2998" xr:uid="{2EE5EF55-7FAD-4260-AF7E-C6913A7073F5}"/>
    <cellStyle name="Normal 2 3 3 3 4" xfId="4124" xr:uid="{9CC482CC-C6DB-47B2-A11A-B3644371ED87}"/>
    <cellStyle name="Normal 2 3 3 3 5" xfId="5250" xr:uid="{68873EE6-81ED-4920-8519-A69BB6001B47}"/>
    <cellStyle name="Normal 2 3 3 3 6" xfId="6377" xr:uid="{80A508A8-0AE9-4450-A909-CD75ECAB1649}"/>
    <cellStyle name="Normal 2 3 3 3 7" xfId="7511" xr:uid="{CBB43AE0-C7C7-4A4F-919E-73DA1B25BD30}"/>
    <cellStyle name="Normal 2 3 3 3 8" xfId="8338" xr:uid="{0E9114B5-FD57-427B-BC74-735B32178C58}"/>
    <cellStyle name="Normal 2 3 3 3 9" xfId="9475" xr:uid="{B297171B-3130-4E86-A595-420EA8516896}"/>
    <cellStyle name="Normal 2 3 3 4" xfId="743" xr:uid="{4DB111B2-5DD2-4102-A5CE-7C77FF5C7ED7}"/>
    <cellStyle name="Normal 2 3 3 4 10" xfId="10601" xr:uid="{8AFD4F1F-9291-43B3-B257-9B416D802EB6}"/>
    <cellStyle name="Normal 2 3 3 4 11" xfId="12030" xr:uid="{CF18E671-AC33-4613-AA55-D54B86D9E976}"/>
    <cellStyle name="Normal 2 3 3 4 12" xfId="14283" xr:uid="{747C0B52-4C45-48D2-8371-56315DC0D26B}"/>
    <cellStyle name="Normal 2 3 3 4 13" xfId="16536" xr:uid="{9E1D8B66-B8E9-4E40-8087-BE1C6695F38C}"/>
    <cellStyle name="Normal 2 3 3 4 2" xfId="1873" xr:uid="{EE3F11FE-5569-4A91-B4D1-4EF9380D63EB}"/>
    <cellStyle name="Normal 2 3 3 4 2 2" xfId="13157" xr:uid="{DA81C868-906C-4AC3-BDB1-4D998A4883E5}"/>
    <cellStyle name="Normal 2 3 3 4 2 3" xfId="15410" xr:uid="{39AF719A-1799-488E-8844-D77437AC6179}"/>
    <cellStyle name="Normal 2 3 3 4 2 4" xfId="17663" xr:uid="{75C83433-49F8-43AD-8392-05D3E6E15944}"/>
    <cellStyle name="Normal 2 3 3 4 3" xfId="2999" xr:uid="{1055204A-8A09-4061-B419-034FDC925D6F}"/>
    <cellStyle name="Normal 2 3 3 4 4" xfId="4125" xr:uid="{8BEFAA65-9D21-497E-B8B3-F205C2A3813C}"/>
    <cellStyle name="Normal 2 3 3 4 5" xfId="5251" xr:uid="{3CC7B16C-6938-412E-A7A0-1E9B711117EF}"/>
    <cellStyle name="Normal 2 3 3 4 6" xfId="6378" xr:uid="{A77B45BB-08A0-40B1-B144-552E332EF60B}"/>
    <cellStyle name="Normal 2 3 3 4 7" xfId="7512" xr:uid="{52276AD3-0D2C-4B1B-9B59-781D9F0462F5}"/>
    <cellStyle name="Normal 2 3 3 4 8" xfId="8337" xr:uid="{BE8574F7-A97E-4EA5-8E05-6F090693E0A1}"/>
    <cellStyle name="Normal 2 3 3 4 9" xfId="9474" xr:uid="{032E42A6-67A2-4B58-9493-5A4B3D0D38BA}"/>
    <cellStyle name="Normal 2 3 3 5" xfId="1868" xr:uid="{AA513897-8BCB-41C8-BD5F-4BBCEB82DE9F}"/>
    <cellStyle name="Normal 2 3 3 5 2" xfId="13152" xr:uid="{A75A3C83-55ED-4E66-99F9-65F8089DB958}"/>
    <cellStyle name="Normal 2 3 3 5 3" xfId="15405" xr:uid="{0574AF1B-9AE9-42FD-A463-ED424A7BFBBA}"/>
    <cellStyle name="Normal 2 3 3 5 4" xfId="17658" xr:uid="{F789FF25-0E88-42A6-BAAB-158ADCA5EFEE}"/>
    <cellStyle name="Normal 2 3 3 6" xfId="2994" xr:uid="{77E9C087-E79C-4575-9685-F5BEC8C1241B}"/>
    <cellStyle name="Normal 2 3 3 7" xfId="4120" xr:uid="{C91A5175-90E0-481D-B3D0-01731017C908}"/>
    <cellStyle name="Normal 2 3 3 8" xfId="5246" xr:uid="{28E1BBDF-34BA-4CD4-9970-DA5BB113EAB4}"/>
    <cellStyle name="Normal 2 3 3 9" xfId="6373" xr:uid="{E84C6AC5-5F50-42E8-AC83-11053362061F}"/>
    <cellStyle name="Normal 2 3 4" xfId="744" xr:uid="{1DAB7370-CFE4-491A-8958-C089B268CF9C}"/>
    <cellStyle name="Normal 2 3 4 10" xfId="8336" xr:uid="{3F08C453-E319-441C-8A60-EBD3F5C927FD}"/>
    <cellStyle name="Normal 2 3 4 11" xfId="9473" xr:uid="{3F0EBE62-9997-49C0-8D12-782B0CA08C2A}"/>
    <cellStyle name="Normal 2 3 4 12" xfId="10600" xr:uid="{536A0CC8-17D2-4B35-BA1D-322358762F13}"/>
    <cellStyle name="Normal 2 3 4 13" xfId="12031" xr:uid="{689B94FE-AE80-4B4B-9321-A2020FE3FE38}"/>
    <cellStyle name="Normal 2 3 4 14" xfId="14284" xr:uid="{F53969A0-66C5-44BE-B420-326B280246C0}"/>
    <cellStyle name="Normal 2 3 4 15" xfId="16537" xr:uid="{C54FD046-2378-49B6-AC08-66BA71A8FA2C}"/>
    <cellStyle name="Normal 2 3 4 2" xfId="745" xr:uid="{E745A3A5-1F34-4BF6-B919-E182EE2FDED8}"/>
    <cellStyle name="Normal 2 3 4 2 10" xfId="10599" xr:uid="{7B1B3E0D-4D5B-4920-B7CF-29E94A0832EE}"/>
    <cellStyle name="Normal 2 3 4 2 11" xfId="12032" xr:uid="{9BDF2ED0-47F1-4733-B24C-7CA7F3BD8879}"/>
    <cellStyle name="Normal 2 3 4 2 12" xfId="14285" xr:uid="{3CA0FAC3-EFB9-4B0C-BD60-0AB5B0531040}"/>
    <cellStyle name="Normal 2 3 4 2 13" xfId="16538" xr:uid="{09964946-77E2-4B11-8783-33898734E476}"/>
    <cellStyle name="Normal 2 3 4 2 2" xfId="1875" xr:uid="{BEC2E428-BE76-4561-9A76-126A046936BE}"/>
    <cellStyle name="Normal 2 3 4 2 2 2" xfId="13159" xr:uid="{C6F92368-B65B-44D1-B7FB-C6826394EA52}"/>
    <cellStyle name="Normal 2 3 4 2 2 3" xfId="15412" xr:uid="{E9DADCA4-952D-4BEE-B671-8AB46B041070}"/>
    <cellStyle name="Normal 2 3 4 2 2 4" xfId="17665" xr:uid="{D578F6D2-B9A1-41B9-BB8F-ACB0CC225E91}"/>
    <cellStyle name="Normal 2 3 4 2 3" xfId="3001" xr:uid="{5387BEA0-56E6-4198-A2D3-2E1815A7A857}"/>
    <cellStyle name="Normal 2 3 4 2 4" xfId="4127" xr:uid="{61080BCF-B4D8-4925-8479-14F8C67B33F0}"/>
    <cellStyle name="Normal 2 3 4 2 5" xfId="5253" xr:uid="{C9D00685-0E5B-4288-B0B4-B621AEBFB78B}"/>
    <cellStyle name="Normal 2 3 4 2 6" xfId="6380" xr:uid="{AF447EC7-D43F-493A-9E72-A5FF24856E43}"/>
    <cellStyle name="Normal 2 3 4 2 7" xfId="7514" xr:uid="{526FF20B-0F2C-4DBD-8F9F-CE4AB85DC7F9}"/>
    <cellStyle name="Normal 2 3 4 2 8" xfId="8335" xr:uid="{354D1F3C-E99E-4437-B715-81A1084A9647}"/>
    <cellStyle name="Normal 2 3 4 2 9" xfId="9472" xr:uid="{481DBD6B-48BA-47ED-AD02-194E3712FDB4}"/>
    <cellStyle name="Normal 2 3 4 3" xfId="746" xr:uid="{9D9F4C06-B432-4F62-8301-AD534546BB66}"/>
    <cellStyle name="Normal 2 3 4 3 10" xfId="10598" xr:uid="{16FB1570-0F8B-4748-9B85-5E8F6766A4F8}"/>
    <cellStyle name="Normal 2 3 4 3 11" xfId="12033" xr:uid="{BB52CF6E-3A45-4B32-9EFE-317491967AC3}"/>
    <cellStyle name="Normal 2 3 4 3 12" xfId="14286" xr:uid="{2C5EBC77-43FB-4844-A947-95D30D4E5632}"/>
    <cellStyle name="Normal 2 3 4 3 13" xfId="16539" xr:uid="{75490328-0ED6-4567-85B0-2D4497647E44}"/>
    <cellStyle name="Normal 2 3 4 3 2" xfId="1876" xr:uid="{82B0C3ED-A99F-4314-BBF2-D3E8CB692632}"/>
    <cellStyle name="Normal 2 3 4 3 2 2" xfId="13160" xr:uid="{0E5BA782-5236-45CB-B686-2C42DB53F321}"/>
    <cellStyle name="Normal 2 3 4 3 2 3" xfId="15413" xr:uid="{FEA49292-D1F1-4DA0-B712-3C65CB3FBEB4}"/>
    <cellStyle name="Normal 2 3 4 3 2 4" xfId="17666" xr:uid="{EAA00009-78C8-472C-8D5D-9A5B7CE295BE}"/>
    <cellStyle name="Normal 2 3 4 3 3" xfId="3002" xr:uid="{F6330373-BA5A-4CBF-BA70-F8FB670889F9}"/>
    <cellStyle name="Normal 2 3 4 3 4" xfId="4128" xr:uid="{1A72AA35-D571-4700-AACE-5BFD926E23AE}"/>
    <cellStyle name="Normal 2 3 4 3 5" xfId="5254" xr:uid="{7706646F-AF7D-4135-90BE-B143E1CF17C7}"/>
    <cellStyle name="Normal 2 3 4 3 6" xfId="6381" xr:uid="{ABBE1D4C-B418-42AF-81D0-9C505BDD27A4}"/>
    <cellStyle name="Normal 2 3 4 3 7" xfId="7515" xr:uid="{FFA466F5-32A7-4FE7-AA0E-54C90D175424}"/>
    <cellStyle name="Normal 2 3 4 3 8" xfId="8334" xr:uid="{499085FA-383C-4ED3-BD5D-B4FA27605474}"/>
    <cellStyle name="Normal 2 3 4 3 9" xfId="9471" xr:uid="{52422686-463B-4B46-9C7D-AB5B047B2665}"/>
    <cellStyle name="Normal 2 3 4 4" xfId="1874" xr:uid="{06A4D49B-2F09-4A33-9D43-A645DE046405}"/>
    <cellStyle name="Normal 2 3 4 4 2" xfId="13158" xr:uid="{47D2DC7D-2CD8-4D7A-82D4-CB5CCDFC57B0}"/>
    <cellStyle name="Normal 2 3 4 4 3" xfId="15411" xr:uid="{66DB3C2A-9FB7-4E00-9F5C-796498D51FB5}"/>
    <cellStyle name="Normal 2 3 4 4 4" xfId="17664" xr:uid="{08B57183-9E21-4EBA-B0CF-392CE6FB376F}"/>
    <cellStyle name="Normal 2 3 4 5" xfId="3000" xr:uid="{D1690D4A-7DEA-442A-B8F7-E2C5C2C72972}"/>
    <cellStyle name="Normal 2 3 4 6" xfId="4126" xr:uid="{B7ABDE12-EE34-4A7F-9938-79CD2D9F14C5}"/>
    <cellStyle name="Normal 2 3 4 7" xfId="5252" xr:uid="{E95583B1-4782-42E8-ABD8-4122DA32A9B6}"/>
    <cellStyle name="Normal 2 3 4 8" xfId="6379" xr:uid="{0679EB95-A140-43D5-A135-7E4E196EE96D}"/>
    <cellStyle name="Normal 2 3 4 9" xfId="7513" xr:uid="{BCE43942-DBC6-4B08-ABFC-5E17036BEA9D}"/>
    <cellStyle name="Normal 2 3 5" xfId="747" xr:uid="{B270B187-FFF6-47F4-B73C-886CD29EA5DF}"/>
    <cellStyle name="Normal 2 3 5 10" xfId="10597" xr:uid="{62BEA32A-26EE-4E08-8013-50C6DF01AB0B}"/>
    <cellStyle name="Normal 2 3 5 11" xfId="12034" xr:uid="{41FE33E0-6957-4EC1-AE2D-C1E2CDD69E02}"/>
    <cellStyle name="Normal 2 3 5 12" xfId="14287" xr:uid="{5E38616F-3004-4CF1-82EB-78AA094D243C}"/>
    <cellStyle name="Normal 2 3 5 13" xfId="16540" xr:uid="{36EFB549-CFE6-44E1-A91A-EEDC128502C3}"/>
    <cellStyle name="Normal 2 3 5 2" xfId="1877" xr:uid="{6277EE0B-7258-430B-A563-73CE9EFDDD79}"/>
    <cellStyle name="Normal 2 3 5 2 2" xfId="13161" xr:uid="{CE19B00F-61C4-41C6-B462-7982A8C578A4}"/>
    <cellStyle name="Normal 2 3 5 2 3" xfId="15414" xr:uid="{4D99B44B-4735-4D0A-B9C3-B04B21424F3C}"/>
    <cellStyle name="Normal 2 3 5 2 4" xfId="17667" xr:uid="{A472EC9B-2415-439A-A7BE-2967244EA579}"/>
    <cellStyle name="Normal 2 3 5 3" xfId="3003" xr:uid="{15CDB405-2B6A-480F-84E6-2367243CAB09}"/>
    <cellStyle name="Normal 2 3 5 4" xfId="4129" xr:uid="{CDC83085-2F98-4400-86FC-68B2DFFAD59D}"/>
    <cellStyle name="Normal 2 3 5 5" xfId="5255" xr:uid="{F4036817-E2E7-416C-81D5-B41223E18AEC}"/>
    <cellStyle name="Normal 2 3 5 6" xfId="6382" xr:uid="{9978600C-6BDB-44E0-834F-1C43053E2CD3}"/>
    <cellStyle name="Normal 2 3 5 7" xfId="7516" xr:uid="{4E240A27-B452-4BA9-9773-AEC44E6F025B}"/>
    <cellStyle name="Normal 2 3 5 8" xfId="8333" xr:uid="{70EFBAF9-F3FA-4F3A-8CC5-C2B67AB72AEF}"/>
    <cellStyle name="Normal 2 3 5 9" xfId="9470" xr:uid="{9288C799-725C-43D1-BF30-3CD46B00469B}"/>
    <cellStyle name="Normal 2 3 6" xfId="748" xr:uid="{9E413CBB-5848-4517-93D1-91FD2A133548}"/>
    <cellStyle name="Normal 2 3 6 10" xfId="10596" xr:uid="{46CA7182-797A-4162-91C0-E2ED17454948}"/>
    <cellStyle name="Normal 2 3 6 11" xfId="12035" xr:uid="{9C064727-0B1A-4FB0-9103-56D9F6996244}"/>
    <cellStyle name="Normal 2 3 6 12" xfId="14288" xr:uid="{08CBA111-AE8E-4E80-A408-2DB1030026DA}"/>
    <cellStyle name="Normal 2 3 6 13" xfId="16541" xr:uid="{21600FDE-6C41-4905-BFA5-B7E3F2B92B83}"/>
    <cellStyle name="Normal 2 3 6 2" xfId="1878" xr:uid="{278939C9-819A-4450-8870-4EC3CEB24BDE}"/>
    <cellStyle name="Normal 2 3 6 2 2" xfId="13162" xr:uid="{3F80FDBD-F6B4-412A-8A5F-9DC9B13FD9E1}"/>
    <cellStyle name="Normal 2 3 6 2 3" xfId="15415" xr:uid="{2E878FD8-AB4B-45BE-8DFE-D8C27822001C}"/>
    <cellStyle name="Normal 2 3 6 2 4" xfId="17668" xr:uid="{82FF7102-55CD-40EE-A92A-93D43249EC5F}"/>
    <cellStyle name="Normal 2 3 6 3" xfId="3004" xr:uid="{497F3A07-93F8-41D4-881B-CFF736DDA405}"/>
    <cellStyle name="Normal 2 3 6 4" xfId="4130" xr:uid="{5BC7EA8E-16E0-46F2-815D-73F83213A905}"/>
    <cellStyle name="Normal 2 3 6 5" xfId="5256" xr:uid="{D09C7F6E-CAE5-4C29-847A-2A2B4AA3203A}"/>
    <cellStyle name="Normal 2 3 6 6" xfId="6383" xr:uid="{21B3694B-6348-4724-A916-98A82DC92ABF}"/>
    <cellStyle name="Normal 2 3 6 7" xfId="7517" xr:uid="{3898CC38-D8F2-4F3B-B11A-5D02BD64D4A0}"/>
    <cellStyle name="Normal 2 3 6 8" xfId="8332" xr:uid="{3CDE09E7-8BDE-43F9-8A72-D1FFE9FBF44F}"/>
    <cellStyle name="Normal 2 3 6 9" xfId="9469" xr:uid="{835F8D5D-6CAE-4095-80C1-B73FF3645501}"/>
    <cellStyle name="Normal 2 3 7" xfId="725" xr:uid="{AEB7200E-5227-49A2-B215-4D31520F63DD}"/>
    <cellStyle name="Normal 2 3 7 2" xfId="13139" xr:uid="{EC6BBFB3-EC66-4499-9CA4-E4D4963CC1BF}"/>
    <cellStyle name="Normal 2 3 7 3" xfId="15392" xr:uid="{54DC56D0-9B49-4723-9DDB-2D8F84BC29A9}"/>
    <cellStyle name="Normal 2 3 7 4" xfId="17645" xr:uid="{9E33E376-3AA1-4EE1-9ADF-BF0F8DE39090}"/>
    <cellStyle name="Normal 2 3 8" xfId="1855" xr:uid="{3A1B6833-27EA-4FC5-AE93-912B68B7EB17}"/>
    <cellStyle name="Normal 2 3 9" xfId="2981" xr:uid="{62A9B5F1-A1EC-4BD5-8C50-417910B72C9A}"/>
    <cellStyle name="Normal 2 4" xfId="749" xr:uid="{8C2F8241-6D30-47CC-BC76-4971D30E9699}"/>
    <cellStyle name="Normal 2 4 2" xfId="7518" xr:uid="{9C8F8494-018E-419E-B81A-E7509B33B2E0}"/>
    <cellStyle name="Normal 2 5" xfId="750" xr:uid="{1839D4BD-2160-4D12-8BDD-EBEA9B81C326}"/>
    <cellStyle name="Normal 2 5 10" xfId="6384" xr:uid="{EDEBC725-A4BF-4872-BCBE-F682C4146270}"/>
    <cellStyle name="Normal 2 5 11" xfId="7519" xr:uid="{D41C44CC-147E-44C3-B2E5-3145FC6B9D2D}"/>
    <cellStyle name="Normal 2 5 12" xfId="8331" xr:uid="{D8521C8B-476F-4A4C-B114-C0D8030E5505}"/>
    <cellStyle name="Normal 2 5 13" xfId="9468" xr:uid="{EFF5AFDE-C0D5-4387-8DD4-2A1B53F00FAE}"/>
    <cellStyle name="Normal 2 5 14" xfId="10595" xr:uid="{939478A6-2867-4A92-B340-5E501C8D0919}"/>
    <cellStyle name="Normal 2 5 15" xfId="12036" xr:uid="{7FDD912B-335C-4929-B2DE-8F2E3332A6DB}"/>
    <cellStyle name="Normal 2 5 16" xfId="14289" xr:uid="{F69AF835-6616-43E2-A6C3-C156690701B6}"/>
    <cellStyle name="Normal 2 5 17" xfId="16542" xr:uid="{8F3FA9A7-0BEE-4D2B-BB48-E04366497B76}"/>
    <cellStyle name="Normal 2 5 2" xfId="751" xr:uid="{5BBA9FFB-2140-40CE-A00D-F2AF432D4E1B}"/>
    <cellStyle name="Normal 2 5 2 10" xfId="7520" xr:uid="{A54AD8CC-29C7-4D6A-97C2-B72C6560096F}"/>
    <cellStyle name="Normal 2 5 2 11" xfId="8330" xr:uid="{BAE21262-1356-4D3F-9FCE-E9C478D38868}"/>
    <cellStyle name="Normal 2 5 2 12" xfId="9467" xr:uid="{E8B0EDD0-4490-41C6-919D-2370D55C17CE}"/>
    <cellStyle name="Normal 2 5 2 13" xfId="10594" xr:uid="{9AC11C33-4350-4E96-8BE5-DAEF23538A66}"/>
    <cellStyle name="Normal 2 5 2 14" xfId="12037" xr:uid="{29930577-719B-42F5-9C27-82890A8BEF6C}"/>
    <cellStyle name="Normal 2 5 2 15" xfId="14290" xr:uid="{904E1964-7C31-4D36-BD92-345E9E385122}"/>
    <cellStyle name="Normal 2 5 2 16" xfId="16543" xr:uid="{57AC5CDB-172C-43D3-9C0F-0D7FD213CD4E}"/>
    <cellStyle name="Normal 2 5 2 2" xfId="752" xr:uid="{4FEC24CE-0600-41EB-84CA-C379986BF7B7}"/>
    <cellStyle name="Normal 2 5 2 2 10" xfId="8329" xr:uid="{FF3A50B4-DF03-4719-B70F-F4C7E6D46437}"/>
    <cellStyle name="Normal 2 5 2 2 11" xfId="9466" xr:uid="{97CEF15F-DB55-4F28-BE64-BFFC8EEFABEE}"/>
    <cellStyle name="Normal 2 5 2 2 12" xfId="10593" xr:uid="{CFA89BBB-2519-4C54-8D69-EE31BCFC3AFE}"/>
    <cellStyle name="Normal 2 5 2 2 13" xfId="12038" xr:uid="{148A1779-122C-48C1-AEE7-5232B6551146}"/>
    <cellStyle name="Normal 2 5 2 2 14" xfId="14291" xr:uid="{0CE1BD42-B7DF-4FD9-8DD4-AA2E31475623}"/>
    <cellStyle name="Normal 2 5 2 2 15" xfId="16544" xr:uid="{EE5B2FEE-CF49-4632-8832-86B8645D9DDB}"/>
    <cellStyle name="Normal 2 5 2 2 2" xfId="753" xr:uid="{F72E4F44-22B0-460F-9E80-49B25DAD5A22}"/>
    <cellStyle name="Normal 2 5 2 2 2 10" xfId="10592" xr:uid="{27666352-A71A-4BD2-8DFC-2305D639E3E7}"/>
    <cellStyle name="Normal 2 5 2 2 2 11" xfId="12039" xr:uid="{413CD9AA-47DA-4251-B01A-56C50B6B90B7}"/>
    <cellStyle name="Normal 2 5 2 2 2 12" xfId="14292" xr:uid="{CF65F9B8-093B-4000-9E63-9231C1898D31}"/>
    <cellStyle name="Normal 2 5 2 2 2 13" xfId="16545" xr:uid="{8ADACC5A-E2D6-4F06-92B2-0B2ED40BB181}"/>
    <cellStyle name="Normal 2 5 2 2 2 2" xfId="1882" xr:uid="{1DFDD5B1-D7DC-4E25-B718-ECCA8A0684C9}"/>
    <cellStyle name="Normal 2 5 2 2 2 2 2" xfId="13166" xr:uid="{AAC8FDAC-7739-43D3-97AB-FA351C4C72C0}"/>
    <cellStyle name="Normal 2 5 2 2 2 2 3" xfId="15419" xr:uid="{FD8C12CA-4355-43E2-8358-9179AFAB8215}"/>
    <cellStyle name="Normal 2 5 2 2 2 2 4" xfId="17672" xr:uid="{0E2DF52F-4728-4BB2-8D21-743B8CABC93A}"/>
    <cellStyle name="Normal 2 5 2 2 2 3" xfId="3008" xr:uid="{9280789A-389F-4609-AF0B-44D9AAE52905}"/>
    <cellStyle name="Normal 2 5 2 2 2 4" xfId="4134" xr:uid="{033D32D6-45A9-4729-A6F1-4B984A672330}"/>
    <cellStyle name="Normal 2 5 2 2 2 5" xfId="5260" xr:uid="{AC408E3C-1070-4E29-9AE8-9396ACAB0F52}"/>
    <cellStyle name="Normal 2 5 2 2 2 6" xfId="6387" xr:uid="{975E410B-7C49-46A7-BA20-0DA08FA85227}"/>
    <cellStyle name="Normal 2 5 2 2 2 7" xfId="7522" xr:uid="{66A73169-499C-452B-83FD-C2DEED640971}"/>
    <cellStyle name="Normal 2 5 2 2 2 8" xfId="8328" xr:uid="{F9C1FF44-8974-4EAA-964E-55B49505442C}"/>
    <cellStyle name="Normal 2 5 2 2 2 9" xfId="9465" xr:uid="{6AEF9B79-77C5-4FC9-B33D-E2C93BCB91A7}"/>
    <cellStyle name="Normal 2 5 2 2 3" xfId="754" xr:uid="{4F292926-BED6-440E-AD54-19124C4BA61B}"/>
    <cellStyle name="Normal 2 5 2 2 3 10" xfId="10591" xr:uid="{05397D65-2D13-4CD9-B1E8-4675470397B8}"/>
    <cellStyle name="Normal 2 5 2 2 3 11" xfId="12040" xr:uid="{05B5D182-A2DB-45E7-8A37-E76EE3134EBB}"/>
    <cellStyle name="Normal 2 5 2 2 3 12" xfId="14293" xr:uid="{F6B82824-8219-4C6D-AA73-19AD2D7879E2}"/>
    <cellStyle name="Normal 2 5 2 2 3 13" xfId="16546" xr:uid="{F44B468B-7716-4FEC-AD3C-43CBA43229C3}"/>
    <cellStyle name="Normal 2 5 2 2 3 2" xfId="1883" xr:uid="{80096784-EDDB-4261-B57C-EF2C7CCF54A6}"/>
    <cellStyle name="Normal 2 5 2 2 3 2 2" xfId="13167" xr:uid="{8802A80A-4B1A-484A-9D18-8D40ACA62ED9}"/>
    <cellStyle name="Normal 2 5 2 2 3 2 3" xfId="15420" xr:uid="{E4DBC858-8F0E-486B-8FF1-7CC466999898}"/>
    <cellStyle name="Normal 2 5 2 2 3 2 4" xfId="17673" xr:uid="{AFE0836F-7CF2-48D7-B5A4-BF9267AEE095}"/>
    <cellStyle name="Normal 2 5 2 2 3 3" xfId="3009" xr:uid="{A5B1C64B-193E-499B-B5BA-6F3D9CAE6757}"/>
    <cellStyle name="Normal 2 5 2 2 3 4" xfId="4135" xr:uid="{7A92F81E-5BB1-4988-AD67-145FBE8B6D4D}"/>
    <cellStyle name="Normal 2 5 2 2 3 5" xfId="5261" xr:uid="{E283A4F5-8173-404F-9C06-09479D2FE155}"/>
    <cellStyle name="Normal 2 5 2 2 3 6" xfId="6388" xr:uid="{EED8783D-47AF-4A48-9050-883E0FA28480}"/>
    <cellStyle name="Normal 2 5 2 2 3 7" xfId="7523" xr:uid="{10036E04-C228-421F-A11E-6F7E36B00B97}"/>
    <cellStyle name="Normal 2 5 2 2 3 8" xfId="8327" xr:uid="{E8825812-640F-4B01-A329-2936505E9489}"/>
    <cellStyle name="Normal 2 5 2 2 3 9" xfId="9464" xr:uid="{469FAC1E-5D63-4FA8-A0E5-300C9C7D729D}"/>
    <cellStyle name="Normal 2 5 2 2 4" xfId="1881" xr:uid="{A33A31AA-BD6D-49A5-B6FC-8E5819ECACF3}"/>
    <cellStyle name="Normal 2 5 2 2 4 2" xfId="13165" xr:uid="{7C220AF5-E2F1-4BB4-A46F-CA4DBD83DAC2}"/>
    <cellStyle name="Normal 2 5 2 2 4 3" xfId="15418" xr:uid="{16E28407-51D7-4569-9B65-B73BE62ED939}"/>
    <cellStyle name="Normal 2 5 2 2 4 4" xfId="17671" xr:uid="{7F589A72-202C-4F04-A7AF-AD0B8725F6E4}"/>
    <cellStyle name="Normal 2 5 2 2 5" xfId="3007" xr:uid="{EC811C37-26C7-45C3-B9B5-7347373D2AA0}"/>
    <cellStyle name="Normal 2 5 2 2 6" xfId="4133" xr:uid="{7D5CAFAF-31AC-43D9-8924-06DD2021F12D}"/>
    <cellStyle name="Normal 2 5 2 2 7" xfId="5259" xr:uid="{1531CED9-E01A-496D-B346-202AF2E4C198}"/>
    <cellStyle name="Normal 2 5 2 2 8" xfId="6386" xr:uid="{77FF4A0C-F62B-4CA2-9D74-88AFFD61D506}"/>
    <cellStyle name="Normal 2 5 2 2 9" xfId="7521" xr:uid="{FB45CD65-0DBE-47D7-9050-DE76BC846F13}"/>
    <cellStyle name="Normal 2 5 2 3" xfId="755" xr:uid="{30671F94-120A-471B-B10C-4E132D679756}"/>
    <cellStyle name="Normal 2 5 2 3 10" xfId="10590" xr:uid="{A2295110-78F5-441D-8E64-E8A3775CD40C}"/>
    <cellStyle name="Normal 2 5 2 3 11" xfId="12041" xr:uid="{D2BB6682-2709-4892-ADBC-30403F7E372B}"/>
    <cellStyle name="Normal 2 5 2 3 12" xfId="14294" xr:uid="{2F9A8FD7-6184-436D-A992-3EEDEDC82523}"/>
    <cellStyle name="Normal 2 5 2 3 13" xfId="16547" xr:uid="{19DDF537-BC03-48BE-853A-209875504FEB}"/>
    <cellStyle name="Normal 2 5 2 3 2" xfId="1884" xr:uid="{985F685D-9B1D-4AE6-BF02-6F8D6CFE194A}"/>
    <cellStyle name="Normal 2 5 2 3 2 2" xfId="13168" xr:uid="{8D6DC1BB-B8C7-499C-A82E-A90E39322BC5}"/>
    <cellStyle name="Normal 2 5 2 3 2 3" xfId="15421" xr:uid="{8EFE63C5-AE92-43EE-8738-9AECBBA7F99F}"/>
    <cellStyle name="Normal 2 5 2 3 2 4" xfId="17674" xr:uid="{1AFB45C0-53B1-4693-AEB7-18FC06606BD9}"/>
    <cellStyle name="Normal 2 5 2 3 3" xfId="3010" xr:uid="{04C52964-40C5-4669-97C3-1F9F2D21AFC4}"/>
    <cellStyle name="Normal 2 5 2 3 4" xfId="4136" xr:uid="{313A3DEF-9D70-4019-9C44-7B139DB0A73A}"/>
    <cellStyle name="Normal 2 5 2 3 5" xfId="5262" xr:uid="{2741A36C-F214-4496-95A9-58AF19493092}"/>
    <cellStyle name="Normal 2 5 2 3 6" xfId="6389" xr:uid="{3254F12C-FEFD-4294-AA96-3C2533A82A5C}"/>
    <cellStyle name="Normal 2 5 2 3 7" xfId="7524" xr:uid="{405E356F-081B-4EF9-8E79-60D7A8FE3A7E}"/>
    <cellStyle name="Normal 2 5 2 3 8" xfId="8326" xr:uid="{65691513-8567-42F9-9E0D-499D10A75918}"/>
    <cellStyle name="Normal 2 5 2 3 9" xfId="9463" xr:uid="{3A3E922B-2497-4103-802E-8F6DF7C410AD}"/>
    <cellStyle name="Normal 2 5 2 4" xfId="756" xr:uid="{D60603EA-2D08-45DB-8229-54875386E0EA}"/>
    <cellStyle name="Normal 2 5 2 4 10" xfId="10589" xr:uid="{249066EB-93C3-4B27-AB65-49646FC2C6C9}"/>
    <cellStyle name="Normal 2 5 2 4 11" xfId="12042" xr:uid="{D72CB603-12CA-44C2-ACD5-21C68E20FAA5}"/>
    <cellStyle name="Normal 2 5 2 4 12" xfId="14295" xr:uid="{7A6B1CB6-D922-4503-AA93-7C34E6A7B7E5}"/>
    <cellStyle name="Normal 2 5 2 4 13" xfId="16548" xr:uid="{0EC0B741-9F23-43E2-A418-7F900D45FFD8}"/>
    <cellStyle name="Normal 2 5 2 4 2" xfId="1885" xr:uid="{481A1AD6-BFF9-4CCF-843D-FA1E3CDB4A8A}"/>
    <cellStyle name="Normal 2 5 2 4 2 2" xfId="13169" xr:uid="{763D9B3D-7407-4221-A232-8FE7E98852FD}"/>
    <cellStyle name="Normal 2 5 2 4 2 3" xfId="15422" xr:uid="{7E9FD2EE-4D86-47B8-996F-E33A0189BC78}"/>
    <cellStyle name="Normal 2 5 2 4 2 4" xfId="17675" xr:uid="{41A0C7A8-31EA-4AC1-9A6F-E71EB4C2B7BD}"/>
    <cellStyle name="Normal 2 5 2 4 3" xfId="3011" xr:uid="{B1413B6E-E299-431A-922C-E51F41D927AA}"/>
    <cellStyle name="Normal 2 5 2 4 4" xfId="4137" xr:uid="{A993FF7E-B169-4CFA-9BC7-FE918D485ACB}"/>
    <cellStyle name="Normal 2 5 2 4 5" xfId="5263" xr:uid="{6DB31F42-8FC1-442A-908B-193FC21E0F64}"/>
    <cellStyle name="Normal 2 5 2 4 6" xfId="6390" xr:uid="{7E32C9D9-E3C7-4243-BCA4-D13A5C61A735}"/>
    <cellStyle name="Normal 2 5 2 4 7" xfId="7525" xr:uid="{3BCE24E1-FC04-4DBA-A052-65EF1C3CECDE}"/>
    <cellStyle name="Normal 2 5 2 4 8" xfId="8325" xr:uid="{486DF27D-5696-43D9-81E9-AC5976B4D33C}"/>
    <cellStyle name="Normal 2 5 2 4 9" xfId="9462" xr:uid="{0AA9DCDD-C064-43AE-8792-13643009FA5D}"/>
    <cellStyle name="Normal 2 5 2 5" xfId="1880" xr:uid="{8E08B33B-0E64-4ABA-AF98-C71ECCEF16B0}"/>
    <cellStyle name="Normal 2 5 2 5 2" xfId="13164" xr:uid="{349248CC-7790-4802-B8BF-103BC1AC2850}"/>
    <cellStyle name="Normal 2 5 2 5 3" xfId="15417" xr:uid="{5E64CA96-E7EA-4A9F-8864-F5978C4432E8}"/>
    <cellStyle name="Normal 2 5 2 5 4" xfId="17670" xr:uid="{2B50B236-DB79-469B-949B-23D1184BACFB}"/>
    <cellStyle name="Normal 2 5 2 6" xfId="3006" xr:uid="{30D7911B-86B7-48E5-90B9-B0AF2AE3A04B}"/>
    <cellStyle name="Normal 2 5 2 7" xfId="4132" xr:uid="{4870501B-FADE-4A86-BF9D-16736D878721}"/>
    <cellStyle name="Normal 2 5 2 8" xfId="5258" xr:uid="{D858589C-477C-49E5-82B5-A5CF84EAA281}"/>
    <cellStyle name="Normal 2 5 2 9" xfId="6385" xr:uid="{0AC422A8-B164-4769-9F86-DAA2619C7C22}"/>
    <cellStyle name="Normal 2 5 3" xfId="757" xr:uid="{81480C9A-7458-45DC-AEC8-61AE2467501A}"/>
    <cellStyle name="Normal 2 5 3 10" xfId="8324" xr:uid="{A46F8B56-D5EE-4E01-904C-AA3A509C44EF}"/>
    <cellStyle name="Normal 2 5 3 11" xfId="9461" xr:uid="{85D89052-0993-4538-B062-94E02B4D614E}"/>
    <cellStyle name="Normal 2 5 3 12" xfId="10588" xr:uid="{62445D3A-B795-445B-A110-24A653C112B1}"/>
    <cellStyle name="Normal 2 5 3 13" xfId="12043" xr:uid="{D53C58C0-EB28-4047-A779-691F83ACA046}"/>
    <cellStyle name="Normal 2 5 3 14" xfId="14296" xr:uid="{F3A7915C-30B3-495A-9F2F-71A82F8BBB4B}"/>
    <cellStyle name="Normal 2 5 3 15" xfId="16549" xr:uid="{75DE0AA6-C84B-4DE1-9953-343BA9EAD3E8}"/>
    <cellStyle name="Normal 2 5 3 2" xfId="758" xr:uid="{4533D3CF-07AB-417A-A7F3-DC3E91AA8D86}"/>
    <cellStyle name="Normal 2 5 3 2 10" xfId="10587" xr:uid="{9C96F882-A11F-4742-BEA6-BF024C115199}"/>
    <cellStyle name="Normal 2 5 3 2 11" xfId="12044" xr:uid="{144A6D19-619A-4D2B-9032-6B751C5853FA}"/>
    <cellStyle name="Normal 2 5 3 2 12" xfId="14297" xr:uid="{0EF6ACA1-0A6E-4DF5-A51E-E3AF85EFDAB7}"/>
    <cellStyle name="Normal 2 5 3 2 13" xfId="16550" xr:uid="{B848B6C7-ACE4-4C5F-B6E8-8B38490625CC}"/>
    <cellStyle name="Normal 2 5 3 2 2" xfId="1887" xr:uid="{EF5D3248-9041-46B8-BA41-793EA1A9AE66}"/>
    <cellStyle name="Normal 2 5 3 2 2 2" xfId="13171" xr:uid="{916C557F-E6B0-4FE0-8D87-F751D31530AD}"/>
    <cellStyle name="Normal 2 5 3 2 2 3" xfId="15424" xr:uid="{F9BB785C-3AEC-4D0D-B393-467E61A1A300}"/>
    <cellStyle name="Normal 2 5 3 2 2 4" xfId="17677" xr:uid="{D782E726-6DB2-4264-AEA1-150BEE3A4A33}"/>
    <cellStyle name="Normal 2 5 3 2 3" xfId="3013" xr:uid="{897BDA91-A93E-42FD-8331-739DD5D0B17D}"/>
    <cellStyle name="Normal 2 5 3 2 4" xfId="4139" xr:uid="{2BD4272A-FAE5-4D9A-9243-EA2694A00CD2}"/>
    <cellStyle name="Normal 2 5 3 2 5" xfId="5265" xr:uid="{C667375F-2608-456E-9599-A058C99D5D76}"/>
    <cellStyle name="Normal 2 5 3 2 6" xfId="6392" xr:uid="{3ADD8B33-03DD-48B7-BB6D-1CD56DBBA804}"/>
    <cellStyle name="Normal 2 5 3 2 7" xfId="7527" xr:uid="{B453A6FF-C1A0-4A62-8A72-C31340A463B1}"/>
    <cellStyle name="Normal 2 5 3 2 8" xfId="8323" xr:uid="{FC5FC6C9-295E-4394-95E7-2C60E99B5F2E}"/>
    <cellStyle name="Normal 2 5 3 2 9" xfId="9460" xr:uid="{91C22C4C-7ACA-4374-827A-8F197DC33D67}"/>
    <cellStyle name="Normal 2 5 3 3" xfId="759" xr:uid="{528E6209-3DE8-4F9D-B211-3357D8739D97}"/>
    <cellStyle name="Normal 2 5 3 3 10" xfId="10586" xr:uid="{9F714507-28C5-4AC9-8AB3-A2D1C40064B2}"/>
    <cellStyle name="Normal 2 5 3 3 11" xfId="12045" xr:uid="{543E68EC-B689-4B80-8CA6-F2DAB49DC135}"/>
    <cellStyle name="Normal 2 5 3 3 12" xfId="14298" xr:uid="{523D4E85-2F47-4F56-ACBD-4236A4787487}"/>
    <cellStyle name="Normal 2 5 3 3 13" xfId="16551" xr:uid="{2C02FFF3-D184-4F94-B598-5240A51BF4A4}"/>
    <cellStyle name="Normal 2 5 3 3 2" xfId="1888" xr:uid="{9ED32347-80D4-4B77-81B9-C7B29142F2AB}"/>
    <cellStyle name="Normal 2 5 3 3 2 2" xfId="13172" xr:uid="{3635AFB2-5E19-4174-84E6-8FACA1C3F54C}"/>
    <cellStyle name="Normal 2 5 3 3 2 3" xfId="15425" xr:uid="{144CE938-026D-4CC8-9AD5-5871B7DEE856}"/>
    <cellStyle name="Normal 2 5 3 3 2 4" xfId="17678" xr:uid="{92628C90-BFF1-4F01-9BB6-8CBF22C90953}"/>
    <cellStyle name="Normal 2 5 3 3 3" xfId="3014" xr:uid="{31B74A8B-C3BE-4262-9BAA-3DB9411E9EC7}"/>
    <cellStyle name="Normal 2 5 3 3 4" xfId="4140" xr:uid="{AC5F7929-91AA-48BE-94D8-8D8FF1E831A2}"/>
    <cellStyle name="Normal 2 5 3 3 5" xfId="5266" xr:uid="{AC95A33B-AC9D-4C13-BFCE-EDA616CCBBE7}"/>
    <cellStyle name="Normal 2 5 3 3 6" xfId="6393" xr:uid="{459E71CB-77AF-4EBC-A3CE-9ACE7E24B37A}"/>
    <cellStyle name="Normal 2 5 3 3 7" xfId="7528" xr:uid="{3EA77731-B442-4875-A7F1-2CB315C92BC6}"/>
    <cellStyle name="Normal 2 5 3 3 8" xfId="8322" xr:uid="{07A72647-3739-4A67-BBED-75A7A6227F87}"/>
    <cellStyle name="Normal 2 5 3 3 9" xfId="9459" xr:uid="{BAB0B14F-25B2-4A1B-ABD7-920E99930202}"/>
    <cellStyle name="Normal 2 5 3 4" xfId="1886" xr:uid="{3BE33B62-F7C9-489E-9C72-B8C7C9F8450E}"/>
    <cellStyle name="Normal 2 5 3 4 2" xfId="13170" xr:uid="{2626C9ED-62BC-456A-96B1-7FC11A758C21}"/>
    <cellStyle name="Normal 2 5 3 4 3" xfId="15423" xr:uid="{BAF8D413-53F7-4544-B5B7-54CC2ACFAF07}"/>
    <cellStyle name="Normal 2 5 3 4 4" xfId="17676" xr:uid="{CAEB92D5-980A-41E4-99E8-BC90A8F0B6D8}"/>
    <cellStyle name="Normal 2 5 3 5" xfId="3012" xr:uid="{1A6B6D1A-DD85-438F-B3E4-4D8DF9620572}"/>
    <cellStyle name="Normal 2 5 3 6" xfId="4138" xr:uid="{F76545B4-03D5-411F-A90D-D214F2EEDF88}"/>
    <cellStyle name="Normal 2 5 3 7" xfId="5264" xr:uid="{FAF582C9-7786-449A-AC4E-FD0C6D3010F7}"/>
    <cellStyle name="Normal 2 5 3 8" xfId="6391" xr:uid="{708F2E27-B689-4462-A261-9F0A467A040A}"/>
    <cellStyle name="Normal 2 5 3 9" xfId="7526" xr:uid="{5CE3036C-BC73-424B-A633-A1F9E3E6DA25}"/>
    <cellStyle name="Normal 2 5 4" xfId="760" xr:uid="{5545E138-B86F-4326-8950-69F4306241D0}"/>
    <cellStyle name="Normal 2 5 4 10" xfId="10585" xr:uid="{B0057157-56EB-4710-B85B-F655808E00A4}"/>
    <cellStyle name="Normal 2 5 4 11" xfId="12046" xr:uid="{CCC4DF34-6EA3-4395-A634-7A9FA22360BC}"/>
    <cellStyle name="Normal 2 5 4 12" xfId="14299" xr:uid="{FD3B7B15-3BD2-4F79-864A-1CDA205130C1}"/>
    <cellStyle name="Normal 2 5 4 13" xfId="16552" xr:uid="{C99F599B-475E-41C9-8C42-8CA632B919AA}"/>
    <cellStyle name="Normal 2 5 4 2" xfId="1889" xr:uid="{834ADE13-0784-4A05-B8CD-42D30137582C}"/>
    <cellStyle name="Normal 2 5 4 2 2" xfId="13173" xr:uid="{492833A3-2F73-4CEF-B80B-7937F87E50D4}"/>
    <cellStyle name="Normal 2 5 4 2 3" xfId="15426" xr:uid="{BF53806A-AF11-4D9B-B6BA-2F163CE51B3C}"/>
    <cellStyle name="Normal 2 5 4 2 4" xfId="17679" xr:uid="{0857A87A-2CE8-4061-A862-810181C9E141}"/>
    <cellStyle name="Normal 2 5 4 3" xfId="3015" xr:uid="{9CB68564-E4CF-40D5-B1FA-800F81C57FDA}"/>
    <cellStyle name="Normal 2 5 4 4" xfId="4141" xr:uid="{A3703943-164B-4B7A-86C9-4BCFDA4D2EEF}"/>
    <cellStyle name="Normal 2 5 4 5" xfId="5267" xr:uid="{C1952EB5-0449-4543-8BB2-8D415438E0F7}"/>
    <cellStyle name="Normal 2 5 4 6" xfId="6394" xr:uid="{C5A3C9F7-28D3-45AB-B4AE-07693A41B756}"/>
    <cellStyle name="Normal 2 5 4 7" xfId="7529" xr:uid="{70CE4D70-CCAA-47AC-B40B-0C1AFAC009F1}"/>
    <cellStyle name="Normal 2 5 4 8" xfId="8321" xr:uid="{E3593D52-548E-40AB-A97D-333831A548E9}"/>
    <cellStyle name="Normal 2 5 4 9" xfId="9458" xr:uid="{34D41FB6-DE1F-4EC6-8B2B-B78B636E64A0}"/>
    <cellStyle name="Normal 2 5 5" xfId="761" xr:uid="{E9251DB0-4B6A-4ED6-A1B6-86E20067A943}"/>
    <cellStyle name="Normal 2 5 5 10" xfId="10584" xr:uid="{7D02A0B1-F20C-4ECC-87E0-8F2646CF9221}"/>
    <cellStyle name="Normal 2 5 5 11" xfId="12047" xr:uid="{139A0AD6-946E-4247-9931-FA96110E84DD}"/>
    <cellStyle name="Normal 2 5 5 12" xfId="14300" xr:uid="{8C218430-D151-4FE2-ADDF-6553ACCBC8A2}"/>
    <cellStyle name="Normal 2 5 5 13" xfId="16553" xr:uid="{EDBD5050-445F-4AB4-BA52-C7776B56C3F0}"/>
    <cellStyle name="Normal 2 5 5 2" xfId="1890" xr:uid="{498135E2-D16E-472C-80F0-6D65C7EB8020}"/>
    <cellStyle name="Normal 2 5 5 2 2" xfId="13174" xr:uid="{B48714E6-5026-4460-9491-CCA88588577B}"/>
    <cellStyle name="Normal 2 5 5 2 3" xfId="15427" xr:uid="{7EDBDFDE-14CE-43D1-9DBD-26BF1B5A7A98}"/>
    <cellStyle name="Normal 2 5 5 2 4" xfId="17680" xr:uid="{95E27336-D155-4F7E-961B-76CE843E5CED}"/>
    <cellStyle name="Normal 2 5 5 3" xfId="3016" xr:uid="{CFF68274-16D5-4F2C-A1E0-422C83F0ED9A}"/>
    <cellStyle name="Normal 2 5 5 4" xfId="4142" xr:uid="{786D8485-6043-4A81-B921-B4F75C8858E7}"/>
    <cellStyle name="Normal 2 5 5 5" xfId="5268" xr:uid="{D67E47B9-C945-434E-B317-EF0459CB0E1F}"/>
    <cellStyle name="Normal 2 5 5 6" xfId="6395" xr:uid="{C437128F-4724-46EC-BFAB-4397D0B32C8B}"/>
    <cellStyle name="Normal 2 5 5 7" xfId="7530" xr:uid="{DBE46775-659D-4399-A992-E7F7C861CA5D}"/>
    <cellStyle name="Normal 2 5 5 8" xfId="8320" xr:uid="{BCFCD81B-B2A2-4175-9146-49D3E944294F}"/>
    <cellStyle name="Normal 2 5 5 9" xfId="9457" xr:uid="{2EF0C9E7-0792-450D-BBC9-C267D4E28218}"/>
    <cellStyle name="Normal 2 5 6" xfId="1879" xr:uid="{48FFDD2E-212D-4AF5-A8D2-D49027225130}"/>
    <cellStyle name="Normal 2 5 6 2" xfId="13163" xr:uid="{2D4657CD-D62B-453E-BECE-12BBC6F34173}"/>
    <cellStyle name="Normal 2 5 6 3" xfId="15416" xr:uid="{86E7A170-5054-4A45-A7A1-045A848AB925}"/>
    <cellStyle name="Normal 2 5 6 4" xfId="17669" xr:uid="{AED807D4-1427-49C7-BB58-CA302BBFF9E3}"/>
    <cellStyle name="Normal 2 5 7" xfId="3005" xr:uid="{D76ED5CE-5642-4B0F-B38C-6A2F9E7A73B6}"/>
    <cellStyle name="Normal 2 5 8" xfId="4131" xr:uid="{9625C72B-5298-49F6-8984-1245B62B8B1A}"/>
    <cellStyle name="Normal 2 5 9" xfId="5257" xr:uid="{A1D184CC-4392-4C6E-90DF-BFDA5BBE0548}"/>
    <cellStyle name="Normal 2 6" xfId="762" xr:uid="{D09B8DA0-B55A-4BCE-9F05-9DD528320D08}"/>
    <cellStyle name="Normal 2 6 10" xfId="7531" xr:uid="{F94BE437-24A7-4748-9093-87800AF3DB7E}"/>
    <cellStyle name="Normal 2 6 11" xfId="8319" xr:uid="{1E60E121-FC5E-45C6-A94E-551D7CB4B1BE}"/>
    <cellStyle name="Normal 2 6 12" xfId="9456" xr:uid="{46A6D5F2-A40E-4438-990D-02EB1CAADDD4}"/>
    <cellStyle name="Normal 2 6 13" xfId="10583" xr:uid="{7257D2EC-281E-436A-8ABD-8B976418B070}"/>
    <cellStyle name="Normal 2 6 14" xfId="12048" xr:uid="{524CE8C6-2C08-4175-9D77-F6284280D5BC}"/>
    <cellStyle name="Normal 2 6 15" xfId="14301" xr:uid="{F65B55D5-E32A-4C8F-9CF4-B1C2C9538EA1}"/>
    <cellStyle name="Normal 2 6 16" xfId="16554" xr:uid="{BCF61B16-4746-463B-ACA9-3D27891C415E}"/>
    <cellStyle name="Normal 2 6 2" xfId="763" xr:uid="{8FB69265-2CC9-4F8D-A5DF-6E2A4D46DC5F}"/>
    <cellStyle name="Normal 2 6 2 10" xfId="8318" xr:uid="{32A6B4DD-E51B-46EA-8792-7F67E9708EB7}"/>
    <cellStyle name="Normal 2 6 2 11" xfId="9455" xr:uid="{31D335DE-21F1-4288-9D1E-9E5723E0B902}"/>
    <cellStyle name="Normal 2 6 2 12" xfId="10582" xr:uid="{96AA1B7D-CFE3-4341-A186-342BD47330D5}"/>
    <cellStyle name="Normal 2 6 2 13" xfId="12049" xr:uid="{65A6C5CD-F12B-4E7C-B773-B57E0745D7DD}"/>
    <cellStyle name="Normal 2 6 2 14" xfId="14302" xr:uid="{7931421D-1CE6-421B-B8AE-7360FE2CD2CA}"/>
    <cellStyle name="Normal 2 6 2 15" xfId="16555" xr:uid="{814F34E7-2AE2-40C9-8190-E19962365D20}"/>
    <cellStyle name="Normal 2 6 2 2" xfId="764" xr:uid="{4BE637F3-F8FF-4E0D-B91F-B0242A1CE9D7}"/>
    <cellStyle name="Normal 2 6 2 2 10" xfId="10581" xr:uid="{13DC2CDF-B2A8-4F8F-A12C-0331E52D9748}"/>
    <cellStyle name="Normal 2 6 2 2 11" xfId="12050" xr:uid="{23A58B64-C79A-471C-A6CE-ECC3246D7EC4}"/>
    <cellStyle name="Normal 2 6 2 2 12" xfId="14303" xr:uid="{E93BFEE4-2974-4C12-8DB8-6C26C8445666}"/>
    <cellStyle name="Normal 2 6 2 2 13" xfId="16556" xr:uid="{03E8BBA7-AB8E-4808-B472-F30667F234E3}"/>
    <cellStyle name="Normal 2 6 2 2 2" xfId="1893" xr:uid="{0BBBB589-FC3A-4048-942C-94E7AA9BDB0C}"/>
    <cellStyle name="Normal 2 6 2 2 2 2" xfId="13177" xr:uid="{A12C2B8E-7AFA-4C67-A6CD-913C5E7FD522}"/>
    <cellStyle name="Normal 2 6 2 2 2 3" xfId="15430" xr:uid="{7B972216-271E-4E23-A12E-4A477F7B58AC}"/>
    <cellStyle name="Normal 2 6 2 2 2 4" xfId="17683" xr:uid="{2E67DFB4-DFBE-4F49-8D7E-13AD62EA550C}"/>
    <cellStyle name="Normal 2 6 2 2 3" xfId="3019" xr:uid="{ADD059BD-57CB-457C-A8C2-436667E4C072}"/>
    <cellStyle name="Normal 2 6 2 2 4" xfId="4145" xr:uid="{7309EA38-F362-4BD4-9E88-00CE1FB8CA12}"/>
    <cellStyle name="Normal 2 6 2 2 5" xfId="5271" xr:uid="{AA4E5278-3021-41D3-9392-07B3DB8B02E3}"/>
    <cellStyle name="Normal 2 6 2 2 6" xfId="6398" xr:uid="{4D979C80-87C8-4494-BEC9-BB28CCC4A9EA}"/>
    <cellStyle name="Normal 2 6 2 2 7" xfId="7533" xr:uid="{C4ACB35C-F7E5-4A5F-94E3-1123D14B663C}"/>
    <cellStyle name="Normal 2 6 2 2 8" xfId="8317" xr:uid="{08A1A60D-CD4B-4CBF-AD12-55578A8E9E39}"/>
    <cellStyle name="Normal 2 6 2 2 9" xfId="9454" xr:uid="{06B5A742-D116-440B-8A3D-5C272ED5F611}"/>
    <cellStyle name="Normal 2 6 2 3" xfId="765" xr:uid="{63839A0B-503E-4A96-A67D-F0E97DDDB279}"/>
    <cellStyle name="Normal 2 6 2 3 10" xfId="10580" xr:uid="{53B3B77A-7337-4A20-B570-BB9D98744986}"/>
    <cellStyle name="Normal 2 6 2 3 11" xfId="12051" xr:uid="{2EF0A10D-6D01-4C17-856B-13DC079EF0D4}"/>
    <cellStyle name="Normal 2 6 2 3 12" xfId="14304" xr:uid="{8FCB2606-00FC-4832-83FC-09689D84401B}"/>
    <cellStyle name="Normal 2 6 2 3 13" xfId="16557" xr:uid="{2DF8650A-37E1-4E0C-AC11-770D7025B9CA}"/>
    <cellStyle name="Normal 2 6 2 3 2" xfId="1894" xr:uid="{EE03F74F-06E6-4417-B641-9299C6229A38}"/>
    <cellStyle name="Normal 2 6 2 3 2 2" xfId="13178" xr:uid="{CBDEDE54-4C97-4F02-BD41-1C05F79F0BCA}"/>
    <cellStyle name="Normal 2 6 2 3 2 3" xfId="15431" xr:uid="{7126A918-FBFA-4ABE-8A79-A0DE84EFE00B}"/>
    <cellStyle name="Normal 2 6 2 3 2 4" xfId="17684" xr:uid="{D7265080-2E19-428B-BAD1-DC7B5F78FA66}"/>
    <cellStyle name="Normal 2 6 2 3 3" xfId="3020" xr:uid="{638E3346-86C1-4045-AE86-F9B7C1DAD5CA}"/>
    <cellStyle name="Normal 2 6 2 3 4" xfId="4146" xr:uid="{D40DFF1F-6F92-4A76-A209-8CF36A65A09D}"/>
    <cellStyle name="Normal 2 6 2 3 5" xfId="5272" xr:uid="{C0EEC3F6-05DB-47FA-B02F-68305E87F3F2}"/>
    <cellStyle name="Normal 2 6 2 3 6" xfId="6399" xr:uid="{CCB39546-38AA-4C82-8A1E-6A87226534E1}"/>
    <cellStyle name="Normal 2 6 2 3 7" xfId="7534" xr:uid="{6E4CB994-632C-4645-B5AF-69F44DFA8B19}"/>
    <cellStyle name="Normal 2 6 2 3 8" xfId="8316" xr:uid="{70DD9D96-003D-49D6-BFBD-0365A958A6D4}"/>
    <cellStyle name="Normal 2 6 2 3 9" xfId="9453" xr:uid="{4F33C304-48E1-46B4-B128-436968E406ED}"/>
    <cellStyle name="Normal 2 6 2 4" xfId="1892" xr:uid="{3CF69C9A-319D-4B33-957C-DF5223DF72D8}"/>
    <cellStyle name="Normal 2 6 2 4 2" xfId="13176" xr:uid="{928E72C8-941E-4634-8568-57C62DFCBC9C}"/>
    <cellStyle name="Normal 2 6 2 4 3" xfId="15429" xr:uid="{0179F964-B03C-4D12-BDFD-02B830738981}"/>
    <cellStyle name="Normal 2 6 2 4 4" xfId="17682" xr:uid="{F7233BAD-4388-473D-9E2E-8B3D533BFAA8}"/>
    <cellStyle name="Normal 2 6 2 5" xfId="3018" xr:uid="{0CD5EA6C-D83E-4940-A07D-CE723908543A}"/>
    <cellStyle name="Normal 2 6 2 6" xfId="4144" xr:uid="{A877DE36-5994-4BBF-B915-85277EC38FDA}"/>
    <cellStyle name="Normal 2 6 2 7" xfId="5270" xr:uid="{A0851FEF-A5AF-43E5-A19B-9B09A31DACA4}"/>
    <cellStyle name="Normal 2 6 2 8" xfId="6397" xr:uid="{D5E353DA-95D1-42ED-8A83-C6AF7154B6FE}"/>
    <cellStyle name="Normal 2 6 2 9" xfId="7532" xr:uid="{1B11E6DF-EE75-42BD-B348-17CD26F2E04F}"/>
    <cellStyle name="Normal 2 6 3" xfId="766" xr:uid="{F8136329-D39A-473B-AADF-E3E67D0B2D15}"/>
    <cellStyle name="Normal 2 6 3 10" xfId="10579" xr:uid="{008AC72C-0931-4BD1-BB83-EA40DDD22F5A}"/>
    <cellStyle name="Normal 2 6 3 11" xfId="12052" xr:uid="{8E737814-4B44-4C41-AE5D-74B145E512BA}"/>
    <cellStyle name="Normal 2 6 3 12" xfId="14305" xr:uid="{C0F3A19A-B753-4CAD-9FBD-09F9A4E1330C}"/>
    <cellStyle name="Normal 2 6 3 13" xfId="16558" xr:uid="{53081235-F848-458A-97E3-D3A76E40A49A}"/>
    <cellStyle name="Normal 2 6 3 2" xfId="1895" xr:uid="{70E8EB90-7C06-467A-9BBE-4566588D406A}"/>
    <cellStyle name="Normal 2 6 3 2 2" xfId="13179" xr:uid="{F86D0B4F-D2BE-4787-8B16-BB3BBC21C427}"/>
    <cellStyle name="Normal 2 6 3 2 3" xfId="15432" xr:uid="{97E420ED-813D-4875-878E-D805DFC0DFBE}"/>
    <cellStyle name="Normal 2 6 3 2 4" xfId="17685" xr:uid="{0B4ED1D5-63C2-49A9-86CA-84EA03BEB365}"/>
    <cellStyle name="Normal 2 6 3 3" xfId="3021" xr:uid="{65888B2A-39E0-422E-8667-09FF3674D525}"/>
    <cellStyle name="Normal 2 6 3 4" xfId="4147" xr:uid="{1706D7D6-2C34-4110-90A3-403076D8F93F}"/>
    <cellStyle name="Normal 2 6 3 5" xfId="5273" xr:uid="{B2ECE5BC-D008-4E38-B4C6-26017DBDE2CC}"/>
    <cellStyle name="Normal 2 6 3 6" xfId="6400" xr:uid="{C9D0D1F3-D890-43F0-B2BB-6759BDE9250D}"/>
    <cellStyle name="Normal 2 6 3 7" xfId="7535" xr:uid="{1EEE5069-3485-46B1-946D-0F2AD1BDC532}"/>
    <cellStyle name="Normal 2 6 3 8" xfId="8315" xr:uid="{EFF311FF-1219-4863-B6D9-BE89C12A032D}"/>
    <cellStyle name="Normal 2 6 3 9" xfId="9452" xr:uid="{CC122E40-7950-4728-84CF-809410D4A0C5}"/>
    <cellStyle name="Normal 2 6 4" xfId="767" xr:uid="{A64E7ABF-7930-4885-BB31-788A484D5091}"/>
    <cellStyle name="Normal 2 6 4 10" xfId="10578" xr:uid="{06F25C53-DE81-413E-82AA-AF9B2E860221}"/>
    <cellStyle name="Normal 2 6 4 11" xfId="12053" xr:uid="{772D3F8F-79A2-44D4-A2A7-7E97C9516C5D}"/>
    <cellStyle name="Normal 2 6 4 12" xfId="14306" xr:uid="{9D7860A2-A178-4730-A86E-9AECC0A38AB0}"/>
    <cellStyle name="Normal 2 6 4 13" xfId="16559" xr:uid="{680372BA-8083-40BD-8FCC-5A69B9B76106}"/>
    <cellStyle name="Normal 2 6 4 2" xfId="1896" xr:uid="{153D8296-3718-4190-9146-E45A4D540049}"/>
    <cellStyle name="Normal 2 6 4 2 2" xfId="13180" xr:uid="{3670CC98-CFDD-4D33-B5A0-C9985FC2E3F3}"/>
    <cellStyle name="Normal 2 6 4 2 3" xfId="15433" xr:uid="{8400D9BF-B778-457C-B6E0-62895FF13A76}"/>
    <cellStyle name="Normal 2 6 4 2 4" xfId="17686" xr:uid="{3C9DB734-9962-4B11-B7F1-12BE41BC6781}"/>
    <cellStyle name="Normal 2 6 4 3" xfId="3022" xr:uid="{F3381C1F-2AC1-4EED-B7F0-51F92C6209E7}"/>
    <cellStyle name="Normal 2 6 4 4" xfId="4148" xr:uid="{1621CA32-8F5C-4331-8157-34C1DB600D3D}"/>
    <cellStyle name="Normal 2 6 4 5" xfId="5274" xr:uid="{44EE935A-6681-4E0A-9426-0E03F1A0434A}"/>
    <cellStyle name="Normal 2 6 4 6" xfId="6401" xr:uid="{06BA16EB-6C08-494A-9A46-4C7FD14EEFA6}"/>
    <cellStyle name="Normal 2 6 4 7" xfId="7536" xr:uid="{8897F8EE-DF39-4E5F-8673-64948D73E652}"/>
    <cellStyle name="Normal 2 6 4 8" xfId="8314" xr:uid="{0DD17FD7-7C89-4825-91B2-865A7C47EF3B}"/>
    <cellStyle name="Normal 2 6 4 9" xfId="9451" xr:uid="{50610464-8261-44AF-BD26-EA9EB275D832}"/>
    <cellStyle name="Normal 2 6 5" xfId="1891" xr:uid="{5140ED3B-1936-4A8B-BB35-C5CAA0D309B6}"/>
    <cellStyle name="Normal 2 6 5 2" xfId="13175" xr:uid="{05CB6ED6-E04F-452C-9E83-B65FB86212CA}"/>
    <cellStyle name="Normal 2 6 5 3" xfId="15428" xr:uid="{AD0C43EE-9522-43CA-9823-7795DC4F0F73}"/>
    <cellStyle name="Normal 2 6 5 4" xfId="17681" xr:uid="{A76BAD36-DBB8-410B-A1DE-B067C1BF3721}"/>
    <cellStyle name="Normal 2 6 6" xfId="3017" xr:uid="{66295FA3-838E-41DF-99A4-445FB5B28C94}"/>
    <cellStyle name="Normal 2 6 7" xfId="4143" xr:uid="{A923299D-7096-4EFA-8EBE-3511DA719986}"/>
    <cellStyle name="Normal 2 6 8" xfId="5269" xr:uid="{9252788F-3176-44CD-8444-122C989FC6EB}"/>
    <cellStyle name="Normal 2 6 9" xfId="6396" xr:uid="{1125CFD1-4BDC-4805-91F8-4758044A89B4}"/>
    <cellStyle name="Normal 2 7" xfId="768" xr:uid="{176A9DF2-2F6C-4E4E-AB90-9F43C4D5ABB5}"/>
    <cellStyle name="Normal 2 7 10" xfId="8313" xr:uid="{7024025C-5272-47C9-A873-09EF28908E1F}"/>
    <cellStyle name="Normal 2 7 11" xfId="9450" xr:uid="{B39CB4AC-77DE-41DF-AD6F-BDDDDFB9DD46}"/>
    <cellStyle name="Normal 2 7 12" xfId="10577" xr:uid="{FD4D586E-652D-4A6F-8F5E-6E43DB3C7FA5}"/>
    <cellStyle name="Normal 2 7 13" xfId="12054" xr:uid="{F497DBD2-32DA-4A11-B4E9-A3AE6C1FDECC}"/>
    <cellStyle name="Normal 2 7 14" xfId="14307" xr:uid="{6D42C7F6-EDBF-46EF-AAEF-ECCE86A87562}"/>
    <cellStyle name="Normal 2 7 15" xfId="16560" xr:uid="{BF57D7E2-225C-4833-BD9A-04C35FBACA7E}"/>
    <cellStyle name="Normal 2 7 2" xfId="769" xr:uid="{D69875C9-94B9-40A0-8D44-6A75981E5168}"/>
    <cellStyle name="Normal 2 7 2 10" xfId="10576" xr:uid="{BB5FDF06-797B-4B9E-889B-D3AF8CC31C93}"/>
    <cellStyle name="Normal 2 7 2 11" xfId="12055" xr:uid="{A8B6576B-8B98-418E-A511-E737B880AD73}"/>
    <cellStyle name="Normal 2 7 2 12" xfId="14308" xr:uid="{610624B0-A400-46D4-884A-AF1F6814A4A9}"/>
    <cellStyle name="Normal 2 7 2 13" xfId="16561" xr:uid="{792BA8C6-98AC-4C16-80AE-4D5DB4435F63}"/>
    <cellStyle name="Normal 2 7 2 2" xfId="1898" xr:uid="{E0C343D4-7A00-48FA-940D-2B5161D38197}"/>
    <cellStyle name="Normal 2 7 2 2 2" xfId="13182" xr:uid="{9674EC10-8C9F-42F0-BB4E-5477501DD105}"/>
    <cellStyle name="Normal 2 7 2 2 3" xfId="15435" xr:uid="{D1CBDF18-0B73-4D9C-9AF5-746147C7CA32}"/>
    <cellStyle name="Normal 2 7 2 2 4" xfId="17688" xr:uid="{A13025A3-C88C-4C4D-A664-79A6F3F41C7E}"/>
    <cellStyle name="Normal 2 7 2 3" xfId="3024" xr:uid="{26BE6B23-0E7B-4AF3-BD20-E85F7B117AB2}"/>
    <cellStyle name="Normal 2 7 2 4" xfId="4150" xr:uid="{861AC6AC-6CB1-453E-8DAA-38E34A8EE435}"/>
    <cellStyle name="Normal 2 7 2 5" xfId="5276" xr:uid="{6C97BE95-D717-4D0F-809B-13095CF3918B}"/>
    <cellStyle name="Normal 2 7 2 6" xfId="6403" xr:uid="{B19680AE-355F-4F66-9339-051102EF9FD1}"/>
    <cellStyle name="Normal 2 7 2 7" xfId="7538" xr:uid="{D9DFAB47-5FBC-4D86-9667-DDC98AE7C30A}"/>
    <cellStyle name="Normal 2 7 2 8" xfId="8312" xr:uid="{5531A698-4948-4A75-84C6-BEA4D2590A8D}"/>
    <cellStyle name="Normal 2 7 2 9" xfId="9449" xr:uid="{F80BEEC8-8A24-4B41-921C-204F2482AD52}"/>
    <cellStyle name="Normal 2 7 3" xfId="770" xr:uid="{86D7B880-5C2E-4977-8A53-A77DF63ECBAB}"/>
    <cellStyle name="Normal 2 7 3 10" xfId="10575" xr:uid="{2225142F-9F14-429D-8A5B-FCD8B4DA1E28}"/>
    <cellStyle name="Normal 2 7 3 11" xfId="12056" xr:uid="{B7A48884-756A-42F6-9C66-5B4F5592E4A4}"/>
    <cellStyle name="Normal 2 7 3 12" xfId="14309" xr:uid="{32B2A28B-714D-4D68-8FF6-0CAA8E13B213}"/>
    <cellStyle name="Normal 2 7 3 13" xfId="16562" xr:uid="{88623031-F5BE-4F36-BF4C-45104825CFBB}"/>
    <cellStyle name="Normal 2 7 3 2" xfId="1899" xr:uid="{922FCEA5-8A0E-4FB4-AAC0-96038BC2568B}"/>
    <cellStyle name="Normal 2 7 3 2 2" xfId="13183" xr:uid="{1FD953ED-1246-4F82-9187-7016D8439570}"/>
    <cellStyle name="Normal 2 7 3 2 3" xfId="15436" xr:uid="{BA64F86E-9052-41DE-9C02-266D85E10DE3}"/>
    <cellStyle name="Normal 2 7 3 2 4" xfId="17689" xr:uid="{5C54AB78-66DE-4DE8-88BA-5013B0BCB0B3}"/>
    <cellStyle name="Normal 2 7 3 3" xfId="3025" xr:uid="{D472D98B-6537-422C-A0A4-A3FA309DE12C}"/>
    <cellStyle name="Normal 2 7 3 4" xfId="4151" xr:uid="{4F37F726-4864-40D6-9874-D2E2FC4A197B}"/>
    <cellStyle name="Normal 2 7 3 5" xfId="5277" xr:uid="{A6813185-4EEB-4957-A918-9877A83B3A3B}"/>
    <cellStyle name="Normal 2 7 3 6" xfId="6404" xr:uid="{9FA65AF0-F37A-4E27-A21C-92BB287833C1}"/>
    <cellStyle name="Normal 2 7 3 7" xfId="7539" xr:uid="{4F2FB1B3-5E07-4B18-886D-E8B410A82A78}"/>
    <cellStyle name="Normal 2 7 3 8" xfId="8311" xr:uid="{D49C6190-84EE-4A32-AAD6-DE599E02AD74}"/>
    <cellStyle name="Normal 2 7 3 9" xfId="9448" xr:uid="{910C4DC7-0427-4C6F-8479-4C35A3696FFB}"/>
    <cellStyle name="Normal 2 7 4" xfId="1897" xr:uid="{C1E9B5A7-FAF2-4C34-AC85-8AE685A5771C}"/>
    <cellStyle name="Normal 2 7 4 2" xfId="13181" xr:uid="{7DF247C4-0C05-429D-AE6F-C41B3B000A0F}"/>
    <cellStyle name="Normal 2 7 4 3" xfId="15434" xr:uid="{6D4F137F-D0E2-4487-BCCE-1B2687721486}"/>
    <cellStyle name="Normal 2 7 4 4" xfId="17687" xr:uid="{4C8EE63C-AE5E-446E-BB29-439B29135E28}"/>
    <cellStyle name="Normal 2 7 5" xfId="3023" xr:uid="{7D1BF7D7-2AEF-4117-AF33-5E295D325A4C}"/>
    <cellStyle name="Normal 2 7 6" xfId="4149" xr:uid="{5364F27E-B990-41A0-AB56-F6CC6D08F394}"/>
    <cellStyle name="Normal 2 7 7" xfId="5275" xr:uid="{B327F122-109E-42A9-9CAC-843EAD1965E6}"/>
    <cellStyle name="Normal 2 7 8" xfId="6402" xr:uid="{316B1B41-640C-4455-AC5A-79372A1A1CFF}"/>
    <cellStyle name="Normal 2 7 9" xfId="7537" xr:uid="{EEF47EA4-46D8-4C2F-9355-F130C4B3AC80}"/>
    <cellStyle name="Normal 2 8" xfId="771" xr:uid="{B2C9A232-74D0-40DA-B4BA-573DB6E36331}"/>
    <cellStyle name="Normal 2 8 10" xfId="10574" xr:uid="{173ACF81-E181-4528-8C84-453F149E2382}"/>
    <cellStyle name="Normal 2 8 11" xfId="12057" xr:uid="{2B5B2A49-1CBC-4840-9D4A-C8B95503403D}"/>
    <cellStyle name="Normal 2 8 12" xfId="14310" xr:uid="{8B3D5B9A-DD80-4E0E-B5CC-5B623E86FD74}"/>
    <cellStyle name="Normal 2 8 13" xfId="16563" xr:uid="{31A217C1-C98A-4053-803C-BA2D0C6F22CA}"/>
    <cellStyle name="Normal 2 8 2" xfId="1900" xr:uid="{F8BE4190-EF99-4793-9A83-35389B727ED9}"/>
    <cellStyle name="Normal 2 8 2 2" xfId="13184" xr:uid="{2E489224-B3CE-405D-9098-19651087A777}"/>
    <cellStyle name="Normal 2 8 2 3" xfId="15437" xr:uid="{E60A0212-9645-4238-A767-A746C8CFB285}"/>
    <cellStyle name="Normal 2 8 2 4" xfId="17690" xr:uid="{D1895B6F-D942-4CBD-ACF9-BEF5C6739254}"/>
    <cellStyle name="Normal 2 8 3" xfId="3026" xr:uid="{A11BD232-B6F8-4CC4-9A73-54772A5E5649}"/>
    <cellStyle name="Normal 2 8 4" xfId="4152" xr:uid="{DB44E0CA-DFA9-455C-990F-547C7359BB12}"/>
    <cellStyle name="Normal 2 8 5" xfId="5278" xr:uid="{93623FC1-3F33-422A-B020-D6EF2848E7F3}"/>
    <cellStyle name="Normal 2 8 6" xfId="6405" xr:uid="{4BBF9D2F-A12F-4559-A931-7A450012F789}"/>
    <cellStyle name="Normal 2 8 7" xfId="7540" xr:uid="{1E5858EF-5BEE-424E-9A40-9E2363B6645C}"/>
    <cellStyle name="Normal 2 8 8" xfId="8310" xr:uid="{420A46F1-5A7E-456B-AD5C-4FF393B7AA16}"/>
    <cellStyle name="Normal 2 8 9" xfId="9447" xr:uid="{FB86404E-02A9-43B7-9EA8-412EFA176C8C}"/>
    <cellStyle name="Normal 2 9" xfId="772" xr:uid="{B46F5584-653B-4C9D-8CEB-6DB9E7150999}"/>
    <cellStyle name="Normal 2 9 10" xfId="10573" xr:uid="{28E07A44-2019-42EB-8711-09B66B5D4E99}"/>
    <cellStyle name="Normal 2 9 11" xfId="12058" xr:uid="{B4C43455-3CBF-478E-9508-CED74DB9EBD2}"/>
    <cellStyle name="Normal 2 9 12" xfId="14311" xr:uid="{66115B40-9F48-4B66-9544-619A05E9E85F}"/>
    <cellStyle name="Normal 2 9 13" xfId="16564" xr:uid="{8C907452-6B58-4ACC-9EDC-C6936B27B53D}"/>
    <cellStyle name="Normal 2 9 2" xfId="1901" xr:uid="{55C396C8-D753-4AB0-9407-954705206C19}"/>
    <cellStyle name="Normal 2 9 2 2" xfId="13185" xr:uid="{D29E32E3-E734-48C3-807F-16CEA15C4340}"/>
    <cellStyle name="Normal 2 9 2 3" xfId="15438" xr:uid="{DFA6181C-9B6C-485C-A80C-F6501F7E4C67}"/>
    <cellStyle name="Normal 2 9 2 4" xfId="17691" xr:uid="{C38F8FA5-23E2-4E15-B79B-0166741E7EDD}"/>
    <cellStyle name="Normal 2 9 3" xfId="3027" xr:uid="{A54F8C04-9B4C-4B11-9EAA-19C30563E291}"/>
    <cellStyle name="Normal 2 9 4" xfId="4153" xr:uid="{43AFD85B-F2B1-42A4-8150-FAFB3CD3705F}"/>
    <cellStyle name="Normal 2 9 5" xfId="5279" xr:uid="{607B8010-E182-4796-8926-CD2BE8F0B28A}"/>
    <cellStyle name="Normal 2 9 6" xfId="6406" xr:uid="{7C2F6298-BB76-4AB1-8B04-DF37EE66FE2D}"/>
    <cellStyle name="Normal 2 9 7" xfId="7541" xr:uid="{15D6EA23-A0E4-4E05-961A-6910AF607DDE}"/>
    <cellStyle name="Normal 2 9 8" xfId="8309" xr:uid="{271FD039-6D65-4312-AAA0-48AEE6C80474}"/>
    <cellStyle name="Normal 2 9 9" xfId="9446" xr:uid="{CA53A8D1-BBC7-4113-8559-304D20403F24}"/>
    <cellStyle name="Normal 20" xfId="9050" xr:uid="{8DEFE387-10C9-41E7-B82D-B7512B5EB883}"/>
    <cellStyle name="Normal 21" xfId="9060" xr:uid="{42CA37CD-4676-4B76-A696-409A149E04B0}"/>
    <cellStyle name="Normal 22" xfId="10187" xr:uid="{1BF4FE95-498A-4F95-9AF6-0330F8655174}"/>
    <cellStyle name="Normal 23" xfId="11314" xr:uid="{D99B45E9-9448-4BED-BE9F-07F0FFC36751}"/>
    <cellStyle name="Normal 24" xfId="11315" xr:uid="{FA4D2C32-C00D-440D-B6B4-8EDED0367DFE}"/>
    <cellStyle name="Normal 3" xfId="15" xr:uid="{00000000-0005-0000-0000-00003B000000}"/>
    <cellStyle name="Normal 3 10" xfId="3028" xr:uid="{A4F3C8B1-26E7-46C7-858C-16E1D46BC3E0}"/>
    <cellStyle name="Normal 3 11" xfId="4154" xr:uid="{99F63855-C68E-4273-8035-44FA9DB1B2AF}"/>
    <cellStyle name="Normal 3 12" xfId="5280" xr:uid="{3721C41A-B317-44F4-AF5C-B4C4CA90E1C1}"/>
    <cellStyle name="Normal 3 13" xfId="6407" xr:uid="{D6930111-788F-4F6B-8A4E-81A0D60566CC}"/>
    <cellStyle name="Normal 3 14" xfId="7542" xr:uid="{CE3C7811-1296-4DBD-8C93-3585DE0F6A95}"/>
    <cellStyle name="Normal 3 15" xfId="8308" xr:uid="{07A46A58-8081-49E1-B692-0F602C055C0C}"/>
    <cellStyle name="Normal 3 16" xfId="9057" xr:uid="{A942BBB7-881A-4B55-9544-2A85414EA121}"/>
    <cellStyle name="Normal 3 17" xfId="9445" xr:uid="{D55DF913-22AE-4712-9AD8-1F4CBA9F21A1}"/>
    <cellStyle name="Normal 3 18" xfId="10572" xr:uid="{1AE8AE76-D4DD-4891-A8A3-216191DAD8BD}"/>
    <cellStyle name="Normal 3 19" xfId="12059" xr:uid="{2E5FFE30-EE22-42E4-B096-F939250D304B}"/>
    <cellStyle name="Normal 3 2" xfId="774" xr:uid="{E6BC14CC-9AAA-4B6A-B1ED-E0186F123E73}"/>
    <cellStyle name="Normal 3 2 10" xfId="5281" xr:uid="{566CA55A-B43B-4953-A868-AADDD2A914C5}"/>
    <cellStyle name="Normal 3 2 11" xfId="6408" xr:uid="{BD6FA1E2-1DDD-4992-A91A-52A7F9609796}"/>
    <cellStyle name="Normal 3 2 12" xfId="7543" xr:uid="{8765798F-A434-4F7B-98A1-36A5A9F0B70B}"/>
    <cellStyle name="Normal 3 2 13" xfId="8307" xr:uid="{2A9C9D25-AADF-4DE2-ABC5-EE597B8EFF3E}"/>
    <cellStyle name="Normal 3 2 14" xfId="9444" xr:uid="{CD898CFD-BD3A-43C6-B874-D19139DE3520}"/>
    <cellStyle name="Normal 3 2 15" xfId="10571" xr:uid="{A1312072-DD19-42C8-8936-CC3B7DAC4534}"/>
    <cellStyle name="Normal 3 2 16" xfId="12060" xr:uid="{63231871-F7F9-4A92-8060-0910BD601EAF}"/>
    <cellStyle name="Normal 3 2 17" xfId="14313" xr:uid="{2317F356-757A-414E-8386-9B97DF448B11}"/>
    <cellStyle name="Normal 3 2 18" xfId="16566" xr:uid="{A19518E3-6A40-4397-A12A-AACA50AEC0A8}"/>
    <cellStyle name="Normal 3 2 2" xfId="775" xr:uid="{48595781-5848-49C2-B51B-4CDB50C0E694}"/>
    <cellStyle name="Normal 3 2 2 10" xfId="6409" xr:uid="{1370A7AA-8F55-45B3-978A-BB117D8E7F56}"/>
    <cellStyle name="Normal 3 2 2 11" xfId="7544" xr:uid="{A130DDCE-87C4-42FB-BAA2-4737BC37918E}"/>
    <cellStyle name="Normal 3 2 2 12" xfId="8306" xr:uid="{BF303B30-E06F-48BD-82DB-2AB04A4446FB}"/>
    <cellStyle name="Normal 3 2 2 13" xfId="9443" xr:uid="{AD722B40-31BE-49F2-8A69-31347EF0C668}"/>
    <cellStyle name="Normal 3 2 2 14" xfId="10570" xr:uid="{378CC06F-6B12-4166-8A23-44E1474964C9}"/>
    <cellStyle name="Normal 3 2 2 15" xfId="12061" xr:uid="{14770328-2679-4A36-AD3C-E1B31DBB8C5D}"/>
    <cellStyle name="Normal 3 2 2 16" xfId="14314" xr:uid="{9D9FDA9C-285A-4683-A20E-00023544A1F0}"/>
    <cellStyle name="Normal 3 2 2 17" xfId="16567" xr:uid="{0B3F1538-8AF5-49FB-80BE-5A784BE4FFFF}"/>
    <cellStyle name="Normal 3 2 2 2" xfId="776" xr:uid="{A8568DBA-8A4F-470B-86A7-02725F3466C7}"/>
    <cellStyle name="Normal 3 2 2 2 10" xfId="7545" xr:uid="{0722EF79-93DC-48D0-9F59-DE0BBDB31207}"/>
    <cellStyle name="Normal 3 2 2 2 11" xfId="8305" xr:uid="{EC1AC520-82E7-4FC4-BAA9-2262AA4006B0}"/>
    <cellStyle name="Normal 3 2 2 2 12" xfId="9442" xr:uid="{16B2BAE9-ED63-4FB0-AD3F-518F9E2B95A6}"/>
    <cellStyle name="Normal 3 2 2 2 13" xfId="10569" xr:uid="{4226283C-664C-473A-8EE9-94729AAB4EDC}"/>
    <cellStyle name="Normal 3 2 2 2 14" xfId="12062" xr:uid="{DDE6CA9A-2DE2-4FD6-8052-A82AB1873C36}"/>
    <cellStyle name="Normal 3 2 2 2 15" xfId="14315" xr:uid="{CF934BD0-9A6C-439E-87BF-DAE491927172}"/>
    <cellStyle name="Normal 3 2 2 2 16" xfId="16568" xr:uid="{E1691D27-3452-4BA5-BC69-7E81C75D3C65}"/>
    <cellStyle name="Normal 3 2 2 2 2" xfId="777" xr:uid="{83B375A9-02FE-4168-A045-4EA07D99A572}"/>
    <cellStyle name="Normal 3 2 2 2 2 10" xfId="8304" xr:uid="{75D1C30F-3885-48EB-BB82-B53DE291A24B}"/>
    <cellStyle name="Normal 3 2 2 2 2 11" xfId="9441" xr:uid="{2D8D8E6D-D8B1-4649-AEC1-0C8A7BECB5B0}"/>
    <cellStyle name="Normal 3 2 2 2 2 12" xfId="10568" xr:uid="{802DDB56-30FE-4349-AF03-7B15CEB70391}"/>
    <cellStyle name="Normal 3 2 2 2 2 13" xfId="12063" xr:uid="{EDBCD791-B15F-4C0C-8602-D1DE8456ED94}"/>
    <cellStyle name="Normal 3 2 2 2 2 14" xfId="14316" xr:uid="{EC923ED7-022A-4B3C-B8CE-2F884DD90079}"/>
    <cellStyle name="Normal 3 2 2 2 2 15" xfId="16569" xr:uid="{52C89EF2-9095-4953-BDAC-4EDDBD11E65B}"/>
    <cellStyle name="Normal 3 2 2 2 2 2" xfId="778" xr:uid="{CF2BF331-4C90-4705-9D87-2A07AD5781EA}"/>
    <cellStyle name="Normal 3 2 2 2 2 2 10" xfId="10567" xr:uid="{29C26079-B1CF-46DC-8E00-4E6A9FB2E8BC}"/>
    <cellStyle name="Normal 3 2 2 2 2 2 11" xfId="12064" xr:uid="{6037D565-0A18-4EA8-BFD1-36E71DC7FF14}"/>
    <cellStyle name="Normal 3 2 2 2 2 2 12" xfId="14317" xr:uid="{DBF36711-F465-44FB-90E4-A68CF792E550}"/>
    <cellStyle name="Normal 3 2 2 2 2 2 13" xfId="16570" xr:uid="{E9DD2375-C2B4-4706-B015-D9D88F82E1FC}"/>
    <cellStyle name="Normal 3 2 2 2 2 2 2" xfId="1907" xr:uid="{ED63C0AD-8D37-4BBB-A8FE-A456FAAA27A6}"/>
    <cellStyle name="Normal 3 2 2 2 2 2 2 2" xfId="13191" xr:uid="{F20053D2-8B40-4268-9812-ECFF27837AAE}"/>
    <cellStyle name="Normal 3 2 2 2 2 2 2 3" xfId="15444" xr:uid="{F80A0B99-ED16-46F5-AD4A-3CFC863FB01E}"/>
    <cellStyle name="Normal 3 2 2 2 2 2 2 4" xfId="17697" xr:uid="{15168208-85AA-4CAD-B4F4-5D670F7C3B6B}"/>
    <cellStyle name="Normal 3 2 2 2 2 2 3" xfId="3033" xr:uid="{771114E2-4C75-4C0B-BED9-AD5567ABAFC8}"/>
    <cellStyle name="Normal 3 2 2 2 2 2 4" xfId="4159" xr:uid="{3B0B705B-6EB2-4AEB-B0EF-C69EC261807D}"/>
    <cellStyle name="Normal 3 2 2 2 2 2 5" xfId="5285" xr:uid="{3C71F526-11A8-49B3-9777-FBEED3566BEF}"/>
    <cellStyle name="Normal 3 2 2 2 2 2 6" xfId="6412" xr:uid="{E20DABBF-F762-4A9F-A144-F39782E6A148}"/>
    <cellStyle name="Normal 3 2 2 2 2 2 7" xfId="7547" xr:uid="{67684876-3D36-46E7-AA55-529FB9CD9CD6}"/>
    <cellStyle name="Normal 3 2 2 2 2 2 8" xfId="8303" xr:uid="{34BB7A80-B9CD-4AF0-80DB-94CC6906B2CE}"/>
    <cellStyle name="Normal 3 2 2 2 2 2 9" xfId="9440" xr:uid="{74B4F20D-879C-4BF9-A40D-35B722DC9E55}"/>
    <cellStyle name="Normal 3 2 2 2 2 3" xfId="779" xr:uid="{D4E616F2-254D-4CB8-A51F-F8EEED14EEE9}"/>
    <cellStyle name="Normal 3 2 2 2 2 3 10" xfId="10566" xr:uid="{6480EF97-7C58-4AC7-81CA-E5006FBA0757}"/>
    <cellStyle name="Normal 3 2 2 2 2 3 11" xfId="12065" xr:uid="{CB659D18-22D9-4457-9181-56D6B9840465}"/>
    <cellStyle name="Normal 3 2 2 2 2 3 12" xfId="14318" xr:uid="{5FFE7AC7-C43D-43F2-87FE-1249A617C160}"/>
    <cellStyle name="Normal 3 2 2 2 2 3 13" xfId="16571" xr:uid="{76DE47E9-55C1-4AFE-9C22-7F981C5BC620}"/>
    <cellStyle name="Normal 3 2 2 2 2 3 2" xfId="1908" xr:uid="{5BF3A022-F0A9-4EC4-AED9-C0184F6DF562}"/>
    <cellStyle name="Normal 3 2 2 2 2 3 2 2" xfId="13192" xr:uid="{A019C441-85AC-4D6B-B77D-95C4411C51E0}"/>
    <cellStyle name="Normal 3 2 2 2 2 3 2 3" xfId="15445" xr:uid="{BC0F56E2-3AD7-4637-A779-4AE82375C278}"/>
    <cellStyle name="Normal 3 2 2 2 2 3 2 4" xfId="17698" xr:uid="{458FC66E-2D65-4DD0-97AF-630913FC1946}"/>
    <cellStyle name="Normal 3 2 2 2 2 3 3" xfId="3034" xr:uid="{64B8E3A5-4EBE-4C9C-9345-152D1243807E}"/>
    <cellStyle name="Normal 3 2 2 2 2 3 4" xfId="4160" xr:uid="{893A8125-0567-4F60-BD9A-574D6BB20C88}"/>
    <cellStyle name="Normal 3 2 2 2 2 3 5" xfId="5286" xr:uid="{CEB6867B-3627-42F3-8929-DEC755F19C76}"/>
    <cellStyle name="Normal 3 2 2 2 2 3 6" xfId="6413" xr:uid="{4404379F-152D-4B3A-9553-FE8454F28307}"/>
    <cellStyle name="Normal 3 2 2 2 2 3 7" xfId="7548" xr:uid="{ECC8775D-2C68-40AE-ACD2-F9763DB1835D}"/>
    <cellStyle name="Normal 3 2 2 2 2 3 8" xfId="8302" xr:uid="{08B58F11-5EE3-4CF0-A189-99197994BF71}"/>
    <cellStyle name="Normal 3 2 2 2 2 3 9" xfId="9439" xr:uid="{FFF6AD86-ED7B-429D-967F-98F86932C6FC}"/>
    <cellStyle name="Normal 3 2 2 2 2 4" xfId="1906" xr:uid="{9487A684-2888-4A4E-91D8-5FCD4C582D82}"/>
    <cellStyle name="Normal 3 2 2 2 2 4 2" xfId="13190" xr:uid="{0BEE7F1A-3A54-43E9-B9EB-4721E8E3F9FB}"/>
    <cellStyle name="Normal 3 2 2 2 2 4 3" xfId="15443" xr:uid="{6CFAAD23-8C40-4274-825B-D736DD1BCA05}"/>
    <cellStyle name="Normal 3 2 2 2 2 4 4" xfId="17696" xr:uid="{E7C56C8B-BA4B-4828-91AE-C719C88986DD}"/>
    <cellStyle name="Normal 3 2 2 2 2 5" xfId="3032" xr:uid="{E141948A-5678-46C7-934E-C9569B9124B6}"/>
    <cellStyle name="Normal 3 2 2 2 2 6" xfId="4158" xr:uid="{836EFD01-1702-4A24-885B-DEF3F6E87118}"/>
    <cellStyle name="Normal 3 2 2 2 2 7" xfId="5284" xr:uid="{9FCD8F73-B4B3-46D5-95E9-50C0F0087147}"/>
    <cellStyle name="Normal 3 2 2 2 2 8" xfId="6411" xr:uid="{D3E1B0AB-81DE-4514-9DD9-94C82CD5EED2}"/>
    <cellStyle name="Normal 3 2 2 2 2 9" xfId="7546" xr:uid="{FEE731A8-304C-49DC-804A-F12600F6A597}"/>
    <cellStyle name="Normal 3 2 2 2 3" xfId="780" xr:uid="{A2244CBE-6B06-4023-BE07-9EFF72A95954}"/>
    <cellStyle name="Normal 3 2 2 2 3 10" xfId="10565" xr:uid="{0B1EBF6B-9063-4680-A43F-AA801C8DD89B}"/>
    <cellStyle name="Normal 3 2 2 2 3 11" xfId="12066" xr:uid="{2C4F54DA-34C4-41AE-81E9-A4CDEE715989}"/>
    <cellStyle name="Normal 3 2 2 2 3 12" xfId="14319" xr:uid="{1CD0872B-2BFA-4F29-BB79-0E1869A6017F}"/>
    <cellStyle name="Normal 3 2 2 2 3 13" xfId="16572" xr:uid="{38D3C023-FBCD-4F89-BEE5-C3626CE6957A}"/>
    <cellStyle name="Normal 3 2 2 2 3 2" xfId="1909" xr:uid="{DDA21DDA-7DAA-4187-A2CE-14C6943757F6}"/>
    <cellStyle name="Normal 3 2 2 2 3 2 2" xfId="13193" xr:uid="{54BCDFC6-93F8-4A12-B741-C36425B9504E}"/>
    <cellStyle name="Normal 3 2 2 2 3 2 3" xfId="15446" xr:uid="{A339ADF0-C060-4B4E-81BE-C1B8C79809A4}"/>
    <cellStyle name="Normal 3 2 2 2 3 2 4" xfId="17699" xr:uid="{E5049692-C747-41B1-B5A3-8CF34AFBCDBE}"/>
    <cellStyle name="Normal 3 2 2 2 3 3" xfId="3035" xr:uid="{FB0EE5EC-091A-4050-B458-C2ABDABD4A3B}"/>
    <cellStyle name="Normal 3 2 2 2 3 4" xfId="4161" xr:uid="{F33B2D85-8605-4A43-B282-17F0A5EFAD69}"/>
    <cellStyle name="Normal 3 2 2 2 3 5" xfId="5287" xr:uid="{77DDB71A-3279-4F29-859D-09DDD5EE64DA}"/>
    <cellStyle name="Normal 3 2 2 2 3 6" xfId="6414" xr:uid="{AB15116B-328D-4B17-B450-05395974DA29}"/>
    <cellStyle name="Normal 3 2 2 2 3 7" xfId="7549" xr:uid="{5FD0156F-A687-40CB-AD44-6265BB59AF41}"/>
    <cellStyle name="Normal 3 2 2 2 3 8" xfId="8301" xr:uid="{D5D5AEE4-D734-454F-8735-D06734462D81}"/>
    <cellStyle name="Normal 3 2 2 2 3 9" xfId="9438" xr:uid="{B2AB8702-D5CD-4DB2-B37B-2A7376F07D29}"/>
    <cellStyle name="Normal 3 2 2 2 4" xfId="781" xr:uid="{E0A1999B-191C-4902-B266-D64EFB2A3C8A}"/>
    <cellStyle name="Normal 3 2 2 2 4 10" xfId="10564" xr:uid="{AF53163D-D65C-421C-B31D-59B77317C4C4}"/>
    <cellStyle name="Normal 3 2 2 2 4 11" xfId="12067" xr:uid="{28FC308E-EA44-4054-85CD-CDF345301A93}"/>
    <cellStyle name="Normal 3 2 2 2 4 12" xfId="14320" xr:uid="{54EC7B8B-0241-42E5-B5AA-5D96DCF56901}"/>
    <cellStyle name="Normal 3 2 2 2 4 13" xfId="16573" xr:uid="{18DBA531-4875-47B6-AA50-3FA662F141AB}"/>
    <cellStyle name="Normal 3 2 2 2 4 2" xfId="1910" xr:uid="{7234D3AE-4B73-463C-B84B-F670D36A28B3}"/>
    <cellStyle name="Normal 3 2 2 2 4 2 2" xfId="13194" xr:uid="{BB5429D8-CE98-46F7-B214-8C01E5DD2988}"/>
    <cellStyle name="Normal 3 2 2 2 4 2 3" xfId="15447" xr:uid="{27C0109A-642E-4C9C-9424-B47BE15842B6}"/>
    <cellStyle name="Normal 3 2 2 2 4 2 4" xfId="17700" xr:uid="{1837F864-E99F-40C6-8F81-4D05958821E4}"/>
    <cellStyle name="Normal 3 2 2 2 4 3" xfId="3036" xr:uid="{A5029036-4528-4669-9F60-F0F8DF873ADA}"/>
    <cellStyle name="Normal 3 2 2 2 4 4" xfId="4162" xr:uid="{33BB2BD3-6A93-43E9-ACFF-398690E911E6}"/>
    <cellStyle name="Normal 3 2 2 2 4 5" xfId="5288" xr:uid="{EAB54311-BEDB-44B4-95EC-B4F4D190C182}"/>
    <cellStyle name="Normal 3 2 2 2 4 6" xfId="6415" xr:uid="{3423C720-62C3-49AA-A7F5-7B50AA1BABE4}"/>
    <cellStyle name="Normal 3 2 2 2 4 7" xfId="7550" xr:uid="{2E9229BB-9BAF-4C04-AE88-F19E7A1E8F04}"/>
    <cellStyle name="Normal 3 2 2 2 4 8" xfId="8300" xr:uid="{4967F73F-90DF-498C-8BBE-1134245A2CF7}"/>
    <cellStyle name="Normal 3 2 2 2 4 9" xfId="9437" xr:uid="{A0ABB564-71D9-4031-972F-3F44B7420F77}"/>
    <cellStyle name="Normal 3 2 2 2 5" xfId="1905" xr:uid="{F0F91A46-1921-4B2D-A8CF-FBF12EB7F2CB}"/>
    <cellStyle name="Normal 3 2 2 2 5 2" xfId="13189" xr:uid="{2EA33D90-0D4A-4435-9F79-52DFD0A87D94}"/>
    <cellStyle name="Normal 3 2 2 2 5 3" xfId="15442" xr:uid="{53F2771D-2F49-4895-840B-8390BABCFDBF}"/>
    <cellStyle name="Normal 3 2 2 2 5 4" xfId="17695" xr:uid="{5741B5B0-745D-4FD9-8AE8-208F5138C3B6}"/>
    <cellStyle name="Normal 3 2 2 2 6" xfId="3031" xr:uid="{148C180F-B2C2-4E89-911B-FAE912EAA1D8}"/>
    <cellStyle name="Normal 3 2 2 2 7" xfId="4157" xr:uid="{A2EBF9C3-B32D-403A-B335-9E184D4A844F}"/>
    <cellStyle name="Normal 3 2 2 2 8" xfId="5283" xr:uid="{F05905F3-1E73-44AA-88B7-FB78D27E4F0F}"/>
    <cellStyle name="Normal 3 2 2 2 9" xfId="6410" xr:uid="{2430C13E-1856-4377-ADB7-C7EC4C5F4106}"/>
    <cellStyle name="Normal 3 2 2 3" xfId="782" xr:uid="{BE1C4655-BC46-4791-8F67-E1F49FB73834}"/>
    <cellStyle name="Normal 3 2 2 3 10" xfId="8299" xr:uid="{E6568D1E-7C0F-4CA6-9473-808A9A0DE931}"/>
    <cellStyle name="Normal 3 2 2 3 11" xfId="9436" xr:uid="{BE7B91A2-F2BA-4A54-B36B-77AB162F03F0}"/>
    <cellStyle name="Normal 3 2 2 3 12" xfId="10563" xr:uid="{0F0A0939-0666-422E-969E-C5ECBF9DF9C1}"/>
    <cellStyle name="Normal 3 2 2 3 13" xfId="12068" xr:uid="{92F2FB71-C16C-4AED-9CB5-F221CF37CF5C}"/>
    <cellStyle name="Normal 3 2 2 3 14" xfId="14321" xr:uid="{6ADD0C4E-80D6-4FCC-9C39-7958074EC88A}"/>
    <cellStyle name="Normal 3 2 2 3 15" xfId="16574" xr:uid="{10C140C1-09FA-4C98-A1A8-E37545B5F551}"/>
    <cellStyle name="Normal 3 2 2 3 2" xfId="783" xr:uid="{1382831E-BB0A-4E27-AD73-21434D50F680}"/>
    <cellStyle name="Normal 3 2 2 3 2 10" xfId="10562" xr:uid="{8F33FF18-D401-42FF-ADB0-A295C0472CAB}"/>
    <cellStyle name="Normal 3 2 2 3 2 11" xfId="12069" xr:uid="{438BE762-778A-431C-B36C-386B36402D14}"/>
    <cellStyle name="Normal 3 2 2 3 2 12" xfId="14322" xr:uid="{2B915758-DCAB-4EFE-9833-C1B908208AAC}"/>
    <cellStyle name="Normal 3 2 2 3 2 13" xfId="16575" xr:uid="{E89E939E-3615-41FB-A7A3-DA5256444863}"/>
    <cellStyle name="Normal 3 2 2 3 2 2" xfId="1912" xr:uid="{F8FF6DC8-C50D-4688-AC38-2D5DD10A62A4}"/>
    <cellStyle name="Normal 3 2 2 3 2 2 2" xfId="13196" xr:uid="{3A26346A-7BD7-4D45-B246-F521C9464280}"/>
    <cellStyle name="Normal 3 2 2 3 2 2 3" xfId="15449" xr:uid="{41385FB4-F4E6-4124-AD31-AF6BF96F40F2}"/>
    <cellStyle name="Normal 3 2 2 3 2 2 4" xfId="17702" xr:uid="{2FD3D821-E9A3-41FB-9E87-191D644AAFBC}"/>
    <cellStyle name="Normal 3 2 2 3 2 3" xfId="3038" xr:uid="{C297DBFA-497C-4FDE-AF98-4081B803AC24}"/>
    <cellStyle name="Normal 3 2 2 3 2 4" xfId="4164" xr:uid="{2390324D-0B7B-46FE-9C4F-90BB7346DCA5}"/>
    <cellStyle name="Normal 3 2 2 3 2 5" xfId="5290" xr:uid="{7E3CE5EA-7896-436C-934B-B426CAFA89D7}"/>
    <cellStyle name="Normal 3 2 2 3 2 6" xfId="6417" xr:uid="{08C5138B-DD6E-4E94-8BD2-5E27F3388347}"/>
    <cellStyle name="Normal 3 2 2 3 2 7" xfId="7552" xr:uid="{FFF6EFBC-F97B-4D53-AADC-FCB58CD71990}"/>
    <cellStyle name="Normal 3 2 2 3 2 8" xfId="8298" xr:uid="{31C9B043-9A6B-4261-ABA8-8B0C42E6E446}"/>
    <cellStyle name="Normal 3 2 2 3 2 9" xfId="9435" xr:uid="{60E79401-FEAB-4031-9376-8BC995EDEF77}"/>
    <cellStyle name="Normal 3 2 2 3 3" xfId="784" xr:uid="{7C182349-00B4-489F-B53D-6A8A401B7EC9}"/>
    <cellStyle name="Normal 3 2 2 3 3 10" xfId="10561" xr:uid="{985340D0-9402-4A23-94E1-E88D79E72255}"/>
    <cellStyle name="Normal 3 2 2 3 3 11" xfId="12070" xr:uid="{AF8B5555-AFEB-4002-BC18-A47D46C3F7CF}"/>
    <cellStyle name="Normal 3 2 2 3 3 12" xfId="14323" xr:uid="{BF1E4796-C2B9-4624-87B2-BE94E171975C}"/>
    <cellStyle name="Normal 3 2 2 3 3 13" xfId="16576" xr:uid="{17DEA9C2-5C52-4A46-B570-9EF3A9513607}"/>
    <cellStyle name="Normal 3 2 2 3 3 2" xfId="1913" xr:uid="{CD90A509-664F-44DC-9214-6642F45D2A6A}"/>
    <cellStyle name="Normal 3 2 2 3 3 2 2" xfId="13197" xr:uid="{823B2A8E-29F2-4DCD-B314-E1E12B235D7B}"/>
    <cellStyle name="Normal 3 2 2 3 3 2 3" xfId="15450" xr:uid="{E7B5E828-A026-4B9D-A427-FFD2062A0283}"/>
    <cellStyle name="Normal 3 2 2 3 3 2 4" xfId="17703" xr:uid="{C821F219-2303-4ABC-B936-779989FFC73F}"/>
    <cellStyle name="Normal 3 2 2 3 3 3" xfId="3039" xr:uid="{B24A8A47-A7FC-4F80-BCD9-60EE184FE50B}"/>
    <cellStyle name="Normal 3 2 2 3 3 4" xfId="4165" xr:uid="{7154C457-1EA7-45BC-B4AC-185497C16997}"/>
    <cellStyle name="Normal 3 2 2 3 3 5" xfId="5291" xr:uid="{B82DC6B2-CE57-4186-8A12-45C47AD59251}"/>
    <cellStyle name="Normal 3 2 2 3 3 6" xfId="6418" xr:uid="{10CC6FA9-5651-4F4A-9C77-083AA8F80793}"/>
    <cellStyle name="Normal 3 2 2 3 3 7" xfId="7553" xr:uid="{448C9B1E-1ABE-4151-8471-EBF562B8D3E2}"/>
    <cellStyle name="Normal 3 2 2 3 3 8" xfId="8297" xr:uid="{A63655F1-9837-451B-BDFD-15DBA4071069}"/>
    <cellStyle name="Normal 3 2 2 3 3 9" xfId="9434" xr:uid="{A6611E2A-8337-488E-80B2-43186B19208B}"/>
    <cellStyle name="Normal 3 2 2 3 4" xfId="1911" xr:uid="{876C9ED0-39B2-4E71-BE4E-2D826F63B594}"/>
    <cellStyle name="Normal 3 2 2 3 4 2" xfId="13195" xr:uid="{DE34B7C2-5AE4-42B5-A373-23DEBDC6171D}"/>
    <cellStyle name="Normal 3 2 2 3 4 3" xfId="15448" xr:uid="{78AC63F4-87FC-4F48-9A1B-DBDAEE115580}"/>
    <cellStyle name="Normal 3 2 2 3 4 4" xfId="17701" xr:uid="{EC32612B-588F-46FF-85D6-303665926961}"/>
    <cellStyle name="Normal 3 2 2 3 5" xfId="3037" xr:uid="{79AF8D08-11A6-4F0C-99B4-E999A82EB617}"/>
    <cellStyle name="Normal 3 2 2 3 6" xfId="4163" xr:uid="{B576C811-4E70-4BC6-BE7A-802FDC5FD177}"/>
    <cellStyle name="Normal 3 2 2 3 7" xfId="5289" xr:uid="{F3C4FF47-A672-43F8-9C58-97B3AAF294A2}"/>
    <cellStyle name="Normal 3 2 2 3 8" xfId="6416" xr:uid="{7A47C884-8962-4A9C-9566-9269B94CD111}"/>
    <cellStyle name="Normal 3 2 2 3 9" xfId="7551" xr:uid="{777F990B-CDD5-4712-8569-88860E0F97F1}"/>
    <cellStyle name="Normal 3 2 2 4" xfId="785" xr:uid="{44920292-B028-4052-B275-723A900F5B8B}"/>
    <cellStyle name="Normal 3 2 2 4 10" xfId="10560" xr:uid="{C756BD24-ED88-44AE-9907-A08ABA7E642C}"/>
    <cellStyle name="Normal 3 2 2 4 11" xfId="12071" xr:uid="{87B5064D-2F7D-4478-8D80-CA9B747E5FAD}"/>
    <cellStyle name="Normal 3 2 2 4 12" xfId="14324" xr:uid="{0A3156CF-B70E-4CDE-9A28-E00150E623BB}"/>
    <cellStyle name="Normal 3 2 2 4 13" xfId="16577" xr:uid="{05D58EDE-FFDC-4613-B4CF-7AD59F69571C}"/>
    <cellStyle name="Normal 3 2 2 4 2" xfId="1914" xr:uid="{FFC5B2AE-04C8-4A91-9BF5-4CE45D51A1A4}"/>
    <cellStyle name="Normal 3 2 2 4 2 2" xfId="13198" xr:uid="{6381003E-9CEC-448F-9DA6-AEE7A6275F9F}"/>
    <cellStyle name="Normal 3 2 2 4 2 3" xfId="15451" xr:uid="{A07A58A2-8F8C-4D96-A54D-C42A61860A80}"/>
    <cellStyle name="Normal 3 2 2 4 2 4" xfId="17704" xr:uid="{A8C54B8C-F370-4D78-8C14-C12671E0AC3B}"/>
    <cellStyle name="Normal 3 2 2 4 3" xfId="3040" xr:uid="{EF6BAD5A-38D1-4875-8C4F-1B9D01215ECF}"/>
    <cellStyle name="Normal 3 2 2 4 4" xfId="4166" xr:uid="{F676BDB5-F6CB-4156-A6BC-1F026566CE2E}"/>
    <cellStyle name="Normal 3 2 2 4 5" xfId="5292" xr:uid="{379091FB-B2B4-4916-B345-0C758699A336}"/>
    <cellStyle name="Normal 3 2 2 4 6" xfId="6419" xr:uid="{86194A72-457D-477B-A576-2A86C1A40B27}"/>
    <cellStyle name="Normal 3 2 2 4 7" xfId="7554" xr:uid="{538F779C-1164-4EB2-857C-B5AE808E51D7}"/>
    <cellStyle name="Normal 3 2 2 4 8" xfId="8296" xr:uid="{F4D3F328-248B-4017-9123-A0695CC462BF}"/>
    <cellStyle name="Normal 3 2 2 4 9" xfId="9433" xr:uid="{66E67313-78A2-4621-8D51-1F1F7FD4AB2C}"/>
    <cellStyle name="Normal 3 2 2 5" xfId="786" xr:uid="{81D7863E-D525-42C1-AD12-7FB264AC3355}"/>
    <cellStyle name="Normal 3 2 2 5 10" xfId="10559" xr:uid="{52FC221A-AB84-46E6-AE22-936F5B0DE543}"/>
    <cellStyle name="Normal 3 2 2 5 11" xfId="12072" xr:uid="{7A9EA012-42DD-477A-AF52-B9930BCE5770}"/>
    <cellStyle name="Normal 3 2 2 5 12" xfId="14325" xr:uid="{6C520C6D-4D7E-43CE-8CFB-4A09C5BEE976}"/>
    <cellStyle name="Normal 3 2 2 5 13" xfId="16578" xr:uid="{38B3DA22-9E24-45D9-A876-30E353A0FDEC}"/>
    <cellStyle name="Normal 3 2 2 5 2" xfId="1915" xr:uid="{2FD86B38-9351-40F8-BE12-06D1C150A287}"/>
    <cellStyle name="Normal 3 2 2 5 2 2" xfId="13199" xr:uid="{EF8E34B0-E0CC-44C5-8E76-AD3B48E52C5F}"/>
    <cellStyle name="Normal 3 2 2 5 2 3" xfId="15452" xr:uid="{9828D3D8-085F-4BA1-9865-BF17D706AA78}"/>
    <cellStyle name="Normal 3 2 2 5 2 4" xfId="17705" xr:uid="{6CD7A0E9-A2AC-4F57-84C1-2735C768CA0A}"/>
    <cellStyle name="Normal 3 2 2 5 3" xfId="3041" xr:uid="{795523EC-1BBC-47E8-BA73-9EEBBBF86B0A}"/>
    <cellStyle name="Normal 3 2 2 5 4" xfId="4167" xr:uid="{68F0D6C2-2D03-4D23-874B-3F1494F215AA}"/>
    <cellStyle name="Normal 3 2 2 5 5" xfId="5293" xr:uid="{173A9559-FD5C-4870-94D8-9EC35FDEE2BA}"/>
    <cellStyle name="Normal 3 2 2 5 6" xfId="6420" xr:uid="{BB2450EC-7C4D-450A-8B69-664B29365709}"/>
    <cellStyle name="Normal 3 2 2 5 7" xfId="7555" xr:uid="{27B2D165-9A4C-4579-B688-5C2864D05EFB}"/>
    <cellStyle name="Normal 3 2 2 5 8" xfId="8295" xr:uid="{062EBA5A-D2A3-452C-AFAE-065B59B25B3D}"/>
    <cellStyle name="Normal 3 2 2 5 9" xfId="9432" xr:uid="{4B0A0008-6C74-4B1C-B83D-0EA5D743F824}"/>
    <cellStyle name="Normal 3 2 2 6" xfId="1904" xr:uid="{86B713D9-A23A-433A-BC50-4B36BFD53EC9}"/>
    <cellStyle name="Normal 3 2 2 6 2" xfId="13188" xr:uid="{B8A9E342-0A3C-4656-A428-061A48FFB602}"/>
    <cellStyle name="Normal 3 2 2 6 3" xfId="15441" xr:uid="{7760C09A-0BDD-4975-8D30-7DCEB0B8DFA9}"/>
    <cellStyle name="Normal 3 2 2 6 4" xfId="17694" xr:uid="{27306796-9D94-4BDF-BF72-C6BDA6CC0120}"/>
    <cellStyle name="Normal 3 2 2 7" xfId="3030" xr:uid="{4A0EBA42-9B20-4941-90AB-201DF0D504D5}"/>
    <cellStyle name="Normal 3 2 2 8" xfId="4156" xr:uid="{36F3DC56-212B-4D9E-9B99-DF21E829B08F}"/>
    <cellStyle name="Normal 3 2 2 9" xfId="5282" xr:uid="{80178DE4-16D8-47C2-B30B-0B0A4431B8CB}"/>
    <cellStyle name="Normal 3 2 3" xfId="787" xr:uid="{529C032C-0941-4779-9491-F7EF54099749}"/>
    <cellStyle name="Normal 3 2 3 10" xfId="7556" xr:uid="{5CC24C67-EC5F-47A7-B094-B879F5B44147}"/>
    <cellStyle name="Normal 3 2 3 11" xfId="8294" xr:uid="{1613E401-4C1F-4757-A264-39CDAA747F4D}"/>
    <cellStyle name="Normal 3 2 3 12" xfId="9431" xr:uid="{439AF1D5-8ED1-4E94-9003-6466C57CAB7B}"/>
    <cellStyle name="Normal 3 2 3 13" xfId="10558" xr:uid="{E24B058B-8F66-4D3C-ABBB-0818F68E5CCB}"/>
    <cellStyle name="Normal 3 2 3 14" xfId="12073" xr:uid="{76CBAD32-C70C-4B97-B20D-62942E80C85B}"/>
    <cellStyle name="Normal 3 2 3 15" xfId="14326" xr:uid="{6D075C29-1795-456C-8F4B-CBB0D9B98A91}"/>
    <cellStyle name="Normal 3 2 3 16" xfId="16579" xr:uid="{5280D34F-B194-4E53-B8F8-395CE786CF41}"/>
    <cellStyle name="Normal 3 2 3 2" xfId="788" xr:uid="{C8032A07-3426-4DF6-AA0E-968233AC39E1}"/>
    <cellStyle name="Normal 3 2 3 2 10" xfId="8293" xr:uid="{1FCCE37C-E951-43E1-8985-9D7CADEAE997}"/>
    <cellStyle name="Normal 3 2 3 2 11" xfId="9430" xr:uid="{D9DADAAE-23C3-4387-A12D-9883B9F51986}"/>
    <cellStyle name="Normal 3 2 3 2 12" xfId="10557" xr:uid="{A44EC03D-0E67-4CE8-8E2C-94C814118345}"/>
    <cellStyle name="Normal 3 2 3 2 13" xfId="12074" xr:uid="{B853AAF6-068A-485B-BD03-3BE6DB6F53E1}"/>
    <cellStyle name="Normal 3 2 3 2 14" xfId="14327" xr:uid="{E8D178DA-5E30-4B3B-878D-18994B56A472}"/>
    <cellStyle name="Normal 3 2 3 2 15" xfId="16580" xr:uid="{F9FF6594-C695-4A54-83F2-A17C93575D93}"/>
    <cellStyle name="Normal 3 2 3 2 2" xfId="789" xr:uid="{B9F8563D-2811-4B3B-AA2D-B1225DB9F4CB}"/>
    <cellStyle name="Normal 3 2 3 2 2 10" xfId="10556" xr:uid="{4E3E9935-3C4B-4329-824B-D4A6AAB70899}"/>
    <cellStyle name="Normal 3 2 3 2 2 11" xfId="12075" xr:uid="{2D0C71BE-3BB2-4148-B130-98BD89D7EDF5}"/>
    <cellStyle name="Normal 3 2 3 2 2 12" xfId="14328" xr:uid="{C738146D-5657-40AE-B1D6-99C37290991E}"/>
    <cellStyle name="Normal 3 2 3 2 2 13" xfId="16581" xr:uid="{4C1E0D54-03C5-4175-B3F5-7838E733F2E1}"/>
    <cellStyle name="Normal 3 2 3 2 2 2" xfId="1918" xr:uid="{6EB00398-E64B-47E3-B472-FB697128D718}"/>
    <cellStyle name="Normal 3 2 3 2 2 2 2" xfId="13202" xr:uid="{E9054A93-B3B0-489F-AE22-611806FDB442}"/>
    <cellStyle name="Normal 3 2 3 2 2 2 3" xfId="15455" xr:uid="{12F00582-6A37-4C4B-864C-C21CE6EEC422}"/>
    <cellStyle name="Normal 3 2 3 2 2 2 4" xfId="17708" xr:uid="{A2F10F9B-039E-458D-BF3A-169742E4AE4A}"/>
    <cellStyle name="Normal 3 2 3 2 2 3" xfId="3044" xr:uid="{DD51A521-1F0A-4840-9072-C1A152F70354}"/>
    <cellStyle name="Normal 3 2 3 2 2 4" xfId="4170" xr:uid="{469BB7B8-E64E-44D3-8F7B-04E02F0DB258}"/>
    <cellStyle name="Normal 3 2 3 2 2 5" xfId="5296" xr:uid="{846C0025-D573-4534-92E8-F83FCD5187BA}"/>
    <cellStyle name="Normal 3 2 3 2 2 6" xfId="6423" xr:uid="{8DE0B519-7308-4C96-8319-B1719B3ACF3A}"/>
    <cellStyle name="Normal 3 2 3 2 2 7" xfId="7558" xr:uid="{E6CBB511-001D-46A1-A2B9-5EC2B3768D8A}"/>
    <cellStyle name="Normal 3 2 3 2 2 8" xfId="8292" xr:uid="{1AD238CA-669A-485F-92AE-65766FD0DF9E}"/>
    <cellStyle name="Normal 3 2 3 2 2 9" xfId="9429" xr:uid="{D2159D40-F795-43C5-93E3-1C4BB98CCC7A}"/>
    <cellStyle name="Normal 3 2 3 2 3" xfId="790" xr:uid="{A54469D7-9BD6-4984-BA11-10346F586CE4}"/>
    <cellStyle name="Normal 3 2 3 2 3 10" xfId="10555" xr:uid="{9B6746B4-F06D-4B63-8F7A-2F931DCC6730}"/>
    <cellStyle name="Normal 3 2 3 2 3 11" xfId="12076" xr:uid="{2DC82876-D4E7-471A-8451-EFBCFA9E42F6}"/>
    <cellStyle name="Normal 3 2 3 2 3 12" xfId="14329" xr:uid="{4BF9C365-FE14-4321-ACCA-D8D3D727EAC7}"/>
    <cellStyle name="Normal 3 2 3 2 3 13" xfId="16582" xr:uid="{15B298D8-EED3-424B-8F56-892FD9AB7FCF}"/>
    <cellStyle name="Normal 3 2 3 2 3 2" xfId="1919" xr:uid="{66F26A0F-962E-421C-895F-C1F2E9144B09}"/>
    <cellStyle name="Normal 3 2 3 2 3 2 2" xfId="13203" xr:uid="{5921C1A3-E5DC-439C-8F76-39A0B350D4E4}"/>
    <cellStyle name="Normal 3 2 3 2 3 2 3" xfId="15456" xr:uid="{CC6FC1A1-5740-4181-AB22-37A583C64794}"/>
    <cellStyle name="Normal 3 2 3 2 3 2 4" xfId="17709" xr:uid="{E3E89F46-2212-42E7-9196-B51A02484B4D}"/>
    <cellStyle name="Normal 3 2 3 2 3 3" xfId="3045" xr:uid="{2B5594A6-5D3E-4654-A437-3B8111333F1B}"/>
    <cellStyle name="Normal 3 2 3 2 3 4" xfId="4171" xr:uid="{465FBE88-3A3B-42E0-B70E-2E4BFEA8F833}"/>
    <cellStyle name="Normal 3 2 3 2 3 5" xfId="5297" xr:uid="{DCE71717-8C2F-44F6-BE43-1752A89D9E42}"/>
    <cellStyle name="Normal 3 2 3 2 3 6" xfId="6424" xr:uid="{6B587050-6BC3-424F-B032-2DADB0FA94CC}"/>
    <cellStyle name="Normal 3 2 3 2 3 7" xfId="7559" xr:uid="{A6F3BF6A-D090-4D89-B486-9A8384F91E1F}"/>
    <cellStyle name="Normal 3 2 3 2 3 8" xfId="8291" xr:uid="{92A3AE01-2DBA-464D-BDAF-D730E0A32C3E}"/>
    <cellStyle name="Normal 3 2 3 2 3 9" xfId="9428" xr:uid="{258923CF-FB76-4AF8-8317-87AE225F3FD0}"/>
    <cellStyle name="Normal 3 2 3 2 4" xfId="1917" xr:uid="{74604BC9-2D87-4ACA-94FB-8D1403B8E164}"/>
    <cellStyle name="Normal 3 2 3 2 4 2" xfId="13201" xr:uid="{DEF4F1E5-9E47-432C-BD07-8A39A81A37AD}"/>
    <cellStyle name="Normal 3 2 3 2 4 3" xfId="15454" xr:uid="{3BB2A088-5464-4DF2-87A9-131A91797CB6}"/>
    <cellStyle name="Normal 3 2 3 2 4 4" xfId="17707" xr:uid="{60F16992-48E4-40AA-B574-F70C97EED8BA}"/>
    <cellStyle name="Normal 3 2 3 2 5" xfId="3043" xr:uid="{DC0A0E5E-F9F2-434E-89A8-EC5925380C87}"/>
    <cellStyle name="Normal 3 2 3 2 6" xfId="4169" xr:uid="{65227250-50EC-497B-992E-66BC3D3FDDCD}"/>
    <cellStyle name="Normal 3 2 3 2 7" xfId="5295" xr:uid="{F0E47F79-57CC-4345-AFC3-04DCADFE2FD5}"/>
    <cellStyle name="Normal 3 2 3 2 8" xfId="6422" xr:uid="{91CF4DD2-10AA-4540-A0F0-B6810592E3FF}"/>
    <cellStyle name="Normal 3 2 3 2 9" xfId="7557" xr:uid="{526CA2CA-5C9F-4E27-A107-F5DC4CB03876}"/>
    <cellStyle name="Normal 3 2 3 3" xfId="791" xr:uid="{FFA790FD-E1CB-4B29-BDC3-33989CFAC120}"/>
    <cellStyle name="Normal 3 2 3 3 10" xfId="10554" xr:uid="{D2C72268-1DBA-4CCB-A35A-F894D718E00F}"/>
    <cellStyle name="Normal 3 2 3 3 11" xfId="12077" xr:uid="{2C470058-9F59-4F54-AE7F-54484A25822D}"/>
    <cellStyle name="Normal 3 2 3 3 12" xfId="14330" xr:uid="{F8F07A95-126A-4FA2-9389-D04685A98297}"/>
    <cellStyle name="Normal 3 2 3 3 13" xfId="16583" xr:uid="{69870637-4080-4CB3-8C45-B1C018A03EAD}"/>
    <cellStyle name="Normal 3 2 3 3 2" xfId="1920" xr:uid="{6F555A77-4216-4E32-AF47-7F33DED200F7}"/>
    <cellStyle name="Normal 3 2 3 3 2 2" xfId="13204" xr:uid="{37927226-A83A-426D-88E4-85344564B215}"/>
    <cellStyle name="Normal 3 2 3 3 2 3" xfId="15457" xr:uid="{2DB2968F-6765-421E-B290-803A2E85550C}"/>
    <cellStyle name="Normal 3 2 3 3 2 4" xfId="17710" xr:uid="{9E662CE4-628D-4850-995C-B9C992490D09}"/>
    <cellStyle name="Normal 3 2 3 3 3" xfId="3046" xr:uid="{77131266-7AFC-4A41-97D4-2A09368689B1}"/>
    <cellStyle name="Normal 3 2 3 3 4" xfId="4172" xr:uid="{DF6C30E4-09C6-4C4D-8C42-C1EC31DF053A}"/>
    <cellStyle name="Normal 3 2 3 3 5" xfId="5298" xr:uid="{3FE824D1-E682-4CF8-BBBE-DA33796A637C}"/>
    <cellStyle name="Normal 3 2 3 3 6" xfId="6425" xr:uid="{92F315F8-FCF4-4250-9999-E29010E85F0B}"/>
    <cellStyle name="Normal 3 2 3 3 7" xfId="7560" xr:uid="{2AFD716A-F50B-4FD7-B202-821196F48A0C}"/>
    <cellStyle name="Normal 3 2 3 3 8" xfId="8290" xr:uid="{0E911215-E310-454A-8D9E-E2EC761692F1}"/>
    <cellStyle name="Normal 3 2 3 3 9" xfId="9427" xr:uid="{AD33BF76-B549-45AB-9585-2FE2BB6DCF01}"/>
    <cellStyle name="Normal 3 2 3 4" xfId="792" xr:uid="{216602FA-4B21-4E36-A187-FA35473CD167}"/>
    <cellStyle name="Normal 3 2 3 4 10" xfId="10553" xr:uid="{0CF8B73E-9BDB-4752-B885-7D4926DCEF1C}"/>
    <cellStyle name="Normal 3 2 3 4 11" xfId="12078" xr:uid="{3C584598-B6A9-4C30-A169-A6B1675805B4}"/>
    <cellStyle name="Normal 3 2 3 4 12" xfId="14331" xr:uid="{9D2ADE4E-A896-4BA0-9684-6A18EFD96A6F}"/>
    <cellStyle name="Normal 3 2 3 4 13" xfId="16584" xr:uid="{806A35E6-B65B-430A-856D-1A0552361073}"/>
    <cellStyle name="Normal 3 2 3 4 2" xfId="1921" xr:uid="{28271045-221A-47B8-8CD3-A408FF6EDA81}"/>
    <cellStyle name="Normal 3 2 3 4 2 2" xfId="13205" xr:uid="{345441F3-BC6B-4864-8B04-4A1A8CDC2171}"/>
    <cellStyle name="Normal 3 2 3 4 2 3" xfId="15458" xr:uid="{6A3E7104-2124-4C7A-BB95-1F495A1BEC47}"/>
    <cellStyle name="Normal 3 2 3 4 2 4" xfId="17711" xr:uid="{2EABA333-B3D9-4ABB-9E09-B36F33F6CDD1}"/>
    <cellStyle name="Normal 3 2 3 4 3" xfId="3047" xr:uid="{A619F75A-B298-4C54-89C2-1B0860238773}"/>
    <cellStyle name="Normal 3 2 3 4 4" xfId="4173" xr:uid="{C8E91EBF-9C92-43CC-A192-7519647E45B6}"/>
    <cellStyle name="Normal 3 2 3 4 5" xfId="5299" xr:uid="{A4CE6942-FB35-4F59-87E5-FBA107403E92}"/>
    <cellStyle name="Normal 3 2 3 4 6" xfId="6426" xr:uid="{1F792925-92B3-4B72-9542-7057B6804F76}"/>
    <cellStyle name="Normal 3 2 3 4 7" xfId="7561" xr:uid="{13A6463A-E9D9-47A7-BFA3-8760913B508A}"/>
    <cellStyle name="Normal 3 2 3 4 8" xfId="8289" xr:uid="{3A9C1A60-E69A-469B-9C1B-992561CF59DD}"/>
    <cellStyle name="Normal 3 2 3 4 9" xfId="9426" xr:uid="{419AC1C7-9DE7-4851-922F-D9971CF94FF4}"/>
    <cellStyle name="Normal 3 2 3 5" xfId="1916" xr:uid="{89886999-1F9D-4C97-B426-52E3F70291C9}"/>
    <cellStyle name="Normal 3 2 3 5 2" xfId="13200" xr:uid="{B148D734-35B3-4432-8890-7D0BB7E12B6D}"/>
    <cellStyle name="Normal 3 2 3 5 3" xfId="15453" xr:uid="{603372B5-0365-4E6C-B64A-DCEB2E6B289C}"/>
    <cellStyle name="Normal 3 2 3 5 4" xfId="17706" xr:uid="{9E491066-7053-4E29-A219-F7C168AC9853}"/>
    <cellStyle name="Normal 3 2 3 6" xfId="3042" xr:uid="{B2370D2A-2715-4574-B891-363DB21BEE7D}"/>
    <cellStyle name="Normal 3 2 3 7" xfId="4168" xr:uid="{318B5BFA-8908-4F31-BAF9-E402BD60C929}"/>
    <cellStyle name="Normal 3 2 3 8" xfId="5294" xr:uid="{6AF93055-27AF-437B-8B91-20B514C26A75}"/>
    <cellStyle name="Normal 3 2 3 9" xfId="6421" xr:uid="{39F82B25-E9B4-469B-8A01-B8A49592BDAB}"/>
    <cellStyle name="Normal 3 2 4" xfId="793" xr:uid="{D8C49E6D-69FF-47FA-8648-176B2927F237}"/>
    <cellStyle name="Normal 3 2 4 10" xfId="8288" xr:uid="{F9A6796C-D3A4-4697-B824-5A2FE1E3B997}"/>
    <cellStyle name="Normal 3 2 4 11" xfId="9425" xr:uid="{A3574775-615A-4C86-A0DB-B734669E9E11}"/>
    <cellStyle name="Normal 3 2 4 12" xfId="10552" xr:uid="{DA0BA0A1-C73F-41B6-A8BE-B62570298C43}"/>
    <cellStyle name="Normal 3 2 4 13" xfId="12079" xr:uid="{011F9843-D3C7-41B0-AE53-8DED15017892}"/>
    <cellStyle name="Normal 3 2 4 14" xfId="14332" xr:uid="{B7AEC684-D26C-42BD-8B81-EB1D65CA45DB}"/>
    <cellStyle name="Normal 3 2 4 15" xfId="16585" xr:uid="{4A7B887D-4824-4A9D-AF7E-6EB4E121ED9F}"/>
    <cellStyle name="Normal 3 2 4 2" xfId="794" xr:uid="{F1E4F312-F6F5-4C95-8D43-E5AD9FA0A07B}"/>
    <cellStyle name="Normal 3 2 4 2 10" xfId="10551" xr:uid="{88789E50-06FD-4B12-8849-A8FE2CB2F9AA}"/>
    <cellStyle name="Normal 3 2 4 2 11" xfId="12080" xr:uid="{125F03C8-C73A-4708-9354-C2112ABF9FCF}"/>
    <cellStyle name="Normal 3 2 4 2 12" xfId="14333" xr:uid="{27B308D7-1C20-4913-AF8D-98674FA74B7A}"/>
    <cellStyle name="Normal 3 2 4 2 13" xfId="16586" xr:uid="{0FE6A4EE-9B73-4E01-9E57-DEE182C9B366}"/>
    <cellStyle name="Normal 3 2 4 2 2" xfId="1923" xr:uid="{E1C03B59-E201-4DBC-99AA-7A76D5E7E263}"/>
    <cellStyle name="Normal 3 2 4 2 2 2" xfId="13207" xr:uid="{B46D18B9-6E1C-4AD4-BC59-053FB36A3A3A}"/>
    <cellStyle name="Normal 3 2 4 2 2 3" xfId="15460" xr:uid="{8022F80B-37B8-40BD-8995-8B6F308AD968}"/>
    <cellStyle name="Normal 3 2 4 2 2 4" xfId="17713" xr:uid="{7C1DEA18-FE78-4FB4-A5BC-660CAFDC2EF9}"/>
    <cellStyle name="Normal 3 2 4 2 3" xfId="3049" xr:uid="{77333B18-8024-4D87-A692-A2D231C1FC50}"/>
    <cellStyle name="Normal 3 2 4 2 4" xfId="4175" xr:uid="{1A360E2A-3CDB-4741-AFF2-CF85D71A2EFF}"/>
    <cellStyle name="Normal 3 2 4 2 5" xfId="5301" xr:uid="{73EDEE6E-CD20-49B0-9C45-80E76A225620}"/>
    <cellStyle name="Normal 3 2 4 2 6" xfId="6428" xr:uid="{AAE8E62D-C1FE-41E8-A3A1-8B6455347FB7}"/>
    <cellStyle name="Normal 3 2 4 2 7" xfId="7563" xr:uid="{45FA57A4-877E-461B-904C-81A3AACBC64C}"/>
    <cellStyle name="Normal 3 2 4 2 8" xfId="8287" xr:uid="{2C7B3032-0CBB-4C5E-BF59-190628D3B58E}"/>
    <cellStyle name="Normal 3 2 4 2 9" xfId="9424" xr:uid="{C2D768CA-FAAB-41E2-8564-640FB616F120}"/>
    <cellStyle name="Normal 3 2 4 3" xfId="795" xr:uid="{31224A9C-5AC8-4B2D-AB49-F7DABBFAC3A7}"/>
    <cellStyle name="Normal 3 2 4 3 10" xfId="10550" xr:uid="{EB289CF8-1D9F-4670-8641-057BE614A459}"/>
    <cellStyle name="Normal 3 2 4 3 11" xfId="12081" xr:uid="{DBC417B7-45D1-49F7-968C-3823756A6462}"/>
    <cellStyle name="Normal 3 2 4 3 12" xfId="14334" xr:uid="{FFAAA639-D563-4B88-ABEF-7253DAD23F2D}"/>
    <cellStyle name="Normal 3 2 4 3 13" xfId="16587" xr:uid="{73255543-EBE3-41D6-93A7-69F587348623}"/>
    <cellStyle name="Normal 3 2 4 3 2" xfId="1924" xr:uid="{4963ADA7-EBE0-4650-97C4-34ADEAD106E0}"/>
    <cellStyle name="Normal 3 2 4 3 2 2" xfId="13208" xr:uid="{E4CDCDF8-CD4D-47B8-B15E-2D414B888786}"/>
    <cellStyle name="Normal 3 2 4 3 2 3" xfId="15461" xr:uid="{D2F00045-113B-48F9-995C-017FC4403ABD}"/>
    <cellStyle name="Normal 3 2 4 3 2 4" xfId="17714" xr:uid="{775FB280-BF63-4411-A813-48D9067607B0}"/>
    <cellStyle name="Normal 3 2 4 3 3" xfId="3050" xr:uid="{AA027C2C-CE9F-425F-90B0-9F2DD334EB3B}"/>
    <cellStyle name="Normal 3 2 4 3 4" xfId="4176" xr:uid="{38819A02-78D1-4D35-A139-9EC3C8932E2D}"/>
    <cellStyle name="Normal 3 2 4 3 5" xfId="5302" xr:uid="{034FAD95-61CF-4E1E-AF5B-B3C45DEBEF58}"/>
    <cellStyle name="Normal 3 2 4 3 6" xfId="6429" xr:uid="{13DDC453-E4D6-4FDB-92CA-E7806A0B24A9}"/>
    <cellStyle name="Normal 3 2 4 3 7" xfId="7564" xr:uid="{DEA654CB-CC80-4ACB-83DD-820E7013CABC}"/>
    <cellStyle name="Normal 3 2 4 3 8" xfId="8286" xr:uid="{4251814C-9BD9-49A5-B72B-44AD5033EBA0}"/>
    <cellStyle name="Normal 3 2 4 3 9" xfId="9423" xr:uid="{ABAE87D3-6ED8-4FBD-B37B-419C9511F897}"/>
    <cellStyle name="Normal 3 2 4 4" xfId="1922" xr:uid="{31594C10-6D73-4A2C-9CAA-9089F94036C4}"/>
    <cellStyle name="Normal 3 2 4 4 2" xfId="13206" xr:uid="{051E89BC-24D0-4500-9902-855A2159DF09}"/>
    <cellStyle name="Normal 3 2 4 4 3" xfId="15459" xr:uid="{E6643D7B-68E8-4DF8-985B-49819BBB2B26}"/>
    <cellStyle name="Normal 3 2 4 4 4" xfId="17712" xr:uid="{C8CA130E-6962-4F9A-8C93-A396C99D877A}"/>
    <cellStyle name="Normal 3 2 4 5" xfId="3048" xr:uid="{B37C866A-7E9B-480D-831D-0FD3E27E7FD7}"/>
    <cellStyle name="Normal 3 2 4 6" xfId="4174" xr:uid="{0A50EC69-0D7E-4FA9-ACCE-0F8AAAA296A5}"/>
    <cellStyle name="Normal 3 2 4 7" xfId="5300" xr:uid="{91178C81-7B1E-46B2-82D2-F6FECEC70213}"/>
    <cellStyle name="Normal 3 2 4 8" xfId="6427" xr:uid="{6F3E41F6-F6F0-4892-926C-1329D1DF63FA}"/>
    <cellStyle name="Normal 3 2 4 9" xfId="7562" xr:uid="{B095228E-97D3-42EB-A3EB-CD9619C9F843}"/>
    <cellStyle name="Normal 3 2 5" xfId="796" xr:uid="{17126F03-964C-43C2-8C7B-256F96B0F393}"/>
    <cellStyle name="Normal 3 2 5 10" xfId="10549" xr:uid="{3DFE0AF3-05F7-469D-BF62-2F584629311F}"/>
    <cellStyle name="Normal 3 2 5 11" xfId="12082" xr:uid="{0CA27E22-1879-481D-8FC9-50AE8E1460C8}"/>
    <cellStyle name="Normal 3 2 5 12" xfId="14335" xr:uid="{FE7F1408-DC2F-4F85-A55F-154469159E42}"/>
    <cellStyle name="Normal 3 2 5 13" xfId="16588" xr:uid="{6C06FF12-4DE2-4AEB-875A-7E79E41CA27F}"/>
    <cellStyle name="Normal 3 2 5 2" xfId="1925" xr:uid="{EE0B1525-C4C0-4FDC-8D8B-B5B821199D82}"/>
    <cellStyle name="Normal 3 2 5 2 2" xfId="13209" xr:uid="{5B11EC3C-673B-4F0C-86CC-ACEC7923FEFF}"/>
    <cellStyle name="Normal 3 2 5 2 3" xfId="15462" xr:uid="{A13D50D5-BE00-41E2-AE70-192F5E1FE283}"/>
    <cellStyle name="Normal 3 2 5 2 4" xfId="17715" xr:uid="{6D45CB2A-5A4C-4F38-9A10-295EA56160C8}"/>
    <cellStyle name="Normal 3 2 5 3" xfId="3051" xr:uid="{2D31FA7E-F44D-42C3-94F2-AEB5EB7F904D}"/>
    <cellStyle name="Normal 3 2 5 4" xfId="4177" xr:uid="{6AAD8FE3-9467-42F7-A93C-F2CCAFB47C59}"/>
    <cellStyle name="Normal 3 2 5 5" xfId="5303" xr:uid="{39328549-2550-4C7F-8117-7B8369E43C08}"/>
    <cellStyle name="Normal 3 2 5 6" xfId="6430" xr:uid="{A8D1523D-6600-4B1A-94EA-BE5259476AD1}"/>
    <cellStyle name="Normal 3 2 5 7" xfId="7565" xr:uid="{A6C6DB90-E7AF-4FC7-8A0C-1E0969B2F8AE}"/>
    <cellStyle name="Normal 3 2 5 8" xfId="8285" xr:uid="{6D8950B1-881F-4B3C-9399-B86582A1F131}"/>
    <cellStyle name="Normal 3 2 5 9" xfId="9422" xr:uid="{87E7B4F6-9315-49FD-B947-078C5B79C90F}"/>
    <cellStyle name="Normal 3 2 6" xfId="797" xr:uid="{31136071-67AF-4BFE-95B9-C7928DDFD0E2}"/>
    <cellStyle name="Normal 3 2 6 10" xfId="10548" xr:uid="{51E427CB-151C-44FC-A308-311426270641}"/>
    <cellStyle name="Normal 3 2 6 11" xfId="12083" xr:uid="{6946947F-DF1F-4588-BBD5-EFF85421E0FC}"/>
    <cellStyle name="Normal 3 2 6 12" xfId="14336" xr:uid="{38FEAF0A-F46C-4460-9AAA-4076186E2B58}"/>
    <cellStyle name="Normal 3 2 6 13" xfId="16589" xr:uid="{5AE8A801-8493-4FAB-92AD-A4A8F89E8685}"/>
    <cellStyle name="Normal 3 2 6 2" xfId="1926" xr:uid="{CFF77436-786E-4270-8466-9CF7E2BA85A4}"/>
    <cellStyle name="Normal 3 2 6 2 2" xfId="13210" xr:uid="{7D7CBFC6-3FBB-4104-B01A-CF7123128A0E}"/>
    <cellStyle name="Normal 3 2 6 2 3" xfId="15463" xr:uid="{10F18A4B-77A7-4E78-A550-8BC81D3E4E68}"/>
    <cellStyle name="Normal 3 2 6 2 4" xfId="17716" xr:uid="{2B411B2D-C3BD-4644-A2D0-12488A6F3058}"/>
    <cellStyle name="Normal 3 2 6 3" xfId="3052" xr:uid="{1B00F02B-C6D4-4C5C-940A-711109665AF1}"/>
    <cellStyle name="Normal 3 2 6 4" xfId="4178" xr:uid="{2B62A0F4-C3E6-43FE-904D-F4D419BE9D68}"/>
    <cellStyle name="Normal 3 2 6 5" xfId="5304" xr:uid="{C28DD49E-038B-4E1F-A0F9-375A1971B548}"/>
    <cellStyle name="Normal 3 2 6 6" xfId="6431" xr:uid="{F08969B2-9789-4F8C-9DE7-D5C18A220FA6}"/>
    <cellStyle name="Normal 3 2 6 7" xfId="7566" xr:uid="{13C0829D-E9CA-428D-BCD9-99DE8CBBF021}"/>
    <cellStyle name="Normal 3 2 6 8" xfId="8284" xr:uid="{D61A45EB-1B42-4B17-A16B-54EA92F87819}"/>
    <cellStyle name="Normal 3 2 6 9" xfId="9421" xr:uid="{192A1D27-D6BB-4550-B92B-462FB101057C}"/>
    <cellStyle name="Normal 3 2 7" xfId="1903" xr:uid="{7391BDFC-7984-4A22-B069-1D8B2E54984F}"/>
    <cellStyle name="Normal 3 2 7 2" xfId="13187" xr:uid="{E5B2EB61-0981-43EA-88D7-B312FBDE5EE3}"/>
    <cellStyle name="Normal 3 2 7 3" xfId="15440" xr:uid="{FDF9F71A-84A8-4A39-9F78-F238AE787C56}"/>
    <cellStyle name="Normal 3 2 7 4" xfId="17693" xr:uid="{64CDA0E1-F673-4B4B-9632-70023E9C5BF1}"/>
    <cellStyle name="Normal 3 2 8" xfId="3029" xr:uid="{AAFC8687-0105-468B-BB15-F72DE22A6F7A}"/>
    <cellStyle name="Normal 3 2 9" xfId="4155" xr:uid="{8AC2B18A-8837-476E-B602-593A99D441F7}"/>
    <cellStyle name="Normal 3 20" xfId="14312" xr:uid="{AA3551E1-F9CF-4B2E-8C5D-3EC147CC9917}"/>
    <cellStyle name="Normal 3 21" xfId="16565" xr:uid="{89F4C387-028F-4340-9022-7A5FCE8DCC2D}"/>
    <cellStyle name="Normal 3 3" xfId="798" xr:uid="{6DB6E6AC-72C3-471B-80AE-CF0F6BA9603F}"/>
    <cellStyle name="Normal 3 3 10" xfId="6432" xr:uid="{E535994D-884E-4487-A8BF-01C0952680C9}"/>
    <cellStyle name="Normal 3 3 11" xfId="7567" xr:uid="{103F7CD1-F996-448B-A60C-F49FC2741B69}"/>
    <cellStyle name="Normal 3 3 12" xfId="8283" xr:uid="{8F93F04C-20A8-40A0-94DF-C21DB4955665}"/>
    <cellStyle name="Normal 3 3 13" xfId="9420" xr:uid="{DFD48997-2D5A-4E86-80AF-DB2193CF2EE3}"/>
    <cellStyle name="Normal 3 3 14" xfId="10547" xr:uid="{02854663-DF39-44DD-AFF7-DAFF84007B76}"/>
    <cellStyle name="Normal 3 3 15" xfId="12084" xr:uid="{AF6E2B4D-283D-4C95-ABBF-5F8293AF1531}"/>
    <cellStyle name="Normal 3 3 16" xfId="14337" xr:uid="{5F57BF68-F867-419A-9CE0-7E4903FA6AD9}"/>
    <cellStyle name="Normal 3 3 17" xfId="16590" xr:uid="{F7EDAD9F-4DAF-47FD-869D-BA35F9DF2570}"/>
    <cellStyle name="Normal 3 3 2" xfId="799" xr:uid="{461E9501-477E-4258-BDFD-17CD749A9626}"/>
    <cellStyle name="Normal 3 3 2 10" xfId="7568" xr:uid="{C9EFC554-5254-42A4-8F03-4E6085C421E0}"/>
    <cellStyle name="Normal 3 3 2 11" xfId="8282" xr:uid="{D9B5078F-C810-4209-914F-F47227824ABE}"/>
    <cellStyle name="Normal 3 3 2 12" xfId="9419" xr:uid="{D9C40051-9711-4602-924A-17E216A48252}"/>
    <cellStyle name="Normal 3 3 2 13" xfId="10546" xr:uid="{315B2824-C45C-4D16-B37F-B0C5BA5B5B75}"/>
    <cellStyle name="Normal 3 3 2 14" xfId="12085" xr:uid="{56B8C970-D720-4A78-A157-B4339795A56D}"/>
    <cellStyle name="Normal 3 3 2 15" xfId="14338" xr:uid="{073E7FAF-5C83-4399-B6B1-F3BD2F89E6A7}"/>
    <cellStyle name="Normal 3 3 2 16" xfId="16591" xr:uid="{A31F93E2-EA90-404C-99CD-197F17FCBA58}"/>
    <cellStyle name="Normal 3 3 2 2" xfId="800" xr:uid="{70FAC769-B5E9-41C3-8B63-D09C6E27E4A9}"/>
    <cellStyle name="Normal 3 3 2 2 10" xfId="8281" xr:uid="{83110250-FE68-4B38-9743-19A346A549FC}"/>
    <cellStyle name="Normal 3 3 2 2 11" xfId="9418" xr:uid="{17306AFD-0DF9-4EBF-8555-7D31E4E778DB}"/>
    <cellStyle name="Normal 3 3 2 2 12" xfId="10545" xr:uid="{A46A2C78-E029-4877-9AB2-A9AB787777DB}"/>
    <cellStyle name="Normal 3 3 2 2 13" xfId="12086" xr:uid="{F632D970-C38E-44D1-8580-84CC8940C7EC}"/>
    <cellStyle name="Normal 3 3 2 2 14" xfId="14339" xr:uid="{6121DE2A-7DCC-4018-A8E6-48A5615E9C04}"/>
    <cellStyle name="Normal 3 3 2 2 15" xfId="16592" xr:uid="{8B34557C-71AA-47CA-9C3B-65C8886371F9}"/>
    <cellStyle name="Normal 3 3 2 2 2" xfId="801" xr:uid="{FBB1D694-E289-4967-A844-274E6741F77E}"/>
    <cellStyle name="Normal 3 3 2 2 2 10" xfId="10544" xr:uid="{2634B2D0-0492-48A1-95EB-B42B8BDB52C7}"/>
    <cellStyle name="Normal 3 3 2 2 2 11" xfId="12087" xr:uid="{FC179059-045B-4D0E-9F4B-33C0DF2F664A}"/>
    <cellStyle name="Normal 3 3 2 2 2 12" xfId="14340" xr:uid="{9ECA9E1B-21A4-43D5-ACE6-61FF8557284F}"/>
    <cellStyle name="Normal 3 3 2 2 2 13" xfId="16593" xr:uid="{AD5CAC69-AA2F-48C1-B99A-BE208690BF64}"/>
    <cellStyle name="Normal 3 3 2 2 2 2" xfId="1930" xr:uid="{8F52F3FC-D01C-4636-B651-F500B1A67794}"/>
    <cellStyle name="Normal 3 3 2 2 2 2 2" xfId="13214" xr:uid="{FEA3EC9D-D5BF-460D-9E5C-50536F1A0842}"/>
    <cellStyle name="Normal 3 3 2 2 2 2 3" xfId="15467" xr:uid="{70BE7BF8-F40A-4EB3-BAC9-5AA5BBA21601}"/>
    <cellStyle name="Normal 3 3 2 2 2 2 4" xfId="17720" xr:uid="{C6D6B017-11FE-4DDB-864F-146EC627040A}"/>
    <cellStyle name="Normal 3 3 2 2 2 3" xfId="3056" xr:uid="{4D105B44-4860-4D7F-867B-7D0F599F0B1A}"/>
    <cellStyle name="Normal 3 3 2 2 2 4" xfId="4182" xr:uid="{F9F68C5C-A585-4997-855F-E9C79563F62D}"/>
    <cellStyle name="Normal 3 3 2 2 2 5" xfId="5308" xr:uid="{F7F960E5-499F-4F95-BD7A-21A1E5B16119}"/>
    <cellStyle name="Normal 3 3 2 2 2 6" xfId="6435" xr:uid="{7B776DC4-BE36-4B92-85CB-4A53F296FBA8}"/>
    <cellStyle name="Normal 3 3 2 2 2 7" xfId="7570" xr:uid="{C291227B-41F6-4873-BDB2-3C4075283E97}"/>
    <cellStyle name="Normal 3 3 2 2 2 8" xfId="8280" xr:uid="{E7F69D44-45DA-4172-9B3E-B94414F72566}"/>
    <cellStyle name="Normal 3 3 2 2 2 9" xfId="9417" xr:uid="{EACD8908-6099-4343-BE19-AB35119BDD07}"/>
    <cellStyle name="Normal 3 3 2 2 3" xfId="802" xr:uid="{CF190FDA-8D18-49E1-9960-3A2C6E9B5827}"/>
    <cellStyle name="Normal 3 3 2 2 3 10" xfId="10543" xr:uid="{0D622F24-F94D-4693-ABB8-0C5EC1E55F55}"/>
    <cellStyle name="Normal 3 3 2 2 3 11" xfId="12088" xr:uid="{A484D93A-6E31-48C8-A022-54793521B7C4}"/>
    <cellStyle name="Normal 3 3 2 2 3 12" xfId="14341" xr:uid="{DBD22862-0205-465A-BF6A-2A0E7D881D9B}"/>
    <cellStyle name="Normal 3 3 2 2 3 13" xfId="16594" xr:uid="{89B40B43-C48E-4DBB-AB6C-523786BDB5C3}"/>
    <cellStyle name="Normal 3 3 2 2 3 2" xfId="1931" xr:uid="{0846FC3D-AE25-4E7E-B2CE-DB278D2A5CFF}"/>
    <cellStyle name="Normal 3 3 2 2 3 2 2" xfId="13215" xr:uid="{74A95022-4F4C-413D-B3C3-9BCD73CEF23B}"/>
    <cellStyle name="Normal 3 3 2 2 3 2 3" xfId="15468" xr:uid="{DDE0E8BD-B9F3-4674-B05E-C8E5689E1C5B}"/>
    <cellStyle name="Normal 3 3 2 2 3 2 4" xfId="17721" xr:uid="{F939CFBA-5B58-4C43-A711-BA1F4472777B}"/>
    <cellStyle name="Normal 3 3 2 2 3 3" xfId="3057" xr:uid="{8A4A0281-D4DB-4DA8-A03A-14DBEDAFA4E9}"/>
    <cellStyle name="Normal 3 3 2 2 3 4" xfId="4183" xr:uid="{0A601026-200D-4544-B171-6878D07834FC}"/>
    <cellStyle name="Normal 3 3 2 2 3 5" xfId="5309" xr:uid="{33D772C0-67DA-4962-B18C-0691089E40C3}"/>
    <cellStyle name="Normal 3 3 2 2 3 6" xfId="6436" xr:uid="{B2961C5B-219A-46A5-9AE5-E693C47FF003}"/>
    <cellStyle name="Normal 3 3 2 2 3 7" xfId="7571" xr:uid="{F80F7283-831F-4151-BD7E-9F0C9872C20C}"/>
    <cellStyle name="Normal 3 3 2 2 3 8" xfId="8279" xr:uid="{85560944-6227-469E-B139-429BBD8C3FB1}"/>
    <cellStyle name="Normal 3 3 2 2 3 9" xfId="9416" xr:uid="{17D83D6E-1743-486F-ACFC-245E777AFA3C}"/>
    <cellStyle name="Normal 3 3 2 2 4" xfId="1929" xr:uid="{AAB42D5A-B9DB-4F47-B5E5-3224E9C6F7BD}"/>
    <cellStyle name="Normal 3 3 2 2 4 2" xfId="13213" xr:uid="{0C3B2EAF-EAB5-49BE-8BF5-2C6784D99566}"/>
    <cellStyle name="Normal 3 3 2 2 4 3" xfId="15466" xr:uid="{9D50C347-A763-44D8-A6D3-4973CDC54546}"/>
    <cellStyle name="Normal 3 3 2 2 4 4" xfId="17719" xr:uid="{BD38A197-07D8-4459-8A39-60EEAE7EBE1B}"/>
    <cellStyle name="Normal 3 3 2 2 5" xfId="3055" xr:uid="{B1F36012-87B8-4093-933B-0B4780CBB94E}"/>
    <cellStyle name="Normal 3 3 2 2 6" xfId="4181" xr:uid="{F7B425B8-434F-404E-BF38-60FAC45371D1}"/>
    <cellStyle name="Normal 3 3 2 2 7" xfId="5307" xr:uid="{2DFBD402-D7F3-4EDB-ABA1-09CE3C4FFE5B}"/>
    <cellStyle name="Normal 3 3 2 2 8" xfId="6434" xr:uid="{CCD74613-1D8A-42C0-9CF7-ECB624C5EE9E}"/>
    <cellStyle name="Normal 3 3 2 2 9" xfId="7569" xr:uid="{816F5980-8FC2-4708-A24C-94FA7028A8E2}"/>
    <cellStyle name="Normal 3 3 2 3" xfId="803" xr:uid="{CC03E583-9A70-445B-9434-D85F8FCD3DEA}"/>
    <cellStyle name="Normal 3 3 2 3 10" xfId="10542" xr:uid="{B29761D9-1B66-46A5-8D70-8C5819F6052D}"/>
    <cellStyle name="Normal 3 3 2 3 11" xfId="12089" xr:uid="{5FE1075A-EAE7-4567-B51B-331CC1AA8A8E}"/>
    <cellStyle name="Normal 3 3 2 3 12" xfId="14342" xr:uid="{FA0D8F28-24D9-4718-BA7E-4EB38ECB83F9}"/>
    <cellStyle name="Normal 3 3 2 3 13" xfId="16595" xr:uid="{230A756B-7427-4DC8-B974-9FCEE3020B3C}"/>
    <cellStyle name="Normal 3 3 2 3 2" xfId="1932" xr:uid="{0F4CDAD7-BE21-4F2B-B479-C136340A2D43}"/>
    <cellStyle name="Normal 3 3 2 3 2 2" xfId="13216" xr:uid="{AB167942-8609-4617-8CD9-1544C78104EA}"/>
    <cellStyle name="Normal 3 3 2 3 2 3" xfId="15469" xr:uid="{2E4CFF04-8580-47C4-A624-57AF40635D5A}"/>
    <cellStyle name="Normal 3 3 2 3 2 4" xfId="17722" xr:uid="{B4CDAEA7-8769-46C2-A252-96D532FEB3A8}"/>
    <cellStyle name="Normal 3 3 2 3 3" xfId="3058" xr:uid="{76F35325-0BCB-4F86-8CEC-A2A29818F4A5}"/>
    <cellStyle name="Normal 3 3 2 3 4" xfId="4184" xr:uid="{89613B4A-6899-4ECF-91AF-4157E4176BD7}"/>
    <cellStyle name="Normal 3 3 2 3 5" xfId="5310" xr:uid="{E9713F78-7FB4-4459-B91F-2A3598A67B45}"/>
    <cellStyle name="Normal 3 3 2 3 6" xfId="6437" xr:uid="{0B43C48C-54B6-4A18-BDAB-116CBC07B289}"/>
    <cellStyle name="Normal 3 3 2 3 7" xfId="7572" xr:uid="{D12563B5-D1E5-4A39-A703-820A1A5E6B08}"/>
    <cellStyle name="Normal 3 3 2 3 8" xfId="8278" xr:uid="{BD5373A6-D37B-4BEC-996B-B9F99B92DE87}"/>
    <cellStyle name="Normal 3 3 2 3 9" xfId="9415" xr:uid="{6A9E805D-5A39-43DA-BF87-C41CB3E4525D}"/>
    <cellStyle name="Normal 3 3 2 4" xfId="804" xr:uid="{03259512-71CA-4528-A5AE-3AB95FEC80FF}"/>
    <cellStyle name="Normal 3 3 2 4 10" xfId="10541" xr:uid="{5CA8E3F6-12DE-4EA6-9D58-0782334DA6D9}"/>
    <cellStyle name="Normal 3 3 2 4 11" xfId="12090" xr:uid="{6E8EEF1F-79B9-4825-8918-91BE0926FA78}"/>
    <cellStyle name="Normal 3 3 2 4 12" xfId="14343" xr:uid="{7DEFC5CA-78B6-4FC4-A180-7968EEB8BC75}"/>
    <cellStyle name="Normal 3 3 2 4 13" xfId="16596" xr:uid="{BF70D138-2046-402A-9513-3F9079D2D537}"/>
    <cellStyle name="Normal 3 3 2 4 2" xfId="1933" xr:uid="{9BED5CD0-CAED-4B66-BC43-866CB9526675}"/>
    <cellStyle name="Normal 3 3 2 4 2 2" xfId="13217" xr:uid="{F474DC1D-63B1-4BE9-BB57-3D0DEDFAD140}"/>
    <cellStyle name="Normal 3 3 2 4 2 3" xfId="15470" xr:uid="{1B598CBE-CB73-45E3-BBE9-C81F0E057A08}"/>
    <cellStyle name="Normal 3 3 2 4 2 4" xfId="17723" xr:uid="{92247093-6C3F-4A58-A4F5-41E4084D4708}"/>
    <cellStyle name="Normal 3 3 2 4 3" xfId="3059" xr:uid="{416802A8-BC64-486B-B13A-FBE302C61DC0}"/>
    <cellStyle name="Normal 3 3 2 4 4" xfId="4185" xr:uid="{2C0D8A62-804A-4EA8-A18A-A0E5FC6CF9EE}"/>
    <cellStyle name="Normal 3 3 2 4 5" xfId="5311" xr:uid="{81B413D7-6AA1-4B1E-BEA8-D1AED714B756}"/>
    <cellStyle name="Normal 3 3 2 4 6" xfId="6438" xr:uid="{E7165169-FBAF-4704-8D2C-6EF1453D04C2}"/>
    <cellStyle name="Normal 3 3 2 4 7" xfId="7573" xr:uid="{18D1D405-3DD0-4B9A-9D15-0B0408D85F7E}"/>
    <cellStyle name="Normal 3 3 2 4 8" xfId="8277" xr:uid="{94FD3D9B-6E4B-45D9-8B6C-B385EED221D6}"/>
    <cellStyle name="Normal 3 3 2 4 9" xfId="9414" xr:uid="{363B2FD1-8510-4096-941C-57CA6D4CA572}"/>
    <cellStyle name="Normal 3 3 2 5" xfId="1928" xr:uid="{9D513D0C-4918-4F4C-90DF-2914D84B010A}"/>
    <cellStyle name="Normal 3 3 2 5 2" xfId="13212" xr:uid="{BAE0BBE3-8B4D-4DA5-9952-B89D7041BFB3}"/>
    <cellStyle name="Normal 3 3 2 5 3" xfId="15465" xr:uid="{94694B02-1D88-4696-B2C5-B121671174C1}"/>
    <cellStyle name="Normal 3 3 2 5 4" xfId="17718" xr:uid="{B85609AA-93D6-4410-BB26-900A28365736}"/>
    <cellStyle name="Normal 3 3 2 6" xfId="3054" xr:uid="{015D6AB4-DCA5-4A7B-B970-DF56D6D9392F}"/>
    <cellStyle name="Normal 3 3 2 7" xfId="4180" xr:uid="{ABBD60BE-2EFD-4739-A3F9-0F726A429529}"/>
    <cellStyle name="Normal 3 3 2 8" xfId="5306" xr:uid="{4150334E-0B08-4B72-A4F9-B4AD2C1ADA44}"/>
    <cellStyle name="Normal 3 3 2 9" xfId="6433" xr:uid="{2A8F3614-7F4E-41A2-8F06-A66E37E75E9F}"/>
    <cellStyle name="Normal 3 3 3" xfId="805" xr:uid="{95030029-7586-48A7-B22F-1A2DE060CE17}"/>
    <cellStyle name="Normal 3 3 3 10" xfId="8276" xr:uid="{4B54C50F-BCEA-4EA2-9B3D-40CDF1C6CFE4}"/>
    <cellStyle name="Normal 3 3 3 11" xfId="9413" xr:uid="{E6817B92-7955-458B-A484-89D568DBCAAF}"/>
    <cellStyle name="Normal 3 3 3 12" xfId="10540" xr:uid="{16716ADD-00CB-4848-A538-6293ADB69AF3}"/>
    <cellStyle name="Normal 3 3 3 13" xfId="12091" xr:uid="{15B0D4DF-B7F5-4C0C-9B8C-881ED6B28E9B}"/>
    <cellStyle name="Normal 3 3 3 14" xfId="14344" xr:uid="{1FFCAE8F-2E30-4ED1-93FE-915B4B9FD33B}"/>
    <cellStyle name="Normal 3 3 3 15" xfId="16597" xr:uid="{E0BE64A3-3689-4C82-B787-E83AC620C2A9}"/>
    <cellStyle name="Normal 3 3 3 2" xfId="806" xr:uid="{1837E39E-C8C7-42A8-A9AC-4950779DA1EC}"/>
    <cellStyle name="Normal 3 3 3 2 10" xfId="10539" xr:uid="{C061598C-D3AB-4246-BD9E-77FEB2AD0803}"/>
    <cellStyle name="Normal 3 3 3 2 11" xfId="12092" xr:uid="{48E4D408-C29F-4176-A453-CDCBCA831B4E}"/>
    <cellStyle name="Normal 3 3 3 2 12" xfId="14345" xr:uid="{E0462E37-CB21-4928-9E40-07DA433880A2}"/>
    <cellStyle name="Normal 3 3 3 2 13" xfId="16598" xr:uid="{C867691E-6DE0-4F1B-B260-C20A7F2D7BF1}"/>
    <cellStyle name="Normal 3 3 3 2 2" xfId="1935" xr:uid="{9B247274-2246-4F8B-8503-7273D0C50909}"/>
    <cellStyle name="Normal 3 3 3 2 2 2" xfId="13219" xr:uid="{22A1BA55-EF73-46F1-94FE-A5DB5451F415}"/>
    <cellStyle name="Normal 3 3 3 2 2 3" xfId="15472" xr:uid="{D4975E72-B235-4E04-8D91-9CB46D601309}"/>
    <cellStyle name="Normal 3 3 3 2 2 4" xfId="17725" xr:uid="{0D769C8E-8741-4EA1-8B4A-860D5CEB31FF}"/>
    <cellStyle name="Normal 3 3 3 2 3" xfId="3061" xr:uid="{C7A82503-99F3-48B8-8102-1FC0D99818C1}"/>
    <cellStyle name="Normal 3 3 3 2 4" xfId="4187" xr:uid="{51AE47A2-0B62-40DF-A443-4C71ABD5FBF9}"/>
    <cellStyle name="Normal 3 3 3 2 5" xfId="5313" xr:uid="{33774701-8628-4DE7-9A0E-95E690B1E058}"/>
    <cellStyle name="Normal 3 3 3 2 6" xfId="6440" xr:uid="{82992B31-71E2-43EA-ABF8-EED054E5822B}"/>
    <cellStyle name="Normal 3 3 3 2 7" xfId="7575" xr:uid="{28FBC54E-486E-4B2D-B22B-29E228217A4D}"/>
    <cellStyle name="Normal 3 3 3 2 8" xfId="8275" xr:uid="{B199BE2F-B801-4F51-9783-E80370BB6CCA}"/>
    <cellStyle name="Normal 3 3 3 2 9" xfId="9412" xr:uid="{D025FEB5-1BF9-4136-BB45-E141C3DC11C1}"/>
    <cellStyle name="Normal 3 3 3 3" xfId="807" xr:uid="{56FBB354-2676-43E1-AE67-696C04ACD893}"/>
    <cellStyle name="Normal 3 3 3 3 10" xfId="10538" xr:uid="{0317035C-237D-451D-AD6B-729941842364}"/>
    <cellStyle name="Normal 3 3 3 3 11" xfId="12093" xr:uid="{6549E71E-CDB6-4037-9372-E551D9D0E269}"/>
    <cellStyle name="Normal 3 3 3 3 12" xfId="14346" xr:uid="{4D80D14E-0BFA-4873-9824-0B6CC88EC85A}"/>
    <cellStyle name="Normal 3 3 3 3 13" xfId="16599" xr:uid="{FECF7301-26D4-46A4-AA83-A6E5ACEB71BA}"/>
    <cellStyle name="Normal 3 3 3 3 2" xfId="1936" xr:uid="{A7D5C02A-E376-4C84-93B1-9D81362940BF}"/>
    <cellStyle name="Normal 3 3 3 3 2 2" xfId="13220" xr:uid="{3007D9CC-E92C-4A2A-A9D8-D7AB7261E6BD}"/>
    <cellStyle name="Normal 3 3 3 3 2 3" xfId="15473" xr:uid="{68B8CD21-77C7-44CD-A135-A2A1A37BBBF9}"/>
    <cellStyle name="Normal 3 3 3 3 2 4" xfId="17726" xr:uid="{8248DAE6-5F69-4940-B698-CB4F91ABCC47}"/>
    <cellStyle name="Normal 3 3 3 3 3" xfId="3062" xr:uid="{846F18DE-2374-4BDB-A0B9-D0A5217917C8}"/>
    <cellStyle name="Normal 3 3 3 3 4" xfId="4188" xr:uid="{445E7A79-B7E2-4E83-87FA-9FE4484F2CA6}"/>
    <cellStyle name="Normal 3 3 3 3 5" xfId="5314" xr:uid="{EE8FF5CE-8433-400B-B3F1-09E3EE0FF5FB}"/>
    <cellStyle name="Normal 3 3 3 3 6" xfId="6441" xr:uid="{2CAD0AAB-48A4-4164-8429-6F94E17B0FC8}"/>
    <cellStyle name="Normal 3 3 3 3 7" xfId="7576" xr:uid="{2C2D1CF3-6121-49B4-BBFA-6F84B3AA579D}"/>
    <cellStyle name="Normal 3 3 3 3 8" xfId="8274" xr:uid="{EDC441F5-DC61-4DC9-818E-70CF5A9CE3D2}"/>
    <cellStyle name="Normal 3 3 3 3 9" xfId="9411" xr:uid="{70B0617B-AC14-4421-9AED-82DF0C778BE6}"/>
    <cellStyle name="Normal 3 3 3 4" xfId="1934" xr:uid="{E953FD77-9E60-4787-A119-60343160E627}"/>
    <cellStyle name="Normal 3 3 3 4 2" xfId="13218" xr:uid="{7B089935-D67E-427B-B90E-2DAD7EFA79D6}"/>
    <cellStyle name="Normal 3 3 3 4 3" xfId="15471" xr:uid="{E2769EE9-663D-4D80-A3BC-9ACDCC7F65E7}"/>
    <cellStyle name="Normal 3 3 3 4 4" xfId="17724" xr:uid="{57F5EA34-06F0-4489-97F4-AD8CFCD3EC44}"/>
    <cellStyle name="Normal 3 3 3 5" xfId="3060" xr:uid="{83C79C7F-5FA4-4000-877D-C21A184384FD}"/>
    <cellStyle name="Normal 3 3 3 6" xfId="4186" xr:uid="{E028ABC8-316C-432F-9910-DC8376774794}"/>
    <cellStyle name="Normal 3 3 3 7" xfId="5312" xr:uid="{F3440052-17DB-485B-ACBF-3165EC729556}"/>
    <cellStyle name="Normal 3 3 3 8" xfId="6439" xr:uid="{28A79F77-3788-4DD5-B138-584DB35FEDD4}"/>
    <cellStyle name="Normal 3 3 3 9" xfId="7574" xr:uid="{03B2FDE4-53D9-46AE-9A54-C6E586767271}"/>
    <cellStyle name="Normal 3 3 4" xfId="808" xr:uid="{F35B9DA8-1896-441E-9D41-D6D561E835D9}"/>
    <cellStyle name="Normal 3 3 4 10" xfId="10537" xr:uid="{3333CAA0-435F-4F4C-AFEA-22A0C71AB5A9}"/>
    <cellStyle name="Normal 3 3 4 11" xfId="12094" xr:uid="{A2A9A638-B9CA-44DD-B198-0B7B07269607}"/>
    <cellStyle name="Normal 3 3 4 12" xfId="14347" xr:uid="{54AFB133-B4C6-4B6E-92A5-2DC0F2A05B5F}"/>
    <cellStyle name="Normal 3 3 4 13" xfId="16600" xr:uid="{354A9DC4-B277-4DE7-A55F-F91FDAF63528}"/>
    <cellStyle name="Normal 3 3 4 2" xfId="1937" xr:uid="{CD87C5DE-41B7-458A-96D8-8B59185757C1}"/>
    <cellStyle name="Normal 3 3 4 2 2" xfId="13221" xr:uid="{E055ED72-F7B6-4E28-BD68-6BDE52FBD57E}"/>
    <cellStyle name="Normal 3 3 4 2 3" xfId="15474" xr:uid="{F22945FE-9CB6-4E32-8F2D-4F7664ED85A0}"/>
    <cellStyle name="Normal 3 3 4 2 4" xfId="17727" xr:uid="{C0A3A772-A05C-495E-A1C9-1F5D33BA7EE3}"/>
    <cellStyle name="Normal 3 3 4 3" xfId="3063" xr:uid="{04A9BC22-1CE7-4DCB-ACF7-B1844FA599D5}"/>
    <cellStyle name="Normal 3 3 4 4" xfId="4189" xr:uid="{D51ADD8B-915E-40B4-8065-D9C8D17F5421}"/>
    <cellStyle name="Normal 3 3 4 5" xfId="5315" xr:uid="{EC6C294B-66E1-477E-A510-F0B41E8A52F8}"/>
    <cellStyle name="Normal 3 3 4 6" xfId="6442" xr:uid="{F92A9A6A-3C5B-4C3D-BB6C-E5C21F71095B}"/>
    <cellStyle name="Normal 3 3 4 7" xfId="7577" xr:uid="{5B52B646-AE75-4354-85A4-1898BF6DB9F8}"/>
    <cellStyle name="Normal 3 3 4 8" xfId="8273" xr:uid="{216508DC-0B7C-426F-99C2-451B5FFC43E3}"/>
    <cellStyle name="Normal 3 3 4 9" xfId="9410" xr:uid="{75599976-E82F-487D-B3EC-C788E73545EB}"/>
    <cellStyle name="Normal 3 3 5" xfId="809" xr:uid="{2A2E3B0A-6E3B-4137-A6A8-644F3B9D093E}"/>
    <cellStyle name="Normal 3 3 5 10" xfId="10536" xr:uid="{6A3B30D2-D307-40EE-BB65-1B4D2363768C}"/>
    <cellStyle name="Normal 3 3 5 11" xfId="12095" xr:uid="{B681C1C9-2AF1-45B5-9FE1-61BF2B591815}"/>
    <cellStyle name="Normal 3 3 5 12" xfId="14348" xr:uid="{2835250E-1053-4D6B-BEB4-1463B12D550A}"/>
    <cellStyle name="Normal 3 3 5 13" xfId="16601" xr:uid="{95D92C1C-F0F0-4414-BE18-A6CF79D698A6}"/>
    <cellStyle name="Normal 3 3 5 2" xfId="1938" xr:uid="{AE6D037F-EA42-4FCA-A3CE-D72DB775787C}"/>
    <cellStyle name="Normal 3 3 5 2 2" xfId="13222" xr:uid="{A31ADF96-8249-4205-871C-A919A35AB092}"/>
    <cellStyle name="Normal 3 3 5 2 3" xfId="15475" xr:uid="{71F65C60-4328-4481-BF9B-BD166422047D}"/>
    <cellStyle name="Normal 3 3 5 2 4" xfId="17728" xr:uid="{D5D03D11-9EBD-4B3D-8F36-C870A1CE462A}"/>
    <cellStyle name="Normal 3 3 5 3" xfId="3064" xr:uid="{E5DC193F-0FCF-497A-8E15-611A978A3747}"/>
    <cellStyle name="Normal 3 3 5 4" xfId="4190" xr:uid="{55E9CD6C-D9FB-4EC9-9873-17AC2C821685}"/>
    <cellStyle name="Normal 3 3 5 5" xfId="5316" xr:uid="{3E7E8469-DA56-4215-BCBC-1E3B1F76656E}"/>
    <cellStyle name="Normal 3 3 5 6" xfId="6443" xr:uid="{AA911136-CEE7-4634-9999-2D0E38301815}"/>
    <cellStyle name="Normal 3 3 5 7" xfId="7578" xr:uid="{2F38F3F1-866C-4228-9043-3EF23BBB46E4}"/>
    <cellStyle name="Normal 3 3 5 8" xfId="8272" xr:uid="{B656B138-21DC-4C66-9EB5-53EE92A26EF3}"/>
    <cellStyle name="Normal 3 3 5 9" xfId="9409" xr:uid="{3CC47713-7C52-4126-B77B-C73EAA7EF0CD}"/>
    <cellStyle name="Normal 3 3 6" xfId="1927" xr:uid="{23D5A861-2A3C-4DCA-870E-CE21467B0D11}"/>
    <cellStyle name="Normal 3 3 6 2" xfId="13211" xr:uid="{A2A2550C-7BC6-4C7D-AD70-53B2258ACF72}"/>
    <cellStyle name="Normal 3 3 6 3" xfId="15464" xr:uid="{E6DAFFEF-8B95-483C-85E4-48470FF87255}"/>
    <cellStyle name="Normal 3 3 6 4" xfId="17717" xr:uid="{135454A1-8AE8-46DA-908D-621EE31BEE06}"/>
    <cellStyle name="Normal 3 3 7" xfId="3053" xr:uid="{5845AF09-B112-49A0-8916-F5F053F2E4C3}"/>
    <cellStyle name="Normal 3 3 8" xfId="4179" xr:uid="{AD9F7E19-E0F3-47F2-8230-9E6D733CCB78}"/>
    <cellStyle name="Normal 3 3 9" xfId="5305" xr:uid="{799478E4-7A91-4A58-A20F-5630C7AB7D1A}"/>
    <cellStyle name="Normal 3 4" xfId="810" xr:uid="{EBCE6DDB-DB5B-4CCD-B33A-D46191B8915F}"/>
    <cellStyle name="Normal 3 4 10" xfId="7579" xr:uid="{ADC129B9-3ACF-40FA-B4EB-7B2ACE54EEAB}"/>
    <cellStyle name="Normal 3 4 11" xfId="8271" xr:uid="{A5143F43-9020-42B9-88B4-CF299F892C7F}"/>
    <cellStyle name="Normal 3 4 12" xfId="9408" xr:uid="{9EEE4B50-8CC9-4C02-83E9-A603ABB65C5F}"/>
    <cellStyle name="Normal 3 4 13" xfId="10535" xr:uid="{58A0C8F5-FA84-4AD9-91DF-C20D9E8667FF}"/>
    <cellStyle name="Normal 3 4 14" xfId="12096" xr:uid="{ADFC6F49-D7F7-4E06-8DF0-225D36030ACF}"/>
    <cellStyle name="Normal 3 4 15" xfId="14349" xr:uid="{F79E663F-E579-4C1D-9008-8BF6D8F398A3}"/>
    <cellStyle name="Normal 3 4 16" xfId="16602" xr:uid="{D03C2D12-33E2-464A-B813-B5FF6958853C}"/>
    <cellStyle name="Normal 3 4 2" xfId="811" xr:uid="{763157F6-DB3C-45C1-B715-1E929BBF987D}"/>
    <cellStyle name="Normal 3 4 2 10" xfId="8270" xr:uid="{748A21D3-9043-4AB5-B11A-A364652B2313}"/>
    <cellStyle name="Normal 3 4 2 11" xfId="9407" xr:uid="{FF16A6CF-F7A6-4765-B6F4-585BCEB99827}"/>
    <cellStyle name="Normal 3 4 2 12" xfId="10534" xr:uid="{DFF5804B-61A6-43BE-B16C-8CE0657892C4}"/>
    <cellStyle name="Normal 3 4 2 13" xfId="12097" xr:uid="{D763A1C4-914B-4D02-A55C-A39FC514EBB3}"/>
    <cellStyle name="Normal 3 4 2 14" xfId="14350" xr:uid="{8FE91750-7625-473A-A2CC-180CF6F9FD55}"/>
    <cellStyle name="Normal 3 4 2 15" xfId="16603" xr:uid="{F7819EF1-D9F6-4D4F-9FA8-555D1BEFB517}"/>
    <cellStyle name="Normal 3 4 2 2" xfId="812" xr:uid="{DAD5178F-3D81-4F66-8CDF-2D5D71913B60}"/>
    <cellStyle name="Normal 3 4 2 2 10" xfId="10533" xr:uid="{827800E5-2677-47C2-8C7C-643180AC1082}"/>
    <cellStyle name="Normal 3 4 2 2 11" xfId="12098" xr:uid="{0F17C1B5-8650-4A76-AE2D-6F1F6D9D9C51}"/>
    <cellStyle name="Normal 3 4 2 2 12" xfId="14351" xr:uid="{7D820BB0-5253-4EC0-91B8-875ADCCE4E5E}"/>
    <cellStyle name="Normal 3 4 2 2 13" xfId="16604" xr:uid="{45FAAFA2-BEEF-4FD6-A3F4-53A8F6D98475}"/>
    <cellStyle name="Normal 3 4 2 2 2" xfId="1941" xr:uid="{CEDB8BD1-4D40-4557-9698-FE9F6100063A}"/>
    <cellStyle name="Normal 3 4 2 2 2 2" xfId="13225" xr:uid="{217263E7-55B3-43B5-A6DC-2CAC5D097164}"/>
    <cellStyle name="Normal 3 4 2 2 2 3" xfId="15478" xr:uid="{4ECFFBB9-E1E5-463E-AB41-E0C1D8C21E6C}"/>
    <cellStyle name="Normal 3 4 2 2 2 4" xfId="17731" xr:uid="{09A2BC61-6048-496C-A23F-57FE144511E9}"/>
    <cellStyle name="Normal 3 4 2 2 3" xfId="3067" xr:uid="{3B76DC37-1214-4A05-8ACC-5104881D9BA6}"/>
    <cellStyle name="Normal 3 4 2 2 4" xfId="4193" xr:uid="{593A268D-B5A7-4FDB-AA4F-8A1E7DE85BA6}"/>
    <cellStyle name="Normal 3 4 2 2 5" xfId="5319" xr:uid="{126A90D3-D0E8-455C-9DA8-3B9C8D1BF356}"/>
    <cellStyle name="Normal 3 4 2 2 6" xfId="6446" xr:uid="{701D8D5C-E088-431D-9E45-888E0471CA22}"/>
    <cellStyle name="Normal 3 4 2 2 7" xfId="7581" xr:uid="{D2D486D7-506F-4111-9CD9-B369070F5144}"/>
    <cellStyle name="Normal 3 4 2 2 8" xfId="8269" xr:uid="{C2CBFB9A-327B-4795-9B9B-9111A01C67CD}"/>
    <cellStyle name="Normal 3 4 2 2 9" xfId="9406" xr:uid="{351C2119-6111-402F-8117-A2A051865D28}"/>
    <cellStyle name="Normal 3 4 2 3" xfId="813" xr:uid="{6E970F0A-05D8-4C1F-874F-834B049DDF2B}"/>
    <cellStyle name="Normal 3 4 2 3 10" xfId="10532" xr:uid="{956C17C4-FF1C-41D2-B75F-45C6B9514815}"/>
    <cellStyle name="Normal 3 4 2 3 11" xfId="12099" xr:uid="{8A055B41-9604-4D77-A7D6-F5AD7B62D638}"/>
    <cellStyle name="Normal 3 4 2 3 12" xfId="14352" xr:uid="{DF0128BC-40CC-4D3A-A719-FC97778FB670}"/>
    <cellStyle name="Normal 3 4 2 3 13" xfId="16605" xr:uid="{A5E2BF0C-EDF4-4A43-90E7-1E303412DC5F}"/>
    <cellStyle name="Normal 3 4 2 3 2" xfId="1942" xr:uid="{3D8CEDE6-B869-4462-8B96-D533E952863F}"/>
    <cellStyle name="Normal 3 4 2 3 2 2" xfId="13226" xr:uid="{7E741BA9-9886-4E0A-9660-8D4FC5B4CB8D}"/>
    <cellStyle name="Normal 3 4 2 3 2 3" xfId="15479" xr:uid="{574FEB25-2ECC-4812-A9FC-6768144DD42B}"/>
    <cellStyle name="Normal 3 4 2 3 2 4" xfId="17732" xr:uid="{F6641B46-82B6-4756-AE55-CAFCF9F5FAFE}"/>
    <cellStyle name="Normal 3 4 2 3 3" xfId="3068" xr:uid="{4B66AC7E-61C8-4D5A-9162-1C882D7BB4DB}"/>
    <cellStyle name="Normal 3 4 2 3 4" xfId="4194" xr:uid="{EA98E12C-AFBE-4058-A970-7C0EC08E9E2E}"/>
    <cellStyle name="Normal 3 4 2 3 5" xfId="5320" xr:uid="{FB3D7E96-E1E0-4072-AB44-371EB54139F6}"/>
    <cellStyle name="Normal 3 4 2 3 6" xfId="6447" xr:uid="{E0017873-3BFC-4D4B-8BA2-9A49D691A1B2}"/>
    <cellStyle name="Normal 3 4 2 3 7" xfId="7582" xr:uid="{538B59A7-9386-4168-BFFB-7E1E6958CD60}"/>
    <cellStyle name="Normal 3 4 2 3 8" xfId="8268" xr:uid="{A9926CE9-1766-44C0-88E4-8E1D124DD181}"/>
    <cellStyle name="Normal 3 4 2 3 9" xfId="9405" xr:uid="{F7E3A907-09AF-49F5-9819-E6D7B382DE3C}"/>
    <cellStyle name="Normal 3 4 2 4" xfId="1940" xr:uid="{B6411FE3-CE71-4106-B5E9-368C9E1499E9}"/>
    <cellStyle name="Normal 3 4 2 4 2" xfId="13224" xr:uid="{BA5679B4-C70E-4234-85ED-4A9F71AE135A}"/>
    <cellStyle name="Normal 3 4 2 4 3" xfId="15477" xr:uid="{6D1BCCC7-D815-4406-AE74-999D8086217B}"/>
    <cellStyle name="Normal 3 4 2 4 4" xfId="17730" xr:uid="{46165171-0FE5-4234-8EB7-716844758DD9}"/>
    <cellStyle name="Normal 3 4 2 5" xfId="3066" xr:uid="{6E27680C-5A52-4310-9A47-73E3C5D9C406}"/>
    <cellStyle name="Normal 3 4 2 6" xfId="4192" xr:uid="{9A88FB18-F1C7-4DC4-A1DF-56130187E208}"/>
    <cellStyle name="Normal 3 4 2 7" xfId="5318" xr:uid="{4DD6E06F-027F-43D8-874B-5E23A3FE0FAC}"/>
    <cellStyle name="Normal 3 4 2 8" xfId="6445" xr:uid="{35FE4838-7110-40B9-889A-9B30D83ABCF6}"/>
    <cellStyle name="Normal 3 4 2 9" xfId="7580" xr:uid="{F812F970-4331-47A9-80A9-1907EAC4210A}"/>
    <cellStyle name="Normal 3 4 3" xfId="814" xr:uid="{21B7E374-6AE3-403F-B683-46B997BB6988}"/>
    <cellStyle name="Normal 3 4 3 10" xfId="10531" xr:uid="{3E48FB2D-D4D0-428A-A34E-8CA64672F3E5}"/>
    <cellStyle name="Normal 3 4 3 11" xfId="12100" xr:uid="{4FBC0C85-DCFC-4908-A215-62EC839D3F48}"/>
    <cellStyle name="Normal 3 4 3 12" xfId="14353" xr:uid="{CC2C8DD2-5C23-48AA-B47F-E92FCC14F3C9}"/>
    <cellStyle name="Normal 3 4 3 13" xfId="16606" xr:uid="{03C451A2-D977-4784-862D-ED048357DA77}"/>
    <cellStyle name="Normal 3 4 3 2" xfId="1943" xr:uid="{252D48C3-5BD7-4393-BA7D-1882E7F2703A}"/>
    <cellStyle name="Normal 3 4 3 2 2" xfId="13227" xr:uid="{E21DDAEC-0828-48A2-955E-46F045383C2D}"/>
    <cellStyle name="Normal 3 4 3 2 3" xfId="15480" xr:uid="{37A5A6A6-53FF-4FFC-8E0E-7AC8AFF6CDE5}"/>
    <cellStyle name="Normal 3 4 3 2 4" xfId="17733" xr:uid="{AA9586C9-844F-4ED1-944F-7918FE55F456}"/>
    <cellStyle name="Normal 3 4 3 3" xfId="3069" xr:uid="{69266A4A-7403-43C9-9AE0-768405DA07D0}"/>
    <cellStyle name="Normal 3 4 3 4" xfId="4195" xr:uid="{551FBCE0-419D-4723-9A22-D28BBA0829F4}"/>
    <cellStyle name="Normal 3 4 3 5" xfId="5321" xr:uid="{34E4E6EF-611D-4798-9E8F-A0472F859FC6}"/>
    <cellStyle name="Normal 3 4 3 6" xfId="6448" xr:uid="{DE77F45A-6F84-4AF1-95DE-820C4B435E30}"/>
    <cellStyle name="Normal 3 4 3 7" xfId="7583" xr:uid="{1B88EACA-5B13-4BC9-9CA8-AB318153D2A3}"/>
    <cellStyle name="Normal 3 4 3 8" xfId="8267" xr:uid="{273F02CF-4FD1-4278-ADF6-1AC0DDC1B3CF}"/>
    <cellStyle name="Normal 3 4 3 9" xfId="9404" xr:uid="{6BA1E425-0AB3-4978-BF6E-73D0D60B6EE6}"/>
    <cellStyle name="Normal 3 4 4" xfId="815" xr:uid="{82B4C628-F1D3-41D2-B982-4A165A29A2F6}"/>
    <cellStyle name="Normal 3 4 4 10" xfId="10530" xr:uid="{18872C14-3C2E-4C44-9D80-59A9042AC5E5}"/>
    <cellStyle name="Normal 3 4 4 11" xfId="12101" xr:uid="{FA20C1A2-48F8-43BA-A938-2B1111779687}"/>
    <cellStyle name="Normal 3 4 4 12" xfId="14354" xr:uid="{B5DF3747-FA99-4CB4-B025-27946D7E5ED9}"/>
    <cellStyle name="Normal 3 4 4 13" xfId="16607" xr:uid="{7FDD9341-AC68-4297-A3C4-6A3AE4614FAA}"/>
    <cellStyle name="Normal 3 4 4 2" xfId="1944" xr:uid="{F0F542F8-CD62-4F42-B203-D95508AE99AF}"/>
    <cellStyle name="Normal 3 4 4 2 2" xfId="13228" xr:uid="{E6572AB1-9A1A-4BD7-85DB-B4BE3D4FCE2A}"/>
    <cellStyle name="Normal 3 4 4 2 3" xfId="15481" xr:uid="{D14D152D-FEE7-45DD-933F-66075B21F039}"/>
    <cellStyle name="Normal 3 4 4 2 4" xfId="17734" xr:uid="{7E7E365D-61DB-4A22-A598-99326819E667}"/>
    <cellStyle name="Normal 3 4 4 3" xfId="3070" xr:uid="{F177F0DF-CE31-40BC-9F10-D524274EE844}"/>
    <cellStyle name="Normal 3 4 4 4" xfId="4196" xr:uid="{463980A5-C36D-4155-A693-F64E49D989D7}"/>
    <cellStyle name="Normal 3 4 4 5" xfId="5322" xr:uid="{D33DF4BE-981C-4BFF-B0DC-4A5C48494CAB}"/>
    <cellStyle name="Normal 3 4 4 6" xfId="6449" xr:uid="{5085072C-3950-4329-AF77-7ED5CB552C11}"/>
    <cellStyle name="Normal 3 4 4 7" xfId="7584" xr:uid="{BF66DBA7-04B1-4E66-8C15-D93A5D087DEA}"/>
    <cellStyle name="Normal 3 4 4 8" xfId="8266" xr:uid="{334B0DB1-AEF1-4F4D-B9F8-484F90DE03E8}"/>
    <cellStyle name="Normal 3 4 4 9" xfId="9403" xr:uid="{42ABD6EF-CB05-4507-B830-253B8EACA8F4}"/>
    <cellStyle name="Normal 3 4 5" xfId="1939" xr:uid="{E7B63EB9-5950-40A6-93D5-622616E91733}"/>
    <cellStyle name="Normal 3 4 5 2" xfId="13223" xr:uid="{7168D8A3-88A1-4575-A587-440AFE9CF011}"/>
    <cellStyle name="Normal 3 4 5 3" xfId="15476" xr:uid="{1C050F3D-E21B-4EE5-BBA4-C7DF3419F41B}"/>
    <cellStyle name="Normal 3 4 5 4" xfId="17729" xr:uid="{6C71FD74-0F28-4F8A-8506-A079DBB848B8}"/>
    <cellStyle name="Normal 3 4 6" xfId="3065" xr:uid="{6E2F48F2-0B16-4E47-9B45-10068822F920}"/>
    <cellStyle name="Normal 3 4 7" xfId="4191" xr:uid="{C7FE28DE-2CB8-4485-A291-4FF70D3510D6}"/>
    <cellStyle name="Normal 3 4 8" xfId="5317" xr:uid="{381ECBC3-EC35-472C-978C-1648727E2802}"/>
    <cellStyle name="Normal 3 4 9" xfId="6444" xr:uid="{BC705E62-2634-4143-ABA7-C80B97430A44}"/>
    <cellStyle name="Normal 3 5" xfId="816" xr:uid="{7541D861-F5F9-47CC-AC1D-BD2F3DB28FB8}"/>
    <cellStyle name="Normal 3 5 10" xfId="8265" xr:uid="{FD6A6328-6D91-4B29-A159-7E176B2BD1E7}"/>
    <cellStyle name="Normal 3 5 11" xfId="9402" xr:uid="{48269EDE-6809-43FD-A120-2137381D73CD}"/>
    <cellStyle name="Normal 3 5 12" xfId="10529" xr:uid="{717303ED-ED6B-42EF-8C3B-197289A8F8C2}"/>
    <cellStyle name="Normal 3 5 13" xfId="12102" xr:uid="{13E0ABF1-70F0-4CFE-A65D-ABAE3A0E890D}"/>
    <cellStyle name="Normal 3 5 14" xfId="14355" xr:uid="{21196873-C74B-4E4E-8451-46350A6C38D0}"/>
    <cellStyle name="Normal 3 5 15" xfId="16608" xr:uid="{43A4FA21-D457-462D-8C3D-4D06FFCBB0D2}"/>
    <cellStyle name="Normal 3 5 2" xfId="817" xr:uid="{787A7452-3658-4DB6-B0EC-BF746101D288}"/>
    <cellStyle name="Normal 3 5 2 10" xfId="10528" xr:uid="{623F7F9C-7958-4866-AEC4-017D6B108128}"/>
    <cellStyle name="Normal 3 5 2 11" xfId="12103" xr:uid="{2CE8EF9A-91E1-4EC3-87DC-F73D45DDBA64}"/>
    <cellStyle name="Normal 3 5 2 12" xfId="14356" xr:uid="{40ACD519-EB1D-4CD1-BCD3-4DFCE474EF62}"/>
    <cellStyle name="Normal 3 5 2 13" xfId="16609" xr:uid="{EBC8F417-5D13-4F66-B908-748F4D53AB0A}"/>
    <cellStyle name="Normal 3 5 2 2" xfId="1946" xr:uid="{5A7A37E2-37ED-4477-8A4C-A0C8D427C4B6}"/>
    <cellStyle name="Normal 3 5 2 2 2" xfId="13230" xr:uid="{DCAC4E28-1365-43A9-905A-5421849D2FF8}"/>
    <cellStyle name="Normal 3 5 2 2 3" xfId="15483" xr:uid="{802C9CE5-0D1A-4FC4-AF2A-0AFDD5D496E2}"/>
    <cellStyle name="Normal 3 5 2 2 4" xfId="17736" xr:uid="{48565001-A193-49CC-B58C-3B27FC2480C5}"/>
    <cellStyle name="Normal 3 5 2 3" xfId="3072" xr:uid="{01853538-F386-4EE9-AA78-7BF5AE4EB658}"/>
    <cellStyle name="Normal 3 5 2 4" xfId="4198" xr:uid="{5A9C002B-2C73-432E-A2FE-634E47D490AC}"/>
    <cellStyle name="Normal 3 5 2 5" xfId="5324" xr:uid="{49472D22-3E96-45A2-8D54-E2B0D2018440}"/>
    <cellStyle name="Normal 3 5 2 6" xfId="6451" xr:uid="{E9473C16-FF06-466B-B0F8-544E2D815D22}"/>
    <cellStyle name="Normal 3 5 2 7" xfId="7586" xr:uid="{06F881F4-93FB-4484-AB31-9BA6FE8816FE}"/>
    <cellStyle name="Normal 3 5 2 8" xfId="8264" xr:uid="{4A70F147-84E6-419F-B3C3-C2516749BABF}"/>
    <cellStyle name="Normal 3 5 2 9" xfId="9401" xr:uid="{E75A5727-B8DA-49FB-9D55-CCA9AA517B8D}"/>
    <cellStyle name="Normal 3 5 3" xfId="818" xr:uid="{93799EAF-1668-404F-89C0-0075DC766B77}"/>
    <cellStyle name="Normal 3 5 3 10" xfId="10527" xr:uid="{4DDB46B8-FF35-4285-9A8C-C74E8C0D8D58}"/>
    <cellStyle name="Normal 3 5 3 11" xfId="12104" xr:uid="{4B88CFC7-CB99-406A-A893-7A2BF48BC9ED}"/>
    <cellStyle name="Normal 3 5 3 12" xfId="14357" xr:uid="{0F1147B2-80B3-4C3C-A249-ABF18AD29350}"/>
    <cellStyle name="Normal 3 5 3 13" xfId="16610" xr:uid="{1376E6DA-8808-4565-819E-458552774273}"/>
    <cellStyle name="Normal 3 5 3 2" xfId="1947" xr:uid="{C94682A4-4547-4EE7-95BA-A50574CE1926}"/>
    <cellStyle name="Normal 3 5 3 2 2" xfId="13231" xr:uid="{EF706961-9EFA-42A5-84BE-5F45DAD4F996}"/>
    <cellStyle name="Normal 3 5 3 2 3" xfId="15484" xr:uid="{DB5939E8-3950-4AD7-B544-B70512F50F64}"/>
    <cellStyle name="Normal 3 5 3 2 4" xfId="17737" xr:uid="{31AC0FE8-810C-4EE3-A2B8-59985DA301AD}"/>
    <cellStyle name="Normal 3 5 3 3" xfId="3073" xr:uid="{01A0B95C-968C-4204-8A4E-18F7B3ED7FB1}"/>
    <cellStyle name="Normal 3 5 3 4" xfId="4199" xr:uid="{2D2E5DA1-0000-49D9-86E3-DEB4C2C102F8}"/>
    <cellStyle name="Normal 3 5 3 5" xfId="5325" xr:uid="{CD57AEF7-7AEE-4DDA-8904-B80DCFB4EF1F}"/>
    <cellStyle name="Normal 3 5 3 6" xfId="6452" xr:uid="{30DDA684-3527-4E7A-BAD9-19F7F9E5DC47}"/>
    <cellStyle name="Normal 3 5 3 7" xfId="7587" xr:uid="{5245A54E-745B-4182-AFB3-B66B8E2A4663}"/>
    <cellStyle name="Normal 3 5 3 8" xfId="8263" xr:uid="{29FB2413-74A9-4575-8F25-2CE6C5F02F65}"/>
    <cellStyle name="Normal 3 5 3 9" xfId="9400" xr:uid="{FAA2D5BC-5E4E-4F84-99F1-7BB6CED4BDDE}"/>
    <cellStyle name="Normal 3 5 4" xfId="1945" xr:uid="{CA57008A-81CD-423B-9451-148251EE971B}"/>
    <cellStyle name="Normal 3 5 4 2" xfId="13229" xr:uid="{512A9943-8EB2-474B-B8F5-1E0E0D5BAD05}"/>
    <cellStyle name="Normal 3 5 4 3" xfId="15482" xr:uid="{C5E5CCE0-3144-4A6F-A374-C6BEEF843249}"/>
    <cellStyle name="Normal 3 5 4 4" xfId="17735" xr:uid="{6FC93489-CD38-47CF-9E7B-96DF306EE06E}"/>
    <cellStyle name="Normal 3 5 5" xfId="3071" xr:uid="{4C78F072-8B33-43E4-92F3-4423CF276A9A}"/>
    <cellStyle name="Normal 3 5 6" xfId="4197" xr:uid="{45632FF4-FB27-459E-AAAF-086F68F7D67C}"/>
    <cellStyle name="Normal 3 5 7" xfId="5323" xr:uid="{37305B10-9068-4B47-80BC-15C85D4881C5}"/>
    <cellStyle name="Normal 3 5 8" xfId="6450" xr:uid="{9A6B34EC-1E2F-4634-8EFD-DC4DC5512A56}"/>
    <cellStyle name="Normal 3 5 9" xfId="7585" xr:uid="{4B974872-F8E8-47BB-82E5-60B31D4345B7}"/>
    <cellStyle name="Normal 3 6" xfId="819" xr:uid="{C8D19525-7246-4859-8987-5E3042955F19}"/>
    <cellStyle name="Normal 3 6 10" xfId="10526" xr:uid="{804092A7-7A13-43F0-A96C-C503EE77B3FB}"/>
    <cellStyle name="Normal 3 6 11" xfId="12105" xr:uid="{4EF1D4B7-F1FA-46A0-AD10-28FA61BA799B}"/>
    <cellStyle name="Normal 3 6 12" xfId="14358" xr:uid="{E6418F17-CF5A-412D-B24D-69AB6EF8A57A}"/>
    <cellStyle name="Normal 3 6 13" xfId="16611" xr:uid="{CDF3CF9A-E53D-4F38-B067-A14DF139D1DA}"/>
    <cellStyle name="Normal 3 6 2" xfId="1948" xr:uid="{D5122BA4-3A1A-43E8-A28F-E1FDE06C2E52}"/>
    <cellStyle name="Normal 3 6 2 2" xfId="13232" xr:uid="{A6475114-3EEF-45BD-A3AF-7AEA59967864}"/>
    <cellStyle name="Normal 3 6 2 3" xfId="15485" xr:uid="{B188673B-4818-47D0-9EC0-415591A1CBA8}"/>
    <cellStyle name="Normal 3 6 2 4" xfId="17738" xr:uid="{B303A0EA-03C7-4E63-8F4A-F5B34AD1A11D}"/>
    <cellStyle name="Normal 3 6 3" xfId="3074" xr:uid="{4B4C3730-B79F-49D2-9A4E-9706EB05DBCC}"/>
    <cellStyle name="Normal 3 6 4" xfId="4200" xr:uid="{86276936-B587-4E05-B013-28DF3F4A9FD1}"/>
    <cellStyle name="Normal 3 6 5" xfId="5326" xr:uid="{857323C1-6668-441A-A5EE-220597CAF012}"/>
    <cellStyle name="Normal 3 6 6" xfId="6453" xr:uid="{A430B720-AAE6-4D31-96F2-C31DA0998670}"/>
    <cellStyle name="Normal 3 6 7" xfId="7588" xr:uid="{DB3AF8E6-73C8-4CD8-8763-5F90DA33197F}"/>
    <cellStyle name="Normal 3 6 8" xfId="8262" xr:uid="{2E4E4DC2-A998-44DF-859D-A732E0A99F78}"/>
    <cellStyle name="Normal 3 6 9" xfId="9399" xr:uid="{025B863D-079A-45FE-9F49-7949F808E630}"/>
    <cellStyle name="Normal 3 7" xfId="820" xr:uid="{E79171B4-9CB7-4E66-8667-70A7A6D245A6}"/>
    <cellStyle name="Normal 3 7 10" xfId="10525" xr:uid="{715E6491-FE32-45BB-981E-619A99E03985}"/>
    <cellStyle name="Normal 3 7 11" xfId="12106" xr:uid="{C166021A-346D-4C31-AF9E-51E9229C7703}"/>
    <cellStyle name="Normal 3 7 12" xfId="14359" xr:uid="{FFD4EEE7-1026-436C-9538-007467A17D24}"/>
    <cellStyle name="Normal 3 7 13" xfId="16612" xr:uid="{3B799C99-C253-4A24-8133-76B95B0C0E94}"/>
    <cellStyle name="Normal 3 7 2" xfId="1949" xr:uid="{FB3F156D-7014-42A3-898A-E857F4CE0C52}"/>
    <cellStyle name="Normal 3 7 2 2" xfId="13233" xr:uid="{E011606D-0D98-429A-B2B7-24DF69577CD1}"/>
    <cellStyle name="Normal 3 7 2 3" xfId="15486" xr:uid="{419DABC1-0051-4252-A96B-2D70FDC28315}"/>
    <cellStyle name="Normal 3 7 2 4" xfId="17739" xr:uid="{3746FABB-61F7-4A3B-B15E-1D3E1FE03BFC}"/>
    <cellStyle name="Normal 3 7 3" xfId="3075" xr:uid="{A7020847-0335-4798-AFA8-20EC62E168B8}"/>
    <cellStyle name="Normal 3 7 4" xfId="4201" xr:uid="{C2E3102E-C710-43BC-8E36-A3A03C93D58D}"/>
    <cellStyle name="Normal 3 7 5" xfId="5327" xr:uid="{734B5F64-1194-474C-BD38-D5615C425509}"/>
    <cellStyle name="Normal 3 7 6" xfId="6454" xr:uid="{32B71A6C-B3DF-40A8-9890-0D66014EE1D2}"/>
    <cellStyle name="Normal 3 7 7" xfId="7589" xr:uid="{83B6C4C5-0738-46E4-9572-7AA4C4091F45}"/>
    <cellStyle name="Normal 3 7 8" xfId="8261" xr:uid="{0E251FD4-5280-406C-A979-85A97F5988BC}"/>
    <cellStyle name="Normal 3 7 9" xfId="9398" xr:uid="{AA219C63-2CDA-4E9D-852E-EB4FCB712ED5}"/>
    <cellStyle name="Normal 3 8" xfId="773" xr:uid="{B16BECCD-8608-472C-99AF-8DE3CEEBCD8F}"/>
    <cellStyle name="Normal 3 8 2" xfId="13186" xr:uid="{DBCCF62B-4EAF-431B-9C8C-89D9B55A4C16}"/>
    <cellStyle name="Normal 3 8 3" xfId="15439" xr:uid="{CAE6ED82-F3BD-4B7E-A5EE-BC1E001D0342}"/>
    <cellStyle name="Normal 3 8 4" xfId="17692" xr:uid="{20963875-D45E-42F6-90C6-026676BAFE97}"/>
    <cellStyle name="Normal 3 9" xfId="1902" xr:uid="{89F5C3ED-81F8-41FF-9671-D09951296580}"/>
    <cellStyle name="Normal 4" xfId="16" xr:uid="{00000000-0005-0000-0000-00003C000000}"/>
    <cellStyle name="Normal 4 10" xfId="3076" xr:uid="{91809B75-10F3-45E2-937E-E36A275E7410}"/>
    <cellStyle name="Normal 4 11" xfId="4202" xr:uid="{6D0DFCF9-AF21-4969-84FD-D9B4BD690F58}"/>
    <cellStyle name="Normal 4 12" xfId="5328" xr:uid="{98ECB6AA-A606-4ACB-8F9A-5505D2D0B3AD}"/>
    <cellStyle name="Normal 4 13" xfId="6455" xr:uid="{8F5D1253-EEF5-49C6-8851-048B148DF6D1}"/>
    <cellStyle name="Normal 4 14" xfId="7590" xr:uid="{16B70840-8A0D-422F-AAB2-E4557B82AC86}"/>
    <cellStyle name="Normal 4 15" xfId="8260" xr:uid="{DEFFCB6B-5C04-4FE9-A29B-CD14B14AB9C0}"/>
    <cellStyle name="Normal 4 16" xfId="9397" xr:uid="{23F7B9C4-EEFF-451D-B029-A64BA6249A32}"/>
    <cellStyle name="Normal 4 17" xfId="10524" xr:uid="{69F16295-D8D7-42CA-83F5-FD8FF93C0CE4}"/>
    <cellStyle name="Normal 4 18" xfId="12107" xr:uid="{290D2799-0740-4A50-A10D-088D6038BAA8}"/>
    <cellStyle name="Normal 4 19" xfId="14360" xr:uid="{50B0FA81-5B4D-4255-9BE4-966B590F8773}"/>
    <cellStyle name="Normal 4 2" xfId="17" xr:uid="{00000000-0005-0000-0000-00003D000000}"/>
    <cellStyle name="Normal 4 2 10" xfId="4203" xr:uid="{41D4C417-88BF-4983-8C37-3C68E11D42F7}"/>
    <cellStyle name="Normal 4 2 11" xfId="5329" xr:uid="{50515D7C-EE93-44D8-AA50-D5EC3B014221}"/>
    <cellStyle name="Normal 4 2 12" xfId="6456" xr:uid="{E31A311E-91ED-45BB-93DD-6426A5D2BDCE}"/>
    <cellStyle name="Normal 4 2 13" xfId="7591" xr:uid="{A7B53F6F-BF61-4150-8AA6-B041E215DC13}"/>
    <cellStyle name="Normal 4 2 14" xfId="8259" xr:uid="{7E9F2AFA-3FDC-4592-86A0-E039F8B59821}"/>
    <cellStyle name="Normal 4 2 15" xfId="9396" xr:uid="{2C001385-019B-441E-8596-7A4F48724D5E}"/>
    <cellStyle name="Normal 4 2 16" xfId="10523" xr:uid="{4183C6D2-65CA-4C0C-91B8-8E508D8A91C8}"/>
    <cellStyle name="Normal 4 2 17" xfId="12108" xr:uid="{C8B95CB1-3D5E-4E24-897B-16D71620672E}"/>
    <cellStyle name="Normal 4 2 18" xfId="14361" xr:uid="{CCFE2314-0A93-4CB8-ADC9-9667D3FBC3C6}"/>
    <cellStyle name="Normal 4 2 19" xfId="16614" xr:uid="{1AED7077-35F0-4E94-B1AD-CD91E718613D}"/>
    <cellStyle name="Normal 4 2 2" xfId="823" xr:uid="{FC8E6B81-2279-4716-BE09-D09AC661551B}"/>
    <cellStyle name="Normal 4 2 2 10" xfId="6457" xr:uid="{3BC360DF-A555-4736-BA08-AF92369BAE5F}"/>
    <cellStyle name="Normal 4 2 2 11" xfId="7592" xr:uid="{1BDD4E4E-DAB5-4AA5-ADAC-D88C4E53CDFB}"/>
    <cellStyle name="Normal 4 2 2 12" xfId="8258" xr:uid="{940392E5-30C0-4C33-8362-491D6852A4D8}"/>
    <cellStyle name="Normal 4 2 2 13" xfId="9395" xr:uid="{D9E700BF-FBBD-4F93-8EB5-0AD75D189956}"/>
    <cellStyle name="Normal 4 2 2 14" xfId="10522" xr:uid="{E8F4B8B9-A4C2-47BF-A89C-8529131E4740}"/>
    <cellStyle name="Normal 4 2 2 15" xfId="12109" xr:uid="{75B5C9BE-185C-40F3-B84E-4E973AF336E1}"/>
    <cellStyle name="Normal 4 2 2 16" xfId="14362" xr:uid="{E7E37647-179F-4A54-BF54-554AF027161F}"/>
    <cellStyle name="Normal 4 2 2 17" xfId="16615" xr:uid="{5B5C27D8-C1F7-40EE-A2DC-4B8C6F385C02}"/>
    <cellStyle name="Normal 4 2 2 2" xfId="824" xr:uid="{6B94130B-E93F-4019-9BD7-73C1F8531CB5}"/>
    <cellStyle name="Normal 4 2 2 2 10" xfId="7593" xr:uid="{5650B5CD-FE20-4BE7-81B9-C4CBBA8C5A9E}"/>
    <cellStyle name="Normal 4 2 2 2 11" xfId="8257" xr:uid="{73298679-E21D-4A0B-9D66-615F1718CD37}"/>
    <cellStyle name="Normal 4 2 2 2 12" xfId="9394" xr:uid="{06D54CB6-C873-44C6-A9F6-6D5CE2128837}"/>
    <cellStyle name="Normal 4 2 2 2 13" xfId="10521" xr:uid="{2AAF4B84-334C-421C-BD2E-110564908726}"/>
    <cellStyle name="Normal 4 2 2 2 14" xfId="12110" xr:uid="{5354B64B-F319-4DD7-82CC-6565B245CF6E}"/>
    <cellStyle name="Normal 4 2 2 2 15" xfId="14363" xr:uid="{6BD86624-71B7-4484-96E8-B59819536226}"/>
    <cellStyle name="Normal 4 2 2 2 16" xfId="16616" xr:uid="{7FF85611-A4B5-476C-ADAD-000758475CAE}"/>
    <cellStyle name="Normal 4 2 2 2 2" xfId="825" xr:uid="{7559FB73-2664-4D22-B863-E4DFC9C483EF}"/>
    <cellStyle name="Normal 4 2 2 2 2 10" xfId="8256" xr:uid="{30B501B2-FF3D-4198-81EC-14A11C70C21B}"/>
    <cellStyle name="Normal 4 2 2 2 2 11" xfId="9393" xr:uid="{44338121-DC58-4413-A7ED-2248EB99B416}"/>
    <cellStyle name="Normal 4 2 2 2 2 12" xfId="10520" xr:uid="{051894C1-EE35-43C0-AB59-AAA0152C8500}"/>
    <cellStyle name="Normal 4 2 2 2 2 13" xfId="12111" xr:uid="{94077E37-10F0-43CC-900E-1C77D94B9617}"/>
    <cellStyle name="Normal 4 2 2 2 2 14" xfId="14364" xr:uid="{0FF5AF9C-4771-48CE-9138-DB888ED0BC06}"/>
    <cellStyle name="Normal 4 2 2 2 2 15" xfId="16617" xr:uid="{E1966CA0-8FED-4FDC-89B3-C09FE826253B}"/>
    <cellStyle name="Normal 4 2 2 2 2 2" xfId="826" xr:uid="{F1211536-C83B-4C6B-936E-CF75A983D95A}"/>
    <cellStyle name="Normal 4 2 2 2 2 2 10" xfId="10519" xr:uid="{CAD9FBA4-0FDE-4E5D-9EB7-DF7B4882CFC9}"/>
    <cellStyle name="Normal 4 2 2 2 2 2 11" xfId="12112" xr:uid="{14C8B483-1B03-43B1-8047-0C5CAB6D861F}"/>
    <cellStyle name="Normal 4 2 2 2 2 2 12" xfId="14365" xr:uid="{898F0B11-51C0-402A-A7DE-DF8C30738371}"/>
    <cellStyle name="Normal 4 2 2 2 2 2 13" xfId="16618" xr:uid="{8A61B74F-3B42-4B4E-9693-8C6BD20EAA27}"/>
    <cellStyle name="Normal 4 2 2 2 2 2 2" xfId="1955" xr:uid="{6E17B1C5-C0B9-490D-8E9C-708FB3BC0FA0}"/>
    <cellStyle name="Normal 4 2 2 2 2 2 2 2" xfId="13239" xr:uid="{74C677EE-5B67-450B-B9AA-358EDEF34E34}"/>
    <cellStyle name="Normal 4 2 2 2 2 2 2 3" xfId="15492" xr:uid="{F2CE639F-F0EC-4E7C-B5EF-6F3CA4A5FDB6}"/>
    <cellStyle name="Normal 4 2 2 2 2 2 2 4" xfId="17745" xr:uid="{AD015EE7-408D-4775-9D65-40D546D44E06}"/>
    <cellStyle name="Normal 4 2 2 2 2 2 3" xfId="3081" xr:uid="{480B12E6-64C4-4C8F-B0B3-3C937947817E}"/>
    <cellStyle name="Normal 4 2 2 2 2 2 4" xfId="4207" xr:uid="{92B64348-BA86-42AB-8C0E-1DA9AC2F0A8E}"/>
    <cellStyle name="Normal 4 2 2 2 2 2 5" xfId="5333" xr:uid="{7766C3BE-9323-4741-856B-42E0CD930CE9}"/>
    <cellStyle name="Normal 4 2 2 2 2 2 6" xfId="6460" xr:uid="{9EA5FD44-E200-4D0F-B4F2-4A72529B7F6E}"/>
    <cellStyle name="Normal 4 2 2 2 2 2 7" xfId="7595" xr:uid="{C1D73178-4B4F-4935-BF89-807CF09EAD3D}"/>
    <cellStyle name="Normal 4 2 2 2 2 2 8" xfId="8255" xr:uid="{B94AB28E-41B4-446F-8C3E-0D9D5375FB63}"/>
    <cellStyle name="Normal 4 2 2 2 2 2 9" xfId="9392" xr:uid="{9F42DF00-49F7-4FB0-9953-875F76CDE059}"/>
    <cellStyle name="Normal 4 2 2 2 2 3" xfId="827" xr:uid="{F8FE4568-F3FD-4F2D-A645-7EC8C7FF96CB}"/>
    <cellStyle name="Normal 4 2 2 2 2 3 10" xfId="10518" xr:uid="{960FC86F-EAE6-4A73-9258-E10F8DE332BB}"/>
    <cellStyle name="Normal 4 2 2 2 2 3 11" xfId="12113" xr:uid="{79F592CD-589E-41AC-9860-42B70C97F651}"/>
    <cellStyle name="Normal 4 2 2 2 2 3 12" xfId="14366" xr:uid="{7D90ACB8-3727-4749-A924-7C0810850301}"/>
    <cellStyle name="Normal 4 2 2 2 2 3 13" xfId="16619" xr:uid="{763D6277-17ED-4B01-8B62-E30E5A6C3D5D}"/>
    <cellStyle name="Normal 4 2 2 2 2 3 2" xfId="1956" xr:uid="{F7A947B5-3F43-4BCE-8D3D-B559EFF17978}"/>
    <cellStyle name="Normal 4 2 2 2 2 3 2 2" xfId="13240" xr:uid="{1B400EB9-783B-46C6-B137-59129832A2EB}"/>
    <cellStyle name="Normal 4 2 2 2 2 3 2 3" xfId="15493" xr:uid="{B6CA6EE8-96D4-447C-903E-7B5FD8A78DCE}"/>
    <cellStyle name="Normal 4 2 2 2 2 3 2 4" xfId="17746" xr:uid="{DC508FD3-078C-4C93-BB59-414407129D85}"/>
    <cellStyle name="Normal 4 2 2 2 2 3 3" xfId="3082" xr:uid="{FC94CB2F-F75A-477A-BD6A-4BFEFF1414A9}"/>
    <cellStyle name="Normal 4 2 2 2 2 3 4" xfId="4208" xr:uid="{D4B558F0-829E-4206-9C64-B674521177B2}"/>
    <cellStyle name="Normal 4 2 2 2 2 3 5" xfId="5334" xr:uid="{C1464C4D-667B-4257-A60B-2A6BF3ADA29A}"/>
    <cellStyle name="Normal 4 2 2 2 2 3 6" xfId="6461" xr:uid="{D65B7CEC-C1B4-493A-90DB-60DE7216E84A}"/>
    <cellStyle name="Normal 4 2 2 2 2 3 7" xfId="7596" xr:uid="{93309D76-8F4D-4F6F-8C74-690E3CC61E1F}"/>
    <cellStyle name="Normal 4 2 2 2 2 3 8" xfId="8254" xr:uid="{9A415AEF-5ED9-4610-BB67-43C50BC9A904}"/>
    <cellStyle name="Normal 4 2 2 2 2 3 9" xfId="9391" xr:uid="{68AE2CA7-EBE3-42D5-9899-AA79E0CD91A0}"/>
    <cellStyle name="Normal 4 2 2 2 2 4" xfId="1954" xr:uid="{1EA74917-5300-47DE-9750-FEA6BA477A27}"/>
    <cellStyle name="Normal 4 2 2 2 2 4 2" xfId="13238" xr:uid="{66569393-0D40-4C7A-9E14-9ADD36AED390}"/>
    <cellStyle name="Normal 4 2 2 2 2 4 3" xfId="15491" xr:uid="{521B604B-8893-4375-8D6A-D83C8F22C24D}"/>
    <cellStyle name="Normal 4 2 2 2 2 4 4" xfId="17744" xr:uid="{DD7536D7-85E0-4B90-8C9A-14016BF4CCFE}"/>
    <cellStyle name="Normal 4 2 2 2 2 5" xfId="3080" xr:uid="{06A1F20F-D5BF-4D9F-9CAA-53A81AF02D42}"/>
    <cellStyle name="Normal 4 2 2 2 2 6" xfId="4206" xr:uid="{E43DAE46-E289-40E5-9550-09194FCF5426}"/>
    <cellStyle name="Normal 4 2 2 2 2 7" xfId="5332" xr:uid="{1D7A5D20-6FD3-49FA-B301-774681D5D065}"/>
    <cellStyle name="Normal 4 2 2 2 2 8" xfId="6459" xr:uid="{0AA9D6F0-46E7-405F-9752-82E6107A22C1}"/>
    <cellStyle name="Normal 4 2 2 2 2 9" xfId="7594" xr:uid="{D0CA3076-9C99-427C-84FE-E7ACC48303F6}"/>
    <cellStyle name="Normal 4 2 2 2 3" xfId="828" xr:uid="{013CF413-26FE-49F5-9673-4BA62520709D}"/>
    <cellStyle name="Normal 4 2 2 2 3 10" xfId="10517" xr:uid="{DF4FB631-4CAF-48C0-A5C5-DB7529664498}"/>
    <cellStyle name="Normal 4 2 2 2 3 11" xfId="12114" xr:uid="{9CAF4568-ECAC-4E46-BAA9-F73DC07C9ECB}"/>
    <cellStyle name="Normal 4 2 2 2 3 12" xfId="14367" xr:uid="{BA0B3F99-52FE-46D8-8920-BA3CAE7617F0}"/>
    <cellStyle name="Normal 4 2 2 2 3 13" xfId="16620" xr:uid="{0F3589F3-304B-4137-ABA8-6A0543A534F9}"/>
    <cellStyle name="Normal 4 2 2 2 3 2" xfId="1957" xr:uid="{176A2E32-E419-4400-A133-829AC36A5D34}"/>
    <cellStyle name="Normal 4 2 2 2 3 2 2" xfId="13241" xr:uid="{4FDB014F-0B07-4ED2-8037-E8C80DE5A87B}"/>
    <cellStyle name="Normal 4 2 2 2 3 2 3" xfId="15494" xr:uid="{130EEB35-3003-4DC7-B621-0E6AAFECA1F3}"/>
    <cellStyle name="Normal 4 2 2 2 3 2 4" xfId="17747" xr:uid="{A3A1C77B-4921-44A8-8FC1-0BFB212D40B5}"/>
    <cellStyle name="Normal 4 2 2 2 3 3" xfId="3083" xr:uid="{E6C44338-25FB-4358-BC14-560E2810AD8C}"/>
    <cellStyle name="Normal 4 2 2 2 3 4" xfId="4209" xr:uid="{C9BC8216-1239-459C-BFD7-8458589A72AE}"/>
    <cellStyle name="Normal 4 2 2 2 3 5" xfId="5335" xr:uid="{47A55A2D-41D5-46FF-8962-E5DF012E37A5}"/>
    <cellStyle name="Normal 4 2 2 2 3 6" xfId="6462" xr:uid="{981B7063-55E0-4A9D-97FC-71461D16D497}"/>
    <cellStyle name="Normal 4 2 2 2 3 7" xfId="7597" xr:uid="{167EE0FA-66A5-493E-86FD-0CD988A4D797}"/>
    <cellStyle name="Normal 4 2 2 2 3 8" xfId="8253" xr:uid="{1C2BD8F4-1020-49A3-AE1A-4C753D2A8E82}"/>
    <cellStyle name="Normal 4 2 2 2 3 9" xfId="9390" xr:uid="{656AD1BC-5F77-49AC-AFFD-09FAA50F8DD8}"/>
    <cellStyle name="Normal 4 2 2 2 4" xfId="829" xr:uid="{737EC66C-FE3F-4580-82B4-62E8347863AE}"/>
    <cellStyle name="Normal 4 2 2 2 4 10" xfId="10516" xr:uid="{80007034-410A-45DB-92B4-F41A475599D6}"/>
    <cellStyle name="Normal 4 2 2 2 4 11" xfId="12115" xr:uid="{C7B38274-FDE5-40F3-B596-BA506C77699D}"/>
    <cellStyle name="Normal 4 2 2 2 4 12" xfId="14368" xr:uid="{D6595536-7C35-4766-9DAB-4085C8E27F7F}"/>
    <cellStyle name="Normal 4 2 2 2 4 13" xfId="16621" xr:uid="{560DA9EC-BF30-4FA3-81EC-18FF85ACC826}"/>
    <cellStyle name="Normal 4 2 2 2 4 2" xfId="1958" xr:uid="{39380E48-AC65-4751-AC29-061AC69F71CB}"/>
    <cellStyle name="Normal 4 2 2 2 4 2 2" xfId="13242" xr:uid="{B2F282F8-D9BC-4B70-A474-F50C3516E318}"/>
    <cellStyle name="Normal 4 2 2 2 4 2 3" xfId="15495" xr:uid="{D2F5DAF6-AD59-44F2-953F-26EC61C14714}"/>
    <cellStyle name="Normal 4 2 2 2 4 2 4" xfId="17748" xr:uid="{EC87B01B-1DE1-4B3E-8D52-FD001E4C2F79}"/>
    <cellStyle name="Normal 4 2 2 2 4 3" xfId="3084" xr:uid="{4477E3F0-6BDD-4248-AFD5-B713E43CEAAA}"/>
    <cellStyle name="Normal 4 2 2 2 4 4" xfId="4210" xr:uid="{B9F37483-CBF9-41BD-BDED-9810753CE7AE}"/>
    <cellStyle name="Normal 4 2 2 2 4 5" xfId="5336" xr:uid="{2770B5A7-D484-48BF-8FF9-B3E535027984}"/>
    <cellStyle name="Normal 4 2 2 2 4 6" xfId="6463" xr:uid="{DFCC17DB-BCBC-494F-80A3-CDFE9E52478D}"/>
    <cellStyle name="Normal 4 2 2 2 4 7" xfId="7598" xr:uid="{C6746F6A-6684-449E-994E-7920513E2D91}"/>
    <cellStyle name="Normal 4 2 2 2 4 8" xfId="8252" xr:uid="{3A48A5EA-DB11-4147-AB48-41ECE240D776}"/>
    <cellStyle name="Normal 4 2 2 2 4 9" xfId="9389" xr:uid="{292D70DC-5F94-45D1-B97E-76A2BC36D212}"/>
    <cellStyle name="Normal 4 2 2 2 5" xfId="1953" xr:uid="{AA5C4255-3A88-4FC2-BC47-8C668774F9A9}"/>
    <cellStyle name="Normal 4 2 2 2 5 2" xfId="13237" xr:uid="{5E1FC9BD-95FA-4F73-A916-BD5D5C116DEE}"/>
    <cellStyle name="Normal 4 2 2 2 5 3" xfId="15490" xr:uid="{8C0C9FE8-3D12-4BB1-BB98-3A4154CB518C}"/>
    <cellStyle name="Normal 4 2 2 2 5 4" xfId="17743" xr:uid="{B55C856B-E36D-45E5-AA53-27342E3B1F9A}"/>
    <cellStyle name="Normal 4 2 2 2 6" xfId="3079" xr:uid="{4AC43067-D4F0-41B0-83D8-BA3FBA472254}"/>
    <cellStyle name="Normal 4 2 2 2 7" xfId="4205" xr:uid="{470C4EC2-B048-4973-97E3-BF42DF11E4CB}"/>
    <cellStyle name="Normal 4 2 2 2 8" xfId="5331" xr:uid="{9A97226F-4BCC-42FD-95F1-6B3F42C0C707}"/>
    <cellStyle name="Normal 4 2 2 2 9" xfId="6458" xr:uid="{F1013CEF-2248-455B-8469-1CD91751E56D}"/>
    <cellStyle name="Normal 4 2 2 3" xfId="830" xr:uid="{C4BAA363-F1FE-4ED1-83FC-92FC5F6A7435}"/>
    <cellStyle name="Normal 4 2 2 3 10" xfId="8251" xr:uid="{309B7053-9F8F-4F70-860A-7F90402D7417}"/>
    <cellStyle name="Normal 4 2 2 3 11" xfId="9388" xr:uid="{FDA3C434-758A-41B0-8CE8-8E863CD5189E}"/>
    <cellStyle name="Normal 4 2 2 3 12" xfId="10515" xr:uid="{4801D121-60EA-4C63-B8C2-1A1D3F3ADB0B}"/>
    <cellStyle name="Normal 4 2 2 3 13" xfId="12116" xr:uid="{688B01AC-66BA-43FB-9FFB-D047FEC3B78B}"/>
    <cellStyle name="Normal 4 2 2 3 14" xfId="14369" xr:uid="{427F8ED6-8CBE-4B84-A11B-D9F94A934520}"/>
    <cellStyle name="Normal 4 2 2 3 15" xfId="16622" xr:uid="{84BD940B-E79F-4BA4-9649-07F3EA414B6F}"/>
    <cellStyle name="Normal 4 2 2 3 2" xfId="831" xr:uid="{7522FAB0-7F6D-468D-9FAA-59F64ABF025E}"/>
    <cellStyle name="Normal 4 2 2 3 2 10" xfId="10514" xr:uid="{05CD2084-8D21-4D29-90CB-B5A46414807D}"/>
    <cellStyle name="Normal 4 2 2 3 2 11" xfId="12117" xr:uid="{5B7E0239-0D6A-415F-B622-B3F854988265}"/>
    <cellStyle name="Normal 4 2 2 3 2 12" xfId="14370" xr:uid="{8185301A-6C46-42FB-90B5-075FD1825127}"/>
    <cellStyle name="Normal 4 2 2 3 2 13" xfId="16623" xr:uid="{3380ECBB-0F97-4FCB-A0D3-861C5FAC121B}"/>
    <cellStyle name="Normal 4 2 2 3 2 2" xfId="1960" xr:uid="{4666AB9A-0E5B-4F5D-97C9-B8F3D18A9236}"/>
    <cellStyle name="Normal 4 2 2 3 2 2 2" xfId="13244" xr:uid="{7A2B3DDE-E81A-418A-940C-C37B6C3A2125}"/>
    <cellStyle name="Normal 4 2 2 3 2 2 3" xfId="15497" xr:uid="{E99784FC-D03C-4B44-B919-F5D7AC3556D6}"/>
    <cellStyle name="Normal 4 2 2 3 2 2 4" xfId="17750" xr:uid="{C9DD78E7-B3B6-43A5-A743-4DCD3E261E93}"/>
    <cellStyle name="Normal 4 2 2 3 2 3" xfId="3086" xr:uid="{FB0DB269-82A6-4C05-A18C-E136B7CB08FB}"/>
    <cellStyle name="Normal 4 2 2 3 2 4" xfId="4212" xr:uid="{2ED9F852-FFD0-4E0E-AFA7-9EDE280919E1}"/>
    <cellStyle name="Normal 4 2 2 3 2 5" xfId="5338" xr:uid="{9C57FBA0-4F32-4F07-AC44-F2E199CC9EA6}"/>
    <cellStyle name="Normal 4 2 2 3 2 6" xfId="6465" xr:uid="{9CC44CCF-6790-4117-9E36-411D038EBC1A}"/>
    <cellStyle name="Normal 4 2 2 3 2 7" xfId="7600" xr:uid="{E4B9B631-072B-499C-8B3C-6580B4C3CDEB}"/>
    <cellStyle name="Normal 4 2 2 3 2 8" xfId="8250" xr:uid="{8EBAE772-C1DE-49A9-8B4C-916E05DE4270}"/>
    <cellStyle name="Normal 4 2 2 3 2 9" xfId="9387" xr:uid="{60A09AAB-C554-4BFD-9E45-975597677740}"/>
    <cellStyle name="Normal 4 2 2 3 3" xfId="832" xr:uid="{2ABBD1B3-BF5D-456F-BACF-F7D8A7671A95}"/>
    <cellStyle name="Normal 4 2 2 3 3 10" xfId="10513" xr:uid="{2640DF9A-6831-4664-BA36-F93850659CD6}"/>
    <cellStyle name="Normal 4 2 2 3 3 11" xfId="12118" xr:uid="{A55CDB7B-AB7E-429B-88DF-C52915F5AAF7}"/>
    <cellStyle name="Normal 4 2 2 3 3 12" xfId="14371" xr:uid="{525C8748-8408-44D1-B195-6BCB0796985B}"/>
    <cellStyle name="Normal 4 2 2 3 3 13" xfId="16624" xr:uid="{0D41FD48-138E-4E27-A6BD-A67003FD14BE}"/>
    <cellStyle name="Normal 4 2 2 3 3 2" xfId="1961" xr:uid="{938E9E98-A796-4A12-8C1B-D24596885C9C}"/>
    <cellStyle name="Normal 4 2 2 3 3 2 2" xfId="13245" xr:uid="{F693E503-BE1C-4FC7-B871-736F731EA533}"/>
    <cellStyle name="Normal 4 2 2 3 3 2 3" xfId="15498" xr:uid="{51389D8E-AC23-42CE-95A5-8ED4A704D0B9}"/>
    <cellStyle name="Normal 4 2 2 3 3 2 4" xfId="17751" xr:uid="{E280C8A5-EA88-4912-96AC-9C5DDAEA2C15}"/>
    <cellStyle name="Normal 4 2 2 3 3 3" xfId="3087" xr:uid="{F5F24489-3DEE-4C29-BA85-7974679B0BC0}"/>
    <cellStyle name="Normal 4 2 2 3 3 4" xfId="4213" xr:uid="{D8B400FF-C441-49E7-AF77-B4254A8B848C}"/>
    <cellStyle name="Normal 4 2 2 3 3 5" xfId="5339" xr:uid="{5F73F5EA-D581-45C5-A8CA-8F53D7992436}"/>
    <cellStyle name="Normal 4 2 2 3 3 6" xfId="6466" xr:uid="{C5627352-A74B-4803-983D-09F4025B877A}"/>
    <cellStyle name="Normal 4 2 2 3 3 7" xfId="7601" xr:uid="{33150BFA-A0F6-4F09-B6D7-BCFE8E793436}"/>
    <cellStyle name="Normal 4 2 2 3 3 8" xfId="8249" xr:uid="{4FEF6D66-E2F4-468D-8F05-E78531042F0C}"/>
    <cellStyle name="Normal 4 2 2 3 3 9" xfId="9386" xr:uid="{198448D2-8D5D-49F0-ACA3-5D94E7BFF2DA}"/>
    <cellStyle name="Normal 4 2 2 3 4" xfId="1959" xr:uid="{0F02119E-AED2-4EC9-AF90-7D0FBE097C44}"/>
    <cellStyle name="Normal 4 2 2 3 4 2" xfId="13243" xr:uid="{3A32F165-BB07-4430-893F-850D56D0639B}"/>
    <cellStyle name="Normal 4 2 2 3 4 3" xfId="15496" xr:uid="{1976268D-9184-4DBC-BEA3-CBBD0C01243B}"/>
    <cellStyle name="Normal 4 2 2 3 4 4" xfId="17749" xr:uid="{01AF7F8B-AFC7-418F-821F-FB330B0071CD}"/>
    <cellStyle name="Normal 4 2 2 3 5" xfId="3085" xr:uid="{8D3F8FA5-5893-4694-A6D9-FBF8ED386436}"/>
    <cellStyle name="Normal 4 2 2 3 6" xfId="4211" xr:uid="{B978E6E8-2B16-4A7D-ADE2-912F18801DDA}"/>
    <cellStyle name="Normal 4 2 2 3 7" xfId="5337" xr:uid="{3F96CD69-B971-4841-B966-2976CFF75EF5}"/>
    <cellStyle name="Normal 4 2 2 3 8" xfId="6464" xr:uid="{4EE1DDC3-E9F8-4F62-9161-A078320025D1}"/>
    <cellStyle name="Normal 4 2 2 3 9" xfId="7599" xr:uid="{FD3BB116-20FD-4207-8E67-38293661B039}"/>
    <cellStyle name="Normal 4 2 2 4" xfId="833" xr:uid="{D12207F2-CBC8-4DEA-A4A2-B0FC31B75D86}"/>
    <cellStyle name="Normal 4 2 2 4 10" xfId="10512" xr:uid="{BB3B749D-2E23-47A5-8A97-C59D1A872F89}"/>
    <cellStyle name="Normal 4 2 2 4 11" xfId="12119" xr:uid="{8674043B-34C4-4BC8-BD45-8DA03EC9E0BF}"/>
    <cellStyle name="Normal 4 2 2 4 12" xfId="14372" xr:uid="{1475C911-A4A4-47B0-94C3-D0D215F22039}"/>
    <cellStyle name="Normal 4 2 2 4 13" xfId="16625" xr:uid="{1F0BA70B-74A3-4D8C-AA84-45D8D8E7B585}"/>
    <cellStyle name="Normal 4 2 2 4 2" xfId="1962" xr:uid="{D68CBB22-626A-41C0-82C5-60EA21FFCEB5}"/>
    <cellStyle name="Normal 4 2 2 4 2 2" xfId="13246" xr:uid="{F85BA909-22DA-4AC5-B134-D34C20087109}"/>
    <cellStyle name="Normal 4 2 2 4 2 3" xfId="15499" xr:uid="{27CDBF2D-32FB-4790-A74A-1975E8BACCF7}"/>
    <cellStyle name="Normal 4 2 2 4 2 4" xfId="17752" xr:uid="{3C16068B-39E5-4697-B896-5A0D5EDAA566}"/>
    <cellStyle name="Normal 4 2 2 4 3" xfId="3088" xr:uid="{AD7DC0AE-B777-47D5-AFA5-09FD33A3EE56}"/>
    <cellStyle name="Normal 4 2 2 4 4" xfId="4214" xr:uid="{A38827D7-C41B-4FA6-85F5-4B7F7A50B4A0}"/>
    <cellStyle name="Normal 4 2 2 4 5" xfId="5340" xr:uid="{43220C50-46C6-462C-A846-65E62FBABA1C}"/>
    <cellStyle name="Normal 4 2 2 4 6" xfId="6467" xr:uid="{0596EBFC-7EE4-4CDC-BEB2-AE43AB5A0F46}"/>
    <cellStyle name="Normal 4 2 2 4 7" xfId="7602" xr:uid="{606F53FA-081D-433F-BC24-6AF60B9EBF2F}"/>
    <cellStyle name="Normal 4 2 2 4 8" xfId="8248" xr:uid="{EE797D65-9E9A-4E4F-9658-C0D293CCDFDB}"/>
    <cellStyle name="Normal 4 2 2 4 9" xfId="9385" xr:uid="{47ACABC0-2037-4D16-BFA5-517542660E57}"/>
    <cellStyle name="Normal 4 2 2 5" xfId="834" xr:uid="{7A30CB46-9C04-4FDB-A08E-38BC22DE3059}"/>
    <cellStyle name="Normal 4 2 2 5 10" xfId="10511" xr:uid="{20AD8420-19A4-4C8D-A23C-4B922C1124AC}"/>
    <cellStyle name="Normal 4 2 2 5 11" xfId="12120" xr:uid="{FBD40626-76B2-42E6-B328-B4407E778367}"/>
    <cellStyle name="Normal 4 2 2 5 12" xfId="14373" xr:uid="{EC3291B7-CF9F-48A4-B1ED-488370F6C122}"/>
    <cellStyle name="Normal 4 2 2 5 13" xfId="16626" xr:uid="{00773590-D14D-41E1-BAEB-83540A0AA0FC}"/>
    <cellStyle name="Normal 4 2 2 5 2" xfId="1963" xr:uid="{85C4BEFE-51A7-4192-9C4E-094B358340B5}"/>
    <cellStyle name="Normal 4 2 2 5 2 2" xfId="13247" xr:uid="{5556F4F8-6D21-4AD4-B25D-75AE10885CCA}"/>
    <cellStyle name="Normal 4 2 2 5 2 3" xfId="15500" xr:uid="{A610D7F9-E3F7-4929-BEBE-98BF69F77C3A}"/>
    <cellStyle name="Normal 4 2 2 5 2 4" xfId="17753" xr:uid="{A99BB76B-AABC-4C74-A16E-A78B1912D7B7}"/>
    <cellStyle name="Normal 4 2 2 5 3" xfId="3089" xr:uid="{953179B7-5D86-4329-9FC2-EE0BAE530C16}"/>
    <cellStyle name="Normal 4 2 2 5 4" xfId="4215" xr:uid="{17E966D8-EE6F-4307-85C6-D0A48287FF4B}"/>
    <cellStyle name="Normal 4 2 2 5 5" xfId="5341" xr:uid="{48324258-E6B2-4F62-8E33-2B95C3A87F30}"/>
    <cellStyle name="Normal 4 2 2 5 6" xfId="6468" xr:uid="{C46CCAE1-D47A-4EF5-9D72-059BFEC631E8}"/>
    <cellStyle name="Normal 4 2 2 5 7" xfId="7603" xr:uid="{AE99E423-905E-4CE3-80A9-7F30D6DBAB88}"/>
    <cellStyle name="Normal 4 2 2 5 8" xfId="8247" xr:uid="{012AEC9D-32A7-4E38-B906-6F443A9AFAE3}"/>
    <cellStyle name="Normal 4 2 2 5 9" xfId="9384" xr:uid="{BA936731-608B-4487-BC60-5A0FC290C71A}"/>
    <cellStyle name="Normal 4 2 2 6" xfId="1952" xr:uid="{3BB1A680-9BDE-4F0A-9436-DCDBC098015E}"/>
    <cellStyle name="Normal 4 2 2 6 2" xfId="13236" xr:uid="{678EF969-EBED-4510-90DA-BF6566B05CA6}"/>
    <cellStyle name="Normal 4 2 2 6 3" xfId="15489" xr:uid="{EAA91523-00BE-47F1-922B-E5311F6A7FDD}"/>
    <cellStyle name="Normal 4 2 2 6 4" xfId="17742" xr:uid="{DCFDAEDC-C7F9-4A2E-9D88-4BE0868B65D1}"/>
    <cellStyle name="Normal 4 2 2 7" xfId="3078" xr:uid="{DE5B3E14-CEFB-466F-934B-55F2BC12807C}"/>
    <cellStyle name="Normal 4 2 2 8" xfId="4204" xr:uid="{49C25C1D-C896-4A73-8531-DFE631C188DE}"/>
    <cellStyle name="Normal 4 2 2 9" xfId="5330" xr:uid="{11B9045C-5161-42AE-BAC2-FF43A2FA7B70}"/>
    <cellStyle name="Normal 4 2 3" xfId="835" xr:uid="{FCE1026C-4418-4546-A70B-D23D8AB97450}"/>
    <cellStyle name="Normal 4 2 3 10" xfId="7604" xr:uid="{10D36E98-533A-49D6-8AC8-12817CEB867D}"/>
    <cellStyle name="Normal 4 2 3 11" xfId="8246" xr:uid="{C84D5370-514E-4C0F-80D6-F3C8B8938A46}"/>
    <cellStyle name="Normal 4 2 3 12" xfId="9383" xr:uid="{875F02BD-367D-40E1-AD26-4663CD018EDC}"/>
    <cellStyle name="Normal 4 2 3 13" xfId="10510" xr:uid="{69F5C100-B5FF-4DC0-8E2E-7B973C2C4F13}"/>
    <cellStyle name="Normal 4 2 3 14" xfId="12121" xr:uid="{5CC6F82E-7120-4E63-B7C2-15D0C3BA36D0}"/>
    <cellStyle name="Normal 4 2 3 15" xfId="14374" xr:uid="{D5AB124E-3348-4F2F-967F-5BA48C2A54BA}"/>
    <cellStyle name="Normal 4 2 3 16" xfId="16627" xr:uid="{0E42BB03-DE04-449C-AF1D-93274C6F6F51}"/>
    <cellStyle name="Normal 4 2 3 2" xfId="836" xr:uid="{DCC999AC-6D2C-4094-9014-5F64E4B4448F}"/>
    <cellStyle name="Normal 4 2 3 2 10" xfId="8245" xr:uid="{162B92ED-51A1-40FD-8217-1D9191FEB132}"/>
    <cellStyle name="Normal 4 2 3 2 11" xfId="9382" xr:uid="{BEDCA1B2-DFC6-4875-9C70-1A39369435D0}"/>
    <cellStyle name="Normal 4 2 3 2 12" xfId="10509" xr:uid="{B22BDC93-3553-4DAC-8DB4-2CC22B1F174B}"/>
    <cellStyle name="Normal 4 2 3 2 13" xfId="12122" xr:uid="{81FFBD48-45E1-417A-8277-CC46B38C4474}"/>
    <cellStyle name="Normal 4 2 3 2 14" xfId="14375" xr:uid="{7CDB062B-26C6-4D9C-8B38-53F34A15D983}"/>
    <cellStyle name="Normal 4 2 3 2 15" xfId="16628" xr:uid="{3A46452B-23B9-44B4-8F82-99E5ABF5B392}"/>
    <cellStyle name="Normal 4 2 3 2 2" xfId="837" xr:uid="{A0CB67C7-F9E7-4EE4-AC32-5D49771678C5}"/>
    <cellStyle name="Normal 4 2 3 2 2 10" xfId="10508" xr:uid="{418BCC88-EC2A-48A6-8452-83699DF654BB}"/>
    <cellStyle name="Normal 4 2 3 2 2 11" xfId="12123" xr:uid="{2C98C0EA-865A-4A30-9365-E041160B0801}"/>
    <cellStyle name="Normal 4 2 3 2 2 12" xfId="14376" xr:uid="{35E8DCD6-E886-4BA1-92F1-F0EA6F483C94}"/>
    <cellStyle name="Normal 4 2 3 2 2 13" xfId="16629" xr:uid="{2E87B20B-4D90-4059-A8D6-A35020503987}"/>
    <cellStyle name="Normal 4 2 3 2 2 2" xfId="1966" xr:uid="{714C2FCF-52ED-41B6-9771-C6454C9AE1DB}"/>
    <cellStyle name="Normal 4 2 3 2 2 2 2" xfId="13250" xr:uid="{954291CF-1878-48E5-B68C-F34FA147D00E}"/>
    <cellStyle name="Normal 4 2 3 2 2 2 3" xfId="15503" xr:uid="{8D3AF0C1-650D-4D59-99FC-F0E53BA1C969}"/>
    <cellStyle name="Normal 4 2 3 2 2 2 4" xfId="17756" xr:uid="{55AF1FFD-3812-4A96-AABB-AF3D47498DFA}"/>
    <cellStyle name="Normal 4 2 3 2 2 3" xfId="3092" xr:uid="{8A8D4764-09E3-4261-96C0-D17690F5C020}"/>
    <cellStyle name="Normal 4 2 3 2 2 4" xfId="4218" xr:uid="{37A708A1-F192-4399-96BB-744D4D07A072}"/>
    <cellStyle name="Normal 4 2 3 2 2 5" xfId="5344" xr:uid="{82307D14-8DBE-48C0-9D85-B12836E4AA13}"/>
    <cellStyle name="Normal 4 2 3 2 2 6" xfId="6471" xr:uid="{7ABD8B28-3A3D-4A0D-AF2E-611B32E79FB3}"/>
    <cellStyle name="Normal 4 2 3 2 2 7" xfId="7606" xr:uid="{F1EA163B-14C6-48CE-A107-43F9B287CB1E}"/>
    <cellStyle name="Normal 4 2 3 2 2 8" xfId="8244" xr:uid="{2B509292-64B9-45D5-BA61-E0E70EC79A2F}"/>
    <cellStyle name="Normal 4 2 3 2 2 9" xfId="9381" xr:uid="{55A43DC4-77FE-4FDF-8465-F8A20C1A2A88}"/>
    <cellStyle name="Normal 4 2 3 2 3" xfId="838" xr:uid="{28613E6A-8959-4515-B481-21F29FA84CE0}"/>
    <cellStyle name="Normal 4 2 3 2 3 10" xfId="10507" xr:uid="{406075B1-7AEC-4907-843F-DB9C75FC73CC}"/>
    <cellStyle name="Normal 4 2 3 2 3 11" xfId="12124" xr:uid="{C1186EA8-A338-45F0-96A8-969A2E1E1CFB}"/>
    <cellStyle name="Normal 4 2 3 2 3 12" xfId="14377" xr:uid="{A9B56EBB-E522-44A4-9CDC-F2632F0E3D01}"/>
    <cellStyle name="Normal 4 2 3 2 3 13" xfId="16630" xr:uid="{B4783382-18B0-4735-9D12-12C290775B91}"/>
    <cellStyle name="Normal 4 2 3 2 3 2" xfId="1967" xr:uid="{BEE6794B-ED36-4BBF-A0AF-515220E7C4D2}"/>
    <cellStyle name="Normal 4 2 3 2 3 2 2" xfId="13251" xr:uid="{0A4ABA3D-A066-4DCC-AA35-B6BB1D12937F}"/>
    <cellStyle name="Normal 4 2 3 2 3 2 3" xfId="15504" xr:uid="{94F3BF3B-6A0A-4B93-A2BA-2BED2D83BF06}"/>
    <cellStyle name="Normal 4 2 3 2 3 2 4" xfId="17757" xr:uid="{D4190640-B3CB-4D11-BD5D-8E0BAE261E9E}"/>
    <cellStyle name="Normal 4 2 3 2 3 3" xfId="3093" xr:uid="{738F4116-18D7-44DA-B1E9-483BE4025D66}"/>
    <cellStyle name="Normal 4 2 3 2 3 4" xfId="4219" xr:uid="{EF8E63A4-C4C3-42BF-9515-9DB373F38ED6}"/>
    <cellStyle name="Normal 4 2 3 2 3 5" xfId="5345" xr:uid="{61F2949F-F5BC-406B-94B2-C8E4F15A254E}"/>
    <cellStyle name="Normal 4 2 3 2 3 6" xfId="6472" xr:uid="{CACC420A-CC0A-4857-A1FC-48576A42B166}"/>
    <cellStyle name="Normal 4 2 3 2 3 7" xfId="7607" xr:uid="{1F4EA8CA-3B2E-498D-9841-0C2AAE117ED3}"/>
    <cellStyle name="Normal 4 2 3 2 3 8" xfId="8243" xr:uid="{C80F5C0C-15C4-4E1E-B30F-0AF0FF5BB39A}"/>
    <cellStyle name="Normal 4 2 3 2 3 9" xfId="9380" xr:uid="{891450CA-B933-4E72-8697-5B30F099A6CE}"/>
    <cellStyle name="Normal 4 2 3 2 4" xfId="1965" xr:uid="{239B90A4-5C4C-4159-9FAA-3D2A36DBC25C}"/>
    <cellStyle name="Normal 4 2 3 2 4 2" xfId="13249" xr:uid="{FC68DA19-C9EE-4322-8D55-3706731F95C2}"/>
    <cellStyle name="Normal 4 2 3 2 4 3" xfId="15502" xr:uid="{A2965FB0-5302-4ACA-83AB-1D9F11F2137A}"/>
    <cellStyle name="Normal 4 2 3 2 4 4" xfId="17755" xr:uid="{2A22F16F-65C7-4484-BAF0-B82340515E40}"/>
    <cellStyle name="Normal 4 2 3 2 5" xfId="3091" xr:uid="{F22C68FD-CF04-4606-BE69-2D6259530CE7}"/>
    <cellStyle name="Normal 4 2 3 2 6" xfId="4217" xr:uid="{36BE1147-BD92-4C87-8FF2-741905D3E3F1}"/>
    <cellStyle name="Normal 4 2 3 2 7" xfId="5343" xr:uid="{B4AAB555-CE52-427D-88AB-C1CECC8FAEBF}"/>
    <cellStyle name="Normal 4 2 3 2 8" xfId="6470" xr:uid="{8E6FAF75-7C5E-4FD5-A79B-7C769159C4A5}"/>
    <cellStyle name="Normal 4 2 3 2 9" xfId="7605" xr:uid="{8A32E110-F244-4789-BACF-DF6729AFDBB4}"/>
    <cellStyle name="Normal 4 2 3 3" xfId="839" xr:uid="{57D13CA7-5314-4B0B-8C93-571E45B7D2B7}"/>
    <cellStyle name="Normal 4 2 3 3 10" xfId="10506" xr:uid="{FC786642-C38D-4374-A859-569E39864ADE}"/>
    <cellStyle name="Normal 4 2 3 3 11" xfId="12125" xr:uid="{D39CF864-2575-4D23-9A7B-872644086EDF}"/>
    <cellStyle name="Normal 4 2 3 3 12" xfId="14378" xr:uid="{F71541D4-26EC-47FE-AAAE-BE341ACEE2FB}"/>
    <cellStyle name="Normal 4 2 3 3 13" xfId="16631" xr:uid="{84A230F4-D7F0-4AFF-B7D1-42E60DA66517}"/>
    <cellStyle name="Normal 4 2 3 3 2" xfId="1968" xr:uid="{E85D7851-1F88-4DF7-AF9C-EBEDF19C9485}"/>
    <cellStyle name="Normal 4 2 3 3 2 2" xfId="13252" xr:uid="{C5D13BC6-5FA8-4E3C-973D-52CBEEDDE333}"/>
    <cellStyle name="Normal 4 2 3 3 2 3" xfId="15505" xr:uid="{1C8CC291-4CCE-49B2-BF5E-7DE0C562F2A7}"/>
    <cellStyle name="Normal 4 2 3 3 2 4" xfId="17758" xr:uid="{25077D18-F35A-424C-A802-421D4FC48575}"/>
    <cellStyle name="Normal 4 2 3 3 3" xfId="3094" xr:uid="{67D65D99-35D5-4319-A256-4D46803ED8F6}"/>
    <cellStyle name="Normal 4 2 3 3 4" xfId="4220" xr:uid="{C38AFAEA-7FCB-412D-9BB4-98F3636D62F3}"/>
    <cellStyle name="Normal 4 2 3 3 5" xfId="5346" xr:uid="{D379877B-E597-4E26-A108-5A0CEF0744E6}"/>
    <cellStyle name="Normal 4 2 3 3 6" xfId="6473" xr:uid="{8306CB7E-2868-453D-B796-3AEE383F073A}"/>
    <cellStyle name="Normal 4 2 3 3 7" xfId="7608" xr:uid="{5A246E74-D172-4D8C-A03F-C47A0468DEAD}"/>
    <cellStyle name="Normal 4 2 3 3 8" xfId="8242" xr:uid="{13E46108-B410-4A02-8814-139D68368A51}"/>
    <cellStyle name="Normal 4 2 3 3 9" xfId="9379" xr:uid="{13EACEC4-A9FB-4219-8A64-3B497827D387}"/>
    <cellStyle name="Normal 4 2 3 4" xfId="840" xr:uid="{8613B1F8-DE06-467C-A1AA-E01506150650}"/>
    <cellStyle name="Normal 4 2 3 4 10" xfId="10505" xr:uid="{913A03ED-9D2F-4135-959D-855033684D6B}"/>
    <cellStyle name="Normal 4 2 3 4 11" xfId="12126" xr:uid="{D3BE3C39-0995-4E67-B72F-1EBC3DF9C3DC}"/>
    <cellStyle name="Normal 4 2 3 4 12" xfId="14379" xr:uid="{77BC987B-B46A-47A8-B956-DB8D9436F263}"/>
    <cellStyle name="Normal 4 2 3 4 13" xfId="16632" xr:uid="{E46E3A6D-70D7-4154-B27D-287C56563FB0}"/>
    <cellStyle name="Normal 4 2 3 4 2" xfId="1969" xr:uid="{E2875512-3855-43E9-82BB-998C23E4E1C9}"/>
    <cellStyle name="Normal 4 2 3 4 2 2" xfId="13253" xr:uid="{0B9AFE49-4C00-42FA-A8D9-ECA485283DE6}"/>
    <cellStyle name="Normal 4 2 3 4 2 3" xfId="15506" xr:uid="{49E49698-4045-4FCB-9C65-FB642F28C6A0}"/>
    <cellStyle name="Normal 4 2 3 4 2 4" xfId="17759" xr:uid="{2864BA42-CEB7-449C-96C5-202A39CFE576}"/>
    <cellStyle name="Normal 4 2 3 4 3" xfId="3095" xr:uid="{D00C37CA-2EAC-4E6B-936C-39F3A1126461}"/>
    <cellStyle name="Normal 4 2 3 4 4" xfId="4221" xr:uid="{7D9AEA06-9C7C-494D-A876-9D8B65B0A1C0}"/>
    <cellStyle name="Normal 4 2 3 4 5" xfId="5347" xr:uid="{773F3ABC-833E-4DAA-9EAE-883D8DEC7FAB}"/>
    <cellStyle name="Normal 4 2 3 4 6" xfId="6474" xr:uid="{7623172B-7699-4205-9B2C-D4732B60EA1D}"/>
    <cellStyle name="Normal 4 2 3 4 7" xfId="7609" xr:uid="{52916E9E-2C3C-4034-9DC0-47DB772D095C}"/>
    <cellStyle name="Normal 4 2 3 4 8" xfId="8241" xr:uid="{8D87B120-C976-4882-B231-F3C99B750F46}"/>
    <cellStyle name="Normal 4 2 3 4 9" xfId="9378" xr:uid="{FA3CBB3F-DAF9-4F95-8E3D-3D7F1ACA88EB}"/>
    <cellStyle name="Normal 4 2 3 5" xfId="1964" xr:uid="{5D8DB528-86B8-4A53-A647-2DDC7E18EF67}"/>
    <cellStyle name="Normal 4 2 3 5 2" xfId="13248" xr:uid="{AB411C5A-BE21-408C-9AD7-502838060BAF}"/>
    <cellStyle name="Normal 4 2 3 5 3" xfId="15501" xr:uid="{E89D050C-9647-4082-B817-A8DF63B4D464}"/>
    <cellStyle name="Normal 4 2 3 5 4" xfId="17754" xr:uid="{17CFD92C-E141-4B41-93EC-9A2E28DAAB5A}"/>
    <cellStyle name="Normal 4 2 3 6" xfId="3090" xr:uid="{B5DD7198-FCB8-4231-AF81-146C75F79B01}"/>
    <cellStyle name="Normal 4 2 3 7" xfId="4216" xr:uid="{866F0033-4DCA-4079-AE2B-1BCD88590251}"/>
    <cellStyle name="Normal 4 2 3 8" xfId="5342" xr:uid="{8A2472F4-40A7-4E59-B78A-E186FD2529AA}"/>
    <cellStyle name="Normal 4 2 3 9" xfId="6469" xr:uid="{6873EE77-3CC9-4D50-A88D-91757041E4D4}"/>
    <cellStyle name="Normal 4 2 4" xfId="841" xr:uid="{63D5F6FE-1F73-4071-A9AD-9AFFFE4A806A}"/>
    <cellStyle name="Normal 4 2 4 10" xfId="8240" xr:uid="{F18F394B-EF59-4EEB-9D18-3E0BFB98120F}"/>
    <cellStyle name="Normal 4 2 4 11" xfId="9377" xr:uid="{82D861D3-33F9-4AB6-A7E5-87800BF6E74A}"/>
    <cellStyle name="Normal 4 2 4 12" xfId="10504" xr:uid="{5D8E6170-11FB-481E-A61C-32B16DE35EB4}"/>
    <cellStyle name="Normal 4 2 4 13" xfId="12127" xr:uid="{A3D09D21-546F-4AF8-B0D8-04299095915F}"/>
    <cellStyle name="Normal 4 2 4 14" xfId="14380" xr:uid="{CD4F943F-3C7F-4DEB-8F16-9B086B3F343E}"/>
    <cellStyle name="Normal 4 2 4 15" xfId="16633" xr:uid="{A1336CCC-AD8F-4175-9CE4-0B40CD8A0ECB}"/>
    <cellStyle name="Normal 4 2 4 2" xfId="842" xr:uid="{12ADF2D7-94B7-4D38-A14C-5F1B505A796C}"/>
    <cellStyle name="Normal 4 2 4 2 10" xfId="10503" xr:uid="{556B5A25-C7BD-42B0-8229-F27CF0760647}"/>
    <cellStyle name="Normal 4 2 4 2 11" xfId="12128" xr:uid="{A9F7B587-9973-4503-BC6C-95212B7E8AEB}"/>
    <cellStyle name="Normal 4 2 4 2 12" xfId="14381" xr:uid="{597BC176-0134-4E25-85E5-9BF23178AEC3}"/>
    <cellStyle name="Normal 4 2 4 2 13" xfId="16634" xr:uid="{DE9E7B8D-5DD1-4CF5-A81C-A08C9A0F006A}"/>
    <cellStyle name="Normal 4 2 4 2 2" xfId="1971" xr:uid="{A948E21E-8DC0-4803-A50A-B01698BA2812}"/>
    <cellStyle name="Normal 4 2 4 2 2 2" xfId="13255" xr:uid="{EC1289C1-DB0E-4339-9313-64086F82AF97}"/>
    <cellStyle name="Normal 4 2 4 2 2 3" xfId="15508" xr:uid="{6CDFAA7F-9EBC-4286-A76C-EA3BD92AEEC5}"/>
    <cellStyle name="Normal 4 2 4 2 2 4" xfId="17761" xr:uid="{A5564AFE-90E5-48C3-BF1B-8DA10DAAA68B}"/>
    <cellStyle name="Normal 4 2 4 2 3" xfId="3097" xr:uid="{FAA1DA3B-A62F-406F-8011-7C424EE06B18}"/>
    <cellStyle name="Normal 4 2 4 2 4" xfId="4223" xr:uid="{86B9D72A-4BF2-42EE-AF97-302B97551B51}"/>
    <cellStyle name="Normal 4 2 4 2 5" xfId="5349" xr:uid="{3853DC9A-8879-4658-933B-D90EA2B4E0A7}"/>
    <cellStyle name="Normal 4 2 4 2 6" xfId="6476" xr:uid="{34F56A4E-56E2-41DA-97E3-B348FCFFE12C}"/>
    <cellStyle name="Normal 4 2 4 2 7" xfId="7611" xr:uid="{9BACBAE2-5E54-4C21-BBC0-EE321AB118B5}"/>
    <cellStyle name="Normal 4 2 4 2 8" xfId="8239" xr:uid="{FA1F61E3-873B-4535-8AE5-89C89804E8DF}"/>
    <cellStyle name="Normal 4 2 4 2 9" xfId="9376" xr:uid="{15F8C015-BCDE-48E1-904C-6327EBD3DAB8}"/>
    <cellStyle name="Normal 4 2 4 3" xfId="843" xr:uid="{06B5EBA4-C1CA-46D7-A05E-C7FB7CAF63FF}"/>
    <cellStyle name="Normal 4 2 4 3 10" xfId="10502" xr:uid="{180E271C-9830-481A-A1FF-37271724E0DF}"/>
    <cellStyle name="Normal 4 2 4 3 11" xfId="12129" xr:uid="{DC6101BD-8952-4723-9E7D-75C88F68774B}"/>
    <cellStyle name="Normal 4 2 4 3 12" xfId="14382" xr:uid="{FA2F608C-8DEF-4BA4-B1A5-CC2FCD64276F}"/>
    <cellStyle name="Normal 4 2 4 3 13" xfId="16635" xr:uid="{E8C9993E-D978-4B5D-8181-B87B82C18606}"/>
    <cellStyle name="Normal 4 2 4 3 2" xfId="1972" xr:uid="{89BFDD1B-DFD0-4DD4-9183-E26422EC1F87}"/>
    <cellStyle name="Normal 4 2 4 3 2 2" xfId="13256" xr:uid="{1474B671-1BB7-4FD4-B623-DC6C2FB1F8AC}"/>
    <cellStyle name="Normal 4 2 4 3 2 3" xfId="15509" xr:uid="{45DBA9FD-9787-4D53-B1E3-067BA7D3B82F}"/>
    <cellStyle name="Normal 4 2 4 3 2 4" xfId="17762" xr:uid="{B5B8D6A3-366C-4F98-A660-F5D4D21E2557}"/>
    <cellStyle name="Normal 4 2 4 3 3" xfId="3098" xr:uid="{E86BE097-DA63-461B-AB23-9F863DA19F0B}"/>
    <cellStyle name="Normal 4 2 4 3 4" xfId="4224" xr:uid="{3F08E671-F27E-482F-917D-D75FA1249B59}"/>
    <cellStyle name="Normal 4 2 4 3 5" xfId="5350" xr:uid="{39A46AA4-EA2C-4E3C-A694-B4E39BA8DE67}"/>
    <cellStyle name="Normal 4 2 4 3 6" xfId="6477" xr:uid="{5E2A2769-7E51-45BC-8790-0940F0FCCCB6}"/>
    <cellStyle name="Normal 4 2 4 3 7" xfId="7612" xr:uid="{A8A5FBFC-E1E7-468C-A4C9-218ACC4412AA}"/>
    <cellStyle name="Normal 4 2 4 3 8" xfId="8238" xr:uid="{D004D07B-A6D0-4165-8528-66057678B95C}"/>
    <cellStyle name="Normal 4 2 4 3 9" xfId="9375" xr:uid="{BC7AA37B-9F51-48A6-BD61-F5D474451FA1}"/>
    <cellStyle name="Normal 4 2 4 4" xfId="1970" xr:uid="{24AEB2BC-57D0-4AB2-9C7F-C02AF5B1A133}"/>
    <cellStyle name="Normal 4 2 4 4 2" xfId="13254" xr:uid="{4CD84FBA-3E2C-4257-B3A9-965FC1D4E56E}"/>
    <cellStyle name="Normal 4 2 4 4 3" xfId="15507" xr:uid="{6AC7112C-576D-4FDD-914C-FA0BA30A7B6A}"/>
    <cellStyle name="Normal 4 2 4 4 4" xfId="17760" xr:uid="{0016BBD1-0C2A-419D-96D3-37D8D24F08FE}"/>
    <cellStyle name="Normal 4 2 4 5" xfId="3096" xr:uid="{29C2B114-8063-432B-BE7C-980FC16043A9}"/>
    <cellStyle name="Normal 4 2 4 6" xfId="4222" xr:uid="{CE946068-6DB8-47B9-BCB2-8458E4F470D2}"/>
    <cellStyle name="Normal 4 2 4 7" xfId="5348" xr:uid="{79D00E7C-005D-4A96-8A44-173C8C5F4B97}"/>
    <cellStyle name="Normal 4 2 4 8" xfId="6475" xr:uid="{FE538159-4A24-421F-9851-DBE1319967DE}"/>
    <cellStyle name="Normal 4 2 4 9" xfId="7610" xr:uid="{F74CBB23-B499-4412-83D2-A9576FA03D41}"/>
    <cellStyle name="Normal 4 2 5" xfId="844" xr:uid="{A8D668DB-6AE4-4223-8EB3-B6BFDDBACFA6}"/>
    <cellStyle name="Normal 4 2 5 10" xfId="10501" xr:uid="{3DE6B324-9D46-43C5-B114-5C2FBE7630AE}"/>
    <cellStyle name="Normal 4 2 5 11" xfId="12130" xr:uid="{B0EBC1DD-AFB6-4870-8ACC-9AC820747B63}"/>
    <cellStyle name="Normal 4 2 5 12" xfId="14383" xr:uid="{B5C55BBC-853D-4AAD-81C6-C39FEA29DD22}"/>
    <cellStyle name="Normal 4 2 5 13" xfId="16636" xr:uid="{DA338F44-5A9F-4F67-AB7D-629A09BFEA53}"/>
    <cellStyle name="Normal 4 2 5 2" xfId="1973" xr:uid="{89379068-0091-4B6A-998C-4AEB87974049}"/>
    <cellStyle name="Normal 4 2 5 2 2" xfId="13257" xr:uid="{2779EC50-2C41-412D-9773-8402C02F4F71}"/>
    <cellStyle name="Normal 4 2 5 2 3" xfId="15510" xr:uid="{1FFAD132-6466-4598-A675-0D771852A29F}"/>
    <cellStyle name="Normal 4 2 5 2 4" xfId="17763" xr:uid="{37D0F914-2ABF-4F57-95AE-71FB08814B1E}"/>
    <cellStyle name="Normal 4 2 5 3" xfId="3099" xr:uid="{477152FB-A462-4029-8C1D-7C7BE0225D89}"/>
    <cellStyle name="Normal 4 2 5 4" xfId="4225" xr:uid="{3E31315E-C039-4A63-B661-BD1D75511D61}"/>
    <cellStyle name="Normal 4 2 5 5" xfId="5351" xr:uid="{0CE4EF37-F17F-4371-A4FF-084C71E05513}"/>
    <cellStyle name="Normal 4 2 5 6" xfId="6478" xr:uid="{B2E5056D-729A-48B3-A206-76160E902F7E}"/>
    <cellStyle name="Normal 4 2 5 7" xfId="7613" xr:uid="{763D3E8E-FB5E-4B1D-9A76-1A71995FD829}"/>
    <cellStyle name="Normal 4 2 5 8" xfId="8237" xr:uid="{22652BAC-2E03-4FDE-AD44-A5792D1ACEA2}"/>
    <cellStyle name="Normal 4 2 5 9" xfId="9374" xr:uid="{90A6C67F-FE03-4B1F-B7BB-DCD86E6C7E8D}"/>
    <cellStyle name="Normal 4 2 6" xfId="845" xr:uid="{6494EFA6-9AA3-4380-9F9F-478A2FA67E1A}"/>
    <cellStyle name="Normal 4 2 6 10" xfId="10500" xr:uid="{36F21F4C-AA17-4ED6-A969-ED862123A9BF}"/>
    <cellStyle name="Normal 4 2 6 11" xfId="12131" xr:uid="{D6F20A58-C7E8-43B3-A79E-FBCFEEB8CF61}"/>
    <cellStyle name="Normal 4 2 6 12" xfId="14384" xr:uid="{899A8F25-437A-4E88-845E-818786889968}"/>
    <cellStyle name="Normal 4 2 6 13" xfId="16637" xr:uid="{D578726E-9744-4935-BF97-EC870DA2D82B}"/>
    <cellStyle name="Normal 4 2 6 2" xfId="1974" xr:uid="{9A95FABE-6914-42C2-8807-2F7D43ABB8A5}"/>
    <cellStyle name="Normal 4 2 6 2 2" xfId="13258" xr:uid="{7B81D72F-10FE-4F80-B75C-151C09853806}"/>
    <cellStyle name="Normal 4 2 6 2 3" xfId="15511" xr:uid="{827B3614-D46C-4B30-BAC2-D8D09DD28DC3}"/>
    <cellStyle name="Normal 4 2 6 2 4" xfId="17764" xr:uid="{085B3E1A-FD01-474F-8496-66CD21001CE5}"/>
    <cellStyle name="Normal 4 2 6 3" xfId="3100" xr:uid="{639AD4E6-3E2C-448F-AFCE-8FFB739F092C}"/>
    <cellStyle name="Normal 4 2 6 4" xfId="4226" xr:uid="{878FF683-C469-4B4A-8A5B-03ABCAEC1B26}"/>
    <cellStyle name="Normal 4 2 6 5" xfId="5352" xr:uid="{B7BB697F-20EE-494F-BCF7-6C9C8574D969}"/>
    <cellStyle name="Normal 4 2 6 6" xfId="6479" xr:uid="{537E3206-21FA-4D5C-BB35-36FFFC5DD23E}"/>
    <cellStyle name="Normal 4 2 6 7" xfId="7614" xr:uid="{08FBB793-267E-4E97-B936-B765607A9695}"/>
    <cellStyle name="Normal 4 2 6 8" xfId="8236" xr:uid="{7CBFFAF4-B833-44E9-ACC7-1283029C5770}"/>
    <cellStyle name="Normal 4 2 6 9" xfId="9373" xr:uid="{01C10679-E8A4-4CDF-A6A6-9E8100F294E4}"/>
    <cellStyle name="Normal 4 2 7" xfId="822" xr:uid="{8BDC9179-C261-477C-8963-1E3E65BAF2B2}"/>
    <cellStyle name="Normal 4 2 7 2" xfId="13235" xr:uid="{D63D90D9-65CD-4DE8-9A3D-9F916A42A7ED}"/>
    <cellStyle name="Normal 4 2 7 3" xfId="15488" xr:uid="{4FBA5604-DED1-402B-8AEB-CBE838F2C176}"/>
    <cellStyle name="Normal 4 2 7 4" xfId="17741" xr:uid="{CECFF6BC-A33E-44B8-A246-CA056BC4EBFB}"/>
    <cellStyle name="Normal 4 2 8" xfId="1951" xr:uid="{9E526EBE-EDC0-4711-B51A-5819D6F22B39}"/>
    <cellStyle name="Normal 4 2 9" xfId="3077" xr:uid="{12384E47-9993-4597-B439-D19BABC40AD6}"/>
    <cellStyle name="Normal 4 20" xfId="16613" xr:uid="{3EF0D58F-532A-44CE-9764-3DE93D4E9415}"/>
    <cellStyle name="Normal 4 3" xfId="846" xr:uid="{6B6E5788-4348-4AEA-84D0-4BA5079BA006}"/>
    <cellStyle name="Normal 4 3 10" xfId="6480" xr:uid="{3B9C52B0-4B82-491E-BDE4-6951F05D59DC}"/>
    <cellStyle name="Normal 4 3 11" xfId="7615" xr:uid="{9FA217D2-DB61-4C63-A2FC-E552E727DC61}"/>
    <cellStyle name="Normal 4 3 12" xfId="8235" xr:uid="{2531270F-F824-4069-BCD6-071EA889C268}"/>
    <cellStyle name="Normal 4 3 13" xfId="9372" xr:uid="{C9BE7631-61C8-4BD4-941E-44C301443345}"/>
    <cellStyle name="Normal 4 3 14" xfId="10499" xr:uid="{DAB11637-4D63-4632-A400-3146AED0A24A}"/>
    <cellStyle name="Normal 4 3 15" xfId="12132" xr:uid="{2CC94DE1-5F61-465B-AA00-58855958505B}"/>
    <cellStyle name="Normal 4 3 16" xfId="14385" xr:uid="{958512E8-ADF4-4FBF-9D75-9544B133D2C0}"/>
    <cellStyle name="Normal 4 3 17" xfId="16638" xr:uid="{75963D8B-BF48-46CC-8958-F79CB3A52CCE}"/>
    <cellStyle name="Normal 4 3 2" xfId="847" xr:uid="{04E733A4-EB37-4AA7-AF8C-3D2355CD2AF7}"/>
    <cellStyle name="Normal 4 3 2 10" xfId="7616" xr:uid="{6E54A2BD-1D6B-44AA-8A12-21F237726A90}"/>
    <cellStyle name="Normal 4 3 2 11" xfId="8234" xr:uid="{DA513CD9-C92C-41E7-AAD1-F5E1DA40B40A}"/>
    <cellStyle name="Normal 4 3 2 12" xfId="9371" xr:uid="{4422B38E-368D-4729-88C8-ACD7DC6F4D26}"/>
    <cellStyle name="Normal 4 3 2 13" xfId="10498" xr:uid="{46153531-7F6A-4812-B7E8-6916E97674C9}"/>
    <cellStyle name="Normal 4 3 2 14" xfId="12133" xr:uid="{BA390F15-9CF6-4F59-A6E1-7F7CB357F4D0}"/>
    <cellStyle name="Normal 4 3 2 15" xfId="14386" xr:uid="{C12D0EEA-DD9B-4408-B8EC-BEF7FE643C3F}"/>
    <cellStyle name="Normal 4 3 2 16" xfId="16639" xr:uid="{9DE2D66C-5107-494B-8B20-6EB721EF4FAF}"/>
    <cellStyle name="Normal 4 3 2 2" xfId="848" xr:uid="{90335906-7533-44CA-BD0B-6D0409A9F363}"/>
    <cellStyle name="Normal 4 3 2 2 10" xfId="8233" xr:uid="{EAA20A0C-F499-4801-B359-7E8A0B3624A4}"/>
    <cellStyle name="Normal 4 3 2 2 11" xfId="9370" xr:uid="{A0D4DA1E-70B1-41AB-8BC3-34F760E38F79}"/>
    <cellStyle name="Normal 4 3 2 2 12" xfId="10497" xr:uid="{4261655D-19E2-488F-A0D0-004BF30C87B9}"/>
    <cellStyle name="Normal 4 3 2 2 13" xfId="12134" xr:uid="{8DEC7BF1-28B5-4184-8ECB-8356735ED6B4}"/>
    <cellStyle name="Normal 4 3 2 2 14" xfId="14387" xr:uid="{B2DE2D79-67E4-4B5C-8179-322A306F0D2D}"/>
    <cellStyle name="Normal 4 3 2 2 15" xfId="16640" xr:uid="{B6025887-518D-4AA9-9E37-B69646D18A47}"/>
    <cellStyle name="Normal 4 3 2 2 2" xfId="849" xr:uid="{0F1BC7F4-C3FB-4ACA-A80F-F53CC4083A15}"/>
    <cellStyle name="Normal 4 3 2 2 2 10" xfId="10496" xr:uid="{2EA113AE-4AFE-4288-8469-230760B95898}"/>
    <cellStyle name="Normal 4 3 2 2 2 11" xfId="12135" xr:uid="{556D4863-3826-4DEE-BD48-A0E06CF5CDEB}"/>
    <cellStyle name="Normal 4 3 2 2 2 12" xfId="14388" xr:uid="{DA5B8FAD-A8DB-43A0-80F0-D02FC6F97288}"/>
    <cellStyle name="Normal 4 3 2 2 2 13" xfId="16641" xr:uid="{82B69DCD-87D9-41B5-BC3F-9479FF04FBC6}"/>
    <cellStyle name="Normal 4 3 2 2 2 2" xfId="1978" xr:uid="{A7A90139-7E0E-406B-BB0D-02BB99BBE3FC}"/>
    <cellStyle name="Normal 4 3 2 2 2 2 2" xfId="13262" xr:uid="{E5A34403-E091-4094-8348-40631489D65F}"/>
    <cellStyle name="Normal 4 3 2 2 2 2 3" xfId="15515" xr:uid="{2702B68D-2D85-49E1-A254-7933DF03D300}"/>
    <cellStyle name="Normal 4 3 2 2 2 2 4" xfId="17768" xr:uid="{5A89AE1D-1441-4691-967D-5EE6366BD581}"/>
    <cellStyle name="Normal 4 3 2 2 2 3" xfId="3104" xr:uid="{BBCA32D0-37C3-4EB0-94D4-5271FB3A443A}"/>
    <cellStyle name="Normal 4 3 2 2 2 4" xfId="4230" xr:uid="{0CF3DCD5-D5A4-48B3-A038-28D8499A63B1}"/>
    <cellStyle name="Normal 4 3 2 2 2 5" xfId="5356" xr:uid="{9CC72C2C-9F05-48FE-B0F1-00E1FF79CB61}"/>
    <cellStyle name="Normal 4 3 2 2 2 6" xfId="6483" xr:uid="{5F279AD6-A3FF-4B72-BAA4-6CABD835B4FC}"/>
    <cellStyle name="Normal 4 3 2 2 2 7" xfId="7618" xr:uid="{F4F467A2-2E3B-42A4-95EA-00AE67D7197C}"/>
    <cellStyle name="Normal 4 3 2 2 2 8" xfId="8232" xr:uid="{5BC35A75-1CB2-4A6B-A801-0334891F1A69}"/>
    <cellStyle name="Normal 4 3 2 2 2 9" xfId="9369" xr:uid="{A40834EA-C852-467A-8D47-235DD995F519}"/>
    <cellStyle name="Normal 4 3 2 2 3" xfId="850" xr:uid="{24BE4C05-AAA9-4AAF-8FAA-B975EF58BD05}"/>
    <cellStyle name="Normal 4 3 2 2 3 10" xfId="10495" xr:uid="{B3480F2A-E56A-40D1-A282-0DC1CC3ED9F4}"/>
    <cellStyle name="Normal 4 3 2 2 3 11" xfId="12136" xr:uid="{8D9B71FA-44B6-4E6E-AA78-BEFE98B9B5BF}"/>
    <cellStyle name="Normal 4 3 2 2 3 12" xfId="14389" xr:uid="{328B5B91-D9AE-4B53-BA15-60B42F3A96BB}"/>
    <cellStyle name="Normal 4 3 2 2 3 13" xfId="16642" xr:uid="{DDF922F5-4FC5-4B7B-9208-726FA3C0BF93}"/>
    <cellStyle name="Normal 4 3 2 2 3 2" xfId="1979" xr:uid="{9DAF9845-76DE-40A9-9594-A4493D3889E7}"/>
    <cellStyle name="Normal 4 3 2 2 3 2 2" xfId="13263" xr:uid="{996BDF28-A534-4CF9-A981-DF3F6572DD25}"/>
    <cellStyle name="Normal 4 3 2 2 3 2 3" xfId="15516" xr:uid="{AEDF284C-1EEB-4236-AD62-B4397F0609AE}"/>
    <cellStyle name="Normal 4 3 2 2 3 2 4" xfId="17769" xr:uid="{2BA0A3C5-86CE-40DE-ADB9-B1CAC237B27E}"/>
    <cellStyle name="Normal 4 3 2 2 3 3" xfId="3105" xr:uid="{32DE6B7E-AA4F-4131-A225-A38F20229C34}"/>
    <cellStyle name="Normal 4 3 2 2 3 4" xfId="4231" xr:uid="{9BCB1AEA-6E57-4FE0-8F75-19D4C2893CCE}"/>
    <cellStyle name="Normal 4 3 2 2 3 5" xfId="5357" xr:uid="{EF730D0D-53FF-4C66-8190-BF51E147CFCC}"/>
    <cellStyle name="Normal 4 3 2 2 3 6" xfId="6484" xr:uid="{B5767A44-43BE-4E75-918F-9D7A88BD35F0}"/>
    <cellStyle name="Normal 4 3 2 2 3 7" xfId="7619" xr:uid="{BA07DD43-7560-4C3B-B2D7-45A91ED4D8E3}"/>
    <cellStyle name="Normal 4 3 2 2 3 8" xfId="8231" xr:uid="{3D708C4B-E02C-4254-94E9-C7F477CBC62A}"/>
    <cellStyle name="Normal 4 3 2 2 3 9" xfId="9368" xr:uid="{DD2A6F12-6434-41B0-9860-A088E6DE7406}"/>
    <cellStyle name="Normal 4 3 2 2 4" xfId="1977" xr:uid="{40689B55-6620-4A35-878C-1963D24ADC53}"/>
    <cellStyle name="Normal 4 3 2 2 4 2" xfId="13261" xr:uid="{74154664-A4C9-4151-A8EA-23F07369D5F0}"/>
    <cellStyle name="Normal 4 3 2 2 4 3" xfId="15514" xr:uid="{9BFFD38B-6490-423B-B0CC-F1AA837362AD}"/>
    <cellStyle name="Normal 4 3 2 2 4 4" xfId="17767" xr:uid="{E2BA1802-7BA9-47B4-91AD-46538C135CD0}"/>
    <cellStyle name="Normal 4 3 2 2 5" xfId="3103" xr:uid="{8E9C3E8C-A1F6-4000-BEB0-60EC3E616C0F}"/>
    <cellStyle name="Normal 4 3 2 2 6" xfId="4229" xr:uid="{F347ECF4-0767-40CE-A410-FF1337F45C93}"/>
    <cellStyle name="Normal 4 3 2 2 7" xfId="5355" xr:uid="{963C678D-7D96-444A-80B2-DF13BB15074C}"/>
    <cellStyle name="Normal 4 3 2 2 8" xfId="6482" xr:uid="{DC7FF3BA-542F-47C9-8A2C-C5D536B4D5D0}"/>
    <cellStyle name="Normal 4 3 2 2 9" xfId="7617" xr:uid="{7ECB90C3-68CC-468E-A149-CEFC09C6037B}"/>
    <cellStyle name="Normal 4 3 2 3" xfId="851" xr:uid="{50EEE088-46D2-4DF5-B6B8-1547EA3D55D8}"/>
    <cellStyle name="Normal 4 3 2 3 10" xfId="10494" xr:uid="{24B40824-81DF-4AA4-9040-8F32340D3E9A}"/>
    <cellStyle name="Normal 4 3 2 3 11" xfId="12137" xr:uid="{EE111F21-5897-4EF1-8182-1DEA69D8A515}"/>
    <cellStyle name="Normal 4 3 2 3 12" xfId="14390" xr:uid="{78A42DAA-45FB-4BE2-A519-5E1164A8D785}"/>
    <cellStyle name="Normal 4 3 2 3 13" xfId="16643" xr:uid="{5166BA35-C2D9-4DE2-871B-0EEE3E771BDF}"/>
    <cellStyle name="Normal 4 3 2 3 2" xfId="1980" xr:uid="{6DCF0ABD-E9C7-408E-B7A9-4CBE9ACE3E44}"/>
    <cellStyle name="Normal 4 3 2 3 2 2" xfId="13264" xr:uid="{C03C1A41-97B8-4285-80F7-BD254788E8BD}"/>
    <cellStyle name="Normal 4 3 2 3 2 3" xfId="15517" xr:uid="{D1F8D467-92C6-42A8-AA28-7A3C87F6513C}"/>
    <cellStyle name="Normal 4 3 2 3 2 4" xfId="17770" xr:uid="{82CB0DD2-B04F-46ED-B72D-92FF7D15CE30}"/>
    <cellStyle name="Normal 4 3 2 3 3" xfId="3106" xr:uid="{A6E637E7-6A0D-459F-9850-C1C4A26647F9}"/>
    <cellStyle name="Normal 4 3 2 3 4" xfId="4232" xr:uid="{3DF625E5-0D08-4163-87A0-06DBF050032C}"/>
    <cellStyle name="Normal 4 3 2 3 5" xfId="5358" xr:uid="{D7DAB193-6AD6-40FA-9667-D5D333B5BCE8}"/>
    <cellStyle name="Normal 4 3 2 3 6" xfId="6485" xr:uid="{4980F6C1-CA3E-442D-8835-1CDC7DED581D}"/>
    <cellStyle name="Normal 4 3 2 3 7" xfId="7620" xr:uid="{D61BFDBC-7CE3-46AB-8FBA-0CCCB4FE6180}"/>
    <cellStyle name="Normal 4 3 2 3 8" xfId="8230" xr:uid="{F81F7B2D-837F-439A-998B-13A066A96721}"/>
    <cellStyle name="Normal 4 3 2 3 9" xfId="9367" xr:uid="{96A45016-185E-498C-9B78-53BB89BBB490}"/>
    <cellStyle name="Normal 4 3 2 4" xfId="852" xr:uid="{8397A5E9-47E6-42B3-8E16-891F07AEFBB5}"/>
    <cellStyle name="Normal 4 3 2 4 10" xfId="10493" xr:uid="{A4639BB0-EA3D-4AF5-9FFD-F40A0123FDA3}"/>
    <cellStyle name="Normal 4 3 2 4 11" xfId="12138" xr:uid="{46D822EB-D3D5-4C6E-A3EC-01A0041D41A9}"/>
    <cellStyle name="Normal 4 3 2 4 12" xfId="14391" xr:uid="{B89247E4-F042-48AA-8896-B0102E6BA96A}"/>
    <cellStyle name="Normal 4 3 2 4 13" xfId="16644" xr:uid="{3D5CF7B1-EC92-42C7-8D19-13B375CC9CEF}"/>
    <cellStyle name="Normal 4 3 2 4 2" xfId="1981" xr:uid="{47D3C776-23E1-4841-B318-3C3ECE3C58D9}"/>
    <cellStyle name="Normal 4 3 2 4 2 2" xfId="13265" xr:uid="{8E724B39-74AF-4BEE-B4F0-31612B2C812B}"/>
    <cellStyle name="Normal 4 3 2 4 2 3" xfId="15518" xr:uid="{400114DB-BB88-4C0A-AF61-2E035966DE5D}"/>
    <cellStyle name="Normal 4 3 2 4 2 4" xfId="17771" xr:uid="{739DCD5C-28D8-41A1-9071-94D81A26A5C8}"/>
    <cellStyle name="Normal 4 3 2 4 3" xfId="3107" xr:uid="{75F0EE9D-F944-4730-9C70-69B92A1DC83A}"/>
    <cellStyle name="Normal 4 3 2 4 4" xfId="4233" xr:uid="{4FF7B621-1344-4060-8466-EC3B1B836A19}"/>
    <cellStyle name="Normal 4 3 2 4 5" xfId="5359" xr:uid="{9605DB12-C100-4A23-BAE9-7E52C20515BE}"/>
    <cellStyle name="Normal 4 3 2 4 6" xfId="6486" xr:uid="{C29BE24F-612F-4FBE-BDCB-DB924F28B1E0}"/>
    <cellStyle name="Normal 4 3 2 4 7" xfId="7621" xr:uid="{D1083F60-7D53-49DF-A096-B85C6FAA12EB}"/>
    <cellStyle name="Normal 4 3 2 4 8" xfId="8229" xr:uid="{F1B9E858-A52B-4BE0-A976-A154A4D6322E}"/>
    <cellStyle name="Normal 4 3 2 4 9" xfId="9366" xr:uid="{70F5136C-CD2D-41ED-B70A-D90A94E98EC8}"/>
    <cellStyle name="Normal 4 3 2 5" xfId="1976" xr:uid="{B1F21255-9DD6-48BF-BA23-6AD983797EE7}"/>
    <cellStyle name="Normal 4 3 2 5 2" xfId="13260" xr:uid="{A0495715-A827-42BA-8F4E-335C2294A951}"/>
    <cellStyle name="Normal 4 3 2 5 3" xfId="15513" xr:uid="{CE19F984-C156-4FA2-8369-3DBB7C4F9054}"/>
    <cellStyle name="Normal 4 3 2 5 4" xfId="17766" xr:uid="{1C3771A9-A091-4B96-A1E4-F1AF59404E96}"/>
    <cellStyle name="Normal 4 3 2 6" xfId="3102" xr:uid="{D6B7C585-C648-4F06-854D-6FDFA9F6CC6F}"/>
    <cellStyle name="Normal 4 3 2 7" xfId="4228" xr:uid="{55B46987-688D-42CB-B0DF-E1DDEC775DEC}"/>
    <cellStyle name="Normal 4 3 2 8" xfId="5354" xr:uid="{7B7698A3-3821-49A8-90DD-1372307380E5}"/>
    <cellStyle name="Normal 4 3 2 9" xfId="6481" xr:uid="{A2DD3B41-B4CE-497D-9E1A-D10C062DADEA}"/>
    <cellStyle name="Normal 4 3 3" xfId="853" xr:uid="{20E57B4A-980F-46D5-A34C-F3A79CA01B58}"/>
    <cellStyle name="Normal 4 3 3 10" xfId="8228" xr:uid="{53B4F115-58A8-4EAD-8136-07FB3CDD3150}"/>
    <cellStyle name="Normal 4 3 3 11" xfId="9365" xr:uid="{392CAAD1-259B-4441-8C3C-299043EF697D}"/>
    <cellStyle name="Normal 4 3 3 12" xfId="10492" xr:uid="{CB728286-AF2C-47BF-9575-8D73673E2477}"/>
    <cellStyle name="Normal 4 3 3 13" xfId="12139" xr:uid="{4397DAF7-57AE-4F83-AAFB-C235119BCD74}"/>
    <cellStyle name="Normal 4 3 3 14" xfId="14392" xr:uid="{7F1BC877-93BD-4751-B890-8ED3ACAA0D0C}"/>
    <cellStyle name="Normal 4 3 3 15" xfId="16645" xr:uid="{80C34116-D7A2-4DF0-ADD9-26F96C3CA96E}"/>
    <cellStyle name="Normal 4 3 3 2" xfId="854" xr:uid="{E9F5DE90-2BBF-4A7F-82E9-798BEA8564E3}"/>
    <cellStyle name="Normal 4 3 3 2 10" xfId="10491" xr:uid="{ABD42F5E-7410-44A3-B771-7766A3ED1F76}"/>
    <cellStyle name="Normal 4 3 3 2 11" xfId="12140" xr:uid="{3606533C-4C7A-4074-B137-B642FDD3131D}"/>
    <cellStyle name="Normal 4 3 3 2 12" xfId="14393" xr:uid="{C0D0D92D-B4DF-4F7E-BB91-BF7B11914D7A}"/>
    <cellStyle name="Normal 4 3 3 2 13" xfId="16646" xr:uid="{C9206CD1-874F-46D4-BF75-D2EA65A0A603}"/>
    <cellStyle name="Normal 4 3 3 2 2" xfId="1983" xr:uid="{FBDD91EF-1995-457C-9027-71715E013F90}"/>
    <cellStyle name="Normal 4 3 3 2 2 2" xfId="13267" xr:uid="{B1567CE3-939D-434C-A038-6E211328102B}"/>
    <cellStyle name="Normal 4 3 3 2 2 3" xfId="15520" xr:uid="{F6FBD653-187A-4F7F-A9DF-783C961018BE}"/>
    <cellStyle name="Normal 4 3 3 2 2 4" xfId="17773" xr:uid="{E9451D5C-A52E-44AA-A24B-4A19DF7DEC05}"/>
    <cellStyle name="Normal 4 3 3 2 3" xfId="3109" xr:uid="{61FBDE52-8612-4CF5-9372-887223E0B26C}"/>
    <cellStyle name="Normal 4 3 3 2 4" xfId="4235" xr:uid="{51F3856D-EB48-419C-9F53-DEE7122517E9}"/>
    <cellStyle name="Normal 4 3 3 2 5" xfId="5361" xr:uid="{307FAA4F-EB08-4D4F-821B-E8B9ABFD4BA0}"/>
    <cellStyle name="Normal 4 3 3 2 6" xfId="6488" xr:uid="{1215E7FA-27BF-4CD9-AEC2-08A80564C147}"/>
    <cellStyle name="Normal 4 3 3 2 7" xfId="7623" xr:uid="{73ADF782-5F94-46A5-811E-1830A16DEF12}"/>
    <cellStyle name="Normal 4 3 3 2 8" xfId="8227" xr:uid="{4D7DA58A-24ED-4568-94EB-21A57CCA49C7}"/>
    <cellStyle name="Normal 4 3 3 2 9" xfId="9364" xr:uid="{D10E78D4-AD48-4542-A536-E007B5190E46}"/>
    <cellStyle name="Normal 4 3 3 3" xfId="855" xr:uid="{5B21BDCE-07BF-413E-80CF-48735C54630F}"/>
    <cellStyle name="Normal 4 3 3 3 10" xfId="10490" xr:uid="{9B52E4C0-D5C4-40F3-ADBC-CD5283EAF18A}"/>
    <cellStyle name="Normal 4 3 3 3 11" xfId="12141" xr:uid="{314ADCF3-00A1-454E-9589-CF379EA1328B}"/>
    <cellStyle name="Normal 4 3 3 3 12" xfId="14394" xr:uid="{78480999-9075-4943-99F9-FBD9078ADC55}"/>
    <cellStyle name="Normal 4 3 3 3 13" xfId="16647" xr:uid="{D8660593-0144-47AB-B20B-F1757EED1546}"/>
    <cellStyle name="Normal 4 3 3 3 2" xfId="1984" xr:uid="{DBE41A7C-03F4-4E2A-B786-E6A6A5401E1F}"/>
    <cellStyle name="Normal 4 3 3 3 2 2" xfId="13268" xr:uid="{749F1AE2-9497-4116-834E-627FBDD5EA23}"/>
    <cellStyle name="Normal 4 3 3 3 2 3" xfId="15521" xr:uid="{6DDFC4EE-A6A3-47CF-81FD-F5C78FEBF86A}"/>
    <cellStyle name="Normal 4 3 3 3 2 4" xfId="17774" xr:uid="{1ACA611C-60E3-49E5-B340-EA062FDBD98F}"/>
    <cellStyle name="Normal 4 3 3 3 3" xfId="3110" xr:uid="{42174961-D179-40E2-8466-76B9836958DF}"/>
    <cellStyle name="Normal 4 3 3 3 4" xfId="4236" xr:uid="{622A0809-A197-4388-879C-CC1B49E21FFC}"/>
    <cellStyle name="Normal 4 3 3 3 5" xfId="5362" xr:uid="{029B1241-1322-406B-BDC4-A345B449EBD2}"/>
    <cellStyle name="Normal 4 3 3 3 6" xfId="6489" xr:uid="{B8B75168-C854-44C2-A0B1-BDD6A11C61BD}"/>
    <cellStyle name="Normal 4 3 3 3 7" xfId="7624" xr:uid="{022F9A8A-6504-4FB0-B90D-26252C7AF31B}"/>
    <cellStyle name="Normal 4 3 3 3 8" xfId="8226" xr:uid="{6A0CB993-511C-4C39-9F48-E64FA3EFB064}"/>
    <cellStyle name="Normal 4 3 3 3 9" xfId="9363" xr:uid="{0B0AD37F-516B-4716-9D11-B9C6162A8259}"/>
    <cellStyle name="Normal 4 3 3 4" xfId="1982" xr:uid="{D40A969A-53A9-49A8-BEAA-7213F05A1949}"/>
    <cellStyle name="Normal 4 3 3 4 2" xfId="13266" xr:uid="{B512FF3B-DB23-4B45-B726-40AB7105287D}"/>
    <cellStyle name="Normal 4 3 3 4 3" xfId="15519" xr:uid="{0D614B96-ED79-488D-B105-9CE57BA5C3B6}"/>
    <cellStyle name="Normal 4 3 3 4 4" xfId="17772" xr:uid="{3ACD49BA-2AB7-43C2-AD4B-4D88CD710D39}"/>
    <cellStyle name="Normal 4 3 3 5" xfId="3108" xr:uid="{8DCA44AE-394D-4B8E-88A2-B25364B41A4E}"/>
    <cellStyle name="Normal 4 3 3 6" xfId="4234" xr:uid="{EC86648C-3336-47B6-87FF-DACD84D98229}"/>
    <cellStyle name="Normal 4 3 3 7" xfId="5360" xr:uid="{CEDA98CA-5937-4342-8B16-9A585CB3EBC1}"/>
    <cellStyle name="Normal 4 3 3 8" xfId="6487" xr:uid="{0D7043E7-B169-4F6D-A36E-F654A174FE6A}"/>
    <cellStyle name="Normal 4 3 3 9" xfId="7622" xr:uid="{D41A892E-75D6-4D90-A08B-5F4AB354E240}"/>
    <cellStyle name="Normal 4 3 4" xfId="856" xr:uid="{4F595CF0-C107-48A1-A4CA-A4B5B9D75183}"/>
    <cellStyle name="Normal 4 3 4 10" xfId="10489" xr:uid="{A117718F-DB3F-4A17-9924-4078BC6C5E2D}"/>
    <cellStyle name="Normal 4 3 4 11" xfId="12142" xr:uid="{FDDC420B-F58D-426F-AF36-DE96DC8D4A04}"/>
    <cellStyle name="Normal 4 3 4 12" xfId="14395" xr:uid="{C37A2425-2B70-4392-926F-CE776B11C5F0}"/>
    <cellStyle name="Normal 4 3 4 13" xfId="16648" xr:uid="{98A465E6-7B88-4FB0-AACF-0DA34F7D9F91}"/>
    <cellStyle name="Normal 4 3 4 2" xfId="1985" xr:uid="{BD27E49B-AB36-4BD5-B69E-9C5B23864CF1}"/>
    <cellStyle name="Normal 4 3 4 2 2" xfId="13269" xr:uid="{927EF074-1765-420E-AC57-8947BF73BACB}"/>
    <cellStyle name="Normal 4 3 4 2 3" xfId="15522" xr:uid="{246BEBCF-F790-438B-8619-EF9E6B89CE11}"/>
    <cellStyle name="Normal 4 3 4 2 4" xfId="17775" xr:uid="{21489C91-7C89-48D8-AB07-D76AC9CF5353}"/>
    <cellStyle name="Normal 4 3 4 3" xfId="3111" xr:uid="{DCD2AC3B-40F5-4303-8CB6-360FFE44C2EE}"/>
    <cellStyle name="Normal 4 3 4 4" xfId="4237" xr:uid="{963345E1-2356-4443-8E67-DCD1C2B13F06}"/>
    <cellStyle name="Normal 4 3 4 5" xfId="5363" xr:uid="{E21753DD-E49E-4DB6-80E3-F189176527D0}"/>
    <cellStyle name="Normal 4 3 4 6" xfId="6490" xr:uid="{B0EFC868-7493-41CE-9FFD-0344C2E25882}"/>
    <cellStyle name="Normal 4 3 4 7" xfId="7625" xr:uid="{77B1B357-8A68-47AB-A7FD-F82419CDCA5A}"/>
    <cellStyle name="Normal 4 3 4 8" xfId="8225" xr:uid="{91566869-994E-4EFA-9D08-C7B63D233B9E}"/>
    <cellStyle name="Normal 4 3 4 9" xfId="9362" xr:uid="{EDC6EB88-611E-41B4-AD4F-D681BDB56677}"/>
    <cellStyle name="Normal 4 3 5" xfId="857" xr:uid="{69897AF6-690F-4A73-8F5D-9744C6EF3F4B}"/>
    <cellStyle name="Normal 4 3 5 10" xfId="10488" xr:uid="{9FAB6821-B9A9-4B86-A1A9-4AAF6D5DF4C8}"/>
    <cellStyle name="Normal 4 3 5 11" xfId="12143" xr:uid="{56B791C1-A589-4096-83AB-1A3438329433}"/>
    <cellStyle name="Normal 4 3 5 12" xfId="14396" xr:uid="{BE3A4D8F-3649-46AA-887E-8D2D348A0794}"/>
    <cellStyle name="Normal 4 3 5 13" xfId="16649" xr:uid="{F748A038-2731-4EA8-9FD6-66CFDEF20140}"/>
    <cellStyle name="Normal 4 3 5 2" xfId="1986" xr:uid="{1A8F863B-5B26-4470-9FCF-43D530C7B1F9}"/>
    <cellStyle name="Normal 4 3 5 2 2" xfId="13270" xr:uid="{00559C18-82B7-4269-8CF0-964AC22E3818}"/>
    <cellStyle name="Normal 4 3 5 2 3" xfId="15523" xr:uid="{A056FC4A-4806-4F97-B0FA-12D42AC91BAF}"/>
    <cellStyle name="Normal 4 3 5 2 4" xfId="17776" xr:uid="{777DAB3C-7B2B-4BDF-BE94-871D35B605B5}"/>
    <cellStyle name="Normal 4 3 5 3" xfId="3112" xr:uid="{C02EAA4C-CD06-4997-889A-63C9B5FE8B7F}"/>
    <cellStyle name="Normal 4 3 5 4" xfId="4238" xr:uid="{15D0740F-322D-45E9-B677-576541B4BFFC}"/>
    <cellStyle name="Normal 4 3 5 5" xfId="5364" xr:uid="{9A548B30-82D2-4E61-B284-FD80479D9098}"/>
    <cellStyle name="Normal 4 3 5 6" xfId="6491" xr:uid="{9D8BFD6B-923B-4858-917B-F2EBBC98F2A1}"/>
    <cellStyle name="Normal 4 3 5 7" xfId="7626" xr:uid="{77B98DBF-A8A7-4C65-967E-D769FDD95B7D}"/>
    <cellStyle name="Normal 4 3 5 8" xfId="8224" xr:uid="{0F670ADB-E3F9-4D1C-9F82-F0E099E7F906}"/>
    <cellStyle name="Normal 4 3 5 9" xfId="9361" xr:uid="{242A266D-750C-4EE9-BFD9-D06A1A25FED7}"/>
    <cellStyle name="Normal 4 3 6" xfId="1975" xr:uid="{6800F1BE-CB1D-4D28-8CEE-236FF9EA86E9}"/>
    <cellStyle name="Normal 4 3 6 2" xfId="13259" xr:uid="{AA887FE1-51DB-4B37-8F06-8A518B89D798}"/>
    <cellStyle name="Normal 4 3 6 3" xfId="15512" xr:uid="{C1EC12E3-758F-4DB3-BA3A-EB2D3BB7AADC}"/>
    <cellStyle name="Normal 4 3 6 4" xfId="17765" xr:uid="{6F7F2307-22E7-4680-8C30-026ACA17E2CC}"/>
    <cellStyle name="Normal 4 3 7" xfId="3101" xr:uid="{3EC2515C-C770-475C-9DD4-5AF29F129DF8}"/>
    <cellStyle name="Normal 4 3 8" xfId="4227" xr:uid="{EDE8F649-AA65-46B7-9E29-DC592C015E45}"/>
    <cellStyle name="Normal 4 3 9" xfId="5353" xr:uid="{E7B05244-F01E-46ED-871E-E4B68ADC310C}"/>
    <cellStyle name="Normal 4 4" xfId="858" xr:uid="{220FE0D0-5B73-4AB7-A0B7-999AED76C487}"/>
    <cellStyle name="Normal 4 4 10" xfId="7627" xr:uid="{A4C85B10-B3B7-4E2E-A702-CC52D3FE6422}"/>
    <cellStyle name="Normal 4 4 11" xfId="8223" xr:uid="{3FB9D23C-DD15-43DD-A5E7-8CCC70489332}"/>
    <cellStyle name="Normal 4 4 12" xfId="9360" xr:uid="{3D2181D0-9128-4775-BC94-306FAFEC8DE2}"/>
    <cellStyle name="Normal 4 4 13" xfId="10487" xr:uid="{D7FE4EC0-FFBA-4FB2-8C3C-814F8C28F5FE}"/>
    <cellStyle name="Normal 4 4 14" xfId="12144" xr:uid="{FBA0D0F5-6A3B-4913-8EF2-598DAE6A780F}"/>
    <cellStyle name="Normal 4 4 15" xfId="14397" xr:uid="{F022AD5F-21AE-47CC-AA61-FAD80C1BB8AA}"/>
    <cellStyle name="Normal 4 4 16" xfId="16650" xr:uid="{A322A65F-DD48-470B-9E3D-E0D803C55DA0}"/>
    <cellStyle name="Normal 4 4 2" xfId="859" xr:uid="{B07385BC-62A2-430C-94C5-A78769901D1E}"/>
    <cellStyle name="Normal 4 4 2 10" xfId="8222" xr:uid="{049389EF-63E5-4C36-BC51-FF6D1DA753EB}"/>
    <cellStyle name="Normal 4 4 2 11" xfId="9359" xr:uid="{73286677-F02A-4DC3-B630-0AD1B8FD44F1}"/>
    <cellStyle name="Normal 4 4 2 12" xfId="10486" xr:uid="{B0E89D0E-2D3C-4EF0-BD0A-5A7038FFB783}"/>
    <cellStyle name="Normal 4 4 2 13" xfId="12145" xr:uid="{F60C8992-4D97-40FA-B755-D352E0322574}"/>
    <cellStyle name="Normal 4 4 2 14" xfId="14398" xr:uid="{265E3BAE-E31D-48A0-9CDC-ABDE979412F5}"/>
    <cellStyle name="Normal 4 4 2 15" xfId="16651" xr:uid="{C29ED710-5D73-46B5-8EF0-D23D5B952006}"/>
    <cellStyle name="Normal 4 4 2 2" xfId="860" xr:uid="{7C6E24D8-0654-4226-B459-849615FAACBC}"/>
    <cellStyle name="Normal 4 4 2 2 10" xfId="10485" xr:uid="{9204C2B1-B539-4731-A01B-C34021AED7C0}"/>
    <cellStyle name="Normal 4 4 2 2 11" xfId="12146" xr:uid="{CBA38F60-9675-44C1-B872-914314246675}"/>
    <cellStyle name="Normal 4 4 2 2 12" xfId="14399" xr:uid="{1BBFE31E-426C-484B-B481-151A26055E6C}"/>
    <cellStyle name="Normal 4 4 2 2 13" xfId="16652" xr:uid="{A274D147-CC3E-4C94-9719-C7C9E9AE3056}"/>
    <cellStyle name="Normal 4 4 2 2 2" xfId="1989" xr:uid="{0BFA6CF1-89B8-4855-9A2E-5E28B556613B}"/>
    <cellStyle name="Normal 4 4 2 2 2 2" xfId="13273" xr:uid="{BD07BABE-E374-4083-8A9B-073FF9C367E1}"/>
    <cellStyle name="Normal 4 4 2 2 2 3" xfId="15526" xr:uid="{DD1F420C-C3CF-4C08-B38F-333AEDB3163F}"/>
    <cellStyle name="Normal 4 4 2 2 2 4" xfId="17779" xr:uid="{27B81291-6969-44D9-86A7-694F592C1157}"/>
    <cellStyle name="Normal 4 4 2 2 3" xfId="3115" xr:uid="{466EA47E-EF4E-40A4-8E82-6D8888F1E57A}"/>
    <cellStyle name="Normal 4 4 2 2 4" xfId="4241" xr:uid="{2B8CD322-7749-4684-B9F6-CFE7B4FE4D64}"/>
    <cellStyle name="Normal 4 4 2 2 5" xfId="5367" xr:uid="{BCAF9AB2-193B-4650-91FE-FFEE2B7477ED}"/>
    <cellStyle name="Normal 4 4 2 2 6" xfId="6494" xr:uid="{F1116486-2A2D-4B0F-9890-3E09AA95E862}"/>
    <cellStyle name="Normal 4 4 2 2 7" xfId="7629" xr:uid="{9947D5AD-F97B-4AA9-82C0-B946C8FF6283}"/>
    <cellStyle name="Normal 4 4 2 2 8" xfId="8221" xr:uid="{FF386640-66D2-42CC-B0E7-D74E237D7DA8}"/>
    <cellStyle name="Normal 4 4 2 2 9" xfId="9358" xr:uid="{74F27187-63F0-4918-BA0A-EC166279E352}"/>
    <cellStyle name="Normal 4 4 2 3" xfId="861" xr:uid="{247FB9ED-56A4-482C-9DF0-AFF50B441A3C}"/>
    <cellStyle name="Normal 4 4 2 3 10" xfId="10484" xr:uid="{B10B00F4-579E-408F-AA1B-5229D16A62AD}"/>
    <cellStyle name="Normal 4 4 2 3 11" xfId="12147" xr:uid="{2266F1A7-C348-48B9-88EB-C392E4FFCFC7}"/>
    <cellStyle name="Normal 4 4 2 3 12" xfId="14400" xr:uid="{F90A172C-99A3-4D92-B2F2-66AC0936CD6D}"/>
    <cellStyle name="Normal 4 4 2 3 13" xfId="16653" xr:uid="{FE40E6F1-B2F4-4841-9D58-91295D2D353E}"/>
    <cellStyle name="Normal 4 4 2 3 2" xfId="1990" xr:uid="{D8AEA180-21FF-4C37-9467-A02345F93366}"/>
    <cellStyle name="Normal 4 4 2 3 2 2" xfId="13274" xr:uid="{50A1B526-16DC-47AB-A65E-3DC267463286}"/>
    <cellStyle name="Normal 4 4 2 3 2 3" xfId="15527" xr:uid="{3D0657C9-B807-411A-8413-6E9CDF159667}"/>
    <cellStyle name="Normal 4 4 2 3 2 4" xfId="17780" xr:uid="{60B96BC4-3CE1-427B-AD59-32FDCE6AD42C}"/>
    <cellStyle name="Normal 4 4 2 3 3" xfId="3116" xr:uid="{939B5428-FDFF-4F57-8CB3-46C0E6B870AA}"/>
    <cellStyle name="Normal 4 4 2 3 4" xfId="4242" xr:uid="{CF438802-91C8-4F3D-A648-B9E8B8B0C94E}"/>
    <cellStyle name="Normal 4 4 2 3 5" xfId="5368" xr:uid="{399E3DA8-BEA6-4A10-96A9-45F41AD3E3BD}"/>
    <cellStyle name="Normal 4 4 2 3 6" xfId="6495" xr:uid="{233FBA25-D178-44FC-BAFB-54BCE703D00F}"/>
    <cellStyle name="Normal 4 4 2 3 7" xfId="7630" xr:uid="{54DDE979-D2BE-407B-8388-A418CBCFFC61}"/>
    <cellStyle name="Normal 4 4 2 3 8" xfId="8220" xr:uid="{8144971B-0A59-4689-8197-D0846668D609}"/>
    <cellStyle name="Normal 4 4 2 3 9" xfId="9357" xr:uid="{AECFF120-227E-4CF8-87BC-38037281D174}"/>
    <cellStyle name="Normal 4 4 2 4" xfId="1988" xr:uid="{A3806FBB-9ABA-47FF-9163-DF10790FEA44}"/>
    <cellStyle name="Normal 4 4 2 4 2" xfId="13272" xr:uid="{4975F468-620B-4C9F-B260-7A3B691FC7AB}"/>
    <cellStyle name="Normal 4 4 2 4 3" xfId="15525" xr:uid="{3AFC788C-EBBB-405F-9A2A-C8CB2E8A3F0D}"/>
    <cellStyle name="Normal 4 4 2 4 4" xfId="17778" xr:uid="{E8EA805C-06A5-48C6-A580-FC7588E51130}"/>
    <cellStyle name="Normal 4 4 2 5" xfId="3114" xr:uid="{A601412B-1A9B-4610-A385-61283D3571DC}"/>
    <cellStyle name="Normal 4 4 2 6" xfId="4240" xr:uid="{9179D08E-1BD2-4F7D-90CA-90D6EF2EEDDA}"/>
    <cellStyle name="Normal 4 4 2 7" xfId="5366" xr:uid="{AFF426FE-0733-41EE-8D81-136E65746C51}"/>
    <cellStyle name="Normal 4 4 2 8" xfId="6493" xr:uid="{A42333B0-5B87-4370-92E6-6A8ED2B5692A}"/>
    <cellStyle name="Normal 4 4 2 9" xfId="7628" xr:uid="{5EDF7355-66AE-4633-807D-01538BD7A86E}"/>
    <cellStyle name="Normal 4 4 3" xfId="862" xr:uid="{CE7E5FDA-D5D0-4398-843C-AE5BA4A5578C}"/>
    <cellStyle name="Normal 4 4 3 10" xfId="10483" xr:uid="{526BE4E7-A821-4AFA-82EF-48F2331DC324}"/>
    <cellStyle name="Normal 4 4 3 11" xfId="12148" xr:uid="{D983F93F-6A2A-476B-8B76-46D52F6AE38F}"/>
    <cellStyle name="Normal 4 4 3 12" xfId="14401" xr:uid="{76D76F3E-7442-41C4-B43C-11F93B61CEFB}"/>
    <cellStyle name="Normal 4 4 3 13" xfId="16654" xr:uid="{F907ECD6-FD59-470D-AF18-03FA304F959C}"/>
    <cellStyle name="Normal 4 4 3 2" xfId="1991" xr:uid="{F59E0285-943D-4389-926A-745D6218F623}"/>
    <cellStyle name="Normal 4 4 3 2 2" xfId="13275" xr:uid="{B018C727-753A-4CD2-BF09-873B65B303C0}"/>
    <cellStyle name="Normal 4 4 3 2 3" xfId="15528" xr:uid="{C3C43AE5-BE3B-4DC4-A6D2-2B566E5B85E0}"/>
    <cellStyle name="Normal 4 4 3 2 4" xfId="17781" xr:uid="{DF68ABD6-39B4-4226-80DA-C1F76971F3FA}"/>
    <cellStyle name="Normal 4 4 3 3" xfId="3117" xr:uid="{F0B49743-1201-4D48-BF82-C40FD46A3A17}"/>
    <cellStyle name="Normal 4 4 3 4" xfId="4243" xr:uid="{C44ED9AE-CF43-483E-8F0D-EF3267743ED6}"/>
    <cellStyle name="Normal 4 4 3 5" xfId="5369" xr:uid="{80F2EE60-793C-47DC-8B8E-7EA6F352CFB4}"/>
    <cellStyle name="Normal 4 4 3 6" xfId="6496" xr:uid="{C443A9A5-DE8D-497A-BD75-1B92B12C8AFA}"/>
    <cellStyle name="Normal 4 4 3 7" xfId="7631" xr:uid="{1B1C481C-1E0E-4447-939A-4B67BEDF40A6}"/>
    <cellStyle name="Normal 4 4 3 8" xfId="8219" xr:uid="{79E3B2BF-D0F5-4EDF-B858-9E28B6C4E190}"/>
    <cellStyle name="Normal 4 4 3 9" xfId="9356" xr:uid="{9B4BCA59-858B-40F5-87C8-63585C87DF86}"/>
    <cellStyle name="Normal 4 4 4" xfId="863" xr:uid="{F3A08458-658E-4401-BE5B-F3BC88C64804}"/>
    <cellStyle name="Normal 4 4 4 10" xfId="10482" xr:uid="{1C9F16AE-0E69-4B2D-95F1-F4516B5EF07B}"/>
    <cellStyle name="Normal 4 4 4 11" xfId="12149" xr:uid="{8BD24FD7-DB3E-4ED7-872C-56F1E47A8CA2}"/>
    <cellStyle name="Normal 4 4 4 12" xfId="14402" xr:uid="{E4FF14DD-A328-4672-A7BC-A48509E5E93D}"/>
    <cellStyle name="Normal 4 4 4 13" xfId="16655" xr:uid="{044B85BE-C1D2-4744-B760-810FBC18AF43}"/>
    <cellStyle name="Normal 4 4 4 2" xfId="1992" xr:uid="{DBFAAC5F-DB9F-48C5-A54F-347903E78B91}"/>
    <cellStyle name="Normal 4 4 4 2 2" xfId="13276" xr:uid="{F74918AD-FC89-48FF-99D7-5927DD59132A}"/>
    <cellStyle name="Normal 4 4 4 2 3" xfId="15529" xr:uid="{8E68B211-03C8-4F3E-BA17-B0A013649B49}"/>
    <cellStyle name="Normal 4 4 4 2 4" xfId="17782" xr:uid="{A636FC74-9CB4-47A2-96A2-3E1DCCE67BA9}"/>
    <cellStyle name="Normal 4 4 4 3" xfId="3118" xr:uid="{1807FF11-45A9-4EC9-9239-CAAEAEFA75DA}"/>
    <cellStyle name="Normal 4 4 4 4" xfId="4244" xr:uid="{7215ABE3-CCD8-4F07-8C81-6CA956D01DC8}"/>
    <cellStyle name="Normal 4 4 4 5" xfId="5370" xr:uid="{33CD3FEA-65DB-45D5-91D9-57F3753A1AF8}"/>
    <cellStyle name="Normal 4 4 4 6" xfId="6497" xr:uid="{42F633D1-BFA1-4D34-8495-7F500F36DB91}"/>
    <cellStyle name="Normal 4 4 4 7" xfId="7632" xr:uid="{E6FF0BDE-DC81-493D-8297-F64FE52414DD}"/>
    <cellStyle name="Normal 4 4 4 8" xfId="8218" xr:uid="{0C17CCE7-01AE-4C62-8A55-674D71DF421A}"/>
    <cellStyle name="Normal 4 4 4 9" xfId="9355" xr:uid="{BC878E31-9D21-41EA-BACD-358D574D88DD}"/>
    <cellStyle name="Normal 4 4 5" xfId="1987" xr:uid="{17409131-AC53-4FAA-B0E5-04CF4AFE2585}"/>
    <cellStyle name="Normal 4 4 5 2" xfId="13271" xr:uid="{2241BE64-C87E-4778-9F03-0E726E8C90DA}"/>
    <cellStyle name="Normal 4 4 5 3" xfId="15524" xr:uid="{3EF9A612-4D92-464A-AC23-6E2CDBBA8456}"/>
    <cellStyle name="Normal 4 4 5 4" xfId="17777" xr:uid="{A3287033-8710-4D44-8AC4-3FE36F2FFB49}"/>
    <cellStyle name="Normal 4 4 6" xfId="3113" xr:uid="{DADB8522-FDA1-4E6D-9EF6-BF23E77A64DC}"/>
    <cellStyle name="Normal 4 4 7" xfId="4239" xr:uid="{CAD6BDEF-768E-465A-AA79-2ADDC8293D11}"/>
    <cellStyle name="Normal 4 4 8" xfId="5365" xr:uid="{CE59AB01-245C-4C9F-9E52-28C619384A5A}"/>
    <cellStyle name="Normal 4 4 9" xfId="6492" xr:uid="{BF713577-C1F6-46B9-951A-0D42F4717F56}"/>
    <cellStyle name="Normal 4 5" xfId="864" xr:uid="{F9A5D7FF-D191-4A07-B420-517018408638}"/>
    <cellStyle name="Normal 4 5 10" xfId="8217" xr:uid="{5CB77D15-A8FB-42C6-92BE-96FDBC77B1CF}"/>
    <cellStyle name="Normal 4 5 11" xfId="9354" xr:uid="{6396AF94-080F-4DC8-A54B-35A5553CD80A}"/>
    <cellStyle name="Normal 4 5 12" xfId="10481" xr:uid="{67DD4637-E0FA-4B94-8A5C-9D253F17950F}"/>
    <cellStyle name="Normal 4 5 13" xfId="12150" xr:uid="{74E10D7A-E99B-41C6-A82B-9AA26CC420D0}"/>
    <cellStyle name="Normal 4 5 14" xfId="14403" xr:uid="{B2EDDE2C-C4FE-4CA9-BA34-FA4E92F7D5DD}"/>
    <cellStyle name="Normal 4 5 15" xfId="16656" xr:uid="{3450D554-F4C8-46F6-8200-96A70A5992FE}"/>
    <cellStyle name="Normal 4 5 2" xfId="865" xr:uid="{9968F383-B814-4469-B81B-136AD675940C}"/>
    <cellStyle name="Normal 4 5 2 10" xfId="10480" xr:uid="{0EB3D088-684C-46B3-A4B8-D937CF32D538}"/>
    <cellStyle name="Normal 4 5 2 11" xfId="12151" xr:uid="{33BA49C4-6BF5-4828-BFFF-39EF874CBF27}"/>
    <cellStyle name="Normal 4 5 2 12" xfId="14404" xr:uid="{A33BF9AB-7964-4192-83E5-CD81BCB090DE}"/>
    <cellStyle name="Normal 4 5 2 13" xfId="16657" xr:uid="{3DF1A575-0970-4440-8ED1-86EE74CC0379}"/>
    <cellStyle name="Normal 4 5 2 2" xfId="1994" xr:uid="{FCAF0F3B-EFAC-46A8-BEE4-EBDD18AF3109}"/>
    <cellStyle name="Normal 4 5 2 2 2" xfId="13278" xr:uid="{4B664D25-18ED-4A1C-812E-BE69FD4929CF}"/>
    <cellStyle name="Normal 4 5 2 2 3" xfId="15531" xr:uid="{48737E0D-DC48-4E8C-AC30-2304CE91FC31}"/>
    <cellStyle name="Normal 4 5 2 2 4" xfId="17784" xr:uid="{7B948BC7-15C3-48A5-BFDD-7A4814CF1510}"/>
    <cellStyle name="Normal 4 5 2 3" xfId="3120" xr:uid="{F79F3EEC-C1F1-455A-9F37-8EFFA1FB3F38}"/>
    <cellStyle name="Normal 4 5 2 4" xfId="4246" xr:uid="{D382330E-F252-4630-A9A1-F9D5A4C4E73F}"/>
    <cellStyle name="Normal 4 5 2 5" xfId="5372" xr:uid="{95420037-26AA-4956-84E8-3F98F6014869}"/>
    <cellStyle name="Normal 4 5 2 6" xfId="6499" xr:uid="{67B29636-6484-4050-AFD0-07811F11374E}"/>
    <cellStyle name="Normal 4 5 2 7" xfId="7634" xr:uid="{EF25D20F-8683-4C33-B7EC-F5B3DC0F6942}"/>
    <cellStyle name="Normal 4 5 2 8" xfId="8216" xr:uid="{FA42AA90-0C7E-463B-919B-9860273AED6B}"/>
    <cellStyle name="Normal 4 5 2 9" xfId="9353" xr:uid="{5C39761A-2E20-44E7-8554-D6D670D7F818}"/>
    <cellStyle name="Normal 4 5 3" xfId="866" xr:uid="{A2C6110A-81DB-4686-9809-5074ED08024A}"/>
    <cellStyle name="Normal 4 5 3 10" xfId="10479" xr:uid="{E798DCCB-AC43-433C-BADD-1B938A207801}"/>
    <cellStyle name="Normal 4 5 3 11" xfId="12152" xr:uid="{3D818660-C90B-48D0-905A-5DEF694C2EC3}"/>
    <cellStyle name="Normal 4 5 3 12" xfId="14405" xr:uid="{643878C9-D451-4880-AF44-FA2B6FF4B388}"/>
    <cellStyle name="Normal 4 5 3 13" xfId="16658" xr:uid="{0CBAA532-6BB6-4F92-BDBD-5EB82BCA5BB9}"/>
    <cellStyle name="Normal 4 5 3 2" xfId="1995" xr:uid="{D96F03B2-8A80-470C-B923-8FBA423C834D}"/>
    <cellStyle name="Normal 4 5 3 2 2" xfId="13279" xr:uid="{02F0BCAC-6C3C-4338-9515-A7B7528074F6}"/>
    <cellStyle name="Normal 4 5 3 2 3" xfId="15532" xr:uid="{CF785BB6-6BC3-484D-ACC1-5B3CA0FEAB82}"/>
    <cellStyle name="Normal 4 5 3 2 4" xfId="17785" xr:uid="{062FA9B2-B16E-4732-8D64-E5249C67B1BD}"/>
    <cellStyle name="Normal 4 5 3 3" xfId="3121" xr:uid="{3977FAE9-E701-4B43-932C-CF07BDFB91A4}"/>
    <cellStyle name="Normal 4 5 3 4" xfId="4247" xr:uid="{47EBC66B-5600-42E7-B34A-635D31070B2F}"/>
    <cellStyle name="Normal 4 5 3 5" xfId="5373" xr:uid="{C7E5CBFD-53C9-40F7-A248-34D3C35C6BAE}"/>
    <cellStyle name="Normal 4 5 3 6" xfId="6500" xr:uid="{30F61B44-7CDA-4797-B34F-69DE1D51B4B0}"/>
    <cellStyle name="Normal 4 5 3 7" xfId="7635" xr:uid="{9CFE5880-EBAB-4853-820E-4A343DCC87AE}"/>
    <cellStyle name="Normal 4 5 3 8" xfId="8215" xr:uid="{2699C878-CE0C-40AE-9DA6-4744CE037E97}"/>
    <cellStyle name="Normal 4 5 3 9" xfId="9352" xr:uid="{D985BEC6-2703-40EE-BA7D-36812A954646}"/>
    <cellStyle name="Normal 4 5 4" xfId="1993" xr:uid="{803115BB-F253-4E15-97BE-7A47D8542B65}"/>
    <cellStyle name="Normal 4 5 4 2" xfId="13277" xr:uid="{2B2CBE7E-25FE-45A1-9122-D7DEFBED76F0}"/>
    <cellStyle name="Normal 4 5 4 3" xfId="15530" xr:uid="{09E6B9D6-500A-4B0A-8D37-BBE2EB00AF25}"/>
    <cellStyle name="Normal 4 5 4 4" xfId="17783" xr:uid="{87EE1314-20D9-400E-ACD5-A559CBA33D7D}"/>
    <cellStyle name="Normal 4 5 5" xfId="3119" xr:uid="{0EE14C9F-CD4C-4E3A-A910-420F164D42E5}"/>
    <cellStyle name="Normal 4 5 6" xfId="4245" xr:uid="{A1E248C6-E1FC-4163-8334-57B98F14C49F}"/>
    <cellStyle name="Normal 4 5 7" xfId="5371" xr:uid="{7222152C-F8BA-40BC-86CB-088B2776F3D6}"/>
    <cellStyle name="Normal 4 5 8" xfId="6498" xr:uid="{4421A05F-5C8D-4806-A4E0-971C9A355CF6}"/>
    <cellStyle name="Normal 4 5 9" xfId="7633" xr:uid="{A20278A7-652A-4FE7-AA2C-310DB16364D2}"/>
    <cellStyle name="Normal 4 6" xfId="867" xr:uid="{C5E0D683-FC2D-49CC-8DEA-63C1D60BF316}"/>
    <cellStyle name="Normal 4 6 10" xfId="10478" xr:uid="{997A16EA-7A05-4ACD-AC78-E6C5CC667356}"/>
    <cellStyle name="Normal 4 6 11" xfId="12153" xr:uid="{B6583F40-5EC3-4BE3-9ED9-47EDD2A62F03}"/>
    <cellStyle name="Normal 4 6 12" xfId="14406" xr:uid="{7E49156B-3B4C-410D-A70A-31D39F9BE771}"/>
    <cellStyle name="Normal 4 6 13" xfId="16659" xr:uid="{CC90B368-03C4-4087-9FBC-51CE1055EE1C}"/>
    <cellStyle name="Normal 4 6 2" xfId="1996" xr:uid="{360D8828-043D-45FA-9100-DD58A3469F5C}"/>
    <cellStyle name="Normal 4 6 2 2" xfId="13280" xr:uid="{3847961D-EFD9-439E-AFDF-CB373B330156}"/>
    <cellStyle name="Normal 4 6 2 3" xfId="15533" xr:uid="{957C22BF-C44D-4A76-B005-5E5323B5F238}"/>
    <cellStyle name="Normal 4 6 2 4" xfId="17786" xr:uid="{350672E2-0FA7-4820-8CB9-80AFCF369421}"/>
    <cellStyle name="Normal 4 6 3" xfId="3122" xr:uid="{5097B8AC-4B9E-49DA-BCD3-606150175509}"/>
    <cellStyle name="Normal 4 6 4" xfId="4248" xr:uid="{94796654-8336-4135-BCF9-DE5B15009286}"/>
    <cellStyle name="Normal 4 6 5" xfId="5374" xr:uid="{473DBF94-8353-468F-ADC3-7C66FA242736}"/>
    <cellStyle name="Normal 4 6 6" xfId="6501" xr:uid="{E484F968-1C7B-4E8B-898B-56C5CC7B733A}"/>
    <cellStyle name="Normal 4 6 7" xfId="7636" xr:uid="{3BC86BA5-7A4C-4653-83FA-5BA5B05634D8}"/>
    <cellStyle name="Normal 4 6 8" xfId="8214" xr:uid="{21DD900C-83C9-47D0-BB98-B6CDE7860359}"/>
    <cellStyle name="Normal 4 6 9" xfId="9351" xr:uid="{ED40DEDF-4CE6-4F77-990E-68A5D079950B}"/>
    <cellStyle name="Normal 4 7" xfId="868" xr:uid="{EE86F22D-0A4D-42C1-84BF-40412C846AC6}"/>
    <cellStyle name="Normal 4 7 10" xfId="10477" xr:uid="{B174990B-D93B-45F6-99C6-BDD6F7AB147B}"/>
    <cellStyle name="Normal 4 7 11" xfId="12154" xr:uid="{DE19DB52-4ED8-406F-A2F3-4F0E1F079DD1}"/>
    <cellStyle name="Normal 4 7 12" xfId="14407" xr:uid="{10A39B64-528D-4031-8AC3-9A55E36BA3F9}"/>
    <cellStyle name="Normal 4 7 13" xfId="16660" xr:uid="{94A7B44A-6F8F-497E-B1E3-B1128342F89A}"/>
    <cellStyle name="Normal 4 7 2" xfId="1997" xr:uid="{3C3B2686-97DB-4F6E-A771-78354C4499D2}"/>
    <cellStyle name="Normal 4 7 2 2" xfId="13281" xr:uid="{701BD12B-48A1-4B84-B44D-C9DE0118E728}"/>
    <cellStyle name="Normal 4 7 2 3" xfId="15534" xr:uid="{BC892C2C-55AB-400D-8504-11B73B0A9689}"/>
    <cellStyle name="Normal 4 7 2 4" xfId="17787" xr:uid="{D5EA60C4-A3D6-4C31-B519-F450596BE174}"/>
    <cellStyle name="Normal 4 7 3" xfId="3123" xr:uid="{2448394B-4C93-4513-A7A4-A9B60EF6F728}"/>
    <cellStyle name="Normal 4 7 4" xfId="4249" xr:uid="{A83EE0C0-B9A1-4B82-8EA4-A6F62AEC6261}"/>
    <cellStyle name="Normal 4 7 5" xfId="5375" xr:uid="{6DDBBA69-49DD-4DFC-9152-82D77D65F501}"/>
    <cellStyle name="Normal 4 7 6" xfId="6502" xr:uid="{4DBF0B41-6C68-40F7-BE9A-0115C83C5E35}"/>
    <cellStyle name="Normal 4 7 7" xfId="7637" xr:uid="{45639CCB-A9CE-4333-8671-02ECD7E2EF11}"/>
    <cellStyle name="Normal 4 7 8" xfId="8213" xr:uid="{F9D09717-E1A2-4997-BE74-A1C33DB969C3}"/>
    <cellStyle name="Normal 4 7 9" xfId="9350" xr:uid="{6A13A3D4-EDA4-49F1-B4FF-DEC7273AD6F6}"/>
    <cellStyle name="Normal 4 8" xfId="821" xr:uid="{C2BFEBDC-E05A-4401-9F0C-281A03A20066}"/>
    <cellStyle name="Normal 4 8 2" xfId="13234" xr:uid="{D556E7B9-8C64-4A12-BE10-0216CD386C5A}"/>
    <cellStyle name="Normal 4 8 3" xfId="15487" xr:uid="{E1B76CD1-AAD9-4874-BF0C-E632ADB3A5AB}"/>
    <cellStyle name="Normal 4 8 4" xfId="17740" xr:uid="{50E4888E-05D2-43A2-9E83-732603A4D31C}"/>
    <cellStyle name="Normal 4 9" xfId="1950" xr:uid="{DA4738B3-0F89-4E05-811C-60B51DBF0E12}"/>
    <cellStyle name="Normal 5" xfId="18" xr:uid="{00000000-0005-0000-0000-00003E000000}"/>
    <cellStyle name="Normal 5 10" xfId="3124" xr:uid="{81832B01-EEC7-4380-BD26-EBE309664377}"/>
    <cellStyle name="Normal 5 11" xfId="4250" xr:uid="{AAEA9F87-1159-4C10-B1A4-5851365F378A}"/>
    <cellStyle name="Normal 5 12" xfId="5376" xr:uid="{B49291E2-8EE7-496E-B906-77529A1064E9}"/>
    <cellStyle name="Normal 5 13" xfId="6503" xr:uid="{1C534440-554E-4E7E-AF31-8E9291E97F2A}"/>
    <cellStyle name="Normal 5 14" xfId="7638" xr:uid="{558FE153-1063-440D-840E-78EDB598305F}"/>
    <cellStyle name="Normal 5 15" xfId="8212" xr:uid="{CBB6AD0C-B3DE-4EBB-9C02-7E492162047E}"/>
    <cellStyle name="Normal 5 16" xfId="9349" xr:uid="{723730A4-D010-4262-9E0E-AF1A28A14EE5}"/>
    <cellStyle name="Normal 5 17" xfId="10476" xr:uid="{D6ECB2F9-573A-4B49-ACB1-69BF868FC433}"/>
    <cellStyle name="Normal 5 18" xfId="12155" xr:uid="{3A12990F-340B-48AA-93C5-EE6E26AD6027}"/>
    <cellStyle name="Normal 5 19" xfId="14408" xr:uid="{6AEDD579-83BC-4F10-B5AB-B732AEF5A7B6}"/>
    <cellStyle name="Normal 5 2" xfId="870" xr:uid="{7F7F23B6-BA3B-4F0A-A74D-8831754C642A}"/>
    <cellStyle name="Normal 5 2 10" xfId="6504" xr:uid="{BC23D91F-6517-4A4B-BAA6-13C205F7B24E}"/>
    <cellStyle name="Normal 5 2 11" xfId="7639" xr:uid="{352E0512-A6A1-463F-B385-CB32A5BB17E3}"/>
    <cellStyle name="Normal 5 2 12" xfId="8211" xr:uid="{DB3DF5F3-5AA1-45AB-BC51-2E1A6A4D050F}"/>
    <cellStyle name="Normal 5 2 13" xfId="9348" xr:uid="{65828F32-F4B2-4487-BD55-61F234E69318}"/>
    <cellStyle name="Normal 5 2 14" xfId="10475" xr:uid="{8C88046D-CA8A-4F6F-82D1-7B464C2F7D14}"/>
    <cellStyle name="Normal 5 2 15" xfId="12156" xr:uid="{CCBD20A1-194C-4626-8563-1FD0661BD29A}"/>
    <cellStyle name="Normal 5 2 16" xfId="14409" xr:uid="{77D983C3-66E4-46CA-B7CE-881AAD5BA700}"/>
    <cellStyle name="Normal 5 2 17" xfId="16662" xr:uid="{B2DEEC34-D2C8-44B3-955F-9AB06C151E9B}"/>
    <cellStyle name="Normal 5 2 2" xfId="871" xr:uid="{E6BCCC8F-046C-4228-BCA7-3E35D836B224}"/>
    <cellStyle name="Normal 5 2 2 10" xfId="7640" xr:uid="{C1238F3B-B040-4C56-8C92-8AA74D5592FD}"/>
    <cellStyle name="Normal 5 2 2 11" xfId="8210" xr:uid="{7D222BB8-ECC0-4A51-94BA-E9E9263223A4}"/>
    <cellStyle name="Normal 5 2 2 12" xfId="9347" xr:uid="{669C4C53-EBD4-45BC-9B54-3F05C60D6AEA}"/>
    <cellStyle name="Normal 5 2 2 13" xfId="10474" xr:uid="{2C570730-DB5A-46C5-B521-5C63938D4FA1}"/>
    <cellStyle name="Normal 5 2 2 14" xfId="12157" xr:uid="{68B72A91-746B-4396-84D4-BFAF3D2C7339}"/>
    <cellStyle name="Normal 5 2 2 15" xfId="14410" xr:uid="{205F9448-DE3C-4818-A70E-67D26B5EDC04}"/>
    <cellStyle name="Normal 5 2 2 16" xfId="16663" xr:uid="{027170FC-9868-4688-907D-A5FEF2E120FE}"/>
    <cellStyle name="Normal 5 2 2 2" xfId="872" xr:uid="{2E22F8AD-30FC-46E1-AAA9-38A419D6DB06}"/>
    <cellStyle name="Normal 5 2 2 2 10" xfId="8209" xr:uid="{DAD0780E-64A8-4613-B3BE-A9D5C5F16917}"/>
    <cellStyle name="Normal 5 2 2 2 11" xfId="9346" xr:uid="{E5B51038-61B5-44C8-A551-2302DC5253FD}"/>
    <cellStyle name="Normal 5 2 2 2 12" xfId="10473" xr:uid="{8D9B758D-1F14-4030-B67D-425FBBFE1DC7}"/>
    <cellStyle name="Normal 5 2 2 2 13" xfId="12158" xr:uid="{DE9943DB-8C58-40FE-B328-2B8926826C11}"/>
    <cellStyle name="Normal 5 2 2 2 14" xfId="14411" xr:uid="{4DFA80D7-9C3C-4F35-BD59-2783B63D50F2}"/>
    <cellStyle name="Normal 5 2 2 2 15" xfId="16664" xr:uid="{44CF5210-8772-42CE-B17E-47F41FB82BF5}"/>
    <cellStyle name="Normal 5 2 2 2 2" xfId="873" xr:uid="{53E3DDAB-9522-4EC7-8A0A-D84E70D3B327}"/>
    <cellStyle name="Normal 5 2 2 2 2 10" xfId="10472" xr:uid="{28900F91-3A6B-47A4-9D8A-2610EFE7FB05}"/>
    <cellStyle name="Normal 5 2 2 2 2 11" xfId="12159" xr:uid="{95FF34BD-A040-4A09-B07B-0014774D13C6}"/>
    <cellStyle name="Normal 5 2 2 2 2 12" xfId="14412" xr:uid="{2228C219-EA43-40A2-9849-1EAA05D4B03F}"/>
    <cellStyle name="Normal 5 2 2 2 2 13" xfId="16665" xr:uid="{7E3F8E53-1981-4228-8A4B-6AA35C8490E5}"/>
    <cellStyle name="Normal 5 2 2 2 2 2" xfId="2002" xr:uid="{94341919-0BB2-4ACF-A82B-011A0198C47B}"/>
    <cellStyle name="Normal 5 2 2 2 2 2 2" xfId="13286" xr:uid="{42856076-AA96-4B2C-853F-6CFB94FD0442}"/>
    <cellStyle name="Normal 5 2 2 2 2 2 3" xfId="15539" xr:uid="{8445FD83-D27B-481B-8F50-6F7F71002D5D}"/>
    <cellStyle name="Normal 5 2 2 2 2 2 4" xfId="17792" xr:uid="{934C4509-C69F-498D-A4AF-517B58DFD3E1}"/>
    <cellStyle name="Normal 5 2 2 2 2 3" xfId="3128" xr:uid="{3BA89506-BA0E-4626-8AE2-EE703A40693A}"/>
    <cellStyle name="Normal 5 2 2 2 2 4" xfId="4254" xr:uid="{F598CAFC-D295-4E4A-AC32-BAC05C393DB9}"/>
    <cellStyle name="Normal 5 2 2 2 2 5" xfId="5380" xr:uid="{33DA09DD-7379-473B-90B3-11454D8605C9}"/>
    <cellStyle name="Normal 5 2 2 2 2 6" xfId="6507" xr:uid="{82F7827D-96F6-4F3F-BA67-E4A296DD4BF4}"/>
    <cellStyle name="Normal 5 2 2 2 2 7" xfId="7642" xr:uid="{589FDA87-C644-4F91-89B4-8A52A5AC5B47}"/>
    <cellStyle name="Normal 5 2 2 2 2 8" xfId="8208" xr:uid="{F8261681-66AD-4BD6-AAB4-CE9B9622A840}"/>
    <cellStyle name="Normal 5 2 2 2 2 9" xfId="9345" xr:uid="{0BA59426-1BF6-4465-89B5-16AEE6557156}"/>
    <cellStyle name="Normal 5 2 2 2 3" xfId="874" xr:uid="{3462D9D0-3CAE-44F0-93EC-CE05C6D9EDEB}"/>
    <cellStyle name="Normal 5 2 2 2 3 10" xfId="10471" xr:uid="{E6F10805-1C04-4C03-AF29-14511427AA57}"/>
    <cellStyle name="Normal 5 2 2 2 3 11" xfId="12160" xr:uid="{74F84321-678E-4ADB-B7D9-39A6B02B73FB}"/>
    <cellStyle name="Normal 5 2 2 2 3 12" xfId="14413" xr:uid="{25C249AE-19C3-4C6E-8BED-A6C47A465F99}"/>
    <cellStyle name="Normal 5 2 2 2 3 13" xfId="16666" xr:uid="{92453EAE-734E-434D-95CB-1EEFC8D53E6E}"/>
    <cellStyle name="Normal 5 2 2 2 3 2" xfId="2003" xr:uid="{D721ECFD-56FB-4BCF-805C-D8448559E268}"/>
    <cellStyle name="Normal 5 2 2 2 3 2 2" xfId="13287" xr:uid="{BD910B6B-ED0E-4342-B14B-69878EBC3A87}"/>
    <cellStyle name="Normal 5 2 2 2 3 2 3" xfId="15540" xr:uid="{80E12626-392A-4434-9627-55F0E10D914F}"/>
    <cellStyle name="Normal 5 2 2 2 3 2 4" xfId="17793" xr:uid="{DBE47E9A-672E-48CE-B20E-09467E395FD5}"/>
    <cellStyle name="Normal 5 2 2 2 3 3" xfId="3129" xr:uid="{8B863592-A164-4AF2-8F50-D1B5A83D388D}"/>
    <cellStyle name="Normal 5 2 2 2 3 4" xfId="4255" xr:uid="{478A8AF6-9A02-47EA-A34C-89FA0ED01F97}"/>
    <cellStyle name="Normal 5 2 2 2 3 5" xfId="5381" xr:uid="{33210BFC-6DE4-4A5C-AE4E-50DDEBFB1ED7}"/>
    <cellStyle name="Normal 5 2 2 2 3 6" xfId="6508" xr:uid="{52C1BB57-E55E-4C5D-975A-D6DE01B586E5}"/>
    <cellStyle name="Normal 5 2 2 2 3 7" xfId="7643" xr:uid="{6CA67BB5-E65D-40AE-B44F-4E21510751E9}"/>
    <cellStyle name="Normal 5 2 2 2 3 8" xfId="8207" xr:uid="{3A73589D-04C6-4A23-B8B0-D6A3564C9009}"/>
    <cellStyle name="Normal 5 2 2 2 3 9" xfId="9344" xr:uid="{72BF5990-0874-4387-BD7A-A2E167A6BADB}"/>
    <cellStyle name="Normal 5 2 2 2 4" xfId="2001" xr:uid="{7EA1FA95-5F02-4465-8B87-B68C99CC8E75}"/>
    <cellStyle name="Normal 5 2 2 2 4 2" xfId="13285" xr:uid="{D051F648-995A-493B-B3A2-9AD4931EED34}"/>
    <cellStyle name="Normal 5 2 2 2 4 3" xfId="15538" xr:uid="{45C2BB28-9E85-44CF-B3CB-D62468E632ED}"/>
    <cellStyle name="Normal 5 2 2 2 4 4" xfId="17791" xr:uid="{DD3EFFBD-08D4-4EDE-9297-58DFB4DA8725}"/>
    <cellStyle name="Normal 5 2 2 2 5" xfId="3127" xr:uid="{5E121B57-7F60-47B7-8807-061F65FC9976}"/>
    <cellStyle name="Normal 5 2 2 2 6" xfId="4253" xr:uid="{E0723158-35A3-4115-9B41-3684AE2B344F}"/>
    <cellStyle name="Normal 5 2 2 2 7" xfId="5379" xr:uid="{40215E62-B1BA-4D9B-9B5D-30DC16F66686}"/>
    <cellStyle name="Normal 5 2 2 2 8" xfId="6506" xr:uid="{D9759EB9-4D77-4CE3-AA9F-4FF673EA088B}"/>
    <cellStyle name="Normal 5 2 2 2 9" xfId="7641" xr:uid="{DF1C78A7-2117-4812-84D7-E77DA3616656}"/>
    <cellStyle name="Normal 5 2 2 3" xfId="875" xr:uid="{4D878C6A-06E6-4FCA-9B91-B00C314B18BE}"/>
    <cellStyle name="Normal 5 2 2 3 10" xfId="10470" xr:uid="{44A8F54E-FF40-48FD-B4C4-D8379D3EFB83}"/>
    <cellStyle name="Normal 5 2 2 3 11" xfId="12161" xr:uid="{880D8FF4-5DE1-4CE9-BF58-C9D96CEC9EA3}"/>
    <cellStyle name="Normal 5 2 2 3 12" xfId="14414" xr:uid="{1306C83C-D052-4A5F-8C8D-D10A19A92AF1}"/>
    <cellStyle name="Normal 5 2 2 3 13" xfId="16667" xr:uid="{C524C98D-2BFC-4D82-AEB3-AB777A6A1DEB}"/>
    <cellStyle name="Normal 5 2 2 3 2" xfId="2004" xr:uid="{4D6AC0C3-C036-49B6-B2DB-A3ED6AAADB15}"/>
    <cellStyle name="Normal 5 2 2 3 2 2" xfId="13288" xr:uid="{A5617723-680C-41E7-9447-2924D67D9906}"/>
    <cellStyle name="Normal 5 2 2 3 2 3" xfId="15541" xr:uid="{AF5318B1-5B5D-48C7-9334-50C18D230B6E}"/>
    <cellStyle name="Normal 5 2 2 3 2 4" xfId="17794" xr:uid="{3D0474E2-4432-41C7-A4D0-0F975371F212}"/>
    <cellStyle name="Normal 5 2 2 3 3" xfId="3130" xr:uid="{BDEBA10A-45C2-4EAF-9A4B-1EA7839F457D}"/>
    <cellStyle name="Normal 5 2 2 3 4" xfId="4256" xr:uid="{4F69F4F0-8975-45D2-8E67-BBC04924B731}"/>
    <cellStyle name="Normal 5 2 2 3 5" xfId="5382" xr:uid="{EDA9FA4B-5BEF-42E6-9D9E-449FFC0E076C}"/>
    <cellStyle name="Normal 5 2 2 3 6" xfId="6509" xr:uid="{1784E468-AC59-4A65-A259-6EA4C5B0C0A2}"/>
    <cellStyle name="Normal 5 2 2 3 7" xfId="7644" xr:uid="{EADCB061-51DC-4664-97CD-7CA9C44621FF}"/>
    <cellStyle name="Normal 5 2 2 3 8" xfId="8206" xr:uid="{C6710C5E-75AD-4D68-975A-D4EC93B16EE4}"/>
    <cellStyle name="Normal 5 2 2 3 9" xfId="9343" xr:uid="{91D08867-3491-4B45-A35F-81F370A15C82}"/>
    <cellStyle name="Normal 5 2 2 4" xfId="876" xr:uid="{47203923-05F7-40BF-9E97-68F2BF14F0B8}"/>
    <cellStyle name="Normal 5 2 2 4 10" xfId="10469" xr:uid="{CBD91E2E-445C-44A2-B0B4-F1CA9A1EE1B8}"/>
    <cellStyle name="Normal 5 2 2 4 11" xfId="12162" xr:uid="{DEF9AF8E-EC8C-47FE-868D-9FF54BE74F86}"/>
    <cellStyle name="Normal 5 2 2 4 12" xfId="14415" xr:uid="{6EB17225-D1D7-49B5-82BC-D5F70AB4CB41}"/>
    <cellStyle name="Normal 5 2 2 4 13" xfId="16668" xr:uid="{942D5817-A655-4979-866C-2A674747FFDB}"/>
    <cellStyle name="Normal 5 2 2 4 2" xfId="2005" xr:uid="{718CBEB4-473A-4360-A4DA-162A4F2A89EE}"/>
    <cellStyle name="Normal 5 2 2 4 2 2" xfId="13289" xr:uid="{29240ACB-5812-4491-94E6-67BD735EA2ED}"/>
    <cellStyle name="Normal 5 2 2 4 2 3" xfId="15542" xr:uid="{09F4FAE9-5773-4B4D-8F7F-03E0BC6C73AA}"/>
    <cellStyle name="Normal 5 2 2 4 2 4" xfId="17795" xr:uid="{4014143C-C9F9-428D-B7AB-25EC46D7BE11}"/>
    <cellStyle name="Normal 5 2 2 4 3" xfId="3131" xr:uid="{4179143C-F915-478C-9DF2-0FF00B3D8AF2}"/>
    <cellStyle name="Normal 5 2 2 4 4" xfId="4257" xr:uid="{26D8D50A-0630-49F4-A134-695B68F6ABBA}"/>
    <cellStyle name="Normal 5 2 2 4 5" xfId="5383" xr:uid="{86A08604-08F4-432B-962A-51F7B6E680BA}"/>
    <cellStyle name="Normal 5 2 2 4 6" xfId="6510" xr:uid="{F8B98BB8-63E7-43AD-A40B-49292C5E101E}"/>
    <cellStyle name="Normal 5 2 2 4 7" xfId="7645" xr:uid="{74CBA058-4FD6-44FB-8BE6-169DEF774E98}"/>
    <cellStyle name="Normal 5 2 2 4 8" xfId="8205" xr:uid="{7F95D145-967E-4492-8482-C390707C18E4}"/>
    <cellStyle name="Normal 5 2 2 4 9" xfId="9342" xr:uid="{02A9A209-D460-450E-AFB0-4D432A918213}"/>
    <cellStyle name="Normal 5 2 2 5" xfId="2000" xr:uid="{E5666A42-4D0E-4A71-9BE2-55EF405A5E6A}"/>
    <cellStyle name="Normal 5 2 2 5 2" xfId="13284" xr:uid="{25B2A279-8934-40FE-A41F-0CED6094634C}"/>
    <cellStyle name="Normal 5 2 2 5 3" xfId="15537" xr:uid="{BF46546B-F9AF-4E4A-B8E3-AD68D48FDEC0}"/>
    <cellStyle name="Normal 5 2 2 5 4" xfId="17790" xr:uid="{84918289-C0CA-414E-B6E8-007DCE68553A}"/>
    <cellStyle name="Normal 5 2 2 6" xfId="3126" xr:uid="{93960A5B-9323-4660-B9B9-AF1B41A396AC}"/>
    <cellStyle name="Normal 5 2 2 7" xfId="4252" xr:uid="{A799372C-D877-4574-AB89-94417E8ED859}"/>
    <cellStyle name="Normal 5 2 2 8" xfId="5378" xr:uid="{C89DDCFD-2912-4180-9309-5025BE359234}"/>
    <cellStyle name="Normal 5 2 2 9" xfId="6505" xr:uid="{AD9E57C7-0F93-4CE0-B0EB-58CED3DE88C0}"/>
    <cellStyle name="Normal 5 2 3" xfId="877" xr:uid="{5276E067-A4F1-4484-B6C1-37CDA7FD36CB}"/>
    <cellStyle name="Normal 5 2 3 10" xfId="8204" xr:uid="{011726CC-CE7A-4E82-BF8B-15A76B187472}"/>
    <cellStyle name="Normal 5 2 3 11" xfId="9341" xr:uid="{7D87E258-50D9-4BBD-98DC-E9D51F07F045}"/>
    <cellStyle name="Normal 5 2 3 12" xfId="10468" xr:uid="{733DC935-6A62-413E-9052-82FC1151AA5E}"/>
    <cellStyle name="Normal 5 2 3 13" xfId="12163" xr:uid="{DF7DF4B7-485F-462A-A03F-F37E631C3F49}"/>
    <cellStyle name="Normal 5 2 3 14" xfId="14416" xr:uid="{4ED00441-5E01-436B-9B66-7BE4120FDBBF}"/>
    <cellStyle name="Normal 5 2 3 15" xfId="16669" xr:uid="{F8AD1C74-1D1A-4270-A942-4A4CA5AC716C}"/>
    <cellStyle name="Normal 5 2 3 2" xfId="878" xr:uid="{566BA246-B5F4-40ED-84F2-40F834A9ABC4}"/>
    <cellStyle name="Normal 5 2 3 2 10" xfId="10467" xr:uid="{2476D199-A7F1-47C8-B73C-6A9980F8777D}"/>
    <cellStyle name="Normal 5 2 3 2 11" xfId="12164" xr:uid="{25C1D528-E230-4F05-B458-98D37626C5D3}"/>
    <cellStyle name="Normal 5 2 3 2 12" xfId="14417" xr:uid="{9C1E5C5D-517E-4D6E-89F0-C3246002C218}"/>
    <cellStyle name="Normal 5 2 3 2 13" xfId="16670" xr:uid="{772D9E95-6707-48B4-AAC8-A65BF1FECB33}"/>
    <cellStyle name="Normal 5 2 3 2 2" xfId="2007" xr:uid="{DE4263F0-C54F-4F27-A391-39F65F8DA911}"/>
    <cellStyle name="Normal 5 2 3 2 2 2" xfId="13291" xr:uid="{51BC7F08-F38A-4541-B9E6-CF6DA090575E}"/>
    <cellStyle name="Normal 5 2 3 2 2 3" xfId="15544" xr:uid="{2951FB73-EADE-4C0A-A87A-E3E3556B2558}"/>
    <cellStyle name="Normal 5 2 3 2 2 4" xfId="17797" xr:uid="{6589A9B8-325E-479A-AE73-FF685D579B8B}"/>
    <cellStyle name="Normal 5 2 3 2 3" xfId="3133" xr:uid="{F4793BF1-9194-47AC-8BFB-8E6E27635B8B}"/>
    <cellStyle name="Normal 5 2 3 2 4" xfId="4259" xr:uid="{E2DDFEBC-8BAF-418A-99D1-446A9D902147}"/>
    <cellStyle name="Normal 5 2 3 2 5" xfId="5385" xr:uid="{30D9F27B-D39B-4D5D-B225-4A3835A29FE8}"/>
    <cellStyle name="Normal 5 2 3 2 6" xfId="6512" xr:uid="{A78DDAF0-5BE3-4CF4-801F-9DE29F6D2071}"/>
    <cellStyle name="Normal 5 2 3 2 7" xfId="7647" xr:uid="{93E6A456-DBD3-4A03-8EF1-7E083E41C2B2}"/>
    <cellStyle name="Normal 5 2 3 2 8" xfId="8203" xr:uid="{EBB4FBF8-6C14-485B-A069-C0C0F3EB10A5}"/>
    <cellStyle name="Normal 5 2 3 2 9" xfId="9340" xr:uid="{2DA8E667-6AFB-43AC-98C0-8896A2FF46DC}"/>
    <cellStyle name="Normal 5 2 3 3" xfId="879" xr:uid="{C5DE9ABF-C06C-4BF5-B015-16E2E9F84C10}"/>
    <cellStyle name="Normal 5 2 3 3 10" xfId="10466" xr:uid="{34B8FABB-F92C-45CA-A926-1EBFF5BC71E2}"/>
    <cellStyle name="Normal 5 2 3 3 11" xfId="12165" xr:uid="{04843973-FC40-496E-B47B-9C2A38100B67}"/>
    <cellStyle name="Normal 5 2 3 3 12" xfId="14418" xr:uid="{136BA32A-398D-4898-85F9-B456A3ACC308}"/>
    <cellStyle name="Normal 5 2 3 3 13" xfId="16671" xr:uid="{907F06ED-9B70-4628-A6F8-43EF9F9EC5C3}"/>
    <cellStyle name="Normal 5 2 3 3 2" xfId="2008" xr:uid="{FC698C34-6F41-4BA6-B2BC-AB100BFD6C3F}"/>
    <cellStyle name="Normal 5 2 3 3 2 2" xfId="13292" xr:uid="{0BE45D6D-2679-493D-94E5-810949B030F2}"/>
    <cellStyle name="Normal 5 2 3 3 2 3" xfId="15545" xr:uid="{7895FC8A-3013-4814-B5DB-7C3EC158B61A}"/>
    <cellStyle name="Normal 5 2 3 3 2 4" xfId="17798" xr:uid="{38DCF1F7-034A-42A2-AB08-763D3265D718}"/>
    <cellStyle name="Normal 5 2 3 3 3" xfId="3134" xr:uid="{D5799800-95EA-4589-8D12-F74C16B395E8}"/>
    <cellStyle name="Normal 5 2 3 3 4" xfId="4260" xr:uid="{14BB5757-2675-47B5-B9AF-967643988CEB}"/>
    <cellStyle name="Normal 5 2 3 3 5" xfId="5386" xr:uid="{DF5D73F5-2A45-446D-A10F-F01825ED4069}"/>
    <cellStyle name="Normal 5 2 3 3 6" xfId="6513" xr:uid="{36771A7A-7289-4352-B9DB-7FB794F64FD3}"/>
    <cellStyle name="Normal 5 2 3 3 7" xfId="7648" xr:uid="{0CFB937C-EC6C-479B-8E4C-230A4FA752D1}"/>
    <cellStyle name="Normal 5 2 3 3 8" xfId="8202" xr:uid="{7A6E725C-3E0E-4B30-A95B-DCC1D122276D}"/>
    <cellStyle name="Normal 5 2 3 3 9" xfId="9339" xr:uid="{3EDAAE18-92E1-4BC0-AACC-B5F9969FF233}"/>
    <cellStyle name="Normal 5 2 3 4" xfId="2006" xr:uid="{FCC829BC-A71B-4003-9164-6FB9F5BACFD7}"/>
    <cellStyle name="Normal 5 2 3 4 2" xfId="13290" xr:uid="{4A5F77D8-FC91-4891-ABF5-3E74E5F3919A}"/>
    <cellStyle name="Normal 5 2 3 4 3" xfId="15543" xr:uid="{C82AEE3E-A166-4B9E-A6ED-A012DD38641C}"/>
    <cellStyle name="Normal 5 2 3 4 4" xfId="17796" xr:uid="{6452039D-8562-4003-8ED5-2966E03DC13B}"/>
    <cellStyle name="Normal 5 2 3 5" xfId="3132" xr:uid="{77E0983D-5930-47FE-ADD9-D0327C2DDE65}"/>
    <cellStyle name="Normal 5 2 3 6" xfId="4258" xr:uid="{8FE35B38-D9AC-43BA-B07C-F65D232A2147}"/>
    <cellStyle name="Normal 5 2 3 7" xfId="5384" xr:uid="{7151F3D9-B533-4EF5-8CB0-05C5DE32D29F}"/>
    <cellStyle name="Normal 5 2 3 8" xfId="6511" xr:uid="{225BE928-6921-4C93-AD3D-56A64BF49D04}"/>
    <cellStyle name="Normal 5 2 3 9" xfId="7646" xr:uid="{4E28AE80-1697-47A8-8E24-2D0959A10E72}"/>
    <cellStyle name="Normal 5 2 4" xfId="880" xr:uid="{23EF33F0-8A9E-4F1A-8975-2D903B5002C7}"/>
    <cellStyle name="Normal 5 2 4 10" xfId="10465" xr:uid="{49657071-5B9D-4FAD-A98F-F3F29C1C7830}"/>
    <cellStyle name="Normal 5 2 4 11" xfId="12166" xr:uid="{4EC6EABF-54F9-414B-972D-5AE8F769EB27}"/>
    <cellStyle name="Normal 5 2 4 12" xfId="14419" xr:uid="{EA5BF18D-4D2F-4D59-8732-EDCC08E46708}"/>
    <cellStyle name="Normal 5 2 4 13" xfId="16672" xr:uid="{41B3D9EF-7DFB-4BAA-8E1E-011DB9E884B6}"/>
    <cellStyle name="Normal 5 2 4 2" xfId="2009" xr:uid="{4097C843-C25F-46D2-8A93-ABF95A3BD4EF}"/>
    <cellStyle name="Normal 5 2 4 2 2" xfId="13293" xr:uid="{2587D574-51E1-4E27-846B-1FC5599E9BBE}"/>
    <cellStyle name="Normal 5 2 4 2 3" xfId="15546" xr:uid="{BE92A813-F5B3-414B-99F6-35818FFCBE79}"/>
    <cellStyle name="Normal 5 2 4 2 4" xfId="17799" xr:uid="{B7C64E83-F4C7-471A-B38B-598D8E03D689}"/>
    <cellStyle name="Normal 5 2 4 3" xfId="3135" xr:uid="{AAA122EC-065C-43BF-86D5-2B6A4B8E912C}"/>
    <cellStyle name="Normal 5 2 4 4" xfId="4261" xr:uid="{02D1765A-B3B8-411E-BFDF-07DCA264BD31}"/>
    <cellStyle name="Normal 5 2 4 5" xfId="5387" xr:uid="{022FEDE3-E703-4464-A70D-66204CCB5F7F}"/>
    <cellStyle name="Normal 5 2 4 6" xfId="6514" xr:uid="{324CEAFB-A6AD-43C7-B24F-C64F91824F43}"/>
    <cellStyle name="Normal 5 2 4 7" xfId="7649" xr:uid="{BE89E590-C9FD-4452-8559-5D0CCCA009A2}"/>
    <cellStyle name="Normal 5 2 4 8" xfId="8201" xr:uid="{6570F91A-5161-4855-A851-5E111A734BC4}"/>
    <cellStyle name="Normal 5 2 4 9" xfId="9338" xr:uid="{37C6DAEE-66CC-448C-BA47-C3F9647CCF90}"/>
    <cellStyle name="Normal 5 2 5" xfId="881" xr:uid="{8131B42B-EDA0-42B8-9002-9AC1553777EA}"/>
    <cellStyle name="Normal 5 2 5 10" xfId="10464" xr:uid="{B1D42609-A9F9-4517-AD42-D778E2F9B2B5}"/>
    <cellStyle name="Normal 5 2 5 11" xfId="12167" xr:uid="{10D849E8-1127-434E-9BAB-345A84A343CA}"/>
    <cellStyle name="Normal 5 2 5 12" xfId="14420" xr:uid="{69F9B111-C0CB-4BB3-BB51-436BEF0D433D}"/>
    <cellStyle name="Normal 5 2 5 13" xfId="16673" xr:uid="{07A45E16-4779-4CC4-98C4-94998FF4358B}"/>
    <cellStyle name="Normal 5 2 5 2" xfId="2010" xr:uid="{DDE1CC44-82F4-4D8E-B926-22643216DDAA}"/>
    <cellStyle name="Normal 5 2 5 2 2" xfId="13294" xr:uid="{DAE60065-424B-4CA1-915C-4CB920E13A06}"/>
    <cellStyle name="Normal 5 2 5 2 3" xfId="15547" xr:uid="{6396F747-A48A-4441-9FFB-E138BF4AD87F}"/>
    <cellStyle name="Normal 5 2 5 2 4" xfId="17800" xr:uid="{1027DA75-FF09-4D7F-B594-CBB11FE4F278}"/>
    <cellStyle name="Normal 5 2 5 3" xfId="3136" xr:uid="{7EC78F83-3D48-481E-98B1-E819C942E358}"/>
    <cellStyle name="Normal 5 2 5 4" xfId="4262" xr:uid="{10DDE2A8-AC98-4110-9935-AA276F3EBC26}"/>
    <cellStyle name="Normal 5 2 5 5" xfId="5388" xr:uid="{05091AF2-05A9-4F46-9D1B-137545036614}"/>
    <cellStyle name="Normal 5 2 5 6" xfId="6515" xr:uid="{6EC267EC-3B20-4029-ACAB-59D8E1E73D4F}"/>
    <cellStyle name="Normal 5 2 5 7" xfId="7650" xr:uid="{38EFB21D-7C2E-48E8-88E6-4A7D054D869A}"/>
    <cellStyle name="Normal 5 2 5 8" xfId="8200" xr:uid="{BA24DFDB-CBBD-492C-A78A-A0CD40426CF2}"/>
    <cellStyle name="Normal 5 2 5 9" xfId="9337" xr:uid="{FEA6A054-2B16-4B2D-8E27-B0D68FB812A8}"/>
    <cellStyle name="Normal 5 2 6" xfId="1999" xr:uid="{4C9BCB9A-6D79-45E6-9272-668664A52805}"/>
    <cellStyle name="Normal 5 2 6 2" xfId="13283" xr:uid="{094AA7FB-2486-4F7F-87FE-CD6AC40B9C5F}"/>
    <cellStyle name="Normal 5 2 6 3" xfId="15536" xr:uid="{592A662C-A4AF-4FE2-88FC-6FAEAA8AB29B}"/>
    <cellStyle name="Normal 5 2 6 4" xfId="17789" xr:uid="{74886196-DE43-4921-A26F-9D49D430B5DA}"/>
    <cellStyle name="Normal 5 2 7" xfId="3125" xr:uid="{1FB10668-BB77-4DE8-87E3-3E2E06A5B62F}"/>
    <cellStyle name="Normal 5 2 8" xfId="4251" xr:uid="{85944CD6-468B-4B68-BD53-2375C173E7FE}"/>
    <cellStyle name="Normal 5 2 9" xfId="5377" xr:uid="{9BE976BF-BAE9-4A7F-A676-661F294572B7}"/>
    <cellStyle name="Normal 5 20" xfId="16661" xr:uid="{AA5618CC-92F6-4C63-86AE-093566DFB38A}"/>
    <cellStyle name="Normal 5 3" xfId="882" xr:uid="{BAC450A3-EEAC-4EFD-B78E-7713E88EEC4C}"/>
    <cellStyle name="Normal 5 3 10" xfId="6516" xr:uid="{2AE9C730-656B-4DC6-851E-041E5003DE5F}"/>
    <cellStyle name="Normal 5 3 11" xfId="7651" xr:uid="{2F0BAB2A-32EA-4047-B104-F09502F1F506}"/>
    <cellStyle name="Normal 5 3 12" xfId="8199" xr:uid="{C51F58C5-5DA8-4754-91A3-36DAFA33FDBF}"/>
    <cellStyle name="Normal 5 3 13" xfId="9336" xr:uid="{BBCC88BE-6DED-4181-84CC-55793642FCCF}"/>
    <cellStyle name="Normal 5 3 14" xfId="10463" xr:uid="{B53A8EEB-31BC-4323-B175-D78614A25FB5}"/>
    <cellStyle name="Normal 5 3 15" xfId="12168" xr:uid="{F4E5FDAF-29B5-47F3-9096-3A78E1F59CF9}"/>
    <cellStyle name="Normal 5 3 16" xfId="14421" xr:uid="{9CCCAC7F-05E5-4A5A-9160-289B82643789}"/>
    <cellStyle name="Normal 5 3 17" xfId="16674" xr:uid="{384FF711-E5B7-4930-946C-A8AB23B9B303}"/>
    <cellStyle name="Normal 5 3 2" xfId="883" xr:uid="{2E5AE3CC-001D-4773-885E-EF654097A85A}"/>
    <cellStyle name="Normal 5 3 2 10" xfId="7652" xr:uid="{916AAFF5-B00C-4539-80DA-8EDD24DC423B}"/>
    <cellStyle name="Normal 5 3 2 11" xfId="8198" xr:uid="{B5BEE2B6-DC65-4750-AD96-C7EE94E57BA8}"/>
    <cellStyle name="Normal 5 3 2 12" xfId="9335" xr:uid="{8DC266E6-ACAE-4524-9958-2B244464E06C}"/>
    <cellStyle name="Normal 5 3 2 13" xfId="10462" xr:uid="{521A5115-570C-4A8C-993C-686018708E8C}"/>
    <cellStyle name="Normal 5 3 2 14" xfId="12169" xr:uid="{E25170F6-21E1-4B70-B433-21A95A795DF6}"/>
    <cellStyle name="Normal 5 3 2 15" xfId="14422" xr:uid="{0DCA93BA-37F8-45AA-81F6-0BD4ED9248F7}"/>
    <cellStyle name="Normal 5 3 2 16" xfId="16675" xr:uid="{61E74C26-8C7F-442E-9A06-20DAD79FB074}"/>
    <cellStyle name="Normal 5 3 2 2" xfId="884" xr:uid="{73B9C51D-5171-4A0D-9A33-3C0F3398EE13}"/>
    <cellStyle name="Normal 5 3 2 2 10" xfId="8197" xr:uid="{24FE1A56-DFAA-4555-9502-24A6B09F1C8F}"/>
    <cellStyle name="Normal 5 3 2 2 11" xfId="9334" xr:uid="{C4523ACA-AA9E-40A0-BC44-75578D2CD469}"/>
    <cellStyle name="Normal 5 3 2 2 12" xfId="10461" xr:uid="{0197B10C-EC34-49D9-AF67-A67E0E57AFD3}"/>
    <cellStyle name="Normal 5 3 2 2 13" xfId="12170" xr:uid="{418040BF-4828-46D4-A7CD-F2601CB3D2A8}"/>
    <cellStyle name="Normal 5 3 2 2 14" xfId="14423" xr:uid="{5B82ADE6-284F-41EF-9E4D-8200CD61CE5A}"/>
    <cellStyle name="Normal 5 3 2 2 15" xfId="16676" xr:uid="{3E2B5D9B-194F-4EC2-8292-1ACBBCAB5294}"/>
    <cellStyle name="Normal 5 3 2 2 2" xfId="885" xr:uid="{82F28150-5756-4FEA-AF48-277168BA1D77}"/>
    <cellStyle name="Normal 5 3 2 2 2 10" xfId="10460" xr:uid="{DE777D64-C755-4FE5-AECD-589F8377BDC7}"/>
    <cellStyle name="Normal 5 3 2 2 2 11" xfId="12171" xr:uid="{7D0C9480-B92E-4C2C-9C08-7F5B39766506}"/>
    <cellStyle name="Normal 5 3 2 2 2 12" xfId="14424" xr:uid="{6C4136F4-F94A-43AB-A93A-0EB150969507}"/>
    <cellStyle name="Normal 5 3 2 2 2 13" xfId="16677" xr:uid="{E6123CEF-7E28-4299-AFB8-F9D8B850D8D7}"/>
    <cellStyle name="Normal 5 3 2 2 2 2" xfId="2014" xr:uid="{37C67BF6-D3E0-4089-B39F-4DDE77323501}"/>
    <cellStyle name="Normal 5 3 2 2 2 2 2" xfId="13298" xr:uid="{B7EEEA07-9007-4D7A-A768-8D0A4649BEFA}"/>
    <cellStyle name="Normal 5 3 2 2 2 2 3" xfId="15551" xr:uid="{2918ACFF-778C-4CA7-834B-870FC4B5676C}"/>
    <cellStyle name="Normal 5 3 2 2 2 2 4" xfId="17804" xr:uid="{F687C43A-36D5-4234-A3B1-A78DB9CC2F98}"/>
    <cellStyle name="Normal 5 3 2 2 2 3" xfId="3140" xr:uid="{7493AB23-9EDA-4D06-808B-56032D045399}"/>
    <cellStyle name="Normal 5 3 2 2 2 4" xfId="4266" xr:uid="{FDDBE649-334F-449F-B3BE-D9BD76028A1B}"/>
    <cellStyle name="Normal 5 3 2 2 2 5" xfId="5392" xr:uid="{8F1877D3-F693-4615-871E-94483F4AA4FB}"/>
    <cellStyle name="Normal 5 3 2 2 2 6" xfId="6519" xr:uid="{41E0FA97-68F6-4676-B34B-C2AC08CF8CA5}"/>
    <cellStyle name="Normal 5 3 2 2 2 7" xfId="7654" xr:uid="{EB18FFE3-0CE5-45DF-8482-603D29CC2889}"/>
    <cellStyle name="Normal 5 3 2 2 2 8" xfId="8196" xr:uid="{00E7F93F-44FC-4C2F-B7F4-F4A859A8CC8D}"/>
    <cellStyle name="Normal 5 3 2 2 2 9" xfId="9333" xr:uid="{DE5646A6-A525-4DAA-90C8-6BCF11BE5010}"/>
    <cellStyle name="Normal 5 3 2 2 3" xfId="886" xr:uid="{FAC15D8E-8B35-411C-98FF-0B4FFCA4CC15}"/>
    <cellStyle name="Normal 5 3 2 2 3 10" xfId="10459" xr:uid="{F856EA43-6123-4A75-B880-31EB08247B0A}"/>
    <cellStyle name="Normal 5 3 2 2 3 11" xfId="12172" xr:uid="{6609DEA8-3C81-4487-8203-5081DE34C7F0}"/>
    <cellStyle name="Normal 5 3 2 2 3 12" xfId="14425" xr:uid="{1735FAD0-B424-4D37-8C30-92E4C1BFD622}"/>
    <cellStyle name="Normal 5 3 2 2 3 13" xfId="16678" xr:uid="{39B9F14B-E4D1-4411-8F6F-A12E8B5211FE}"/>
    <cellStyle name="Normal 5 3 2 2 3 2" xfId="2015" xr:uid="{4D93E8D8-D261-4C19-AF77-16C43828B165}"/>
    <cellStyle name="Normal 5 3 2 2 3 2 2" xfId="13299" xr:uid="{BFA5656B-728F-49EA-886B-4BD7923BB975}"/>
    <cellStyle name="Normal 5 3 2 2 3 2 3" xfId="15552" xr:uid="{3AD6F996-DE69-4BD9-B466-662455D4ADD4}"/>
    <cellStyle name="Normal 5 3 2 2 3 2 4" xfId="17805" xr:uid="{DA9B12AE-2195-4FDC-AAF8-CC24BAC03BD3}"/>
    <cellStyle name="Normal 5 3 2 2 3 3" xfId="3141" xr:uid="{77E377C5-E975-4971-BCA4-BD4A47C8E0B1}"/>
    <cellStyle name="Normal 5 3 2 2 3 4" xfId="4267" xr:uid="{67B43648-C37E-4748-9257-14AEF168582E}"/>
    <cellStyle name="Normal 5 3 2 2 3 5" xfId="5393" xr:uid="{484F2A76-0283-4B48-9330-B8A4D548F699}"/>
    <cellStyle name="Normal 5 3 2 2 3 6" xfId="6520" xr:uid="{3EEAFD6E-E2AE-4862-9D27-60516E11458A}"/>
    <cellStyle name="Normal 5 3 2 2 3 7" xfId="7655" xr:uid="{68D05FDC-C05B-4C6C-A319-AF3DE1CFE39F}"/>
    <cellStyle name="Normal 5 3 2 2 3 8" xfId="8195" xr:uid="{8B659CD4-7D96-46A3-8100-6555DB3F67AD}"/>
    <cellStyle name="Normal 5 3 2 2 3 9" xfId="9332" xr:uid="{F6336D4C-1936-4D75-A955-716EC7581AED}"/>
    <cellStyle name="Normal 5 3 2 2 4" xfId="2013" xr:uid="{A74EB3DA-38E4-4935-98A2-4B8F6EF25B1E}"/>
    <cellStyle name="Normal 5 3 2 2 4 2" xfId="13297" xr:uid="{2A9027F6-1F20-48DE-9D32-FFD89D7841AA}"/>
    <cellStyle name="Normal 5 3 2 2 4 3" xfId="15550" xr:uid="{BAC63509-6D40-48D8-AA08-79A890A7F284}"/>
    <cellStyle name="Normal 5 3 2 2 4 4" xfId="17803" xr:uid="{2B296F18-D332-4122-B3C0-5C93952287A9}"/>
    <cellStyle name="Normal 5 3 2 2 5" xfId="3139" xr:uid="{DAAD4791-4257-4F12-B548-0AAF97E63C93}"/>
    <cellStyle name="Normal 5 3 2 2 6" xfId="4265" xr:uid="{6A4ECB9C-1BF9-4326-9B7B-AF2FA2AF435D}"/>
    <cellStyle name="Normal 5 3 2 2 7" xfId="5391" xr:uid="{D35634BC-79DD-421B-8EBF-1804ADF7DF74}"/>
    <cellStyle name="Normal 5 3 2 2 8" xfId="6518" xr:uid="{190143FE-EAA4-4444-BDD9-0E1B100BF8C9}"/>
    <cellStyle name="Normal 5 3 2 2 9" xfId="7653" xr:uid="{5B3F9A4C-C85C-49E2-9091-037CB751332A}"/>
    <cellStyle name="Normal 5 3 2 3" xfId="887" xr:uid="{7E1F7D60-00DD-4630-AC32-21A57CC9A61F}"/>
    <cellStyle name="Normal 5 3 2 3 10" xfId="10458" xr:uid="{92A493E2-11FE-4AFE-9551-ADC7CAF5C02E}"/>
    <cellStyle name="Normal 5 3 2 3 11" xfId="12173" xr:uid="{7A208F3F-5351-40EE-B3AD-8A805DB16241}"/>
    <cellStyle name="Normal 5 3 2 3 12" xfId="14426" xr:uid="{A482A35F-DC44-4706-AF67-D06263EDDB48}"/>
    <cellStyle name="Normal 5 3 2 3 13" xfId="16679" xr:uid="{107731BB-F317-4829-A383-D1BC2CFA7A70}"/>
    <cellStyle name="Normal 5 3 2 3 2" xfId="2016" xr:uid="{BE309A32-E14B-4C78-82B5-5B9E2C883F05}"/>
    <cellStyle name="Normal 5 3 2 3 2 2" xfId="13300" xr:uid="{72049CF6-5D44-4435-B29F-912F6E877314}"/>
    <cellStyle name="Normal 5 3 2 3 2 3" xfId="15553" xr:uid="{C679DB71-83AF-4F1E-B300-FE8B7DDD3C28}"/>
    <cellStyle name="Normal 5 3 2 3 2 4" xfId="17806" xr:uid="{5B4F7747-AD2A-4EAC-8D90-264D07A18F8A}"/>
    <cellStyle name="Normal 5 3 2 3 3" xfId="3142" xr:uid="{F44BDC0E-A976-4828-B4B9-A8E0F3ABEF66}"/>
    <cellStyle name="Normal 5 3 2 3 4" xfId="4268" xr:uid="{23C46662-9673-456A-8EBE-C28C3A045A39}"/>
    <cellStyle name="Normal 5 3 2 3 5" xfId="5394" xr:uid="{6006AFBE-DC59-4AE4-8405-20573625FB31}"/>
    <cellStyle name="Normal 5 3 2 3 6" xfId="6521" xr:uid="{5EA8153A-C4FD-4018-9982-8B105E97282E}"/>
    <cellStyle name="Normal 5 3 2 3 7" xfId="7656" xr:uid="{16B74430-7170-4163-8429-3AE60AFEC02C}"/>
    <cellStyle name="Normal 5 3 2 3 8" xfId="8194" xr:uid="{C053376F-92CC-4D5C-B946-4C8255B129C8}"/>
    <cellStyle name="Normal 5 3 2 3 9" xfId="9331" xr:uid="{0B665530-48AD-4442-9F8F-6CEBF9C290FE}"/>
    <cellStyle name="Normal 5 3 2 4" xfId="888" xr:uid="{CD803FCF-B137-4E5C-A6B1-2A1DEDB0F5A9}"/>
    <cellStyle name="Normal 5 3 2 4 10" xfId="10457" xr:uid="{F4B4EE41-95F1-4775-9733-481D82809542}"/>
    <cellStyle name="Normal 5 3 2 4 11" xfId="12174" xr:uid="{5C0AFBAA-EFC1-4095-B068-B0C4B435448F}"/>
    <cellStyle name="Normal 5 3 2 4 12" xfId="14427" xr:uid="{1404584B-4A6A-4587-AB30-00CA37B82DBE}"/>
    <cellStyle name="Normal 5 3 2 4 13" xfId="16680" xr:uid="{87BFB342-6280-4DAD-8BD5-71241F37B2D3}"/>
    <cellStyle name="Normal 5 3 2 4 2" xfId="2017" xr:uid="{A00D6034-EBEA-4456-BDB4-D842CBF71312}"/>
    <cellStyle name="Normal 5 3 2 4 2 2" xfId="13301" xr:uid="{27EBD5F2-40E3-4862-A86B-9044869B3424}"/>
    <cellStyle name="Normal 5 3 2 4 2 3" xfId="15554" xr:uid="{7A46EB40-489A-4E27-B922-B839F1E0EB0C}"/>
    <cellStyle name="Normal 5 3 2 4 2 4" xfId="17807" xr:uid="{CA2C6AE9-FA87-4888-9AD7-88B664A2E436}"/>
    <cellStyle name="Normal 5 3 2 4 3" xfId="3143" xr:uid="{23554511-DD6D-4E50-93B4-C492E499C7C4}"/>
    <cellStyle name="Normal 5 3 2 4 4" xfId="4269" xr:uid="{46DFAFBB-E02E-499B-BA7E-2E388841799C}"/>
    <cellStyle name="Normal 5 3 2 4 5" xfId="5395" xr:uid="{DE6A399E-7A0A-408A-B556-E7BB9808C5AA}"/>
    <cellStyle name="Normal 5 3 2 4 6" xfId="6522" xr:uid="{012AE3D4-6308-4728-95CC-85E020E5E9CA}"/>
    <cellStyle name="Normal 5 3 2 4 7" xfId="7657" xr:uid="{FF1DD79A-6097-4AD4-8D06-EDC6E88A8EB1}"/>
    <cellStyle name="Normal 5 3 2 4 8" xfId="8193" xr:uid="{6ABB9220-6CE8-46BD-8BFB-05AD4C168289}"/>
    <cellStyle name="Normal 5 3 2 4 9" xfId="9330" xr:uid="{1058A008-4DA4-4052-B096-62EE237472FB}"/>
    <cellStyle name="Normal 5 3 2 5" xfId="2012" xr:uid="{010CA960-28DB-422C-8A18-62931F907337}"/>
    <cellStyle name="Normal 5 3 2 5 2" xfId="13296" xr:uid="{D9889542-7A03-4F0A-8F09-809FA69E3833}"/>
    <cellStyle name="Normal 5 3 2 5 3" xfId="15549" xr:uid="{90F2BA85-3A94-467F-AAEC-7BA219915206}"/>
    <cellStyle name="Normal 5 3 2 5 4" xfId="17802" xr:uid="{BF73C039-DEEC-4753-8E8C-37F319665B77}"/>
    <cellStyle name="Normal 5 3 2 6" xfId="3138" xr:uid="{048D9AAE-0AED-47B9-B500-7501C070F8C3}"/>
    <cellStyle name="Normal 5 3 2 7" xfId="4264" xr:uid="{9F781A98-BCDC-4311-BB97-FA7AC2CDFC1D}"/>
    <cellStyle name="Normal 5 3 2 8" xfId="5390" xr:uid="{52FC3583-DC82-4409-ADC1-B4E6E7637C0F}"/>
    <cellStyle name="Normal 5 3 2 9" xfId="6517" xr:uid="{D44D8877-705C-4CA1-9496-7B569B5762ED}"/>
    <cellStyle name="Normal 5 3 3" xfId="889" xr:uid="{B88C42F4-14A0-4286-8199-6B54A6E0F8F7}"/>
    <cellStyle name="Normal 5 3 3 10" xfId="8192" xr:uid="{319CBE75-7CC4-48FE-90F0-532A603DC86F}"/>
    <cellStyle name="Normal 5 3 3 11" xfId="9329" xr:uid="{0D2E7D71-41E9-48D7-A429-438B918C3B2A}"/>
    <cellStyle name="Normal 5 3 3 12" xfId="10456" xr:uid="{F002081F-D03B-4B15-8BE6-35C5349D8D18}"/>
    <cellStyle name="Normal 5 3 3 13" xfId="12175" xr:uid="{9AC54C01-E97C-46D7-94B4-62550CBB2F7F}"/>
    <cellStyle name="Normal 5 3 3 14" xfId="14428" xr:uid="{27EF4F81-B1F5-4F3A-838E-EF77F669D284}"/>
    <cellStyle name="Normal 5 3 3 15" xfId="16681" xr:uid="{68DABFB3-FCB6-4CEA-92F8-78538699AF51}"/>
    <cellStyle name="Normal 5 3 3 2" xfId="890" xr:uid="{D787340C-1F5A-4686-859F-B04A11355E7A}"/>
    <cellStyle name="Normal 5 3 3 2 10" xfId="10455" xr:uid="{BF163FBC-9454-4AB6-8039-356DF21083A4}"/>
    <cellStyle name="Normal 5 3 3 2 11" xfId="12176" xr:uid="{70094269-4788-492B-A6EA-596882EE4EE8}"/>
    <cellStyle name="Normal 5 3 3 2 12" xfId="14429" xr:uid="{6743505E-3A84-48FC-A5A8-6285960C9D0E}"/>
    <cellStyle name="Normal 5 3 3 2 13" xfId="16682" xr:uid="{08D257D9-FAC8-4B1D-B6A8-CDA395699332}"/>
    <cellStyle name="Normal 5 3 3 2 2" xfId="2019" xr:uid="{CFE220C2-3371-4A8C-99C4-61A51FCD50DA}"/>
    <cellStyle name="Normal 5 3 3 2 2 2" xfId="13303" xr:uid="{9D7DC0E2-3751-41AB-A7A2-D01F16500E35}"/>
    <cellStyle name="Normal 5 3 3 2 2 3" xfId="15556" xr:uid="{A38BD37F-77A0-4345-A3C7-2B2FBE0BC12D}"/>
    <cellStyle name="Normal 5 3 3 2 2 4" xfId="17809" xr:uid="{37F980DF-A1C4-4B4D-AD77-2043C865D637}"/>
    <cellStyle name="Normal 5 3 3 2 3" xfId="3145" xr:uid="{E9568483-0697-4F67-9F22-2BA7D719D22E}"/>
    <cellStyle name="Normal 5 3 3 2 4" xfId="4271" xr:uid="{ED08230B-FA3C-439A-8D19-34D5622A89BF}"/>
    <cellStyle name="Normal 5 3 3 2 5" xfId="5397" xr:uid="{E828DE30-1A9C-4C32-9AE9-4A1ECD5A8A62}"/>
    <cellStyle name="Normal 5 3 3 2 6" xfId="6524" xr:uid="{0BB0F087-0780-42DF-8A72-982AC4124B5C}"/>
    <cellStyle name="Normal 5 3 3 2 7" xfId="7659" xr:uid="{55E7BF8A-37E6-4C24-B344-221458140B7F}"/>
    <cellStyle name="Normal 5 3 3 2 8" xfId="8191" xr:uid="{02EAB397-88A8-4551-A8FD-F4B9224A94A1}"/>
    <cellStyle name="Normal 5 3 3 2 9" xfId="9328" xr:uid="{141AEFD9-9EBA-4F5F-A289-4D909B7D243E}"/>
    <cellStyle name="Normal 5 3 3 3" xfId="891" xr:uid="{7C6A7BE2-36E8-41F3-BB8D-D120E242AAD9}"/>
    <cellStyle name="Normal 5 3 3 3 10" xfId="10454" xr:uid="{01C37DE2-F0B7-48C8-A433-4D7D01E3E017}"/>
    <cellStyle name="Normal 5 3 3 3 11" xfId="12177" xr:uid="{98367DA6-5B3E-431E-A8DA-6275F81D00ED}"/>
    <cellStyle name="Normal 5 3 3 3 12" xfId="14430" xr:uid="{8CBE952E-99BC-460A-9787-BB6DC5F93756}"/>
    <cellStyle name="Normal 5 3 3 3 13" xfId="16683" xr:uid="{65FAC046-1B1C-490A-947A-D34B961140D4}"/>
    <cellStyle name="Normal 5 3 3 3 2" xfId="2020" xr:uid="{6D3C3115-4BDB-4492-83B1-69F86795F6B6}"/>
    <cellStyle name="Normal 5 3 3 3 2 2" xfId="13304" xr:uid="{B29066D7-F583-47A4-BF5D-B6B95E1A7230}"/>
    <cellStyle name="Normal 5 3 3 3 2 3" xfId="15557" xr:uid="{4C2E5190-76E9-4BB2-ADAD-3338D765D61C}"/>
    <cellStyle name="Normal 5 3 3 3 2 4" xfId="17810" xr:uid="{1835A75A-2181-4841-AD71-B9DBDE54EEDF}"/>
    <cellStyle name="Normal 5 3 3 3 3" xfId="3146" xr:uid="{09DF94A8-E2C9-44DF-B6CE-AB37FCF40167}"/>
    <cellStyle name="Normal 5 3 3 3 4" xfId="4272" xr:uid="{A20D295B-C498-4F8E-8683-81823A07A3C3}"/>
    <cellStyle name="Normal 5 3 3 3 5" xfId="5398" xr:uid="{BE04E557-992B-4C9B-BB50-877EFC7C7569}"/>
    <cellStyle name="Normal 5 3 3 3 6" xfId="6525" xr:uid="{58AB5077-BBED-4B43-B5D3-B5A2EF21C6BB}"/>
    <cellStyle name="Normal 5 3 3 3 7" xfId="7660" xr:uid="{C446E561-FDDC-4AA7-8ED2-FA87373EA789}"/>
    <cellStyle name="Normal 5 3 3 3 8" xfId="8190" xr:uid="{8D5DD689-BD60-4D73-BF88-421C0E03F1DC}"/>
    <cellStyle name="Normal 5 3 3 3 9" xfId="9327" xr:uid="{F1EF736A-701D-4ABA-AD5A-180670B1B730}"/>
    <cellStyle name="Normal 5 3 3 4" xfId="2018" xr:uid="{044643BE-3E3F-49E1-A0A3-ED618E39A86C}"/>
    <cellStyle name="Normal 5 3 3 4 2" xfId="13302" xr:uid="{4D435F16-3D73-4BB3-9A10-E03E5980C8E6}"/>
    <cellStyle name="Normal 5 3 3 4 3" xfId="15555" xr:uid="{D3D7C6B6-45E9-455F-8A01-DE8E14C182F1}"/>
    <cellStyle name="Normal 5 3 3 4 4" xfId="17808" xr:uid="{631BD474-DF90-4AC6-AB1A-D4E319267C10}"/>
    <cellStyle name="Normal 5 3 3 5" xfId="3144" xr:uid="{66B33A31-DB42-4E57-AC66-FC2BE6559936}"/>
    <cellStyle name="Normal 5 3 3 6" xfId="4270" xr:uid="{6FC57DAD-BFAA-4AB3-A086-18FBA7188844}"/>
    <cellStyle name="Normal 5 3 3 7" xfId="5396" xr:uid="{C3CDC53D-4240-49D3-8083-17D49AD5BB61}"/>
    <cellStyle name="Normal 5 3 3 8" xfId="6523" xr:uid="{2AB8929D-E24C-4A92-AABF-91A7108D0F34}"/>
    <cellStyle name="Normal 5 3 3 9" xfId="7658" xr:uid="{155ECD7B-26C0-4392-8E83-DCB043D2BF14}"/>
    <cellStyle name="Normal 5 3 4" xfId="892" xr:uid="{72864EC3-B97E-4EAC-93BB-7484E2418978}"/>
    <cellStyle name="Normal 5 3 4 10" xfId="10453" xr:uid="{3EC5B1EF-153E-49A9-AD4B-43577BAB2A53}"/>
    <cellStyle name="Normal 5 3 4 11" xfId="12178" xr:uid="{D3BB4B3A-2212-4E23-A98A-3EC8063A9722}"/>
    <cellStyle name="Normal 5 3 4 12" xfId="14431" xr:uid="{14546281-8D51-4909-B175-73ECAC0A8D56}"/>
    <cellStyle name="Normal 5 3 4 13" xfId="16684" xr:uid="{88802046-A219-4D7B-8C14-AA3FFC80D430}"/>
    <cellStyle name="Normal 5 3 4 2" xfId="2021" xr:uid="{7DB21FEA-8CBA-4A4A-A780-808ACF3D3B04}"/>
    <cellStyle name="Normal 5 3 4 2 2" xfId="13305" xr:uid="{0DFBB265-F61A-4B78-A27B-D710092F256C}"/>
    <cellStyle name="Normal 5 3 4 2 3" xfId="15558" xr:uid="{8129E6CE-C173-477D-8534-11D9E3D948BB}"/>
    <cellStyle name="Normal 5 3 4 2 4" xfId="17811" xr:uid="{1748FC63-4F62-49EA-A610-B70380196367}"/>
    <cellStyle name="Normal 5 3 4 3" xfId="3147" xr:uid="{66E70EE0-65E2-459E-AD1E-DFB64E4187B3}"/>
    <cellStyle name="Normal 5 3 4 4" xfId="4273" xr:uid="{93795F57-F4B3-4632-8779-817E67498BE0}"/>
    <cellStyle name="Normal 5 3 4 5" xfId="5399" xr:uid="{B8F27F44-760F-4B9B-B34E-E953F67DA344}"/>
    <cellStyle name="Normal 5 3 4 6" xfId="6526" xr:uid="{A59B0BCC-6CA3-45F4-B9F4-4D0CB2770447}"/>
    <cellStyle name="Normal 5 3 4 7" xfId="7661" xr:uid="{99C9553A-27C3-4670-ADF0-1BEF33633938}"/>
    <cellStyle name="Normal 5 3 4 8" xfId="8189" xr:uid="{2F22A55F-3395-4558-887A-1739E15FF302}"/>
    <cellStyle name="Normal 5 3 4 9" xfId="9326" xr:uid="{539E5150-E0D7-4BD1-9CDB-3C8CA22F0181}"/>
    <cellStyle name="Normal 5 3 5" xfId="893" xr:uid="{00E63A2A-0448-47A6-B353-F90B8A36CEDE}"/>
    <cellStyle name="Normal 5 3 5 10" xfId="10452" xr:uid="{D1185A1F-3C04-4016-AAE8-E95A178D84F0}"/>
    <cellStyle name="Normal 5 3 5 11" xfId="12179" xr:uid="{E51C6265-33C7-47DD-B56D-F157ABA17A2F}"/>
    <cellStyle name="Normal 5 3 5 12" xfId="14432" xr:uid="{C63015AC-6343-4B1A-AF12-5A4664258991}"/>
    <cellStyle name="Normal 5 3 5 13" xfId="16685" xr:uid="{3A2CA8F3-188E-4CBE-B42B-B4614ECC012B}"/>
    <cellStyle name="Normal 5 3 5 2" xfId="2022" xr:uid="{23927528-1FE8-4079-AC3F-2C85375F2A64}"/>
    <cellStyle name="Normal 5 3 5 2 2" xfId="13306" xr:uid="{E8C040CA-9CBF-4A34-9A50-56DBED7D4D3B}"/>
    <cellStyle name="Normal 5 3 5 2 3" xfId="15559" xr:uid="{1EC0F249-8D8B-49E7-B755-116F057E2A8E}"/>
    <cellStyle name="Normal 5 3 5 2 4" xfId="17812" xr:uid="{3B4FBE95-9D09-4C05-9033-93DE7C8E43E3}"/>
    <cellStyle name="Normal 5 3 5 3" xfId="3148" xr:uid="{A6242FA0-64E8-42FE-82AC-03A0F99BBD26}"/>
    <cellStyle name="Normal 5 3 5 4" xfId="4274" xr:uid="{753A8CDD-3A88-4A85-A226-46E27B6EAB93}"/>
    <cellStyle name="Normal 5 3 5 5" xfId="5400" xr:uid="{0C477F8F-EA58-49AF-B296-46825B66BFC4}"/>
    <cellStyle name="Normal 5 3 5 6" xfId="6527" xr:uid="{0123243D-CE45-4BD4-82B9-9DA8F0B3BBB9}"/>
    <cellStyle name="Normal 5 3 5 7" xfId="7662" xr:uid="{9F69FD89-21C1-4AAD-A073-FDB1854764CA}"/>
    <cellStyle name="Normal 5 3 5 8" xfId="8188" xr:uid="{6442273A-11A7-4576-B5A0-5808625E3630}"/>
    <cellStyle name="Normal 5 3 5 9" xfId="9325" xr:uid="{D105294F-783E-44F9-995F-591E050891ED}"/>
    <cellStyle name="Normal 5 3 6" xfId="2011" xr:uid="{99CFCB68-E288-4A79-B4A4-C3D4CDF2ED4C}"/>
    <cellStyle name="Normal 5 3 6 2" xfId="13295" xr:uid="{012BD2F0-8FEC-4CDA-9AED-1F466589D44D}"/>
    <cellStyle name="Normal 5 3 6 3" xfId="15548" xr:uid="{29AA7ED1-1967-460A-B92B-018D07A76E48}"/>
    <cellStyle name="Normal 5 3 6 4" xfId="17801" xr:uid="{2BD47F77-7703-4338-BCB8-CA8E004DE6DA}"/>
    <cellStyle name="Normal 5 3 7" xfId="3137" xr:uid="{7B303593-1E52-4302-AAE5-6BB1240E023D}"/>
    <cellStyle name="Normal 5 3 8" xfId="4263" xr:uid="{80BF669E-683B-4377-8919-A888AD62DA1A}"/>
    <cellStyle name="Normal 5 3 9" xfId="5389" xr:uid="{FC6D6DD9-739A-4D62-B5CB-211E553AE21C}"/>
    <cellStyle name="Normal 5 4" xfId="894" xr:uid="{C6C7AE54-E36F-43B5-B5FA-DC6618E44890}"/>
    <cellStyle name="Normal 5 4 10" xfId="7663" xr:uid="{295A07EB-4669-4C09-9EBF-4B97306F6A72}"/>
    <cellStyle name="Normal 5 4 11" xfId="8187" xr:uid="{D39584B0-2B19-45D7-A188-59E536CF8958}"/>
    <cellStyle name="Normal 5 4 12" xfId="9324" xr:uid="{C468944C-29E1-4E86-B21B-C058C737BCD6}"/>
    <cellStyle name="Normal 5 4 13" xfId="10451" xr:uid="{EFE4AB7F-0558-4662-BBDB-53FCDD1D1285}"/>
    <cellStyle name="Normal 5 4 14" xfId="12180" xr:uid="{947CDBA8-C7B1-4AFF-BB33-352C08AF83E0}"/>
    <cellStyle name="Normal 5 4 15" xfId="14433" xr:uid="{2E2FBB8E-A3E4-40A9-9B22-08187BC43554}"/>
    <cellStyle name="Normal 5 4 16" xfId="16686" xr:uid="{5E6A7A17-7478-4335-A889-71D7AC71A8C7}"/>
    <cellStyle name="Normal 5 4 2" xfId="895" xr:uid="{E883D15B-A060-4156-B265-32869BE0EA89}"/>
    <cellStyle name="Normal 5 4 2 10" xfId="8186" xr:uid="{988F9FDB-3825-4BF7-ACA7-90CABAA04668}"/>
    <cellStyle name="Normal 5 4 2 11" xfId="9323" xr:uid="{1D3BA087-1497-4694-ABB0-EA0AB976BF82}"/>
    <cellStyle name="Normal 5 4 2 12" xfId="10450" xr:uid="{C77EE070-2BD6-4B30-ADEB-CA3CA445E3CB}"/>
    <cellStyle name="Normal 5 4 2 13" xfId="12181" xr:uid="{9E60C784-3C16-4679-B86C-8AAE9AE69873}"/>
    <cellStyle name="Normal 5 4 2 14" xfId="14434" xr:uid="{1C9D0E2A-3A16-41B1-BF0C-96BE5C447B49}"/>
    <cellStyle name="Normal 5 4 2 15" xfId="16687" xr:uid="{407EA3D8-CD37-4813-8CAD-032F35BD566A}"/>
    <cellStyle name="Normal 5 4 2 2" xfId="896" xr:uid="{2E1F8EAC-5B2C-465D-ABF3-77801478E2FF}"/>
    <cellStyle name="Normal 5 4 2 2 10" xfId="10449" xr:uid="{58A50345-F8FC-4B63-97C3-35FE148F73DB}"/>
    <cellStyle name="Normal 5 4 2 2 11" xfId="12182" xr:uid="{FD0F62B4-0D0D-4989-829A-A89B550C1B47}"/>
    <cellStyle name="Normal 5 4 2 2 12" xfId="14435" xr:uid="{DD16B49D-6702-43FD-A27F-E06CFABD6B4B}"/>
    <cellStyle name="Normal 5 4 2 2 13" xfId="16688" xr:uid="{904181F7-EBE8-4280-B853-57DB020ECF06}"/>
    <cellStyle name="Normal 5 4 2 2 2" xfId="2025" xr:uid="{7FEA0867-213E-4089-9B42-B2ABDF5F41E8}"/>
    <cellStyle name="Normal 5 4 2 2 2 2" xfId="13309" xr:uid="{6B444073-FD9F-48BD-A3C0-6116767F3B56}"/>
    <cellStyle name="Normal 5 4 2 2 2 3" xfId="15562" xr:uid="{F2E75CBD-8C94-4F99-90A8-16561E6B90BC}"/>
    <cellStyle name="Normal 5 4 2 2 2 4" xfId="17815" xr:uid="{E5B443D0-6E90-4915-9E3D-234A23CE708A}"/>
    <cellStyle name="Normal 5 4 2 2 3" xfId="3151" xr:uid="{31EA1A98-B1E9-410C-BE9D-9F6882EE57DF}"/>
    <cellStyle name="Normal 5 4 2 2 4" xfId="4277" xr:uid="{9C777F01-34C5-4493-A15C-A628C87CD23D}"/>
    <cellStyle name="Normal 5 4 2 2 5" xfId="5403" xr:uid="{B3C05C05-0302-47CD-A120-C4F9FD102BA6}"/>
    <cellStyle name="Normal 5 4 2 2 6" xfId="6530" xr:uid="{A98F5BD4-23FD-4281-A73F-EB82093CD546}"/>
    <cellStyle name="Normal 5 4 2 2 7" xfId="7665" xr:uid="{29838612-DC1A-4A46-9BF5-EA88DF92F8C3}"/>
    <cellStyle name="Normal 5 4 2 2 8" xfId="8185" xr:uid="{D0D105E5-3BED-47DF-833E-8B8D722B56F9}"/>
    <cellStyle name="Normal 5 4 2 2 9" xfId="9322" xr:uid="{6C935AB3-68B8-4E94-9026-AFCC9EEF223D}"/>
    <cellStyle name="Normal 5 4 2 3" xfId="897" xr:uid="{B632CF8B-D805-4C94-8B53-D45746352D46}"/>
    <cellStyle name="Normal 5 4 2 3 10" xfId="10448" xr:uid="{C7EF32B8-2488-4563-B076-2E47B2528FD8}"/>
    <cellStyle name="Normal 5 4 2 3 11" xfId="12183" xr:uid="{51974503-7F28-4248-AA05-6F139897B8E2}"/>
    <cellStyle name="Normal 5 4 2 3 12" xfId="14436" xr:uid="{473CD75A-C548-4780-9982-63BB38DB29D8}"/>
    <cellStyle name="Normal 5 4 2 3 13" xfId="16689" xr:uid="{E34C2548-2448-4BA6-89CD-298269AC94A8}"/>
    <cellStyle name="Normal 5 4 2 3 2" xfId="2026" xr:uid="{0FC8150D-4FEA-46AF-9FF2-EECD6FA5AB8F}"/>
    <cellStyle name="Normal 5 4 2 3 2 2" xfId="13310" xr:uid="{F7E4F127-CC57-49EF-8F4D-70D633948E8B}"/>
    <cellStyle name="Normal 5 4 2 3 2 3" xfId="15563" xr:uid="{0E089C6C-2658-452C-8730-463BD6861F4E}"/>
    <cellStyle name="Normal 5 4 2 3 2 4" xfId="17816" xr:uid="{52D717C4-9A65-4A53-BF9B-096F64A886C7}"/>
    <cellStyle name="Normal 5 4 2 3 3" xfId="3152" xr:uid="{6C51C9BE-5755-40CA-B356-21F8EBEF2066}"/>
    <cellStyle name="Normal 5 4 2 3 4" xfId="4278" xr:uid="{B290EC70-65F0-4163-86CC-365A68565692}"/>
    <cellStyle name="Normal 5 4 2 3 5" xfId="5404" xr:uid="{71D6A32A-C758-46C3-8DCA-10A43D2F02D0}"/>
    <cellStyle name="Normal 5 4 2 3 6" xfId="6531" xr:uid="{3FFB4DA3-68A7-42C5-94FC-D829AE8F43F2}"/>
    <cellStyle name="Normal 5 4 2 3 7" xfId="7666" xr:uid="{69EF4FA4-AD8B-43ED-8938-838FEEBF3CD2}"/>
    <cellStyle name="Normal 5 4 2 3 8" xfId="8184" xr:uid="{30C78473-DECA-4DD4-93DB-E02200A5635E}"/>
    <cellStyle name="Normal 5 4 2 3 9" xfId="9321" xr:uid="{F6AA4AC4-53D1-4001-9BBB-F2AD2916725B}"/>
    <cellStyle name="Normal 5 4 2 4" xfId="2024" xr:uid="{5528CF47-5352-4003-B014-7A99316C9539}"/>
    <cellStyle name="Normal 5 4 2 4 2" xfId="13308" xr:uid="{800778E4-3A2D-44EE-AE6A-EB2C20F0300D}"/>
    <cellStyle name="Normal 5 4 2 4 3" xfId="15561" xr:uid="{1DE032EC-9C56-4EC1-8AA3-42FB0AD453D4}"/>
    <cellStyle name="Normal 5 4 2 4 4" xfId="17814" xr:uid="{CB621620-735E-487A-89C3-C1665283556A}"/>
    <cellStyle name="Normal 5 4 2 5" xfId="3150" xr:uid="{1A566343-92BC-4C57-8B5E-83A615A3C912}"/>
    <cellStyle name="Normal 5 4 2 6" xfId="4276" xr:uid="{B24D0AC7-32E0-4E3B-911C-763CA9C59F09}"/>
    <cellStyle name="Normal 5 4 2 7" xfId="5402" xr:uid="{D5296162-4A77-40D3-8A2E-08776CE41B70}"/>
    <cellStyle name="Normal 5 4 2 8" xfId="6529" xr:uid="{A1AE84AE-67C7-493D-AD30-1F65BCDF8B3F}"/>
    <cellStyle name="Normal 5 4 2 9" xfId="7664" xr:uid="{1CE88080-34D1-4897-93BA-68A492D9A70B}"/>
    <cellStyle name="Normal 5 4 3" xfId="898" xr:uid="{F52A9717-F64B-49D9-8FFE-691445C85FAB}"/>
    <cellStyle name="Normal 5 4 3 10" xfId="10447" xr:uid="{5B82285B-EEA1-43F2-8C53-E69B183AF9FD}"/>
    <cellStyle name="Normal 5 4 3 11" xfId="12184" xr:uid="{50B888CE-EAF1-4A38-A648-64C24810AB79}"/>
    <cellStyle name="Normal 5 4 3 12" xfId="14437" xr:uid="{747F0EE1-D518-4549-ACDF-B364A36773C9}"/>
    <cellStyle name="Normal 5 4 3 13" xfId="16690" xr:uid="{6BA3B979-69AF-4117-822E-64E81B38357E}"/>
    <cellStyle name="Normal 5 4 3 2" xfId="2027" xr:uid="{882AA16D-F99A-4980-A0A6-4E773CD14073}"/>
    <cellStyle name="Normal 5 4 3 2 2" xfId="13311" xr:uid="{7C7CAB57-9E4E-4277-A2AB-A7B7E2C94DDE}"/>
    <cellStyle name="Normal 5 4 3 2 3" xfId="15564" xr:uid="{FDD9E317-52A3-49E5-ACA8-D13D80F72B36}"/>
    <cellStyle name="Normal 5 4 3 2 4" xfId="17817" xr:uid="{71B52725-0E4D-496A-9F99-E24A7CBC4397}"/>
    <cellStyle name="Normal 5 4 3 3" xfId="3153" xr:uid="{658B8CCA-E84E-428F-88BC-135FC5B70971}"/>
    <cellStyle name="Normal 5 4 3 4" xfId="4279" xr:uid="{F5C8B9F0-6DCC-4C2A-B1C9-1670537690DB}"/>
    <cellStyle name="Normal 5 4 3 5" xfId="5405" xr:uid="{A8A54A94-28D4-45F1-B13F-CD2123DEEB2F}"/>
    <cellStyle name="Normal 5 4 3 6" xfId="6532" xr:uid="{3A7F67BB-D35C-4757-840A-021790CE4B27}"/>
    <cellStyle name="Normal 5 4 3 7" xfId="7667" xr:uid="{585F7B87-B67B-4D53-9920-4D1DC297F6B7}"/>
    <cellStyle name="Normal 5 4 3 8" xfId="8183" xr:uid="{54FBAE83-D01F-42D9-8CF2-EBF8D2A07230}"/>
    <cellStyle name="Normal 5 4 3 9" xfId="9320" xr:uid="{5BB2237A-913A-4C15-8ECC-50A8D1C9E23A}"/>
    <cellStyle name="Normal 5 4 4" xfId="899" xr:uid="{6072E344-F7EE-426F-BCE4-695D6879130E}"/>
    <cellStyle name="Normal 5 4 4 10" xfId="10446" xr:uid="{D69A26FE-2136-45D4-97E2-8984732C8333}"/>
    <cellStyle name="Normal 5 4 4 11" xfId="12185" xr:uid="{7506F52C-FA6C-49A2-A1D5-9D576E169662}"/>
    <cellStyle name="Normal 5 4 4 12" xfId="14438" xr:uid="{DC643300-0DFB-4E83-950B-4B8A0371722B}"/>
    <cellStyle name="Normal 5 4 4 13" xfId="16691" xr:uid="{6AD8A84E-14C8-44E8-BED7-93D5259AFC91}"/>
    <cellStyle name="Normal 5 4 4 2" xfId="2028" xr:uid="{816FF33E-F98D-4C6B-BB78-7E0E14FF4DAB}"/>
    <cellStyle name="Normal 5 4 4 2 2" xfId="13312" xr:uid="{735F1BFD-D604-4FF1-B8E6-D47118FAE216}"/>
    <cellStyle name="Normal 5 4 4 2 3" xfId="15565" xr:uid="{57014EF1-07B3-40B7-83A9-344296F18B61}"/>
    <cellStyle name="Normal 5 4 4 2 4" xfId="17818" xr:uid="{40DB05DD-3541-4C42-829B-732BC4FCF842}"/>
    <cellStyle name="Normal 5 4 4 3" xfId="3154" xr:uid="{1A2BA44E-C4C7-4936-91C8-81FD339862A3}"/>
    <cellStyle name="Normal 5 4 4 4" xfId="4280" xr:uid="{D7F5865B-B84F-47C8-9017-4C98D5B8C574}"/>
    <cellStyle name="Normal 5 4 4 5" xfId="5406" xr:uid="{95D19C88-27D8-438A-AD87-B5FACC7CBF9E}"/>
    <cellStyle name="Normal 5 4 4 6" xfId="6533" xr:uid="{8F19BF8C-5DB0-4A39-860B-28C1B0E6F890}"/>
    <cellStyle name="Normal 5 4 4 7" xfId="7668" xr:uid="{BA4D0DE7-D1E8-446D-9F10-4A44C954CA19}"/>
    <cellStyle name="Normal 5 4 4 8" xfId="8182" xr:uid="{9CFBED09-5452-4E01-89DD-F91696C82CA4}"/>
    <cellStyle name="Normal 5 4 4 9" xfId="9319" xr:uid="{DDA878B9-B85C-4883-B32E-CAFE6EA670E0}"/>
    <cellStyle name="Normal 5 4 5" xfId="2023" xr:uid="{F2623E92-F521-4A15-8D39-1DDDF12AF733}"/>
    <cellStyle name="Normal 5 4 5 2" xfId="13307" xr:uid="{C9BED246-37E4-4E54-B3C3-50EB42D95CB9}"/>
    <cellStyle name="Normal 5 4 5 3" xfId="15560" xr:uid="{A1FF996A-B33A-4B97-ADB5-A56B4B372E8E}"/>
    <cellStyle name="Normal 5 4 5 4" xfId="17813" xr:uid="{46B4F3D1-B52A-405B-83D8-5A414792F69A}"/>
    <cellStyle name="Normal 5 4 6" xfId="3149" xr:uid="{B660A9D1-E55C-4E73-A8B7-94FD6AB38ADA}"/>
    <cellStyle name="Normal 5 4 7" xfId="4275" xr:uid="{5788050A-127B-4D7F-A967-D9B6DED040DF}"/>
    <cellStyle name="Normal 5 4 8" xfId="5401" xr:uid="{5420AE21-D719-40A8-B305-8C6348E5A79F}"/>
    <cellStyle name="Normal 5 4 9" xfId="6528" xr:uid="{A48CEBDC-2D24-4F5C-BF0D-DC589801CC4F}"/>
    <cellStyle name="Normal 5 5" xfId="900" xr:uid="{ACE90C2A-BD39-45D4-B3E2-39186B2F4BA4}"/>
    <cellStyle name="Normal 5 5 10" xfId="8181" xr:uid="{7EB5CD63-105C-46FD-A770-00A968B79432}"/>
    <cellStyle name="Normal 5 5 11" xfId="9318" xr:uid="{9E0B40C9-6BFF-44FD-A535-6C2EB66ECCD4}"/>
    <cellStyle name="Normal 5 5 12" xfId="10445" xr:uid="{2D69E459-FAF1-4A54-AB3F-5C188EFD1BC2}"/>
    <cellStyle name="Normal 5 5 13" xfId="12186" xr:uid="{459DEE81-FE02-4E4A-A9A6-84CC2FE9EEC6}"/>
    <cellStyle name="Normal 5 5 14" xfId="14439" xr:uid="{7008C5A3-9FB0-4062-A865-854F5C4F9A9A}"/>
    <cellStyle name="Normal 5 5 15" xfId="16692" xr:uid="{595DA81F-145A-438C-8B13-0F7B29114267}"/>
    <cellStyle name="Normal 5 5 2" xfId="901" xr:uid="{16565DEF-C7F1-488C-868B-CD565901FD5B}"/>
    <cellStyle name="Normal 5 5 2 10" xfId="10444" xr:uid="{7BEEE552-75C6-43AE-925E-22FB57C7E7FE}"/>
    <cellStyle name="Normal 5 5 2 11" xfId="12187" xr:uid="{F7612493-8036-4944-B931-5021BBB83C79}"/>
    <cellStyle name="Normal 5 5 2 12" xfId="14440" xr:uid="{D7AB380C-0EFD-406A-96C6-7CF9AA8F2D24}"/>
    <cellStyle name="Normal 5 5 2 13" xfId="16693" xr:uid="{52AD3176-6652-428A-B42F-36D0203CC3D4}"/>
    <cellStyle name="Normal 5 5 2 2" xfId="2030" xr:uid="{C486C9ED-5822-4056-ABEF-BBF018EF7CE9}"/>
    <cellStyle name="Normal 5 5 2 2 2" xfId="13314" xr:uid="{E1C43688-4D6C-40F9-9EE5-0276AA2CF03A}"/>
    <cellStyle name="Normal 5 5 2 2 3" xfId="15567" xr:uid="{DA7818C0-6631-466A-AF64-5B11F161874C}"/>
    <cellStyle name="Normal 5 5 2 2 4" xfId="17820" xr:uid="{CDA5ED25-8652-47DB-AF8D-87B9F08E315B}"/>
    <cellStyle name="Normal 5 5 2 3" xfId="3156" xr:uid="{43545599-F746-46AB-80EC-AD20B5359BA7}"/>
    <cellStyle name="Normal 5 5 2 4" xfId="4282" xr:uid="{E9EBDE90-F9AA-42BE-B82B-608F2C0DE397}"/>
    <cellStyle name="Normal 5 5 2 5" xfId="5408" xr:uid="{90268DAA-B448-4FB9-B6A4-0024E62EB142}"/>
    <cellStyle name="Normal 5 5 2 6" xfId="6535" xr:uid="{282A9D34-26F9-4E09-87D8-E9B5E0743608}"/>
    <cellStyle name="Normal 5 5 2 7" xfId="7670" xr:uid="{DD21CAB0-7CA2-4A7B-AA31-73AA914E5C64}"/>
    <cellStyle name="Normal 5 5 2 8" xfId="8180" xr:uid="{09C43C98-E1E7-4D6F-9DFA-41EC23140BDA}"/>
    <cellStyle name="Normal 5 5 2 9" xfId="9317" xr:uid="{AFC25459-4F7F-4EDE-9F73-955053170088}"/>
    <cellStyle name="Normal 5 5 3" xfId="902" xr:uid="{72A53926-9538-4802-90CE-DA6C4CC09543}"/>
    <cellStyle name="Normal 5 5 3 10" xfId="10443" xr:uid="{0F354F16-94F6-4C08-AC7E-F6B95B51999E}"/>
    <cellStyle name="Normal 5 5 3 11" xfId="12188" xr:uid="{6225675A-4603-4E7F-B0A6-1EF002D00620}"/>
    <cellStyle name="Normal 5 5 3 12" xfId="14441" xr:uid="{AF88891F-F831-488A-88C1-3D3A48786A4D}"/>
    <cellStyle name="Normal 5 5 3 13" xfId="16694" xr:uid="{E61012DB-D7A2-457C-AE8A-435405B98173}"/>
    <cellStyle name="Normal 5 5 3 2" xfId="2031" xr:uid="{3497E4F0-0C34-4235-8DA6-A069CDF08F0E}"/>
    <cellStyle name="Normal 5 5 3 2 2" xfId="13315" xr:uid="{0A05C303-F6A1-4DB5-ACFB-991FC29416FA}"/>
    <cellStyle name="Normal 5 5 3 2 3" xfId="15568" xr:uid="{77903B0F-0799-438A-B5A5-26A42E4C5806}"/>
    <cellStyle name="Normal 5 5 3 2 4" xfId="17821" xr:uid="{11508495-2010-402A-B7AB-51825378E208}"/>
    <cellStyle name="Normal 5 5 3 3" xfId="3157" xr:uid="{66C6BA97-6612-402D-85B8-A04EA5913C45}"/>
    <cellStyle name="Normal 5 5 3 4" xfId="4283" xr:uid="{8339465E-BF6D-43E6-89E5-60CD175B2AA0}"/>
    <cellStyle name="Normal 5 5 3 5" xfId="5409" xr:uid="{13B3144C-14CE-4F87-8C98-062A1B320763}"/>
    <cellStyle name="Normal 5 5 3 6" xfId="6536" xr:uid="{EBBAE95B-A107-4F9B-A709-F6C9861F9D85}"/>
    <cellStyle name="Normal 5 5 3 7" xfId="7671" xr:uid="{A3330076-BD8A-4918-95BC-3AA7B6508550}"/>
    <cellStyle name="Normal 5 5 3 8" xfId="8179" xr:uid="{BCDD3C5C-FE5D-450C-AB44-B2725C2856C5}"/>
    <cellStyle name="Normal 5 5 3 9" xfId="9316" xr:uid="{CF2EB98C-1391-4BBE-AD5D-BBFAC25D56C2}"/>
    <cellStyle name="Normal 5 5 4" xfId="2029" xr:uid="{F844BD0A-7256-4847-ADDA-36FD50953F0A}"/>
    <cellStyle name="Normal 5 5 4 2" xfId="13313" xr:uid="{27C71CA5-CE26-48C4-999A-CCD9964FEBCB}"/>
    <cellStyle name="Normal 5 5 4 3" xfId="15566" xr:uid="{29AAFED7-4C1C-464E-A99E-A8C2C3E9023C}"/>
    <cellStyle name="Normal 5 5 4 4" xfId="17819" xr:uid="{7FF345DB-49A5-41BC-9C38-9E4EEE04F3C7}"/>
    <cellStyle name="Normal 5 5 5" xfId="3155" xr:uid="{912D16A4-05B2-40E1-8E86-FC990546EDBC}"/>
    <cellStyle name="Normal 5 5 6" xfId="4281" xr:uid="{FFC133F6-69ED-4E3D-B550-E46A327AA6AE}"/>
    <cellStyle name="Normal 5 5 7" xfId="5407" xr:uid="{FD14251F-58FF-452B-86A8-DD6AA1BD8D1A}"/>
    <cellStyle name="Normal 5 5 8" xfId="6534" xr:uid="{1256AF17-1E04-4435-A318-09EF30F20DB2}"/>
    <cellStyle name="Normal 5 5 9" xfId="7669" xr:uid="{25ADC579-7FB6-45BA-A679-203B35056A85}"/>
    <cellStyle name="Normal 5 6" xfId="903" xr:uid="{2482746D-6AAE-403D-B63F-8F3215556193}"/>
    <cellStyle name="Normal 5 6 10" xfId="10442" xr:uid="{86A134FE-7390-4FAB-BC3D-3A95F6735894}"/>
    <cellStyle name="Normal 5 6 11" xfId="12189" xr:uid="{9173C168-722A-44D9-868D-708413808BD0}"/>
    <cellStyle name="Normal 5 6 12" xfId="14442" xr:uid="{33E18173-EC8D-48CA-9AA7-9759F51EB7FE}"/>
    <cellStyle name="Normal 5 6 13" xfId="16695" xr:uid="{D5D7E453-4035-41E6-B813-DFB9A985BE63}"/>
    <cellStyle name="Normal 5 6 2" xfId="2032" xr:uid="{03B5CFA4-0F73-439F-97FB-5978384309BE}"/>
    <cellStyle name="Normal 5 6 2 2" xfId="13316" xr:uid="{654A72C7-9C33-4F6F-8BA2-15389E25C279}"/>
    <cellStyle name="Normal 5 6 2 3" xfId="15569" xr:uid="{2F2B6C70-C19C-4262-854C-07EF11F7016B}"/>
    <cellStyle name="Normal 5 6 2 4" xfId="17822" xr:uid="{EFB453FA-D7B5-4F1D-B0A5-D1496CC722AA}"/>
    <cellStyle name="Normal 5 6 3" xfId="3158" xr:uid="{F0D7141D-3791-4791-8BBE-055DCD19E03F}"/>
    <cellStyle name="Normal 5 6 4" xfId="4284" xr:uid="{73B81D99-1848-4378-801A-DD497685FEF1}"/>
    <cellStyle name="Normal 5 6 5" xfId="5410" xr:uid="{4099442B-4844-4DFD-B500-31F0FD69172B}"/>
    <cellStyle name="Normal 5 6 6" xfId="6537" xr:uid="{3076F8F9-091B-4C78-B79B-02F3B60E1FA0}"/>
    <cellStyle name="Normal 5 6 7" xfId="7672" xr:uid="{F05AB948-7267-4DEE-AB6C-0935B61C8604}"/>
    <cellStyle name="Normal 5 6 8" xfId="8178" xr:uid="{C0F40C7D-CF1C-44DB-8E60-ACD976F6DDB0}"/>
    <cellStyle name="Normal 5 6 9" xfId="9315" xr:uid="{192D649E-9B34-41CB-AB93-7C9597C624CC}"/>
    <cellStyle name="Normal 5 7" xfId="904" xr:uid="{2299697A-0822-4E3E-8532-B6B6E77B9BC2}"/>
    <cellStyle name="Normal 5 7 10" xfId="10441" xr:uid="{E2ACCA7D-C4E6-47D0-BC60-8F92110E4136}"/>
    <cellStyle name="Normal 5 7 11" xfId="12190" xr:uid="{7E4D348A-0712-414A-A961-F5B1DA4A01D8}"/>
    <cellStyle name="Normal 5 7 12" xfId="14443" xr:uid="{82D1F2C8-DDF2-4377-BEA5-F491EE2681B1}"/>
    <cellStyle name="Normal 5 7 13" xfId="16696" xr:uid="{42C6EE6A-9FBF-459D-BE69-E7D783A05CC0}"/>
    <cellStyle name="Normal 5 7 2" xfId="2033" xr:uid="{1A10F6E8-2423-4AD1-8A19-6B83744DA310}"/>
    <cellStyle name="Normal 5 7 2 2" xfId="13317" xr:uid="{F032058A-0721-4B13-9757-90DB42C8AD3F}"/>
    <cellStyle name="Normal 5 7 2 3" xfId="15570" xr:uid="{AD04E8D6-F25E-47B8-A54E-D149F34C53AD}"/>
    <cellStyle name="Normal 5 7 2 4" xfId="17823" xr:uid="{4A8F8CB8-E911-4B9B-B137-0F2CF8FCC12A}"/>
    <cellStyle name="Normal 5 7 3" xfId="3159" xr:uid="{5F412D24-73AC-445D-A0BF-26FD7BD3180D}"/>
    <cellStyle name="Normal 5 7 4" xfId="4285" xr:uid="{A60FC5B0-6E66-4113-BECF-7A8D036670D7}"/>
    <cellStyle name="Normal 5 7 5" xfId="5411" xr:uid="{C1CCFC98-C54A-45BC-817B-0B855D723C5E}"/>
    <cellStyle name="Normal 5 7 6" xfId="6538" xr:uid="{DCEE5BC8-38B2-4050-9E02-266B83622B88}"/>
    <cellStyle name="Normal 5 7 7" xfId="7673" xr:uid="{674AE569-36A3-4E1F-8715-2CBD7D7DA3AC}"/>
    <cellStyle name="Normal 5 7 8" xfId="8177" xr:uid="{6FF71310-70FD-455E-954A-499BED048383}"/>
    <cellStyle name="Normal 5 7 9" xfId="9314" xr:uid="{EF511023-8D89-4E82-90BB-89E56F3D47A4}"/>
    <cellStyle name="Normal 5 8" xfId="869" xr:uid="{A45AA8B6-62B6-4FE7-8A2A-BD4AEC875B66}"/>
    <cellStyle name="Normal 5 8 2" xfId="13282" xr:uid="{F1253FC7-0B75-47BB-8866-7E1221B3B86A}"/>
    <cellStyle name="Normal 5 8 3" xfId="15535" xr:uid="{690343C7-48EF-47D5-933E-4F6F74E225FB}"/>
    <cellStyle name="Normal 5 8 4" xfId="17788" xr:uid="{906FA16D-B2B9-49B9-985A-7D2956261765}"/>
    <cellStyle name="Normal 5 9" xfId="1998" xr:uid="{C4BEC60C-CADE-4F00-A2C2-15C82F9859DB}"/>
    <cellStyle name="Normal 6" xfId="905" xr:uid="{D3B0D3BC-2C2A-41D1-B1DF-485777E6C8BA}"/>
    <cellStyle name="Normal 6 2" xfId="7674" xr:uid="{DC1F389F-1499-4A97-B897-28AB5F6E0156}"/>
    <cellStyle name="Normal 7" xfId="906" xr:uid="{4D011DBD-F344-409A-87D5-90854DBB1371}"/>
    <cellStyle name="Normal 7 10" xfId="5412" xr:uid="{0F972A3F-874D-4285-B130-6CC7A6791153}"/>
    <cellStyle name="Normal 7 11" xfId="6539" xr:uid="{F56A46EE-FE91-43CA-B115-59275D391946}"/>
    <cellStyle name="Normal 7 12" xfId="7675" xr:uid="{A78EB6A8-6F0A-467C-8EE7-B511074C082D}"/>
    <cellStyle name="Normal 7 13" xfId="8176" xr:uid="{ED8CD9E6-5097-4D02-AF17-B2487464510C}"/>
    <cellStyle name="Normal 7 14" xfId="9313" xr:uid="{BDBAF481-9DD1-4178-ADB2-E490DECF0E4E}"/>
    <cellStyle name="Normal 7 15" xfId="10440" xr:uid="{07FDFA1F-71F1-4B33-8054-9905BA7C3BB1}"/>
    <cellStyle name="Normal 7 16" xfId="12191" xr:uid="{CA29600D-528C-45BF-8A36-8BF62A5641AE}"/>
    <cellStyle name="Normal 7 17" xfId="14444" xr:uid="{3A511307-A1A0-4BBA-B6DC-FDAD82379DD1}"/>
    <cellStyle name="Normal 7 18" xfId="16697" xr:uid="{60486A5C-A675-4DA6-AACC-17E8714E6CC9}"/>
    <cellStyle name="Normal 7 2" xfId="907" xr:uid="{97654AE9-931E-4FF3-9648-FC24F996F4FD}"/>
    <cellStyle name="Normal 7 2 10" xfId="6540" xr:uid="{F05E508A-C90C-42C4-89B2-7C20A2857942}"/>
    <cellStyle name="Normal 7 2 11" xfId="7676" xr:uid="{DC3A69F2-7DB2-4380-B340-71A17B6BCA08}"/>
    <cellStyle name="Normal 7 2 12" xfId="8175" xr:uid="{D0E6782A-7FD8-49CF-8408-A4EF2E087370}"/>
    <cellStyle name="Normal 7 2 13" xfId="9312" xr:uid="{FB3EB180-C6CD-49FF-8AF2-9BB0F3351E6A}"/>
    <cellStyle name="Normal 7 2 14" xfId="10439" xr:uid="{980DB4C4-23F9-4992-9CF6-C873D4EF3EF6}"/>
    <cellStyle name="Normal 7 2 15" xfId="12192" xr:uid="{18039E52-1E98-4A86-B967-F456479DD220}"/>
    <cellStyle name="Normal 7 2 16" xfId="14445" xr:uid="{A9F60096-9E74-4FA1-ABC8-32BDCB2CEF00}"/>
    <cellStyle name="Normal 7 2 17" xfId="16698" xr:uid="{87B4C0B8-B138-49AE-BE95-0C9DA33CABC9}"/>
    <cellStyle name="Normal 7 2 2" xfId="908" xr:uid="{8BCB3B96-555C-40BA-8930-C314E453CE33}"/>
    <cellStyle name="Normal 7 2 2 10" xfId="7677" xr:uid="{875CD6C1-22D7-4D27-847A-E82AA5BF0439}"/>
    <cellStyle name="Normal 7 2 2 11" xfId="8174" xr:uid="{437D3F0E-4CD3-431F-9992-EA099261B92E}"/>
    <cellStyle name="Normal 7 2 2 12" xfId="9311" xr:uid="{AD1AF688-C40A-421C-BE6E-48CA8A1A53C3}"/>
    <cellStyle name="Normal 7 2 2 13" xfId="10438" xr:uid="{7ED9978C-F4B4-4CB7-9D9B-B7DE0D93415E}"/>
    <cellStyle name="Normal 7 2 2 14" xfId="12193" xr:uid="{772FC564-10F8-4BDD-BD17-9DD61B662792}"/>
    <cellStyle name="Normal 7 2 2 15" xfId="14446" xr:uid="{C9E96042-B774-47B3-B35B-28D97A7DC1DD}"/>
    <cellStyle name="Normal 7 2 2 16" xfId="16699" xr:uid="{127E8736-09AC-41B8-83B2-B34FC7D275B3}"/>
    <cellStyle name="Normal 7 2 2 2" xfId="909" xr:uid="{48907FA0-BA78-4BF8-8918-C4CCE18DB061}"/>
    <cellStyle name="Normal 7 2 2 2 10" xfId="8173" xr:uid="{54F88B7A-6F45-4C60-BF46-C4EEC38AC385}"/>
    <cellStyle name="Normal 7 2 2 2 11" xfId="9310" xr:uid="{7D047E4C-5E45-4B37-A2C8-9614B86469CF}"/>
    <cellStyle name="Normal 7 2 2 2 12" xfId="10437" xr:uid="{9921BF8C-922F-415D-81EA-7CD0884D05CD}"/>
    <cellStyle name="Normal 7 2 2 2 13" xfId="12194" xr:uid="{EB8990A0-4B58-46A9-9268-349D18A74949}"/>
    <cellStyle name="Normal 7 2 2 2 14" xfId="14447" xr:uid="{194ACCE0-3354-4EDA-9C54-87173C505166}"/>
    <cellStyle name="Normal 7 2 2 2 15" xfId="16700" xr:uid="{02904F3D-BDD0-43F1-B39B-9E14CECAF6B5}"/>
    <cellStyle name="Normal 7 2 2 2 2" xfId="910" xr:uid="{28CD1D38-4A35-4B5D-BD6C-9A71256F42E6}"/>
    <cellStyle name="Normal 7 2 2 2 2 10" xfId="10436" xr:uid="{DB9BF2BC-8B21-49E4-B45B-48388CCDCDFE}"/>
    <cellStyle name="Normal 7 2 2 2 2 11" xfId="12195" xr:uid="{6A929F12-FB6B-4809-9BEF-85C97935E1C8}"/>
    <cellStyle name="Normal 7 2 2 2 2 12" xfId="14448" xr:uid="{96E32AB5-B486-4FED-86B1-BAEA8CE5449C}"/>
    <cellStyle name="Normal 7 2 2 2 2 13" xfId="16701" xr:uid="{805A5697-EF6B-43EA-B196-7C420319681A}"/>
    <cellStyle name="Normal 7 2 2 2 2 2" xfId="2038" xr:uid="{E6AA9763-2DE2-4B2F-BC4C-E6AF9A0BE26A}"/>
    <cellStyle name="Normal 7 2 2 2 2 2 2" xfId="13322" xr:uid="{3FC71D33-417C-4312-914F-EC41E993FAE3}"/>
    <cellStyle name="Normal 7 2 2 2 2 2 3" xfId="15575" xr:uid="{6407F83E-4CD5-4696-82EA-C5C8986A8D4E}"/>
    <cellStyle name="Normal 7 2 2 2 2 2 4" xfId="17828" xr:uid="{AF9D7BEA-7AC4-4EDA-A1DC-5082544D0E12}"/>
    <cellStyle name="Normal 7 2 2 2 2 3" xfId="3164" xr:uid="{B193BB8E-6831-4E28-919D-BFD21450C6C0}"/>
    <cellStyle name="Normal 7 2 2 2 2 4" xfId="4290" xr:uid="{0F9101CF-0AB3-4F3A-8A5E-F54D6BA9E300}"/>
    <cellStyle name="Normal 7 2 2 2 2 5" xfId="5416" xr:uid="{4FDE1A32-9D50-4A42-9631-97D0B352DC87}"/>
    <cellStyle name="Normal 7 2 2 2 2 6" xfId="6543" xr:uid="{823EF3AE-F40E-4186-AC2D-53D15D998F2A}"/>
    <cellStyle name="Normal 7 2 2 2 2 7" xfId="7679" xr:uid="{94613996-29BA-4FFE-890B-2AC8B7EC543F}"/>
    <cellStyle name="Normal 7 2 2 2 2 8" xfId="8172" xr:uid="{E6F22644-14B4-49FC-9479-583CD30CD6E4}"/>
    <cellStyle name="Normal 7 2 2 2 2 9" xfId="9309" xr:uid="{F79B9238-3A50-4398-A522-A2EB6AE5E83C}"/>
    <cellStyle name="Normal 7 2 2 2 3" xfId="911" xr:uid="{003F4791-B0E1-44AC-9851-66E1BAA14008}"/>
    <cellStyle name="Normal 7 2 2 2 3 10" xfId="10435" xr:uid="{AEFC1053-20E8-487E-A755-F1E36282DB61}"/>
    <cellStyle name="Normal 7 2 2 2 3 11" xfId="12196" xr:uid="{97BB1725-5CF6-4E32-8529-8115084AB230}"/>
    <cellStyle name="Normal 7 2 2 2 3 12" xfId="14449" xr:uid="{0BBD86D5-1B7A-447B-B4A7-6C14B73CD47B}"/>
    <cellStyle name="Normal 7 2 2 2 3 13" xfId="16702" xr:uid="{ECDBEB39-727B-4AD8-B2B7-1C449E0AE056}"/>
    <cellStyle name="Normal 7 2 2 2 3 2" xfId="2039" xr:uid="{A0E9478D-C99F-45F5-B220-F4472D5B5506}"/>
    <cellStyle name="Normal 7 2 2 2 3 2 2" xfId="13323" xr:uid="{51BE8190-D367-48C9-A78A-0EC4B6B2DE53}"/>
    <cellStyle name="Normal 7 2 2 2 3 2 3" xfId="15576" xr:uid="{A28AB165-359F-4DDA-BAA1-21C078D8280F}"/>
    <cellStyle name="Normal 7 2 2 2 3 2 4" xfId="17829" xr:uid="{97F3799C-ED5E-4A2D-BB09-CCFA2855FBB7}"/>
    <cellStyle name="Normal 7 2 2 2 3 3" xfId="3165" xr:uid="{76B084F5-977D-4F54-8B52-EED62B01A94A}"/>
    <cellStyle name="Normal 7 2 2 2 3 4" xfId="4291" xr:uid="{6290A14C-1D5A-4C6E-9591-5ED1EC4A4C06}"/>
    <cellStyle name="Normal 7 2 2 2 3 5" xfId="5417" xr:uid="{8D7C5C29-171C-4651-8B24-465DDAE6137D}"/>
    <cellStyle name="Normal 7 2 2 2 3 6" xfId="6544" xr:uid="{60AC4AB0-AA2F-445F-92D3-ACB13D1B536D}"/>
    <cellStyle name="Normal 7 2 2 2 3 7" xfId="7680" xr:uid="{D35CFDF5-9122-47E7-9A5F-AAC6ACDEAAAA}"/>
    <cellStyle name="Normal 7 2 2 2 3 8" xfId="8171" xr:uid="{13F035EC-923C-4B99-A973-E3D182747506}"/>
    <cellStyle name="Normal 7 2 2 2 3 9" xfId="9308" xr:uid="{9581824D-701F-4FC0-A320-E5ED89123722}"/>
    <cellStyle name="Normal 7 2 2 2 4" xfId="2037" xr:uid="{36F22E8D-10CF-49C6-B152-4683EE79CD54}"/>
    <cellStyle name="Normal 7 2 2 2 4 2" xfId="13321" xr:uid="{622392E0-48C1-4D4D-91AF-32A0F1204B0C}"/>
    <cellStyle name="Normal 7 2 2 2 4 3" xfId="15574" xr:uid="{1BFCECBB-F808-487F-B486-5EDC466E4FD7}"/>
    <cellStyle name="Normal 7 2 2 2 4 4" xfId="17827" xr:uid="{C9DB9888-1CEF-4D63-A28E-A440296D91FB}"/>
    <cellStyle name="Normal 7 2 2 2 5" xfId="3163" xr:uid="{B1C7B41D-17C5-46EB-AF34-4D477F26A670}"/>
    <cellStyle name="Normal 7 2 2 2 6" xfId="4289" xr:uid="{B5654B85-3D94-4A05-B9B0-F7B5433B8F44}"/>
    <cellStyle name="Normal 7 2 2 2 7" xfId="5415" xr:uid="{9CD19C45-CDCB-4172-9B11-CC0B0850BA3F}"/>
    <cellStyle name="Normal 7 2 2 2 8" xfId="6542" xr:uid="{28650E05-803A-4B0C-9221-36F33AD7A021}"/>
    <cellStyle name="Normal 7 2 2 2 9" xfId="7678" xr:uid="{2F78AC88-AD3E-41A4-9A9D-F5BC34DF4DE6}"/>
    <cellStyle name="Normal 7 2 2 3" xfId="912" xr:uid="{193035BD-C157-4355-A102-B83293BDCFA3}"/>
    <cellStyle name="Normal 7 2 2 3 10" xfId="10434" xr:uid="{46066AC9-E3C6-4B70-8DCD-9C3C717DF0AE}"/>
    <cellStyle name="Normal 7 2 2 3 11" xfId="12197" xr:uid="{508C5431-03C3-4144-A576-E6641F17B580}"/>
    <cellStyle name="Normal 7 2 2 3 12" xfId="14450" xr:uid="{FEEA0F6C-F075-43B6-B77B-DCA4A296584A}"/>
    <cellStyle name="Normal 7 2 2 3 13" xfId="16703" xr:uid="{2E80DDBA-5449-4352-B110-32B09FD3133D}"/>
    <cellStyle name="Normal 7 2 2 3 2" xfId="2040" xr:uid="{8941EB95-B022-4323-A392-12E22AFBF808}"/>
    <cellStyle name="Normal 7 2 2 3 2 2" xfId="13324" xr:uid="{0D9276F0-6F71-4852-BF66-4B52DED4A4AD}"/>
    <cellStyle name="Normal 7 2 2 3 2 3" xfId="15577" xr:uid="{FBE6C9CE-2F6E-4F99-A3FD-8E6C0F9B4DF9}"/>
    <cellStyle name="Normal 7 2 2 3 2 4" xfId="17830" xr:uid="{ED0F1ABA-7D76-4CD1-9E40-DF52E70A1C05}"/>
    <cellStyle name="Normal 7 2 2 3 3" xfId="3166" xr:uid="{1D185DBB-F5F8-44FC-B3D9-65C89DB3C5F7}"/>
    <cellStyle name="Normal 7 2 2 3 4" xfId="4292" xr:uid="{62F23F25-ECCA-4F22-941A-C39265420B7D}"/>
    <cellStyle name="Normal 7 2 2 3 5" xfId="5418" xr:uid="{CA287D9D-1340-4059-9F55-63ECD5AE0A89}"/>
    <cellStyle name="Normal 7 2 2 3 6" xfId="6545" xr:uid="{2E20E20B-C018-4224-9E12-CAF64EFE6EB1}"/>
    <cellStyle name="Normal 7 2 2 3 7" xfId="7681" xr:uid="{33636BDC-A590-4998-833C-09DE1966302F}"/>
    <cellStyle name="Normal 7 2 2 3 8" xfId="8170" xr:uid="{5F14B70B-1329-4720-B976-524DD2DCC556}"/>
    <cellStyle name="Normal 7 2 2 3 9" xfId="9307" xr:uid="{73657CAD-FD7E-4438-9504-88066948600C}"/>
    <cellStyle name="Normal 7 2 2 4" xfId="913" xr:uid="{7CD212F5-D368-4E8C-854D-623D7D2796D7}"/>
    <cellStyle name="Normal 7 2 2 4 10" xfId="10433" xr:uid="{D516F54F-5A2B-4D51-80C8-4984F5179E21}"/>
    <cellStyle name="Normal 7 2 2 4 11" xfId="12198" xr:uid="{4D78DDEA-F7CD-49DE-814D-3B1D10A52D0E}"/>
    <cellStyle name="Normal 7 2 2 4 12" xfId="14451" xr:uid="{73A952DB-8AD4-4BB5-BFB1-DB87590E857B}"/>
    <cellStyle name="Normal 7 2 2 4 13" xfId="16704" xr:uid="{AB04A6C5-B329-431D-BFFE-D61F222C122C}"/>
    <cellStyle name="Normal 7 2 2 4 2" xfId="2041" xr:uid="{FC3B5E17-3AE5-418D-9111-DB88423A87B8}"/>
    <cellStyle name="Normal 7 2 2 4 2 2" xfId="13325" xr:uid="{ADAD2D66-8EAB-4B1A-BA4A-CA79BC9EB9C6}"/>
    <cellStyle name="Normal 7 2 2 4 2 3" xfId="15578" xr:uid="{760D5286-25A1-456F-A596-6BA90E271F27}"/>
    <cellStyle name="Normal 7 2 2 4 2 4" xfId="17831" xr:uid="{6E0570A5-D3E0-45A1-8397-D277972ADDF7}"/>
    <cellStyle name="Normal 7 2 2 4 3" xfId="3167" xr:uid="{A203717A-90BD-4427-B334-A814B2C75AEE}"/>
    <cellStyle name="Normal 7 2 2 4 4" xfId="4293" xr:uid="{823C5696-C362-4DB3-968C-85D627A2ABBA}"/>
    <cellStyle name="Normal 7 2 2 4 5" xfId="5419" xr:uid="{DB0A0439-6A5C-4F2A-A73F-48AD42C60157}"/>
    <cellStyle name="Normal 7 2 2 4 6" xfId="6546" xr:uid="{28F78DB0-9112-4106-9CD1-42A644B82687}"/>
    <cellStyle name="Normal 7 2 2 4 7" xfId="7682" xr:uid="{6CCFFE80-3306-4824-8C2B-22171B94E3D0}"/>
    <cellStyle name="Normal 7 2 2 4 8" xfId="8169" xr:uid="{362ED94D-AE89-42D5-BCCA-E55E4DD8D81B}"/>
    <cellStyle name="Normal 7 2 2 4 9" xfId="9306" xr:uid="{CBD79E38-0595-4B34-AB24-5D85016184F6}"/>
    <cellStyle name="Normal 7 2 2 5" xfId="2036" xr:uid="{45825233-ADD8-4F0E-80E4-C8F63D815ED6}"/>
    <cellStyle name="Normal 7 2 2 5 2" xfId="13320" xr:uid="{21CE1269-263E-4F15-AE69-1BA29684E714}"/>
    <cellStyle name="Normal 7 2 2 5 3" xfId="15573" xr:uid="{7FBD7E57-187E-46B6-BEA8-31091DCD0682}"/>
    <cellStyle name="Normal 7 2 2 5 4" xfId="17826" xr:uid="{DAA370C8-E2AC-4F0F-B38C-F96CC5C448E4}"/>
    <cellStyle name="Normal 7 2 2 6" xfId="3162" xr:uid="{884E046D-F895-4706-8BDE-8C9CB5FC1248}"/>
    <cellStyle name="Normal 7 2 2 7" xfId="4288" xr:uid="{F3AC3D07-62A5-48F3-A4D0-BCAB8177DF72}"/>
    <cellStyle name="Normal 7 2 2 8" xfId="5414" xr:uid="{84432545-8EC6-4A13-AB1F-A47444D8D854}"/>
    <cellStyle name="Normal 7 2 2 9" xfId="6541" xr:uid="{9D1C6A7A-4184-42C3-8418-CBA0CC148E9F}"/>
    <cellStyle name="Normal 7 2 3" xfId="914" xr:uid="{0A91FC99-F182-4D9D-BD5C-FEDD1C9A5426}"/>
    <cellStyle name="Normal 7 2 3 10" xfId="8168" xr:uid="{1A5FBAE8-BF33-4D9F-B9F4-C24E097D4DE6}"/>
    <cellStyle name="Normal 7 2 3 11" xfId="9305" xr:uid="{B1C2AC6F-EE40-47B3-A30C-9613D35DD4B9}"/>
    <cellStyle name="Normal 7 2 3 12" xfId="10432" xr:uid="{4D9DEC36-7BC5-49FC-BDA5-EBF61ECF442F}"/>
    <cellStyle name="Normal 7 2 3 13" xfId="12199" xr:uid="{26CE274C-3E29-4B7D-92DB-AFEBCA1D2E0A}"/>
    <cellStyle name="Normal 7 2 3 14" xfId="14452" xr:uid="{7505B8FA-E1F5-435C-8499-4197597DA3C6}"/>
    <cellStyle name="Normal 7 2 3 15" xfId="16705" xr:uid="{37309A97-7B63-4338-89FE-0C387765D8AF}"/>
    <cellStyle name="Normal 7 2 3 2" xfId="915" xr:uid="{7DA2A275-A71C-49E6-9027-1AD357D3EECE}"/>
    <cellStyle name="Normal 7 2 3 2 10" xfId="10431" xr:uid="{1B25A291-63C7-49E2-9F0B-2882BCAF86D0}"/>
    <cellStyle name="Normal 7 2 3 2 11" xfId="12200" xr:uid="{3C4B2FA3-84D3-49A9-8D19-7600BB4BE0B9}"/>
    <cellStyle name="Normal 7 2 3 2 12" xfId="14453" xr:uid="{A4EB8123-6A53-4DFF-B6B7-2D6B01C1BFD8}"/>
    <cellStyle name="Normal 7 2 3 2 13" xfId="16706" xr:uid="{AC6064FA-A64A-4DE7-87D1-535273532C29}"/>
    <cellStyle name="Normal 7 2 3 2 2" xfId="2043" xr:uid="{F4F44FD6-95E3-4DC9-8641-42AB1306B7CA}"/>
    <cellStyle name="Normal 7 2 3 2 2 2" xfId="13327" xr:uid="{C14450CB-0905-4CEB-8A9D-29B7AA8D6195}"/>
    <cellStyle name="Normal 7 2 3 2 2 3" xfId="15580" xr:uid="{AD13096C-8C6F-4B4B-A72F-CA79CEC8455F}"/>
    <cellStyle name="Normal 7 2 3 2 2 4" xfId="17833" xr:uid="{00581BB3-F1A6-4B64-AD89-09FFE3D7D035}"/>
    <cellStyle name="Normal 7 2 3 2 3" xfId="3169" xr:uid="{5E8ABD91-6CDF-4FF1-A930-455CF01E0888}"/>
    <cellStyle name="Normal 7 2 3 2 4" xfId="4295" xr:uid="{F0F4CFF2-FEB9-45FD-9A5C-EF83963C1C26}"/>
    <cellStyle name="Normal 7 2 3 2 5" xfId="5421" xr:uid="{E7562985-C21D-46A1-9C54-9BA682BE9818}"/>
    <cellStyle name="Normal 7 2 3 2 6" xfId="6548" xr:uid="{E71337B0-5BC6-48CE-98DA-F40AA2FA5992}"/>
    <cellStyle name="Normal 7 2 3 2 7" xfId="7684" xr:uid="{AB79059B-754E-4E02-A859-E065C09DAC36}"/>
    <cellStyle name="Normal 7 2 3 2 8" xfId="8167" xr:uid="{42B55175-1643-45DD-9120-8877FA2302C9}"/>
    <cellStyle name="Normal 7 2 3 2 9" xfId="9304" xr:uid="{1113F6D6-DCE7-45FC-ABD8-ADD9D9228C42}"/>
    <cellStyle name="Normal 7 2 3 3" xfId="916" xr:uid="{E44D0768-7ED3-4938-A528-4230BFECA4F0}"/>
    <cellStyle name="Normal 7 2 3 3 10" xfId="10430" xr:uid="{7798D916-3186-492A-BBF2-F1132D2586E2}"/>
    <cellStyle name="Normal 7 2 3 3 11" xfId="12201" xr:uid="{1C3C1CD3-1B0A-4DEA-9595-9DCB441AB086}"/>
    <cellStyle name="Normal 7 2 3 3 12" xfId="14454" xr:uid="{4EA24BCB-141F-41CD-B7A8-4CAE20AEB97F}"/>
    <cellStyle name="Normal 7 2 3 3 13" xfId="16707" xr:uid="{589A47CD-9006-48A5-8FF9-0CFF6B58EC2A}"/>
    <cellStyle name="Normal 7 2 3 3 2" xfId="2044" xr:uid="{FBCF0B41-9208-4DD4-8CAB-3D047D0DCB26}"/>
    <cellStyle name="Normal 7 2 3 3 2 2" xfId="13328" xr:uid="{C45B9641-38B5-46A8-8C0B-DA06DBBF4BA4}"/>
    <cellStyle name="Normal 7 2 3 3 2 3" xfId="15581" xr:uid="{FF5940B5-CF37-4B1B-848D-B1786940EB11}"/>
    <cellStyle name="Normal 7 2 3 3 2 4" xfId="17834" xr:uid="{BAB77E8F-934B-41CC-BCC8-6862170267E0}"/>
    <cellStyle name="Normal 7 2 3 3 3" xfId="3170" xr:uid="{C92215F1-7656-49F3-A2F9-1BB637664FC9}"/>
    <cellStyle name="Normal 7 2 3 3 4" xfId="4296" xr:uid="{1BB225B0-8E5C-4B96-B4B5-C439C6C63B6A}"/>
    <cellStyle name="Normal 7 2 3 3 5" xfId="5422" xr:uid="{996E8937-944E-4E61-95ED-85EA20750155}"/>
    <cellStyle name="Normal 7 2 3 3 6" xfId="6549" xr:uid="{A490A9BB-9F02-4D2D-9542-BCD72B574848}"/>
    <cellStyle name="Normal 7 2 3 3 7" xfId="7685" xr:uid="{D931398B-73B4-4633-9C92-D138C7E528B6}"/>
    <cellStyle name="Normal 7 2 3 3 8" xfId="8166" xr:uid="{9FEB798C-AF20-4250-95FC-116EB5283543}"/>
    <cellStyle name="Normal 7 2 3 3 9" xfId="9303" xr:uid="{E269127A-26C4-4136-903C-E234969BDFB8}"/>
    <cellStyle name="Normal 7 2 3 4" xfId="2042" xr:uid="{3CD2ED8A-377F-4345-90F7-75A2CB6A75EF}"/>
    <cellStyle name="Normal 7 2 3 4 2" xfId="13326" xr:uid="{E10CAF7A-E9AC-47F7-9F4B-482F1E3049F6}"/>
    <cellStyle name="Normal 7 2 3 4 3" xfId="15579" xr:uid="{8D6F5137-1129-47F2-AB36-0F299D56F116}"/>
    <cellStyle name="Normal 7 2 3 4 4" xfId="17832" xr:uid="{3F31590D-27FF-4D53-89E4-060EC5CED083}"/>
    <cellStyle name="Normal 7 2 3 5" xfId="3168" xr:uid="{BD42B926-31C5-46B8-938C-A927702438AB}"/>
    <cellStyle name="Normal 7 2 3 6" xfId="4294" xr:uid="{4F61FDEA-7E55-4829-A0EB-F1F9AB01D5D1}"/>
    <cellStyle name="Normal 7 2 3 7" xfId="5420" xr:uid="{4446EF81-6891-4411-9F37-CB4663D8066D}"/>
    <cellStyle name="Normal 7 2 3 8" xfId="6547" xr:uid="{9C517799-A72C-4DFA-A10A-E0FB3A044020}"/>
    <cellStyle name="Normal 7 2 3 9" xfId="7683" xr:uid="{30A530FD-37FD-4F9D-8780-2B1DC88B6663}"/>
    <cellStyle name="Normal 7 2 4" xfId="917" xr:uid="{70D66E5F-0AC7-481B-A20B-D750A7A0019E}"/>
    <cellStyle name="Normal 7 2 4 10" xfId="10429" xr:uid="{C610215F-1B0A-40B5-B707-9D2EDF9B2BBC}"/>
    <cellStyle name="Normal 7 2 4 11" xfId="12202" xr:uid="{0ADE9150-3FA5-4395-B32D-1FD5CD615A47}"/>
    <cellStyle name="Normal 7 2 4 12" xfId="14455" xr:uid="{AFE22CD6-2275-4CB6-BBB5-D62284F27C29}"/>
    <cellStyle name="Normal 7 2 4 13" xfId="16708" xr:uid="{A763F533-EF95-4EB9-93FB-1A4D5FAD8A1E}"/>
    <cellStyle name="Normal 7 2 4 2" xfId="2045" xr:uid="{A48B4D42-BC77-4585-858F-685F6AD31F1C}"/>
    <cellStyle name="Normal 7 2 4 2 2" xfId="13329" xr:uid="{508EFC70-5058-491A-99F6-990A091E1EC3}"/>
    <cellStyle name="Normal 7 2 4 2 3" xfId="15582" xr:uid="{B7A895DD-F755-47CB-864A-44A71E06F453}"/>
    <cellStyle name="Normal 7 2 4 2 4" xfId="17835" xr:uid="{5FEFCF37-A2E2-4142-BD9A-9EB42CF9D235}"/>
    <cellStyle name="Normal 7 2 4 3" xfId="3171" xr:uid="{3E466999-1B3B-4896-81DA-1DAF1CCB8163}"/>
    <cellStyle name="Normal 7 2 4 4" xfId="4297" xr:uid="{23DA75D3-F5DA-4AB5-8565-07831E5C5344}"/>
    <cellStyle name="Normal 7 2 4 5" xfId="5423" xr:uid="{D160579B-347F-43DC-8F30-BAE29B82A65C}"/>
    <cellStyle name="Normal 7 2 4 6" xfId="6550" xr:uid="{EEF5D5C8-7115-42C4-8593-B0B70ECFADA0}"/>
    <cellStyle name="Normal 7 2 4 7" xfId="7686" xr:uid="{63DD61FD-DBE6-4EF8-ACDD-EDE61201810B}"/>
    <cellStyle name="Normal 7 2 4 8" xfId="8165" xr:uid="{408DE3CD-7DD7-4C35-B678-928F0BDCEB84}"/>
    <cellStyle name="Normal 7 2 4 9" xfId="9302" xr:uid="{E2C30851-C361-46B9-B3E4-27D823901040}"/>
    <cellStyle name="Normal 7 2 5" xfId="918" xr:uid="{259A539E-970F-4CA0-BA91-3EBCC03DE10A}"/>
    <cellStyle name="Normal 7 2 5 10" xfId="10428" xr:uid="{899C83B4-7976-4A86-A865-7943A7483A77}"/>
    <cellStyle name="Normal 7 2 5 11" xfId="12203" xr:uid="{41BD1FEC-9DF3-411B-8156-74BED5E3A1C5}"/>
    <cellStyle name="Normal 7 2 5 12" xfId="14456" xr:uid="{32CC5FE3-FFE4-4F4D-97EE-F18F8A428A3A}"/>
    <cellStyle name="Normal 7 2 5 13" xfId="16709" xr:uid="{C8AF7883-6872-4523-8889-4B7B1C9AC6A3}"/>
    <cellStyle name="Normal 7 2 5 2" xfId="2046" xr:uid="{E23FC2E7-2E9C-4398-B560-6C1C7E120AD6}"/>
    <cellStyle name="Normal 7 2 5 2 2" xfId="13330" xr:uid="{B78F5436-03FB-4A1E-817B-C670C8D6BBB7}"/>
    <cellStyle name="Normal 7 2 5 2 3" xfId="15583" xr:uid="{C036ED81-539D-4857-BF14-10B4F71F1FC1}"/>
    <cellStyle name="Normal 7 2 5 2 4" xfId="17836" xr:uid="{02FC02BC-AD5E-4A44-AAE9-7FDC86E9081E}"/>
    <cellStyle name="Normal 7 2 5 3" xfId="3172" xr:uid="{069F3654-6084-4A47-9248-A14021068F43}"/>
    <cellStyle name="Normal 7 2 5 4" xfId="4298" xr:uid="{82EE9822-5414-4BF8-A813-4823D550AC8A}"/>
    <cellStyle name="Normal 7 2 5 5" xfId="5424" xr:uid="{35E1BEEB-07F7-4905-A05A-9EE06136AADB}"/>
    <cellStyle name="Normal 7 2 5 6" xfId="6551" xr:uid="{CAB55615-4ED4-4897-A019-989F787426EC}"/>
    <cellStyle name="Normal 7 2 5 7" xfId="7687" xr:uid="{9ABE9C71-A472-42C9-BBF5-012A906F9A6A}"/>
    <cellStyle name="Normal 7 2 5 8" xfId="8164" xr:uid="{EC5F5FA7-C4D4-420E-ABF3-90A05D1A44E0}"/>
    <cellStyle name="Normal 7 2 5 9" xfId="9301" xr:uid="{2F93760A-4090-4B1B-BC5A-5FCFB9D302AF}"/>
    <cellStyle name="Normal 7 2 6" xfId="2035" xr:uid="{B25017EC-9944-4AC7-86B8-19B14A8199E0}"/>
    <cellStyle name="Normal 7 2 6 2" xfId="13319" xr:uid="{8A138B07-5559-4E8F-BF84-D37E74F6C1EA}"/>
    <cellStyle name="Normal 7 2 6 3" xfId="15572" xr:uid="{8C06FFFA-732B-4071-8855-793CF8653A92}"/>
    <cellStyle name="Normal 7 2 6 4" xfId="17825" xr:uid="{F0476BDA-0494-4A1E-BE77-E61BB4E1104D}"/>
    <cellStyle name="Normal 7 2 7" xfId="3161" xr:uid="{AAA7503F-3E89-4EEB-B148-5352745DB625}"/>
    <cellStyle name="Normal 7 2 8" xfId="4287" xr:uid="{FCC8E918-AED1-4EB1-83B5-B89C6C302C34}"/>
    <cellStyle name="Normal 7 2 9" xfId="5413" xr:uid="{7FAE7251-19DE-4D22-ABE4-404097B646C0}"/>
    <cellStyle name="Normal 7 3" xfId="919" xr:uid="{1BC0183B-C23F-44BB-8292-872801FF4A33}"/>
    <cellStyle name="Normal 7 3 10" xfId="7688" xr:uid="{A905BAB5-B1C5-4904-8C6A-C00203FAD6E4}"/>
    <cellStyle name="Normal 7 3 11" xfId="8163" xr:uid="{0E2F3293-2CB6-4EEF-8C94-BDFDC1AF42F3}"/>
    <cellStyle name="Normal 7 3 12" xfId="9300" xr:uid="{D4252547-B441-448D-8F3A-1FD5302864EB}"/>
    <cellStyle name="Normal 7 3 13" xfId="10427" xr:uid="{88A1AF62-9219-4650-AC1D-5F7A08148FF4}"/>
    <cellStyle name="Normal 7 3 14" xfId="12204" xr:uid="{A7A0EAD3-4872-490B-B8F3-08CB9D6CB9F0}"/>
    <cellStyle name="Normal 7 3 15" xfId="14457" xr:uid="{262D5C55-ABE5-4B35-B681-13D0A8910DFF}"/>
    <cellStyle name="Normal 7 3 16" xfId="16710" xr:uid="{E90F903D-9917-47A9-8477-755F402FC305}"/>
    <cellStyle name="Normal 7 3 2" xfId="920" xr:uid="{9D1C2FD0-FB3A-4C34-A8FD-A6A30FBE4C0E}"/>
    <cellStyle name="Normal 7 3 2 10" xfId="8162" xr:uid="{A67F9F1E-DDE3-4502-B933-8702B87844BF}"/>
    <cellStyle name="Normal 7 3 2 11" xfId="9299" xr:uid="{C49E16F9-AC22-4062-A059-E694D0E61060}"/>
    <cellStyle name="Normal 7 3 2 12" xfId="10426" xr:uid="{6A6B9A27-8923-40D0-8E26-47E080239E81}"/>
    <cellStyle name="Normal 7 3 2 13" xfId="12205" xr:uid="{C196C9C1-DB74-4297-84C2-D760A9A4071C}"/>
    <cellStyle name="Normal 7 3 2 14" xfId="14458" xr:uid="{0175EDD0-44F3-46F3-A936-5567ADB2FE82}"/>
    <cellStyle name="Normal 7 3 2 15" xfId="16711" xr:uid="{F7503F72-BB81-4EA1-B431-EF7AEC7AF696}"/>
    <cellStyle name="Normal 7 3 2 2" xfId="921" xr:uid="{2B2D0218-F7B0-4B07-803F-C9CB4714FE77}"/>
    <cellStyle name="Normal 7 3 2 2 10" xfId="10425" xr:uid="{8F690C5A-4613-4692-BC89-34B2DCDDC448}"/>
    <cellStyle name="Normal 7 3 2 2 11" xfId="12206" xr:uid="{F33FB919-45A0-41B5-A2BC-A5BA7698540E}"/>
    <cellStyle name="Normal 7 3 2 2 12" xfId="14459" xr:uid="{00D6D6C0-E923-4799-B05D-57C8B8627639}"/>
    <cellStyle name="Normal 7 3 2 2 13" xfId="16712" xr:uid="{92836773-277E-4639-AA72-AF1094DF53EF}"/>
    <cellStyle name="Normal 7 3 2 2 2" xfId="2049" xr:uid="{1F85752A-F3FD-4AEF-A1C6-41B4B8887330}"/>
    <cellStyle name="Normal 7 3 2 2 2 2" xfId="13333" xr:uid="{280B7B43-D100-4A15-BF7A-3B9F5FB8DFDB}"/>
    <cellStyle name="Normal 7 3 2 2 2 3" xfId="15586" xr:uid="{C4964A36-9B76-4BD1-B602-25340C758AA0}"/>
    <cellStyle name="Normal 7 3 2 2 2 4" xfId="17839" xr:uid="{3B9B403E-61C0-435F-9CF8-CA6127567A0A}"/>
    <cellStyle name="Normal 7 3 2 2 3" xfId="3175" xr:uid="{397AE2DF-662B-483A-9A77-18EFCD2B5199}"/>
    <cellStyle name="Normal 7 3 2 2 4" xfId="4301" xr:uid="{BDE98CD5-3E0B-491B-9DBB-C8FEB7F657DB}"/>
    <cellStyle name="Normal 7 3 2 2 5" xfId="5427" xr:uid="{E7E7018E-38FA-497B-9AE3-1D8795B0310F}"/>
    <cellStyle name="Normal 7 3 2 2 6" xfId="6554" xr:uid="{4A5294ED-B78F-4ADC-8602-FCA97508F2AC}"/>
    <cellStyle name="Normal 7 3 2 2 7" xfId="7690" xr:uid="{638E12B3-9BE8-4A41-8CC0-3A3B951D5144}"/>
    <cellStyle name="Normal 7 3 2 2 8" xfId="8161" xr:uid="{29D60061-0A4C-4A3A-BE53-C4D3414CDA2A}"/>
    <cellStyle name="Normal 7 3 2 2 9" xfId="9298" xr:uid="{F49F19A2-176A-45CA-ADF8-B9E80EC626C8}"/>
    <cellStyle name="Normal 7 3 2 3" xfId="922" xr:uid="{55724A0F-F6CF-42BB-B095-94C71FA21908}"/>
    <cellStyle name="Normal 7 3 2 3 10" xfId="10424" xr:uid="{B5AC667E-1C57-4AFB-8B51-53D3108FD034}"/>
    <cellStyle name="Normal 7 3 2 3 11" xfId="12207" xr:uid="{A81049CE-5C92-429F-B59E-BF3AA1A1DD12}"/>
    <cellStyle name="Normal 7 3 2 3 12" xfId="14460" xr:uid="{0278FDEA-6C7D-4BF8-B67B-68426283D90D}"/>
    <cellStyle name="Normal 7 3 2 3 13" xfId="16713" xr:uid="{5DE2EB6D-8373-4841-8295-6CF53FBED700}"/>
    <cellStyle name="Normal 7 3 2 3 2" xfId="2050" xr:uid="{37B73617-E09A-420A-9280-5D120B552D1E}"/>
    <cellStyle name="Normal 7 3 2 3 2 2" xfId="13334" xr:uid="{89E20047-6A47-4877-BB3E-A5C83FC5540E}"/>
    <cellStyle name="Normal 7 3 2 3 2 3" xfId="15587" xr:uid="{B4CB0387-7004-4181-A381-C2AC6A732509}"/>
    <cellStyle name="Normal 7 3 2 3 2 4" xfId="17840" xr:uid="{933885F5-545D-4408-B3B0-C5FF9FE48ADE}"/>
    <cellStyle name="Normal 7 3 2 3 3" xfId="3176" xr:uid="{5085787A-9244-4C81-B00E-8F720E2ABECF}"/>
    <cellStyle name="Normal 7 3 2 3 4" xfId="4302" xr:uid="{A3A1D6FF-5B78-496B-86EF-B10169B2A142}"/>
    <cellStyle name="Normal 7 3 2 3 5" xfId="5428" xr:uid="{F351EFF3-BB94-412A-969F-41529FFCBD59}"/>
    <cellStyle name="Normal 7 3 2 3 6" xfId="6555" xr:uid="{3A11382E-2EC1-4185-B669-32CE74472332}"/>
    <cellStyle name="Normal 7 3 2 3 7" xfId="7691" xr:uid="{CBC81205-86C6-46EA-91DA-D407192534ED}"/>
    <cellStyle name="Normal 7 3 2 3 8" xfId="8160" xr:uid="{D08D2C6B-B19F-4011-92F6-5C10E57C6D99}"/>
    <cellStyle name="Normal 7 3 2 3 9" xfId="9297" xr:uid="{96E8E4C4-4F32-4300-A45F-5A192955683C}"/>
    <cellStyle name="Normal 7 3 2 4" xfId="2048" xr:uid="{DCA0A5AA-D6E1-4665-9763-63E1ED16FBE0}"/>
    <cellStyle name="Normal 7 3 2 4 2" xfId="13332" xr:uid="{C40F1953-51A1-407C-8DAD-7CEECF481B51}"/>
    <cellStyle name="Normal 7 3 2 4 3" xfId="15585" xr:uid="{89C78F23-177F-4817-B45B-BA35C0924C74}"/>
    <cellStyle name="Normal 7 3 2 4 4" xfId="17838" xr:uid="{F98BB925-07CC-45E1-9D9A-722096B0B633}"/>
    <cellStyle name="Normal 7 3 2 5" xfId="3174" xr:uid="{03AA970B-BD0F-4C91-9F08-391703A86563}"/>
    <cellStyle name="Normal 7 3 2 6" xfId="4300" xr:uid="{47301474-4989-4004-81FA-B93E6770C79E}"/>
    <cellStyle name="Normal 7 3 2 7" xfId="5426" xr:uid="{2432825B-353D-4714-A178-989E06EC90E2}"/>
    <cellStyle name="Normal 7 3 2 8" xfId="6553" xr:uid="{D799D3AD-6B69-4C73-96DA-6539706A3DAE}"/>
    <cellStyle name="Normal 7 3 2 9" xfId="7689" xr:uid="{BDEC1DF4-FAF4-4BD9-AE98-88F6ACB035B0}"/>
    <cellStyle name="Normal 7 3 3" xfId="923" xr:uid="{2BA7D61E-F496-4508-A942-56588632F25B}"/>
    <cellStyle name="Normal 7 3 3 10" xfId="10423" xr:uid="{6A140AF5-1D6F-4362-A48C-667C605B9C0C}"/>
    <cellStyle name="Normal 7 3 3 11" xfId="12208" xr:uid="{612F85F3-2A2B-412C-B95A-6355E2D20050}"/>
    <cellStyle name="Normal 7 3 3 12" xfId="14461" xr:uid="{369F5514-90F9-4D7E-9B85-8BFAEEC4D54F}"/>
    <cellStyle name="Normal 7 3 3 13" xfId="16714" xr:uid="{E9ED1276-72E1-49AC-BFDB-6FD927758474}"/>
    <cellStyle name="Normal 7 3 3 2" xfId="2051" xr:uid="{2305ADE0-1796-428C-B677-E8C8EEEF3CC7}"/>
    <cellStyle name="Normal 7 3 3 2 2" xfId="13335" xr:uid="{D79C9AFA-5585-49D1-B8D1-5D4D23425B5B}"/>
    <cellStyle name="Normal 7 3 3 2 3" xfId="15588" xr:uid="{F9BA79BC-6088-4323-9EA2-32F3989337D5}"/>
    <cellStyle name="Normal 7 3 3 2 4" xfId="17841" xr:uid="{CA33CF8D-F3A1-4071-8678-3EA1756CA30B}"/>
    <cellStyle name="Normal 7 3 3 3" xfId="3177" xr:uid="{994569E7-CFFF-4BA6-B0F8-D454884D5B19}"/>
    <cellStyle name="Normal 7 3 3 4" xfId="4303" xr:uid="{2F22BEDD-6EFD-4EE0-A617-384544E25C34}"/>
    <cellStyle name="Normal 7 3 3 5" xfId="5429" xr:uid="{33AC175F-43F0-4611-87C4-80F16B12C51A}"/>
    <cellStyle name="Normal 7 3 3 6" xfId="6556" xr:uid="{AF4B2226-D31F-44B6-92D8-F949E164D475}"/>
    <cellStyle name="Normal 7 3 3 7" xfId="7692" xr:uid="{04C11ABC-3AB9-409B-8104-6C602077239D}"/>
    <cellStyle name="Normal 7 3 3 8" xfId="8159" xr:uid="{B66F6FBD-6200-4F9C-96FD-13229F6D274A}"/>
    <cellStyle name="Normal 7 3 3 9" xfId="9296" xr:uid="{8B7BF591-5492-4A4A-AB74-FC950B9DFB91}"/>
    <cellStyle name="Normal 7 3 4" xfId="924" xr:uid="{93429F3F-6742-450E-AB5D-6E7D91B6B77A}"/>
    <cellStyle name="Normal 7 3 4 10" xfId="10422" xr:uid="{4CE455D3-7376-4109-9776-D607079B62CE}"/>
    <cellStyle name="Normal 7 3 4 11" xfId="12209" xr:uid="{E80B7D15-DD86-4850-A829-C5D38D65D2F1}"/>
    <cellStyle name="Normal 7 3 4 12" xfId="14462" xr:uid="{D410943C-95E8-4F27-86AD-15475ED4D45C}"/>
    <cellStyle name="Normal 7 3 4 13" xfId="16715" xr:uid="{3C9CB470-9C69-4786-88CA-DCD52EDA1D52}"/>
    <cellStyle name="Normal 7 3 4 2" xfId="2052" xr:uid="{0A8A5E99-42E8-4FF5-852D-095ADA21D29D}"/>
    <cellStyle name="Normal 7 3 4 2 2" xfId="13336" xr:uid="{B5254382-A164-4EA4-97DF-D046A3711E66}"/>
    <cellStyle name="Normal 7 3 4 2 3" xfId="15589" xr:uid="{4D7F8521-F013-489C-B0B0-58EFAFDD39EF}"/>
    <cellStyle name="Normal 7 3 4 2 4" xfId="17842" xr:uid="{38810663-3FC0-4D06-9E49-320BFB6F107D}"/>
    <cellStyle name="Normal 7 3 4 3" xfId="3178" xr:uid="{ADE5892E-E045-4D00-8C8C-60EDD13FE8A9}"/>
    <cellStyle name="Normal 7 3 4 4" xfId="4304" xr:uid="{1C7BE41E-7CC6-49F3-8B13-296280159A79}"/>
    <cellStyle name="Normal 7 3 4 5" xfId="5430" xr:uid="{3B5F4C23-DF21-419B-A7B2-7EECC6CC489C}"/>
    <cellStyle name="Normal 7 3 4 6" xfId="6557" xr:uid="{AE248F49-E333-4A09-B93E-7BD210E49A88}"/>
    <cellStyle name="Normal 7 3 4 7" xfId="7693" xr:uid="{32246F95-A883-4FB1-8985-943CB2275FAA}"/>
    <cellStyle name="Normal 7 3 4 8" xfId="8158" xr:uid="{35362309-F51D-4A84-BCD8-08DBCEF3A420}"/>
    <cellStyle name="Normal 7 3 4 9" xfId="9295" xr:uid="{9CFB3D8F-2CC6-4EB6-A72B-1B8B59F48C79}"/>
    <cellStyle name="Normal 7 3 5" xfId="2047" xr:uid="{B9E0DE59-DA0B-4955-9704-0664B5D6ECB2}"/>
    <cellStyle name="Normal 7 3 5 2" xfId="13331" xr:uid="{D50F0AB7-8281-4E21-9670-5601D805C2B8}"/>
    <cellStyle name="Normal 7 3 5 3" xfId="15584" xr:uid="{AFEAC833-CE1F-4383-BBBA-9CC864CBC83E}"/>
    <cellStyle name="Normal 7 3 5 4" xfId="17837" xr:uid="{DDDFF9BD-3A74-496B-911D-9AAB1D8D3C11}"/>
    <cellStyle name="Normal 7 3 6" xfId="3173" xr:uid="{47F0A937-36CE-4596-93F3-EF51E5D8D9EB}"/>
    <cellStyle name="Normal 7 3 7" xfId="4299" xr:uid="{3421ECA7-5C7E-489B-9BD6-A8A34D369579}"/>
    <cellStyle name="Normal 7 3 8" xfId="5425" xr:uid="{19468277-98BC-4791-92F5-C7961F3F5BE5}"/>
    <cellStyle name="Normal 7 3 9" xfId="6552" xr:uid="{136E31F4-5A43-429E-808E-956F853D4EFE}"/>
    <cellStyle name="Normal 7 4" xfId="925" xr:uid="{0330FF61-E568-4A8C-ACA4-62919451862E}"/>
    <cellStyle name="Normal 7 4 10" xfId="8157" xr:uid="{9A5DDC9C-EBE5-4338-AD88-BBFAC7E50E4B}"/>
    <cellStyle name="Normal 7 4 11" xfId="9294" xr:uid="{25F5A817-23B5-412F-B029-ABA5B318A1C2}"/>
    <cellStyle name="Normal 7 4 12" xfId="10421" xr:uid="{4289E92B-8781-494D-A93B-878F0CAD3D64}"/>
    <cellStyle name="Normal 7 4 13" xfId="12210" xr:uid="{B3F12846-FB1D-4D0C-B5B7-71327C6E74F2}"/>
    <cellStyle name="Normal 7 4 14" xfId="14463" xr:uid="{D75EE547-4862-4078-93CB-39A1D6B14BCE}"/>
    <cellStyle name="Normal 7 4 15" xfId="16716" xr:uid="{44E8DC92-5E58-42A7-8D33-48A7E91962B5}"/>
    <cellStyle name="Normal 7 4 2" xfId="926" xr:uid="{600D3920-B06D-45B9-A834-F46844AC9805}"/>
    <cellStyle name="Normal 7 4 2 10" xfId="10420" xr:uid="{0F07FF0E-9DBC-455A-BFE6-2C4B1F2A5E2C}"/>
    <cellStyle name="Normal 7 4 2 11" xfId="12211" xr:uid="{27A95F51-4180-4E12-AE84-59521066997B}"/>
    <cellStyle name="Normal 7 4 2 12" xfId="14464" xr:uid="{0B39F306-0D33-457D-9E18-D174A3AEF609}"/>
    <cellStyle name="Normal 7 4 2 13" xfId="16717" xr:uid="{DFBD5B57-5B70-4F97-9F40-FEE8EF79C32A}"/>
    <cellStyle name="Normal 7 4 2 2" xfId="2054" xr:uid="{130EA49B-0D05-491F-8A1E-D1521CFCB272}"/>
    <cellStyle name="Normal 7 4 2 2 2" xfId="13338" xr:uid="{A9188416-5F75-44D0-9AD7-12D48C051E16}"/>
    <cellStyle name="Normal 7 4 2 2 3" xfId="15591" xr:uid="{C0254F57-73A1-4F75-A936-28887D493581}"/>
    <cellStyle name="Normal 7 4 2 2 4" xfId="17844" xr:uid="{60365536-4C18-4349-88E9-D4B0DBBA1937}"/>
    <cellStyle name="Normal 7 4 2 3" xfId="3180" xr:uid="{B7D5C3C5-9F0B-4BF5-B382-051C15AE35E5}"/>
    <cellStyle name="Normal 7 4 2 4" xfId="4306" xr:uid="{65B22EF9-49E3-4C7E-8BAE-334A37F2014B}"/>
    <cellStyle name="Normal 7 4 2 5" xfId="5432" xr:uid="{AF1178F8-A6BE-41C9-9D09-EDB9D2AFC33E}"/>
    <cellStyle name="Normal 7 4 2 6" xfId="6559" xr:uid="{9D2DDF38-654A-42F7-9C56-1BFBB8E7BC16}"/>
    <cellStyle name="Normal 7 4 2 7" xfId="7695" xr:uid="{5EFB424B-F21B-4619-884F-2CACCD13C33E}"/>
    <cellStyle name="Normal 7 4 2 8" xfId="8156" xr:uid="{0526047A-3001-4A55-8C90-1CD5B3DDA9BC}"/>
    <cellStyle name="Normal 7 4 2 9" xfId="9293" xr:uid="{6DC89D17-8D8D-4EBE-8286-33CEB44F9335}"/>
    <cellStyle name="Normal 7 4 3" xfId="927" xr:uid="{B175D7F5-1D34-493D-B680-13E1FBE67614}"/>
    <cellStyle name="Normal 7 4 3 10" xfId="10419" xr:uid="{04D9D2BE-2CA2-4A7A-B80C-09594FA02D5B}"/>
    <cellStyle name="Normal 7 4 3 11" xfId="12212" xr:uid="{DD1EC478-2C42-4150-BC54-2C575744D721}"/>
    <cellStyle name="Normal 7 4 3 12" xfId="14465" xr:uid="{A86C7B10-253A-4730-8D00-AEF5DF03D997}"/>
    <cellStyle name="Normal 7 4 3 13" xfId="16718" xr:uid="{98423F92-4207-449D-A88A-82482B3EA40C}"/>
    <cellStyle name="Normal 7 4 3 2" xfId="2055" xr:uid="{FC070173-F12B-4034-BD36-4755A6B9A24B}"/>
    <cellStyle name="Normal 7 4 3 2 2" xfId="13339" xr:uid="{03C961CC-980E-4AD5-9761-1697111D1327}"/>
    <cellStyle name="Normal 7 4 3 2 3" xfId="15592" xr:uid="{9F647E47-AAF9-44B7-90EE-DAD0CD2FF232}"/>
    <cellStyle name="Normal 7 4 3 2 4" xfId="17845" xr:uid="{8927B7EC-8576-43A7-AAD8-70EA8C9929E8}"/>
    <cellStyle name="Normal 7 4 3 3" xfId="3181" xr:uid="{6EB38F95-E2FC-45DD-9660-BDFEF3A1BFFF}"/>
    <cellStyle name="Normal 7 4 3 4" xfId="4307" xr:uid="{296911D1-FB17-46BC-A618-FB5B76D36EA3}"/>
    <cellStyle name="Normal 7 4 3 5" xfId="5433" xr:uid="{A504D144-CC08-4D27-9E4A-83398CAECB7A}"/>
    <cellStyle name="Normal 7 4 3 6" xfId="6560" xr:uid="{B6A57B44-EE7B-4A6E-8BCB-3892572C84FE}"/>
    <cellStyle name="Normal 7 4 3 7" xfId="7696" xr:uid="{341CDA83-8B62-4652-A61A-1BB74CF8C1D7}"/>
    <cellStyle name="Normal 7 4 3 8" xfId="8155" xr:uid="{D8DF18F8-9103-4A39-86F9-DC37EAA61744}"/>
    <cellStyle name="Normal 7 4 3 9" xfId="9292" xr:uid="{FE2C8761-16C4-4A49-BD27-AC0112620B7B}"/>
    <cellStyle name="Normal 7 4 4" xfId="2053" xr:uid="{2F729729-C533-4D97-B935-C9693CD88B0F}"/>
    <cellStyle name="Normal 7 4 4 2" xfId="13337" xr:uid="{19540743-EE10-424A-8CF3-B3F82DA9450B}"/>
    <cellStyle name="Normal 7 4 4 3" xfId="15590" xr:uid="{A91F1747-91D2-466E-943B-DCCEF05B1DBB}"/>
    <cellStyle name="Normal 7 4 4 4" xfId="17843" xr:uid="{3023DA4D-A9D0-4FCB-9D26-A5C75F898CD1}"/>
    <cellStyle name="Normal 7 4 5" xfId="3179" xr:uid="{6F3E6508-0E36-4D5F-AF94-F47AE09FEE1F}"/>
    <cellStyle name="Normal 7 4 6" xfId="4305" xr:uid="{2C2E8839-2AB0-4341-9B2D-A2AEB0644FCB}"/>
    <cellStyle name="Normal 7 4 7" xfId="5431" xr:uid="{D347F4D0-F4FA-4973-9521-4757F9CE5D86}"/>
    <cellStyle name="Normal 7 4 8" xfId="6558" xr:uid="{6D0A790F-AB0A-4B66-98C8-424A8493E6D5}"/>
    <cellStyle name="Normal 7 4 9" xfId="7694" xr:uid="{3F2C4B2E-BF13-4F5C-BD34-D07A51B7D45D}"/>
    <cellStyle name="Normal 7 5" xfId="928" xr:uid="{3E3193CB-78C5-4FA8-B049-8218A458F446}"/>
    <cellStyle name="Normal 7 5 10" xfId="10418" xr:uid="{1B0886B9-FA60-4EF3-A066-59F61A0B83F0}"/>
    <cellStyle name="Normal 7 5 11" xfId="12213" xr:uid="{CD3BF63E-5B78-40A3-A8CD-D6B4C6D7123F}"/>
    <cellStyle name="Normal 7 5 12" xfId="14466" xr:uid="{3A8D56A1-4F56-4EAC-B873-C81A72F4BD25}"/>
    <cellStyle name="Normal 7 5 13" xfId="16719" xr:uid="{8105C16D-303C-4497-82FB-F4D176A5FCBB}"/>
    <cellStyle name="Normal 7 5 2" xfId="2056" xr:uid="{99D7EA0C-3FC5-4CCA-9B81-84BD1755BCFF}"/>
    <cellStyle name="Normal 7 5 2 2" xfId="13340" xr:uid="{2D4157DF-923E-459A-963F-B9FDC88F7190}"/>
    <cellStyle name="Normal 7 5 2 3" xfId="15593" xr:uid="{EC7E5690-D51D-4CDE-BBBA-5D15CF697CAF}"/>
    <cellStyle name="Normal 7 5 2 4" xfId="17846" xr:uid="{28149A68-05D6-4BCF-B81C-EB6D182686E9}"/>
    <cellStyle name="Normal 7 5 3" xfId="3182" xr:uid="{7C3EBC93-F75B-4A0D-80EC-D8B98CF7B206}"/>
    <cellStyle name="Normal 7 5 4" xfId="4308" xr:uid="{64EF83B3-D1B6-49AD-870F-D6800C3828A2}"/>
    <cellStyle name="Normal 7 5 5" xfId="5434" xr:uid="{1EFD9C26-1E75-44B6-B392-5B9FB6068CA0}"/>
    <cellStyle name="Normal 7 5 6" xfId="6561" xr:uid="{47573C34-0816-46DA-BE18-4AAD2D7BA5E3}"/>
    <cellStyle name="Normal 7 5 7" xfId="7697" xr:uid="{F2D9FA34-9191-4BEC-8252-2FDFD9A33436}"/>
    <cellStyle name="Normal 7 5 8" xfId="8154" xr:uid="{B1947657-372F-4DD9-A940-6DF70611FFB2}"/>
    <cellStyle name="Normal 7 5 9" xfId="9291" xr:uid="{EDAF737A-738A-4338-B9EA-D666ED65392F}"/>
    <cellStyle name="Normal 7 6" xfId="929" xr:uid="{45A6356B-C72E-40DD-9C6E-2409718F5590}"/>
    <cellStyle name="Normal 7 6 10" xfId="10417" xr:uid="{C4E9C92B-FCA0-4C7E-A39E-49B0DC286C54}"/>
    <cellStyle name="Normal 7 6 11" xfId="12214" xr:uid="{61A7AA44-012D-4B0A-8141-3F9A05AA0B81}"/>
    <cellStyle name="Normal 7 6 12" xfId="14467" xr:uid="{03A2BF2C-A635-4C81-B42D-E64909036666}"/>
    <cellStyle name="Normal 7 6 13" xfId="16720" xr:uid="{7C040632-776D-48C9-9D8E-0DD9C8318D57}"/>
    <cellStyle name="Normal 7 6 2" xfId="2057" xr:uid="{0A3912FF-B77F-4E6A-BB75-7A17F696A219}"/>
    <cellStyle name="Normal 7 6 2 2" xfId="13341" xr:uid="{05BC0210-0287-4192-B3D5-978753B22F16}"/>
    <cellStyle name="Normal 7 6 2 3" xfId="15594" xr:uid="{9210ADE9-92AB-41F0-996A-BB4271B2E780}"/>
    <cellStyle name="Normal 7 6 2 4" xfId="17847" xr:uid="{FDEA9D40-97A0-4CC2-BC81-1941D909DDF2}"/>
    <cellStyle name="Normal 7 6 3" xfId="3183" xr:uid="{161B4AE3-5FA7-411A-84B8-DD177B991C90}"/>
    <cellStyle name="Normal 7 6 4" xfId="4309" xr:uid="{22503516-3BA4-4105-853A-F43D30C9AE9A}"/>
    <cellStyle name="Normal 7 6 5" xfId="5435" xr:uid="{C20B3C8F-8F51-43CB-97ED-EEC243035690}"/>
    <cellStyle name="Normal 7 6 6" xfId="6562" xr:uid="{834114EB-8BFE-4CAE-A54E-672BD048E2E2}"/>
    <cellStyle name="Normal 7 6 7" xfId="7698" xr:uid="{99DB5E65-CD08-4B18-94E3-132DD5413650}"/>
    <cellStyle name="Normal 7 6 8" xfId="8153" xr:uid="{8F62E474-F6AE-4505-B3C6-79AC06D11BEF}"/>
    <cellStyle name="Normal 7 6 9" xfId="9290" xr:uid="{E20EC457-6056-4DBF-BEAD-54B7728D99F5}"/>
    <cellStyle name="Normal 7 7" xfId="2034" xr:uid="{F6959781-C42B-49AA-8039-427CE264163E}"/>
    <cellStyle name="Normal 7 7 2" xfId="13318" xr:uid="{FDBEB4AE-BCFD-43A1-A74B-99348F571E72}"/>
    <cellStyle name="Normal 7 7 3" xfId="15571" xr:uid="{EE1F359C-A19A-41D6-8C52-F5FFCF384BB9}"/>
    <cellStyle name="Normal 7 7 4" xfId="17824" xr:uid="{9D4F5982-CB16-4B15-A4E5-AD9B85B8A75E}"/>
    <cellStyle name="Normal 7 8" xfId="3160" xr:uid="{BC725BED-EDE0-445E-AF7E-2F5AF5071B44}"/>
    <cellStyle name="Normal 7 9" xfId="4286" xr:uid="{515C1671-5D32-4AC5-BCE4-657BCACD856A}"/>
    <cellStyle name="Normal 8" xfId="930" xr:uid="{AE753693-F386-4BC0-ADDE-F10ADF6E4909}"/>
    <cellStyle name="Normal 8 10" xfId="5436" xr:uid="{E5F25BDF-28AF-4E43-A47A-721BF03E946B}"/>
    <cellStyle name="Normal 8 11" xfId="6563" xr:uid="{C0879AC2-CFEC-4BA9-ABD7-00B09D474D7E}"/>
    <cellStyle name="Normal 8 12" xfId="7699" xr:uid="{4D337918-3C01-44DD-AEDF-1B4ED43B1239}"/>
    <cellStyle name="Normal 8 13" xfId="8152" xr:uid="{6443B4A6-E419-4CDA-9F35-616585622AFC}"/>
    <cellStyle name="Normal 8 14" xfId="9289" xr:uid="{BAEBAEE6-8BA3-4B03-8B11-A48975F792AD}"/>
    <cellStyle name="Normal 8 15" xfId="10416" xr:uid="{6793ACD2-0AF9-4947-8A12-F9F6660643B8}"/>
    <cellStyle name="Normal 8 16" xfId="12215" xr:uid="{A9EC5A60-6B34-4A20-BB31-FFEED7FE8B83}"/>
    <cellStyle name="Normal 8 17" xfId="14468" xr:uid="{B00D2769-456F-4081-8883-35CEF61B12DC}"/>
    <cellStyle name="Normal 8 18" xfId="16721" xr:uid="{A6CF2EA6-AFB7-47F3-9B2D-D2C823779D66}"/>
    <cellStyle name="Normal 8 2" xfId="931" xr:uid="{C3ACF215-1A70-4767-823B-BB74CF38DFD3}"/>
    <cellStyle name="Normal 8 2 10" xfId="6564" xr:uid="{D12417BC-E814-4388-AD96-79A62273E092}"/>
    <cellStyle name="Normal 8 2 11" xfId="7700" xr:uid="{555D5E78-DD07-45BE-9D22-590C7E6E1A24}"/>
    <cellStyle name="Normal 8 2 12" xfId="8151" xr:uid="{F49454F6-303C-4AC2-AC01-CC6280C7ED09}"/>
    <cellStyle name="Normal 8 2 13" xfId="9288" xr:uid="{63FF4781-D4F9-4FFC-A5FB-263EEC3D9AB4}"/>
    <cellStyle name="Normal 8 2 14" xfId="10415" xr:uid="{A4F36E9A-CC60-4145-A881-3206CCA8EE90}"/>
    <cellStyle name="Normal 8 2 15" xfId="12216" xr:uid="{2AE0FBF5-F4F7-497B-B55B-AE2010CC5F9F}"/>
    <cellStyle name="Normal 8 2 16" xfId="14469" xr:uid="{AE1F072E-C6F8-400F-AE37-D21A1B3858AE}"/>
    <cellStyle name="Normal 8 2 17" xfId="16722" xr:uid="{8D50FDD8-6DC0-4403-84EF-CF63292CA13A}"/>
    <cellStyle name="Normal 8 2 2" xfId="932" xr:uid="{47FED88B-29A8-47F2-874D-C8ACA0291ABF}"/>
    <cellStyle name="Normal 8 2 2 10" xfId="7701" xr:uid="{A3A602B5-8C0B-4511-81D5-5DF84B3D6AF0}"/>
    <cellStyle name="Normal 8 2 2 11" xfId="8150" xr:uid="{9B833AF6-5EA0-4172-AA73-2D19B2C22664}"/>
    <cellStyle name="Normal 8 2 2 12" xfId="9287" xr:uid="{A969A702-F0DE-4A9B-865C-C6BABF3E0F4A}"/>
    <cellStyle name="Normal 8 2 2 13" xfId="10414" xr:uid="{B5EE55FF-F6FB-4DA1-9BB0-B40298EC54D6}"/>
    <cellStyle name="Normal 8 2 2 14" xfId="12217" xr:uid="{ABDB7C8F-97A5-454F-8340-A9F410532D38}"/>
    <cellStyle name="Normal 8 2 2 15" xfId="14470" xr:uid="{C9EEC0A0-5C8F-4686-8C3D-1B8A548CC005}"/>
    <cellStyle name="Normal 8 2 2 16" xfId="16723" xr:uid="{7ACEB2DA-11DA-480C-9B05-1944512A452B}"/>
    <cellStyle name="Normal 8 2 2 2" xfId="933" xr:uid="{608541FD-F5A3-4470-A101-2E3EE2A0425D}"/>
    <cellStyle name="Normal 8 2 2 2 10" xfId="8149" xr:uid="{53603893-B09E-41D1-96FA-5CD49CD616A1}"/>
    <cellStyle name="Normal 8 2 2 2 11" xfId="9286" xr:uid="{DBD4BEAD-02BB-4D6A-A304-5B1D827B2154}"/>
    <cellStyle name="Normal 8 2 2 2 12" xfId="10413" xr:uid="{67FC08CD-9AED-43A2-9A2B-AEB5C63B022C}"/>
    <cellStyle name="Normal 8 2 2 2 13" xfId="12218" xr:uid="{1926FC5E-23C3-4805-9511-FE8FD011E78C}"/>
    <cellStyle name="Normal 8 2 2 2 14" xfId="14471" xr:uid="{3D086A52-6EDE-4A3B-BCC5-B981B973C1EC}"/>
    <cellStyle name="Normal 8 2 2 2 15" xfId="16724" xr:uid="{8D2387F4-07BC-4D8F-A0B3-831EE0993AE6}"/>
    <cellStyle name="Normal 8 2 2 2 2" xfId="934" xr:uid="{B93DEEA4-225D-4CD1-9658-B619ABB5CEA0}"/>
    <cellStyle name="Normal 8 2 2 2 2 10" xfId="10412" xr:uid="{C4C50AED-E658-4174-BF5F-EE6BBB47170C}"/>
    <cellStyle name="Normal 8 2 2 2 2 11" xfId="12219" xr:uid="{1B2D18E9-7A5C-418D-B44B-E0EF0B0B45FB}"/>
    <cellStyle name="Normal 8 2 2 2 2 12" xfId="14472" xr:uid="{975B5A2E-BC79-4A24-9322-3375DF1F489E}"/>
    <cellStyle name="Normal 8 2 2 2 2 13" xfId="16725" xr:uid="{377C588C-931E-4FD1-8FD0-FC059CC3F27B}"/>
    <cellStyle name="Normal 8 2 2 2 2 2" xfId="2062" xr:uid="{345E38ED-DA22-4C59-8794-FB55297C16D5}"/>
    <cellStyle name="Normal 8 2 2 2 2 2 2" xfId="13346" xr:uid="{969AD095-694E-45E5-8C0D-6F553BFD89DF}"/>
    <cellStyle name="Normal 8 2 2 2 2 2 3" xfId="15599" xr:uid="{8D5345BE-789E-481B-B902-487F95D76C67}"/>
    <cellStyle name="Normal 8 2 2 2 2 2 4" xfId="17852" xr:uid="{F7AB2604-C804-47EE-85CA-5F3B121EC09F}"/>
    <cellStyle name="Normal 8 2 2 2 2 3" xfId="3188" xr:uid="{534E0EC8-8E58-469D-A763-955B9D0EBD8B}"/>
    <cellStyle name="Normal 8 2 2 2 2 4" xfId="4314" xr:uid="{13E139FB-F446-4B16-B37E-32D4927BE3F2}"/>
    <cellStyle name="Normal 8 2 2 2 2 5" xfId="5440" xr:uid="{8EE1BAD6-A3AF-4C52-9B76-BF7ACEA9FF1A}"/>
    <cellStyle name="Normal 8 2 2 2 2 6" xfId="6567" xr:uid="{16524FCF-997E-4E74-894F-7941F926D756}"/>
    <cellStyle name="Normal 8 2 2 2 2 7" xfId="7703" xr:uid="{2945250A-B33C-4D77-9C92-3B3B28F143F6}"/>
    <cellStyle name="Normal 8 2 2 2 2 8" xfId="8148" xr:uid="{E4A2EF81-98CE-4EB9-BBB9-E139B57116F4}"/>
    <cellStyle name="Normal 8 2 2 2 2 9" xfId="9285" xr:uid="{06F78A96-6CC3-4B5A-A783-9747E0073D7D}"/>
    <cellStyle name="Normal 8 2 2 2 3" xfId="935" xr:uid="{C33BA440-5270-43E3-8FBE-E78B2DBA9B39}"/>
    <cellStyle name="Normal 8 2 2 2 3 10" xfId="10411" xr:uid="{10311311-47E5-43EF-9FB0-08547F2645A9}"/>
    <cellStyle name="Normal 8 2 2 2 3 11" xfId="12220" xr:uid="{83632DA9-4FC1-4C2F-9A5B-AEA949B1EE1A}"/>
    <cellStyle name="Normal 8 2 2 2 3 12" xfId="14473" xr:uid="{818E8E53-D733-4F03-B5B5-B216BB58BA8A}"/>
    <cellStyle name="Normal 8 2 2 2 3 13" xfId="16726" xr:uid="{070703C4-3B4A-4148-969F-E8F275DB625C}"/>
    <cellStyle name="Normal 8 2 2 2 3 2" xfId="2063" xr:uid="{077F7F80-D2B8-41C7-9F64-53B6EF48E713}"/>
    <cellStyle name="Normal 8 2 2 2 3 2 2" xfId="13347" xr:uid="{96CAB64F-F43A-4B41-8114-AA0B2739D639}"/>
    <cellStyle name="Normal 8 2 2 2 3 2 3" xfId="15600" xr:uid="{B519E842-96A0-445E-BCF0-ACA8DD06338E}"/>
    <cellStyle name="Normal 8 2 2 2 3 2 4" xfId="17853" xr:uid="{9102837B-1468-4723-80AC-7841AFDF0EBB}"/>
    <cellStyle name="Normal 8 2 2 2 3 3" xfId="3189" xr:uid="{E87A1CBC-BC28-4ABE-9786-70D99ABCD6C2}"/>
    <cellStyle name="Normal 8 2 2 2 3 4" xfId="4315" xr:uid="{536A4419-3D68-404F-BC60-82ECFD7E2A53}"/>
    <cellStyle name="Normal 8 2 2 2 3 5" xfId="5441" xr:uid="{6F8F3747-D75E-4B79-A85C-74769C5700FB}"/>
    <cellStyle name="Normal 8 2 2 2 3 6" xfId="6568" xr:uid="{9D880E41-BEED-4B08-B86F-34AEAB1D99AB}"/>
    <cellStyle name="Normal 8 2 2 2 3 7" xfId="7704" xr:uid="{49773B5C-71D6-417D-90B3-FFD3667EBEE9}"/>
    <cellStyle name="Normal 8 2 2 2 3 8" xfId="8147" xr:uid="{DD94D039-D8E4-4641-ABF1-40C2AE1D10D3}"/>
    <cellStyle name="Normal 8 2 2 2 3 9" xfId="9284" xr:uid="{03D05E02-FBBA-47F3-BD00-64B3C8DA4FB7}"/>
    <cellStyle name="Normal 8 2 2 2 4" xfId="2061" xr:uid="{2F0B2F95-37C7-4490-9348-367A93E0C5AB}"/>
    <cellStyle name="Normal 8 2 2 2 4 2" xfId="13345" xr:uid="{730665C0-3918-4DC0-87A8-D3B97A172766}"/>
    <cellStyle name="Normal 8 2 2 2 4 3" xfId="15598" xr:uid="{3777B910-17A4-4F1B-959D-9495002B45FE}"/>
    <cellStyle name="Normal 8 2 2 2 4 4" xfId="17851" xr:uid="{039B5CED-F7E8-4FA3-873E-A8C1FE99E2DD}"/>
    <cellStyle name="Normal 8 2 2 2 5" xfId="3187" xr:uid="{E4ADA877-4F4F-4DC6-994B-4BEAA8FB76E0}"/>
    <cellStyle name="Normal 8 2 2 2 6" xfId="4313" xr:uid="{869AD3F6-0E0A-4733-AA0F-08842BA77B66}"/>
    <cellStyle name="Normal 8 2 2 2 7" xfId="5439" xr:uid="{9BE73119-55B4-494B-974E-2350C0FF22E9}"/>
    <cellStyle name="Normal 8 2 2 2 8" xfId="6566" xr:uid="{CDDCF5E2-EB2E-4420-B2E4-A6861E98364E}"/>
    <cellStyle name="Normal 8 2 2 2 9" xfId="7702" xr:uid="{DE800C27-3EA8-47B0-B7B8-D0719638D3D6}"/>
    <cellStyle name="Normal 8 2 2 3" xfId="936" xr:uid="{A99ABC67-0511-47AA-9FE4-6D26E3CA89A1}"/>
    <cellStyle name="Normal 8 2 2 3 10" xfId="10410" xr:uid="{8DFCF770-908D-4E60-925A-3CD1E53BAEB6}"/>
    <cellStyle name="Normal 8 2 2 3 11" xfId="12221" xr:uid="{B8665873-1D9A-43BA-A398-26620341C3F0}"/>
    <cellStyle name="Normal 8 2 2 3 12" xfId="14474" xr:uid="{ED1543A7-1BA7-47E1-9D75-E10D74F08EF4}"/>
    <cellStyle name="Normal 8 2 2 3 13" xfId="16727" xr:uid="{EE5E6843-E946-4AF1-B80D-967924B45BD0}"/>
    <cellStyle name="Normal 8 2 2 3 2" xfId="2064" xr:uid="{56B4CAE4-40EF-49D6-86B8-D680265A45D3}"/>
    <cellStyle name="Normal 8 2 2 3 2 2" xfId="13348" xr:uid="{32851754-968A-4F4A-BDA5-0CDEBA00DC5D}"/>
    <cellStyle name="Normal 8 2 2 3 2 3" xfId="15601" xr:uid="{FFCED410-80F6-4510-A48B-533BC7772DC5}"/>
    <cellStyle name="Normal 8 2 2 3 2 4" xfId="17854" xr:uid="{90EAEE8F-0038-467A-830C-1DFE45E16A1F}"/>
    <cellStyle name="Normal 8 2 2 3 3" xfId="3190" xr:uid="{A8FB0FDB-4ECB-4C79-BBC2-BB3EBF48599A}"/>
    <cellStyle name="Normal 8 2 2 3 4" xfId="4316" xr:uid="{B6818EA2-7AAE-450F-A98E-C3E3584E5D85}"/>
    <cellStyle name="Normal 8 2 2 3 5" xfId="5442" xr:uid="{07299DED-5991-4009-A6F4-B92D149F76AC}"/>
    <cellStyle name="Normal 8 2 2 3 6" xfId="6569" xr:uid="{25ABDB49-1AD9-48B3-8951-414566F98EF3}"/>
    <cellStyle name="Normal 8 2 2 3 7" xfId="7705" xr:uid="{A779F8DB-0CF8-451C-8738-BA217892F857}"/>
    <cellStyle name="Normal 8 2 2 3 8" xfId="8146" xr:uid="{4BBFB8A2-5EA2-44B8-B5AE-FB781D855A3B}"/>
    <cellStyle name="Normal 8 2 2 3 9" xfId="9283" xr:uid="{EE4CA4C9-506F-439B-B951-B71E926458E3}"/>
    <cellStyle name="Normal 8 2 2 4" xfId="937" xr:uid="{55409C06-E71C-4890-B8E0-FCD9EFF9FA92}"/>
    <cellStyle name="Normal 8 2 2 4 10" xfId="10409" xr:uid="{96B6CAF0-1BA2-43E8-BA17-5ACD923A4375}"/>
    <cellStyle name="Normal 8 2 2 4 11" xfId="12222" xr:uid="{FBBFDC13-5840-4F76-B00E-A5CA953C2D59}"/>
    <cellStyle name="Normal 8 2 2 4 12" xfId="14475" xr:uid="{762B3DAD-B02A-40EE-875A-C5BA27D70FAC}"/>
    <cellStyle name="Normal 8 2 2 4 13" xfId="16728" xr:uid="{206BFD3E-48E3-4A63-9337-77AC4CD3F923}"/>
    <cellStyle name="Normal 8 2 2 4 2" xfId="2065" xr:uid="{DF7F1CCB-DDC1-461C-BBAF-4472343B60D6}"/>
    <cellStyle name="Normal 8 2 2 4 2 2" xfId="13349" xr:uid="{EB76F03C-A837-4F55-84A6-DF4EEBEFD337}"/>
    <cellStyle name="Normal 8 2 2 4 2 3" xfId="15602" xr:uid="{4C989CC9-86DB-43A1-94BB-8CCE568D841B}"/>
    <cellStyle name="Normal 8 2 2 4 2 4" xfId="17855" xr:uid="{ACBD4731-9DAD-4071-AFA2-4E5D4A83AA55}"/>
    <cellStyle name="Normal 8 2 2 4 3" xfId="3191" xr:uid="{F1732DC5-35BB-4508-AF5D-156B50440285}"/>
    <cellStyle name="Normal 8 2 2 4 4" xfId="4317" xr:uid="{B64C7189-B85A-4B35-9C5A-14E7B9677B2C}"/>
    <cellStyle name="Normal 8 2 2 4 5" xfId="5443" xr:uid="{8F8725AF-BE39-449C-A8FE-F012461CC96B}"/>
    <cellStyle name="Normal 8 2 2 4 6" xfId="6570" xr:uid="{72879F4A-1123-45B0-8149-0A3E751F1499}"/>
    <cellStyle name="Normal 8 2 2 4 7" xfId="7706" xr:uid="{0D282A5B-73BA-4CE3-8C6D-7FF293B4F759}"/>
    <cellStyle name="Normal 8 2 2 4 8" xfId="8145" xr:uid="{C392CFCC-80DC-4C76-9EB9-0A239A325F17}"/>
    <cellStyle name="Normal 8 2 2 4 9" xfId="9282" xr:uid="{4F067408-E110-47CD-B51D-433C4514A0FF}"/>
    <cellStyle name="Normal 8 2 2 5" xfId="2060" xr:uid="{728FC58F-3AD2-40C2-AEE6-0F9B63974B25}"/>
    <cellStyle name="Normal 8 2 2 5 2" xfId="13344" xr:uid="{A50C84C1-E7BA-4F47-9E9C-DCD5977DDE9B}"/>
    <cellStyle name="Normal 8 2 2 5 3" xfId="15597" xr:uid="{13B4949A-2B5C-43B9-91C8-CC8CF5EE91F3}"/>
    <cellStyle name="Normal 8 2 2 5 4" xfId="17850" xr:uid="{AE1A58CD-1697-4CCB-88CA-817DAD1772A6}"/>
    <cellStyle name="Normal 8 2 2 6" xfId="3186" xr:uid="{D3AA88AA-3060-42B4-8AD9-4D1C0EED1112}"/>
    <cellStyle name="Normal 8 2 2 7" xfId="4312" xr:uid="{3028E743-BD56-4D2B-B95D-5C733FA4C450}"/>
    <cellStyle name="Normal 8 2 2 8" xfId="5438" xr:uid="{AE1B3D5E-61ED-4E33-84A4-E5009F513ED1}"/>
    <cellStyle name="Normal 8 2 2 9" xfId="6565" xr:uid="{DCE83EF6-793E-4C90-ACC1-E4BAAA34EE36}"/>
    <cellStyle name="Normal 8 2 3" xfId="938" xr:uid="{D653C217-AEF9-4579-AF29-C0700B6C8386}"/>
    <cellStyle name="Normal 8 2 3 10" xfId="8144" xr:uid="{BD62434F-8627-45B4-89FA-396E522D020B}"/>
    <cellStyle name="Normal 8 2 3 11" xfId="9281" xr:uid="{EB34E01D-93B2-4A98-8FFB-B9D6DE673723}"/>
    <cellStyle name="Normal 8 2 3 12" xfId="10408" xr:uid="{238737E3-CD52-4D36-AA9B-44828F9DEB90}"/>
    <cellStyle name="Normal 8 2 3 13" xfId="12223" xr:uid="{996E7100-0846-4837-AC53-78237B6D99D3}"/>
    <cellStyle name="Normal 8 2 3 14" xfId="14476" xr:uid="{DF9AF8D8-3F4B-4A47-8828-45E996B827F4}"/>
    <cellStyle name="Normal 8 2 3 15" xfId="16729" xr:uid="{5B4D0D78-EE5A-4322-8037-4BF0C463D6E7}"/>
    <cellStyle name="Normal 8 2 3 2" xfId="939" xr:uid="{A10E31FB-59D6-46D6-969F-FFFFB41FE571}"/>
    <cellStyle name="Normal 8 2 3 2 10" xfId="10407" xr:uid="{4A10A258-6E45-4234-AF4F-EA13A4FA4221}"/>
    <cellStyle name="Normal 8 2 3 2 11" xfId="12224" xr:uid="{061356EA-352C-44D6-8782-299709A2453F}"/>
    <cellStyle name="Normal 8 2 3 2 12" xfId="14477" xr:uid="{867E31DB-DE47-460E-A874-5422740C38FC}"/>
    <cellStyle name="Normal 8 2 3 2 13" xfId="16730" xr:uid="{7DD4B05D-E7E3-4897-9036-AE0E6FB76580}"/>
    <cellStyle name="Normal 8 2 3 2 2" xfId="2067" xr:uid="{DEE06F87-156D-4131-A088-944401960A1B}"/>
    <cellStyle name="Normal 8 2 3 2 2 2" xfId="13351" xr:uid="{FB98AE5F-3C7E-411B-82C9-C1963DC807B5}"/>
    <cellStyle name="Normal 8 2 3 2 2 3" xfId="15604" xr:uid="{F06403F4-24C9-4022-BB5F-7662C1938093}"/>
    <cellStyle name="Normal 8 2 3 2 2 4" xfId="17857" xr:uid="{509C3F1B-29F2-4C09-A27E-D5C51E7599BD}"/>
    <cellStyle name="Normal 8 2 3 2 3" xfId="3193" xr:uid="{255EFAFB-8C60-491F-8271-28D59ADBC0CD}"/>
    <cellStyle name="Normal 8 2 3 2 4" xfId="4319" xr:uid="{27C5ADC6-EEC9-46BF-A8A3-1C871333118F}"/>
    <cellStyle name="Normal 8 2 3 2 5" xfId="5445" xr:uid="{DAEEF800-E8A8-48CD-ADAF-02177D808F6C}"/>
    <cellStyle name="Normal 8 2 3 2 6" xfId="6572" xr:uid="{96EC41B9-28D3-41B1-9F63-8E3F2FF45B66}"/>
    <cellStyle name="Normal 8 2 3 2 7" xfId="7708" xr:uid="{DD5926ED-D68A-420A-854F-7299A3031BED}"/>
    <cellStyle name="Normal 8 2 3 2 8" xfId="8143" xr:uid="{532D3589-9245-40EC-BE61-DA40198E6DC1}"/>
    <cellStyle name="Normal 8 2 3 2 9" xfId="9280" xr:uid="{8C55CFB3-EB62-40F3-B67A-8E1533A07472}"/>
    <cellStyle name="Normal 8 2 3 3" xfId="940" xr:uid="{67244458-F4A9-4043-B66C-15DB5A9FAB8D}"/>
    <cellStyle name="Normal 8 2 3 3 10" xfId="10406" xr:uid="{2A8368C1-5CED-4B73-8C3A-A0F51CAF2D94}"/>
    <cellStyle name="Normal 8 2 3 3 11" xfId="12225" xr:uid="{FB1C0621-AA72-4566-ACB3-040393198BFE}"/>
    <cellStyle name="Normal 8 2 3 3 12" xfId="14478" xr:uid="{443DF38C-2596-4EE8-8D66-96BFEEAAD831}"/>
    <cellStyle name="Normal 8 2 3 3 13" xfId="16731" xr:uid="{87BAAE57-A0A5-4EF1-B6F0-A4DACA9EE343}"/>
    <cellStyle name="Normal 8 2 3 3 2" xfId="2068" xr:uid="{C3CC8D03-ABAF-4F93-BB30-F843927D3645}"/>
    <cellStyle name="Normal 8 2 3 3 2 2" xfId="13352" xr:uid="{9B764880-DBB7-4D62-B547-EE4DB86D54BD}"/>
    <cellStyle name="Normal 8 2 3 3 2 3" xfId="15605" xr:uid="{07F0DDB3-884A-4B3B-B487-DFC3162794C2}"/>
    <cellStyle name="Normal 8 2 3 3 2 4" xfId="17858" xr:uid="{61585F4C-E095-4128-818E-5198C74A3BC9}"/>
    <cellStyle name="Normal 8 2 3 3 3" xfId="3194" xr:uid="{E269BA9F-24E5-4D21-8C13-F21AA173598E}"/>
    <cellStyle name="Normal 8 2 3 3 4" xfId="4320" xr:uid="{8A82343D-7D9E-4C14-8F4E-0E151321AAC0}"/>
    <cellStyle name="Normal 8 2 3 3 5" xfId="5446" xr:uid="{BD3839F5-DBED-4448-9537-5BD184F62957}"/>
    <cellStyle name="Normal 8 2 3 3 6" xfId="6573" xr:uid="{0726A96E-5F41-473B-9AC1-A395ABDA1959}"/>
    <cellStyle name="Normal 8 2 3 3 7" xfId="7709" xr:uid="{EB6020EC-C7A1-44D0-BD8C-9B1D69C699BC}"/>
    <cellStyle name="Normal 8 2 3 3 8" xfId="8142" xr:uid="{94E38249-F810-4F69-9C3D-E5499B2849B5}"/>
    <cellStyle name="Normal 8 2 3 3 9" xfId="9279" xr:uid="{F15D8C70-1E37-439D-A62B-CD4899EC98F7}"/>
    <cellStyle name="Normal 8 2 3 4" xfId="2066" xr:uid="{172CB160-9DEF-40B8-B84B-58BFBB28ED66}"/>
    <cellStyle name="Normal 8 2 3 4 2" xfId="13350" xr:uid="{5F732E9F-4E40-4ACD-8CC9-AB0D1F798EE0}"/>
    <cellStyle name="Normal 8 2 3 4 3" xfId="15603" xr:uid="{F109E100-F73A-446E-B294-0C2CCC58C751}"/>
    <cellStyle name="Normal 8 2 3 4 4" xfId="17856" xr:uid="{F4AAEC10-D484-429B-8D99-591D91F394F9}"/>
    <cellStyle name="Normal 8 2 3 5" xfId="3192" xr:uid="{80FAAE04-7EC7-4371-BC1F-A06AD0ADE4E8}"/>
    <cellStyle name="Normal 8 2 3 6" xfId="4318" xr:uid="{3C250E0A-7426-4B82-B46A-2EEF3781E4AD}"/>
    <cellStyle name="Normal 8 2 3 7" xfId="5444" xr:uid="{90DD55A6-3465-40E4-A7A2-EC61D0295194}"/>
    <cellStyle name="Normal 8 2 3 8" xfId="6571" xr:uid="{C9CC1189-45B5-415F-AA1A-93D1E876914B}"/>
    <cellStyle name="Normal 8 2 3 9" xfId="7707" xr:uid="{16BF7B74-92AB-43F7-ACA2-02527BBEF354}"/>
    <cellStyle name="Normal 8 2 4" xfId="941" xr:uid="{B37F2C2C-C17A-4D60-9AD8-54572C3FBF5C}"/>
    <cellStyle name="Normal 8 2 4 10" xfId="10405" xr:uid="{16DEAB8C-68A2-408C-B76B-75DE26BABF59}"/>
    <cellStyle name="Normal 8 2 4 11" xfId="12226" xr:uid="{B85E29A2-461A-414C-BBBF-BB13CDC0F823}"/>
    <cellStyle name="Normal 8 2 4 12" xfId="14479" xr:uid="{5A4AB39E-E1DE-4157-B0DE-07376621E742}"/>
    <cellStyle name="Normal 8 2 4 13" xfId="16732" xr:uid="{61A13791-CBAF-4591-9153-2DF35C0C3DA9}"/>
    <cellStyle name="Normal 8 2 4 2" xfId="2069" xr:uid="{656979B2-DCA6-4E47-811B-0EC38BEE7BC1}"/>
    <cellStyle name="Normal 8 2 4 2 2" xfId="13353" xr:uid="{85690FF7-9728-4B44-AE2B-9843FFA4E2E4}"/>
    <cellStyle name="Normal 8 2 4 2 3" xfId="15606" xr:uid="{53276D3D-FADB-429A-A34F-8127627AD799}"/>
    <cellStyle name="Normal 8 2 4 2 4" xfId="17859" xr:uid="{EBBA24DB-821D-4B6D-9760-8CC6BB2F0DE8}"/>
    <cellStyle name="Normal 8 2 4 3" xfId="3195" xr:uid="{6623DFEC-0B49-478D-8B48-204D7E740F42}"/>
    <cellStyle name="Normal 8 2 4 4" xfId="4321" xr:uid="{C5962726-6FCB-40F7-8E7E-28F9CA2AAD96}"/>
    <cellStyle name="Normal 8 2 4 5" xfId="5447" xr:uid="{CCFCE759-7A01-4974-9D61-E95666A21395}"/>
    <cellStyle name="Normal 8 2 4 6" xfId="6574" xr:uid="{E2EE5688-A5B1-427F-AA41-A2593B8765ED}"/>
    <cellStyle name="Normal 8 2 4 7" xfId="7710" xr:uid="{E71A467E-F201-4590-913F-B43CD93E7157}"/>
    <cellStyle name="Normal 8 2 4 8" xfId="8141" xr:uid="{7B556200-E02F-4705-9413-F1F4D6BE93DC}"/>
    <cellStyle name="Normal 8 2 4 9" xfId="9278" xr:uid="{30ABC9EB-5CE7-433C-A974-74730DCF7276}"/>
    <cellStyle name="Normal 8 2 5" xfId="942" xr:uid="{91E5DA69-1A6F-41D0-8B8E-AB61C82C91B0}"/>
    <cellStyle name="Normal 8 2 5 10" xfId="10404" xr:uid="{0FBD134E-EEC8-4537-A5BC-6849D4222DC4}"/>
    <cellStyle name="Normal 8 2 5 11" xfId="12227" xr:uid="{01EA65A9-8370-41C6-BE36-018B7A0E4754}"/>
    <cellStyle name="Normal 8 2 5 12" xfId="14480" xr:uid="{8C6B9230-FF0E-47A5-8A52-CB76FEF25DFB}"/>
    <cellStyle name="Normal 8 2 5 13" xfId="16733" xr:uid="{3D8515C3-6D68-41DA-A096-F9EA3BA977D4}"/>
    <cellStyle name="Normal 8 2 5 2" xfId="2070" xr:uid="{B3A1172E-3066-4F69-B006-FC0930CD7722}"/>
    <cellStyle name="Normal 8 2 5 2 2" xfId="13354" xr:uid="{8E55189D-C50C-4E75-A2E1-23A6E1FFD027}"/>
    <cellStyle name="Normal 8 2 5 2 3" xfId="15607" xr:uid="{65DA9485-617E-4A68-A388-09ECE93FA853}"/>
    <cellStyle name="Normal 8 2 5 2 4" xfId="17860" xr:uid="{63CC33E6-81F9-4259-B115-3456796C941B}"/>
    <cellStyle name="Normal 8 2 5 3" xfId="3196" xr:uid="{3DB86D74-416A-4A92-9F55-6FD3C5245CAB}"/>
    <cellStyle name="Normal 8 2 5 4" xfId="4322" xr:uid="{667BBC65-5E01-45DC-A358-F4FC3343C51E}"/>
    <cellStyle name="Normal 8 2 5 5" xfId="5448" xr:uid="{57B6588F-3BDC-44F7-AD32-D2FFB3823C18}"/>
    <cellStyle name="Normal 8 2 5 6" xfId="6575" xr:uid="{C1AC1630-5FB2-4B16-9CB8-1F80A2FDD6B7}"/>
    <cellStyle name="Normal 8 2 5 7" xfId="7711" xr:uid="{DFAA778F-316C-4C1D-B4B0-9A5979B5695A}"/>
    <cellStyle name="Normal 8 2 5 8" xfId="8140" xr:uid="{8274750C-9123-4B5F-88BB-34847CFE8562}"/>
    <cellStyle name="Normal 8 2 5 9" xfId="9277" xr:uid="{1377184E-8027-4D3C-A2DE-2ED97A231284}"/>
    <cellStyle name="Normal 8 2 6" xfId="2059" xr:uid="{77FE50DB-BE94-47AE-9138-BAF618CCA2A1}"/>
    <cellStyle name="Normal 8 2 6 2" xfId="13343" xr:uid="{0FE4372E-F48F-4B0A-A81A-F034E2CF4339}"/>
    <cellStyle name="Normal 8 2 6 3" xfId="15596" xr:uid="{8A880A70-EF17-4C93-894E-76AFCE571D57}"/>
    <cellStyle name="Normal 8 2 6 4" xfId="17849" xr:uid="{3206CCA7-7E6C-44EE-AD1C-0D1A772D64B2}"/>
    <cellStyle name="Normal 8 2 7" xfId="3185" xr:uid="{5454D9EE-3C30-4308-A6AA-72BE9CE6205C}"/>
    <cellStyle name="Normal 8 2 8" xfId="4311" xr:uid="{44BD5249-7283-4E73-A264-8D7B4A628279}"/>
    <cellStyle name="Normal 8 2 9" xfId="5437" xr:uid="{E500ECF1-41B4-4012-BE9D-48158FCB70B5}"/>
    <cellStyle name="Normal 8 3" xfId="943" xr:uid="{15837709-115F-4321-A1F9-472391D73298}"/>
    <cellStyle name="Normal 8 3 10" xfId="7712" xr:uid="{DBED6517-9548-4649-92C2-6591DE878710}"/>
    <cellStyle name="Normal 8 3 11" xfId="8139" xr:uid="{34F3D145-7296-47A1-857C-867B4D0AB7F1}"/>
    <cellStyle name="Normal 8 3 12" xfId="9276" xr:uid="{BBBEB574-E1B2-4110-9F73-A64854AE31C9}"/>
    <cellStyle name="Normal 8 3 13" xfId="10403" xr:uid="{852A1DFA-B98E-4E58-A11F-3A4FDD127DEE}"/>
    <cellStyle name="Normal 8 3 14" xfId="12228" xr:uid="{92677237-4F1B-4550-83F5-D091161A86C0}"/>
    <cellStyle name="Normal 8 3 15" xfId="14481" xr:uid="{78EA54B8-7C85-4D38-8E83-3140173B67C1}"/>
    <cellStyle name="Normal 8 3 16" xfId="16734" xr:uid="{BDC3B4A4-59D3-44C1-9DB3-2EFAD6786341}"/>
    <cellStyle name="Normal 8 3 2" xfId="944" xr:uid="{7EF8FEDA-8734-459B-ADAF-EAF33D49E40A}"/>
    <cellStyle name="Normal 8 3 2 10" xfId="8138" xr:uid="{EB2EE798-3577-4FB6-A915-F2F819A2D1F9}"/>
    <cellStyle name="Normal 8 3 2 11" xfId="9275" xr:uid="{CC661071-A421-46BD-94DB-28C65AE09D75}"/>
    <cellStyle name="Normal 8 3 2 12" xfId="10402" xr:uid="{D1A2BC38-D3D7-4C96-B3B0-A80611F64D42}"/>
    <cellStyle name="Normal 8 3 2 13" xfId="12229" xr:uid="{BFE5AF55-7346-4F67-B7D5-8E8A9F1CCDE8}"/>
    <cellStyle name="Normal 8 3 2 14" xfId="14482" xr:uid="{5C2648D7-8CBC-46EE-AE56-561A27C0AA9F}"/>
    <cellStyle name="Normal 8 3 2 15" xfId="16735" xr:uid="{C1D53805-CFA6-4D43-AF62-B0FBCE37D09F}"/>
    <cellStyle name="Normal 8 3 2 2" xfId="945" xr:uid="{7D8A9CBC-9430-4A55-9C94-D3609F486F39}"/>
    <cellStyle name="Normal 8 3 2 2 10" xfId="10401" xr:uid="{0006C93D-00FA-4084-B513-B2C232287382}"/>
    <cellStyle name="Normal 8 3 2 2 11" xfId="12230" xr:uid="{0A5060B8-4D82-45C8-AD82-064DE76A39CF}"/>
    <cellStyle name="Normal 8 3 2 2 12" xfId="14483" xr:uid="{CB0D16EA-3C7E-478F-A635-7B2643608ED1}"/>
    <cellStyle name="Normal 8 3 2 2 13" xfId="16736" xr:uid="{B4F71444-11E2-437F-910C-A449B6D453E8}"/>
    <cellStyle name="Normal 8 3 2 2 2" xfId="2073" xr:uid="{0A343C73-7B08-41E1-B482-D8C65CFE1BB3}"/>
    <cellStyle name="Normal 8 3 2 2 2 2" xfId="13357" xr:uid="{C6E65D4A-49CB-4B7E-86EB-C6A84FC10753}"/>
    <cellStyle name="Normal 8 3 2 2 2 3" xfId="15610" xr:uid="{CEA782A4-B95C-4CEC-A613-43BA08C787E6}"/>
    <cellStyle name="Normal 8 3 2 2 2 4" xfId="17863" xr:uid="{B577AE95-C8DC-46F6-8E34-E046832B6F16}"/>
    <cellStyle name="Normal 8 3 2 2 3" xfId="3199" xr:uid="{57CC4BAD-9C75-4684-8C29-80C7B557E468}"/>
    <cellStyle name="Normal 8 3 2 2 4" xfId="4325" xr:uid="{060EC942-F69D-4C87-A61A-1D65D99F9852}"/>
    <cellStyle name="Normal 8 3 2 2 5" xfId="5451" xr:uid="{6C9EB455-A4AB-4C96-A356-3C8C6C873402}"/>
    <cellStyle name="Normal 8 3 2 2 6" xfId="6578" xr:uid="{705BA78B-8A95-46B5-A60E-A16F378C8CB8}"/>
    <cellStyle name="Normal 8 3 2 2 7" xfId="7714" xr:uid="{8AB61BE3-9E92-4701-A676-7E07A15E7525}"/>
    <cellStyle name="Normal 8 3 2 2 8" xfId="8137" xr:uid="{138CCE32-0E01-46EF-9F7D-7077D98700C3}"/>
    <cellStyle name="Normal 8 3 2 2 9" xfId="9274" xr:uid="{7414FD54-0A47-4EFA-8380-5E1F8C19EFFA}"/>
    <cellStyle name="Normal 8 3 2 3" xfId="946" xr:uid="{A6D6910D-65C6-47D4-A884-F42EBD929BF3}"/>
    <cellStyle name="Normal 8 3 2 3 10" xfId="10400" xr:uid="{4412F238-D14E-464C-8DED-D7270B159065}"/>
    <cellStyle name="Normal 8 3 2 3 11" xfId="12231" xr:uid="{8D5B2D2D-D3AD-4384-9A64-522F35FA2DC0}"/>
    <cellStyle name="Normal 8 3 2 3 12" xfId="14484" xr:uid="{87443D6F-E3A6-47E1-8E5F-E6682C12402C}"/>
    <cellStyle name="Normal 8 3 2 3 13" xfId="16737" xr:uid="{B8F9DE99-FDB1-46AD-A3D4-DDDA86B46335}"/>
    <cellStyle name="Normal 8 3 2 3 2" xfId="2074" xr:uid="{3EC8ECAE-BFAB-4A4D-8675-6983E4652DF9}"/>
    <cellStyle name="Normal 8 3 2 3 2 2" xfId="13358" xr:uid="{36E1672E-9547-4AEB-847B-4B880F4F0EA5}"/>
    <cellStyle name="Normal 8 3 2 3 2 3" xfId="15611" xr:uid="{6E9C5D08-C660-4348-BEB7-C753D4A874D1}"/>
    <cellStyle name="Normal 8 3 2 3 2 4" xfId="17864" xr:uid="{5692970C-EC5C-4398-A88F-99ED7D51DCF1}"/>
    <cellStyle name="Normal 8 3 2 3 3" xfId="3200" xr:uid="{A2821E79-5F52-48B0-9AB6-A379909E8612}"/>
    <cellStyle name="Normal 8 3 2 3 4" xfId="4326" xr:uid="{91893249-718C-47B9-8416-6CC406242332}"/>
    <cellStyle name="Normal 8 3 2 3 5" xfId="5452" xr:uid="{68C000FD-2163-4AEA-B99A-D5C2ED6582B5}"/>
    <cellStyle name="Normal 8 3 2 3 6" xfId="6579" xr:uid="{183E2359-E2E5-4532-883B-0938900AEEB8}"/>
    <cellStyle name="Normal 8 3 2 3 7" xfId="7715" xr:uid="{E3B73963-80D2-46FE-B403-331027104C49}"/>
    <cellStyle name="Normal 8 3 2 3 8" xfId="8136" xr:uid="{A1AD7AF8-41F2-46C3-976F-9BCE6AAA5BC7}"/>
    <cellStyle name="Normal 8 3 2 3 9" xfId="9273" xr:uid="{DB92405D-7904-4F9F-BE9D-4EE45D33B74C}"/>
    <cellStyle name="Normal 8 3 2 4" xfId="2072" xr:uid="{B7AD1D58-26C7-45B4-B7E3-BAA7DDB596D0}"/>
    <cellStyle name="Normal 8 3 2 4 2" xfId="13356" xr:uid="{2C7A9810-5A47-4440-8AD3-AB668907382A}"/>
    <cellStyle name="Normal 8 3 2 4 3" xfId="15609" xr:uid="{DAF27127-5F4A-454B-9E52-6330298561AF}"/>
    <cellStyle name="Normal 8 3 2 4 4" xfId="17862" xr:uid="{A83EDF57-7481-4389-AABA-808D2804F600}"/>
    <cellStyle name="Normal 8 3 2 5" xfId="3198" xr:uid="{E4B34801-F8E2-48A3-8091-1DD66011DB7A}"/>
    <cellStyle name="Normal 8 3 2 6" xfId="4324" xr:uid="{42AB2384-630E-418C-9C09-10BBCA592119}"/>
    <cellStyle name="Normal 8 3 2 7" xfId="5450" xr:uid="{AE0F1B7B-CD63-4BEE-BB9A-6C7364B4EA97}"/>
    <cellStyle name="Normal 8 3 2 8" xfId="6577" xr:uid="{59080CB8-306F-4360-A033-8DC8C162DC9E}"/>
    <cellStyle name="Normal 8 3 2 9" xfId="7713" xr:uid="{66E90B85-CA71-4F8A-AF08-7CC4B68DC9B2}"/>
    <cellStyle name="Normal 8 3 3" xfId="947" xr:uid="{44B64515-4512-4198-A428-4769081FF9E0}"/>
    <cellStyle name="Normal 8 3 3 10" xfId="10399" xr:uid="{A486EA9E-3362-46AD-A0D5-B451F1B253A5}"/>
    <cellStyle name="Normal 8 3 3 11" xfId="12232" xr:uid="{152FB5B2-BBDB-4879-B752-05A083203643}"/>
    <cellStyle name="Normal 8 3 3 12" xfId="14485" xr:uid="{CBBE5598-33E4-4822-BD16-AC422A5C1E05}"/>
    <cellStyle name="Normal 8 3 3 13" xfId="16738" xr:uid="{8419DA0D-1983-40E1-81A3-40F6BA20F198}"/>
    <cellStyle name="Normal 8 3 3 2" xfId="2075" xr:uid="{B3B3A874-D2C2-40CE-9A53-7447AC1691EA}"/>
    <cellStyle name="Normal 8 3 3 2 2" xfId="13359" xr:uid="{F0F38DDA-8BCE-46EE-BC49-298F69D7588E}"/>
    <cellStyle name="Normal 8 3 3 2 3" xfId="15612" xr:uid="{6D061C85-442D-4084-873E-3EE6D1AD8F7C}"/>
    <cellStyle name="Normal 8 3 3 2 4" xfId="17865" xr:uid="{4491575C-A60B-4C92-BB62-4932D041DF53}"/>
    <cellStyle name="Normal 8 3 3 3" xfId="3201" xr:uid="{3853E866-02CE-4DE3-A080-CF459761753D}"/>
    <cellStyle name="Normal 8 3 3 4" xfId="4327" xr:uid="{6BC60029-57AA-4A56-BDB4-35E3165EF67D}"/>
    <cellStyle name="Normal 8 3 3 5" xfId="5453" xr:uid="{8175F769-8843-4365-AEFC-8BB1C5813C09}"/>
    <cellStyle name="Normal 8 3 3 6" xfId="6580" xr:uid="{CF63565F-1F56-4E00-8219-51E7290C4BE0}"/>
    <cellStyle name="Normal 8 3 3 7" xfId="7716" xr:uid="{232FC85E-E78E-45B0-A952-3511444EF5B0}"/>
    <cellStyle name="Normal 8 3 3 8" xfId="8135" xr:uid="{4C4E47E9-AFC1-47EC-9FC7-4C51EBD4E3FA}"/>
    <cellStyle name="Normal 8 3 3 9" xfId="9272" xr:uid="{0330B8BB-BC2B-4642-BFB3-19763103D2F1}"/>
    <cellStyle name="Normal 8 3 4" xfId="948" xr:uid="{864A5FF5-FB28-4F22-BDA7-DB1FED3A7A08}"/>
    <cellStyle name="Normal 8 3 4 10" xfId="10398" xr:uid="{4FA599DB-A746-45EB-990D-B29F67F26B8E}"/>
    <cellStyle name="Normal 8 3 4 11" xfId="12233" xr:uid="{9DD17B18-56B1-4612-B392-B533433A3160}"/>
    <cellStyle name="Normal 8 3 4 12" xfId="14486" xr:uid="{E39807D8-C538-4C53-9C79-CA66EC816568}"/>
    <cellStyle name="Normal 8 3 4 13" xfId="16739" xr:uid="{CAB3B3FC-AB27-466D-A80C-1317B63C869D}"/>
    <cellStyle name="Normal 8 3 4 2" xfId="2076" xr:uid="{450B5B6A-39CD-4048-8AFA-BAFD27A19D98}"/>
    <cellStyle name="Normal 8 3 4 2 2" xfId="13360" xr:uid="{55B414AF-6B77-46B8-A3EE-738280567338}"/>
    <cellStyle name="Normal 8 3 4 2 3" xfId="15613" xr:uid="{77178F01-110C-49BB-A065-5B77925420A7}"/>
    <cellStyle name="Normal 8 3 4 2 4" xfId="17866" xr:uid="{627EEAB3-9088-4E58-AD0D-B637197D54B3}"/>
    <cellStyle name="Normal 8 3 4 3" xfId="3202" xr:uid="{7932DC8A-21AF-4478-A2AA-ADA3F61E7DF9}"/>
    <cellStyle name="Normal 8 3 4 4" xfId="4328" xr:uid="{506136F1-F6A5-42F4-89A0-B5F64F4B2838}"/>
    <cellStyle name="Normal 8 3 4 5" xfId="5454" xr:uid="{6422965D-F2FD-4B42-B610-556991A98D04}"/>
    <cellStyle name="Normal 8 3 4 6" xfId="6581" xr:uid="{AE139C94-ECCF-40AE-8C11-CA3C0BFA4327}"/>
    <cellStyle name="Normal 8 3 4 7" xfId="7717" xr:uid="{0A00467B-4005-4DE3-903C-9E6859E5D72D}"/>
    <cellStyle name="Normal 8 3 4 8" xfId="8134" xr:uid="{9B999A45-79B8-4152-94FC-B15D1F205A3B}"/>
    <cellStyle name="Normal 8 3 4 9" xfId="9271" xr:uid="{3A5929B7-16FC-46C4-ABFC-FA407F036C1D}"/>
    <cellStyle name="Normal 8 3 5" xfId="2071" xr:uid="{7CE27B44-7644-446A-B207-DDEB0A2905D5}"/>
    <cellStyle name="Normal 8 3 5 2" xfId="13355" xr:uid="{AB0598CB-CB28-474A-956F-DE614155F4A2}"/>
    <cellStyle name="Normal 8 3 5 3" xfId="15608" xr:uid="{D3284046-1983-40CF-B8C9-DFC9E78746F2}"/>
    <cellStyle name="Normal 8 3 5 4" xfId="17861" xr:uid="{CD1C3FC4-185F-4D37-A361-E69EE7AADD2F}"/>
    <cellStyle name="Normal 8 3 6" xfId="3197" xr:uid="{0B484E8E-9692-44C1-867E-CAF325460402}"/>
    <cellStyle name="Normal 8 3 7" xfId="4323" xr:uid="{3947A397-F9D1-418E-A16B-36075947EDC1}"/>
    <cellStyle name="Normal 8 3 8" xfId="5449" xr:uid="{79F0D208-15F3-45E1-BEAD-977247BD9529}"/>
    <cellStyle name="Normal 8 3 9" xfId="6576" xr:uid="{75DEA5B3-CEE9-406E-863B-5A15EFC256E9}"/>
    <cellStyle name="Normal 8 4" xfId="949" xr:uid="{23607436-F6AF-44DE-B675-BD6F112A5401}"/>
    <cellStyle name="Normal 8 4 10" xfId="8133" xr:uid="{9C7BDF30-16DB-4DC8-9572-25ADEEFB1728}"/>
    <cellStyle name="Normal 8 4 11" xfId="9270" xr:uid="{97E90A20-7172-4875-AFBC-7972D10540C7}"/>
    <cellStyle name="Normal 8 4 12" xfId="10397" xr:uid="{AB79824A-2356-4E85-9235-10CF06EBDFEB}"/>
    <cellStyle name="Normal 8 4 13" xfId="12234" xr:uid="{B2A1AB83-F006-4C57-AE82-01B161CA7EE7}"/>
    <cellStyle name="Normal 8 4 14" xfId="14487" xr:uid="{C996AE0A-7536-4547-8434-9AF740AD528A}"/>
    <cellStyle name="Normal 8 4 15" xfId="16740" xr:uid="{750974E3-F0F6-4E86-ABAA-7DFA3B60BC56}"/>
    <cellStyle name="Normal 8 4 2" xfId="950" xr:uid="{514B0989-88ED-4F64-86A8-B6AEEE0530D9}"/>
    <cellStyle name="Normal 8 4 2 10" xfId="10396" xr:uid="{15AA7FA2-9772-4956-B4B1-0B52FA7C7AE9}"/>
    <cellStyle name="Normal 8 4 2 11" xfId="12235" xr:uid="{FA420F95-57EC-43E8-BC11-983622C4E0F6}"/>
    <cellStyle name="Normal 8 4 2 12" xfId="14488" xr:uid="{367AF317-E698-46E9-96BC-EBEEB122FBFA}"/>
    <cellStyle name="Normal 8 4 2 13" xfId="16741" xr:uid="{F9DE0B64-39EA-4866-AEB6-7198D882C9BC}"/>
    <cellStyle name="Normal 8 4 2 2" xfId="2078" xr:uid="{167BCF56-0901-404F-9E59-F5C38EB6D8EE}"/>
    <cellStyle name="Normal 8 4 2 2 2" xfId="13362" xr:uid="{33B544A5-A1D8-425B-81D1-57C7C1D4A352}"/>
    <cellStyle name="Normal 8 4 2 2 3" xfId="15615" xr:uid="{550B39F5-96FB-453B-935A-E6EB4EBB75EE}"/>
    <cellStyle name="Normal 8 4 2 2 4" xfId="17868" xr:uid="{76A288D1-8320-4703-88C6-49A30B6988B6}"/>
    <cellStyle name="Normal 8 4 2 3" xfId="3204" xr:uid="{8E7E00FA-ACEA-4A56-B127-C0BEE20F9318}"/>
    <cellStyle name="Normal 8 4 2 4" xfId="4330" xr:uid="{9C649959-B90A-4303-BDB5-7966A6A38266}"/>
    <cellStyle name="Normal 8 4 2 5" xfId="5456" xr:uid="{6D94ADAC-FF07-460A-A584-91177CA8A28C}"/>
    <cellStyle name="Normal 8 4 2 6" xfId="6583" xr:uid="{81746D0F-FF85-4D6E-8343-1739B229A6AE}"/>
    <cellStyle name="Normal 8 4 2 7" xfId="7719" xr:uid="{B71A3426-6971-4C2C-A9AA-47918D76FFD2}"/>
    <cellStyle name="Normal 8 4 2 8" xfId="8132" xr:uid="{77538526-06EA-4CF2-BB59-365EAA0B555C}"/>
    <cellStyle name="Normal 8 4 2 9" xfId="9269" xr:uid="{D3C8ABE3-B9D8-4789-BB81-3BA6A8FF1196}"/>
    <cellStyle name="Normal 8 4 3" xfId="951" xr:uid="{F29F4F88-68EA-4808-A535-044B5A8734A6}"/>
    <cellStyle name="Normal 8 4 3 10" xfId="10395" xr:uid="{3FCA0AF3-56E9-4AD5-BE4B-FD61FFFA1FC3}"/>
    <cellStyle name="Normal 8 4 3 11" xfId="12236" xr:uid="{A1D2B9D5-DA80-40C8-B712-E5D3F90BF44F}"/>
    <cellStyle name="Normal 8 4 3 12" xfId="14489" xr:uid="{E9C61FFE-FEC5-4297-9075-26E6C138EDFB}"/>
    <cellStyle name="Normal 8 4 3 13" xfId="16742" xr:uid="{53228028-910B-4E77-9343-0AEFE1454F56}"/>
    <cellStyle name="Normal 8 4 3 2" xfId="2079" xr:uid="{5262EE64-3539-4F82-A56E-3176082CE2A1}"/>
    <cellStyle name="Normal 8 4 3 2 2" xfId="13363" xr:uid="{B6A9FBB7-4B21-452B-9F39-318E4FE9F0E1}"/>
    <cellStyle name="Normal 8 4 3 2 3" xfId="15616" xr:uid="{744B1D2C-FFA9-4425-8D4D-8EFF5A384D27}"/>
    <cellStyle name="Normal 8 4 3 2 4" xfId="17869" xr:uid="{DF3D0CD9-3BE1-448F-B08F-75387877564F}"/>
    <cellStyle name="Normal 8 4 3 3" xfId="3205" xr:uid="{9905BFA9-8842-49B2-95DD-DF16E1A151B5}"/>
    <cellStyle name="Normal 8 4 3 4" xfId="4331" xr:uid="{1F8EFFEC-C8F4-4588-8F2B-47ADC411E128}"/>
    <cellStyle name="Normal 8 4 3 5" xfId="5457" xr:uid="{971B7926-BCB0-46BA-BCC1-9E783075DCB7}"/>
    <cellStyle name="Normal 8 4 3 6" xfId="6584" xr:uid="{E47D1CCA-B36F-46B4-A18B-B80DE07FC485}"/>
    <cellStyle name="Normal 8 4 3 7" xfId="7720" xr:uid="{B6348CAD-1EF8-4F3A-8212-F7BC3663875F}"/>
    <cellStyle name="Normal 8 4 3 8" xfId="8131" xr:uid="{DC07961A-D9F8-4E4D-A068-97FE82DCC4EE}"/>
    <cellStyle name="Normal 8 4 3 9" xfId="9268" xr:uid="{16136202-0C70-4215-A158-D59B34E1A002}"/>
    <cellStyle name="Normal 8 4 4" xfId="2077" xr:uid="{80A8708F-470F-4B21-B85B-41540803F0C3}"/>
    <cellStyle name="Normal 8 4 4 2" xfId="13361" xr:uid="{E629E4D0-0C15-4E34-B046-E60CF1AE5892}"/>
    <cellStyle name="Normal 8 4 4 3" xfId="15614" xr:uid="{1F67FEB0-86A1-48A1-8179-D16F28AEBD02}"/>
    <cellStyle name="Normal 8 4 4 4" xfId="17867" xr:uid="{E4C98D8F-4870-4088-8099-AE1393E52501}"/>
    <cellStyle name="Normal 8 4 5" xfId="3203" xr:uid="{21D9BDC1-AF11-451F-84C5-C5E1FDFC9989}"/>
    <cellStyle name="Normal 8 4 6" xfId="4329" xr:uid="{216E20D6-B2F6-43FD-8BA7-D105EA02CF9D}"/>
    <cellStyle name="Normal 8 4 7" xfId="5455" xr:uid="{E8AC16F1-6114-4AAF-B8B9-C0D4FFAAFB89}"/>
    <cellStyle name="Normal 8 4 8" xfId="6582" xr:uid="{059680B6-869E-4883-BA95-6A4F9749C694}"/>
    <cellStyle name="Normal 8 4 9" xfId="7718" xr:uid="{FF34B7ED-3F5D-4145-9171-3CD5D217BE97}"/>
    <cellStyle name="Normal 8 5" xfId="952" xr:uid="{7DCC807D-B948-4634-AE97-4C50DCDD964F}"/>
    <cellStyle name="Normal 8 5 10" xfId="10394" xr:uid="{05C9E478-F960-418D-957F-1F1E59BCD227}"/>
    <cellStyle name="Normal 8 5 11" xfId="12237" xr:uid="{5522B1D4-1FA0-48D0-A35E-68ADB2E82CD0}"/>
    <cellStyle name="Normal 8 5 12" xfId="14490" xr:uid="{C5B4B010-71CB-418C-A783-950BA819AABE}"/>
    <cellStyle name="Normal 8 5 13" xfId="16743" xr:uid="{F941CFD7-8CBB-46F6-88DA-35E26B61F6E8}"/>
    <cellStyle name="Normal 8 5 2" xfId="2080" xr:uid="{8CB3B231-7210-491F-8BFE-8E513760C8EC}"/>
    <cellStyle name="Normal 8 5 2 2" xfId="13364" xr:uid="{F93805A6-3F99-4DF1-9055-204CB10F62D1}"/>
    <cellStyle name="Normal 8 5 2 3" xfId="15617" xr:uid="{30203F4D-25FE-4593-A456-D52CCCEFAD66}"/>
    <cellStyle name="Normal 8 5 2 4" xfId="17870" xr:uid="{A936596C-5AAF-49CF-8205-18F418DD133C}"/>
    <cellStyle name="Normal 8 5 3" xfId="3206" xr:uid="{DAB102D3-266A-4D8A-A896-7D40530B460C}"/>
    <cellStyle name="Normal 8 5 4" xfId="4332" xr:uid="{C01AB722-4E79-45A1-A1D0-FD45E29BB009}"/>
    <cellStyle name="Normal 8 5 5" xfId="5458" xr:uid="{A2C713A5-2548-45AE-8F63-96B367C34883}"/>
    <cellStyle name="Normal 8 5 6" xfId="6585" xr:uid="{4A4C7BD6-F145-4E91-A871-3395C20E98B1}"/>
    <cellStyle name="Normal 8 5 7" xfId="7721" xr:uid="{EED7AEBA-45A0-44CA-A803-0C6FA5FC156B}"/>
    <cellStyle name="Normal 8 5 8" xfId="8130" xr:uid="{07E85E3F-B08A-4019-9D33-B987CD9FDBDB}"/>
    <cellStyle name="Normal 8 5 9" xfId="9267" xr:uid="{A5905906-7432-44F6-83A2-5E3852B71148}"/>
    <cellStyle name="Normal 8 6" xfId="953" xr:uid="{1170B651-9A0F-45DA-8A36-750A95114D3B}"/>
    <cellStyle name="Normal 8 6 10" xfId="10393" xr:uid="{8D0DA5EE-5E8C-4243-B6F3-42E5C9C84ACF}"/>
    <cellStyle name="Normal 8 6 11" xfId="12238" xr:uid="{57192164-8ED1-4E9B-B6D9-314290618DB4}"/>
    <cellStyle name="Normal 8 6 12" xfId="14491" xr:uid="{BEE9A983-14F0-4E7F-83FB-0C513967C348}"/>
    <cellStyle name="Normal 8 6 13" xfId="16744" xr:uid="{A4359360-436D-4E75-A297-7A149D3F8A1F}"/>
    <cellStyle name="Normal 8 6 2" xfId="2081" xr:uid="{10BACF74-034A-4A8D-B13B-105BA957F63A}"/>
    <cellStyle name="Normal 8 6 2 2" xfId="13365" xr:uid="{0BF74706-365A-445A-940D-E9BC45CA3DB6}"/>
    <cellStyle name="Normal 8 6 2 3" xfId="15618" xr:uid="{6FD4FCE2-45DE-4C58-B31F-E17427FE9502}"/>
    <cellStyle name="Normal 8 6 2 4" xfId="17871" xr:uid="{65CF971C-2D69-43FD-8FDF-0A615E4DFDED}"/>
    <cellStyle name="Normal 8 6 3" xfId="3207" xr:uid="{A4F0C8FD-6D86-4291-A4CC-0779B59B8E67}"/>
    <cellStyle name="Normal 8 6 4" xfId="4333" xr:uid="{C657DA7F-0777-41E3-801D-6785795547D2}"/>
    <cellStyle name="Normal 8 6 5" xfId="5459" xr:uid="{C1A277C9-E9BF-4881-B4AB-DDF6A0286ABA}"/>
    <cellStyle name="Normal 8 6 6" xfId="6586" xr:uid="{5C5099FA-3EAC-4EF2-8F5B-9F22291357FD}"/>
    <cellStyle name="Normal 8 6 7" xfId="7722" xr:uid="{1C53DD84-451C-4516-A6BE-8B35CFF61A25}"/>
    <cellStyle name="Normal 8 6 8" xfId="8129" xr:uid="{B0DD94D5-D2AD-4EBC-B6AF-B8F54651CF53}"/>
    <cellStyle name="Normal 8 6 9" xfId="9266" xr:uid="{6B385B13-F338-45C1-AE8C-61ABEF433857}"/>
    <cellStyle name="Normal 8 7" xfId="2058" xr:uid="{16BFEC6A-6337-4DEB-A2BA-78DE53B7BF9E}"/>
    <cellStyle name="Normal 8 7 2" xfId="13342" xr:uid="{93947387-DFB5-4BE6-9A00-4E2DA5A1BBD7}"/>
    <cellStyle name="Normal 8 7 3" xfId="15595" xr:uid="{349226D4-26D6-4CBE-AF7D-BE9380749238}"/>
    <cellStyle name="Normal 8 7 4" xfId="17848" xr:uid="{6C7420D0-1DF8-4DF6-9293-138804ECEBC0}"/>
    <cellStyle name="Normal 8 8" xfId="3184" xr:uid="{E73999BA-37DE-4B43-9870-DBA5923D43BF}"/>
    <cellStyle name="Normal 8 9" xfId="4310" xr:uid="{F06212B1-E433-49EC-9F75-6013647E1A0A}"/>
    <cellStyle name="Normal 9" xfId="954" xr:uid="{E4B32134-4999-49F1-839B-A8F89B5DB40A}"/>
    <cellStyle name="Normal 9 10" xfId="5460" xr:uid="{8312187B-2A44-4D68-8517-A191B6257402}"/>
    <cellStyle name="Normal 9 11" xfId="6587" xr:uid="{4DD56DFA-A3A0-48AE-A5EC-0D1C888B2440}"/>
    <cellStyle name="Normal 9 12" xfId="7723" xr:uid="{05A87990-180E-4ECC-A681-C54AB1C0E0EE}"/>
    <cellStyle name="Normal 9 13" xfId="8128" xr:uid="{9DC7574F-8EA9-4D18-A407-31BE91F302E9}"/>
    <cellStyle name="Normal 9 14" xfId="9265" xr:uid="{28820D77-0CC0-4AB6-A132-0BE5FC0E5FBD}"/>
    <cellStyle name="Normal 9 15" xfId="10392" xr:uid="{3F39E0E4-590F-400C-A7C1-6BC39F592EB6}"/>
    <cellStyle name="Normal 9 16" xfId="12239" xr:uid="{A1FB6211-A6C6-4B93-AB0C-2AE1E394B994}"/>
    <cellStyle name="Normal 9 17" xfId="14492" xr:uid="{0EFF1E23-3187-434E-9333-22EBF0ADDC10}"/>
    <cellStyle name="Normal 9 18" xfId="16745" xr:uid="{3F041DCD-9531-46B6-BDAA-11E5A405ADFE}"/>
    <cellStyle name="Normal 9 2" xfId="955" xr:uid="{5795C22B-351E-471E-9F43-42CE9B1731C0}"/>
    <cellStyle name="Normal 9 2 10" xfId="6588" xr:uid="{3BFDB8FC-AF7B-413E-8A64-CC5DB8B81A90}"/>
    <cellStyle name="Normal 9 2 11" xfId="7724" xr:uid="{1BB0AF13-C2D8-40A5-B46E-3C7C52AC1476}"/>
    <cellStyle name="Normal 9 2 12" xfId="8127" xr:uid="{F5C1A0D4-FE9B-43F2-BE05-96BB95B42FA4}"/>
    <cellStyle name="Normal 9 2 13" xfId="9264" xr:uid="{9D9177E8-1F55-4CE2-B7F5-E83E7E2EDB28}"/>
    <cellStyle name="Normal 9 2 14" xfId="10391" xr:uid="{CE48EAA8-21EA-4B96-AF1D-1FF3B9BE708E}"/>
    <cellStyle name="Normal 9 2 15" xfId="12240" xr:uid="{8D516FF7-B1F5-4C85-8CF7-9D97FB0DC164}"/>
    <cellStyle name="Normal 9 2 16" xfId="14493" xr:uid="{E8A6D226-FF0F-4988-A7C4-C6B0BC21662B}"/>
    <cellStyle name="Normal 9 2 17" xfId="16746" xr:uid="{05F78995-773D-4737-B7AE-B12BFC5FFAA3}"/>
    <cellStyle name="Normal 9 2 2" xfId="956" xr:uid="{C0FBB8CB-6340-49D3-880D-4EB9509C536C}"/>
    <cellStyle name="Normal 9 2 2 10" xfId="7725" xr:uid="{710B6DC9-93DA-4495-BDE9-5F2BF5274BEF}"/>
    <cellStyle name="Normal 9 2 2 11" xfId="8126" xr:uid="{08291976-2D50-4B21-A634-9D576528B9F3}"/>
    <cellStyle name="Normal 9 2 2 12" xfId="9263" xr:uid="{6D5163D3-94F1-4459-8B12-707460C188BF}"/>
    <cellStyle name="Normal 9 2 2 13" xfId="10390" xr:uid="{2E37F9DB-9F52-4703-8C02-7BC16D10A4B1}"/>
    <cellStyle name="Normal 9 2 2 14" xfId="12241" xr:uid="{0E522DE3-5626-4C3C-A836-BCC16E94B01F}"/>
    <cellStyle name="Normal 9 2 2 15" xfId="14494" xr:uid="{1A671E11-B03C-4160-9A7C-C093EC1D4659}"/>
    <cellStyle name="Normal 9 2 2 16" xfId="16747" xr:uid="{D52025EB-0DBD-4AA6-A5B5-55F10A290262}"/>
    <cellStyle name="Normal 9 2 2 2" xfId="957" xr:uid="{19A8EC81-15BD-4A15-83CA-4B88AA447E11}"/>
    <cellStyle name="Normal 9 2 2 2 10" xfId="8125" xr:uid="{B4ED4C51-F5F8-437F-A4D4-030B9C215D07}"/>
    <cellStyle name="Normal 9 2 2 2 11" xfId="9262" xr:uid="{6AC88284-0E2F-40D5-9199-7A023413247B}"/>
    <cellStyle name="Normal 9 2 2 2 12" xfId="10389" xr:uid="{C7CC1D2B-36EF-43DC-B945-0D5BE723C4BC}"/>
    <cellStyle name="Normal 9 2 2 2 13" xfId="12242" xr:uid="{D0D54679-72AA-4284-BFEE-51F33F724A50}"/>
    <cellStyle name="Normal 9 2 2 2 14" xfId="14495" xr:uid="{59995F4E-24D3-43F9-A886-360B63FCE3B8}"/>
    <cellStyle name="Normal 9 2 2 2 15" xfId="16748" xr:uid="{14A32EA7-14B3-457B-B6BD-78EBD52F2E91}"/>
    <cellStyle name="Normal 9 2 2 2 2" xfId="958" xr:uid="{401E6C62-FBF5-4070-922F-2E59347F6C33}"/>
    <cellStyle name="Normal 9 2 2 2 2 10" xfId="10388" xr:uid="{0E819373-C98A-40FA-B6E2-8E9795A3AFD2}"/>
    <cellStyle name="Normal 9 2 2 2 2 11" xfId="12243" xr:uid="{2C1457EF-8112-4AD3-B39F-E16497BACDE2}"/>
    <cellStyle name="Normal 9 2 2 2 2 12" xfId="14496" xr:uid="{CB35A0B3-8312-4603-B3CD-CCFC2E421DC4}"/>
    <cellStyle name="Normal 9 2 2 2 2 13" xfId="16749" xr:uid="{7F993114-584B-4461-B648-7FDE5389474E}"/>
    <cellStyle name="Normal 9 2 2 2 2 2" xfId="2086" xr:uid="{F20C4923-64DA-4124-96B6-BC620942391F}"/>
    <cellStyle name="Normal 9 2 2 2 2 2 2" xfId="13370" xr:uid="{F357C18F-E7CB-4A73-B12E-B5579E9BEB9A}"/>
    <cellStyle name="Normal 9 2 2 2 2 2 3" xfId="15623" xr:uid="{8C4E249C-E92C-44B4-9D51-B83564EC6DBB}"/>
    <cellStyle name="Normal 9 2 2 2 2 2 4" xfId="17876" xr:uid="{1B2BE8C4-4537-42FB-ACA8-632A7C98260A}"/>
    <cellStyle name="Normal 9 2 2 2 2 3" xfId="3212" xr:uid="{433898F4-909F-46D5-BB12-9697B5D08384}"/>
    <cellStyle name="Normal 9 2 2 2 2 4" xfId="4338" xr:uid="{AAE055CB-CC74-4AB4-8F31-ACD34711CF44}"/>
    <cellStyle name="Normal 9 2 2 2 2 5" xfId="5464" xr:uid="{E0ED7910-7942-4FC5-A0B8-2716810453C9}"/>
    <cellStyle name="Normal 9 2 2 2 2 6" xfId="6591" xr:uid="{E0F1058B-39B8-4E35-A481-A49D75A9A694}"/>
    <cellStyle name="Normal 9 2 2 2 2 7" xfId="7727" xr:uid="{DB93AA92-3317-41D0-814E-BF8CB93DD9F5}"/>
    <cellStyle name="Normal 9 2 2 2 2 8" xfId="8124" xr:uid="{7F51F80A-31B7-4DF6-AAE2-6AA073E2D187}"/>
    <cellStyle name="Normal 9 2 2 2 2 9" xfId="9261" xr:uid="{E06AC715-DC8F-44F2-BA79-E1A7510D0CD0}"/>
    <cellStyle name="Normal 9 2 2 2 3" xfId="959" xr:uid="{57D1F873-BB51-4D22-B3A3-FDA6951996FC}"/>
    <cellStyle name="Normal 9 2 2 2 3 10" xfId="10387" xr:uid="{5F324CFF-EB68-43B9-BDFB-353B9F4BBB22}"/>
    <cellStyle name="Normal 9 2 2 2 3 11" xfId="12244" xr:uid="{D8135962-1AF6-4233-9700-0753846891A3}"/>
    <cellStyle name="Normal 9 2 2 2 3 12" xfId="14497" xr:uid="{0D34E754-61ED-4BFB-902A-CC943BB8A410}"/>
    <cellStyle name="Normal 9 2 2 2 3 13" xfId="16750" xr:uid="{406C1B93-CB7C-4814-9F61-0CC5E0346BB9}"/>
    <cellStyle name="Normal 9 2 2 2 3 2" xfId="2087" xr:uid="{6FA5884E-1B6D-464E-88DC-AEF52C0C0462}"/>
    <cellStyle name="Normal 9 2 2 2 3 2 2" xfId="13371" xr:uid="{D352BC6F-70CF-429D-A17D-F5B7AC22691D}"/>
    <cellStyle name="Normal 9 2 2 2 3 2 3" xfId="15624" xr:uid="{068037CA-5768-4EF3-94CA-53BA62CC60AE}"/>
    <cellStyle name="Normal 9 2 2 2 3 2 4" xfId="17877" xr:uid="{9FCA6809-C0DD-4396-861F-76EA6A4B0725}"/>
    <cellStyle name="Normal 9 2 2 2 3 3" xfId="3213" xr:uid="{9D25A613-E10E-4E78-A411-E166302BE93A}"/>
    <cellStyle name="Normal 9 2 2 2 3 4" xfId="4339" xr:uid="{EDA1A327-7CCD-46FB-B093-668CD68A8A39}"/>
    <cellStyle name="Normal 9 2 2 2 3 5" xfId="5465" xr:uid="{F7865862-F62B-4654-ABEA-938EE81574C1}"/>
    <cellStyle name="Normal 9 2 2 2 3 6" xfId="6592" xr:uid="{82290DB2-E2E5-44AA-9074-53272C262EB3}"/>
    <cellStyle name="Normal 9 2 2 2 3 7" xfId="7728" xr:uid="{C141CB49-3A21-49D8-8830-72A8D05CC013}"/>
    <cellStyle name="Normal 9 2 2 2 3 8" xfId="8123" xr:uid="{1CEFD7AA-5370-4222-9EB4-098DB5C9B8AA}"/>
    <cellStyle name="Normal 9 2 2 2 3 9" xfId="9260" xr:uid="{6378B2D2-6860-489D-B60D-9562344250E5}"/>
    <cellStyle name="Normal 9 2 2 2 4" xfId="2085" xr:uid="{075840D0-9319-4809-9ED6-0F2714C29AFB}"/>
    <cellStyle name="Normal 9 2 2 2 4 2" xfId="13369" xr:uid="{CF85EC72-AC45-49A6-8E18-DF7807A126F4}"/>
    <cellStyle name="Normal 9 2 2 2 4 3" xfId="15622" xr:uid="{CB32EFED-0BA0-4933-9CA2-99D3169F22E3}"/>
    <cellStyle name="Normal 9 2 2 2 4 4" xfId="17875" xr:uid="{03EC5480-35A6-4660-899C-73A47D9D4550}"/>
    <cellStyle name="Normal 9 2 2 2 5" xfId="3211" xr:uid="{A5549DE0-AB07-407E-9C07-9F76CCA012D6}"/>
    <cellStyle name="Normal 9 2 2 2 6" xfId="4337" xr:uid="{882694CE-F17F-4E07-928E-C648F29881B7}"/>
    <cellStyle name="Normal 9 2 2 2 7" xfId="5463" xr:uid="{6AC1E814-605E-4D36-8591-A3B0966AADDA}"/>
    <cellStyle name="Normal 9 2 2 2 8" xfId="6590" xr:uid="{76340C6B-BC33-4220-8E53-D536A423173E}"/>
    <cellStyle name="Normal 9 2 2 2 9" xfId="7726" xr:uid="{85DF8251-A28E-4A19-B0E0-9680AED80C80}"/>
    <cellStyle name="Normal 9 2 2 3" xfId="960" xr:uid="{B64B701A-77CA-480A-B2B6-FC8A5FED8FD6}"/>
    <cellStyle name="Normal 9 2 2 3 10" xfId="10386" xr:uid="{8E3AE2E7-7BA6-4707-A31E-D7C8B5521B7D}"/>
    <cellStyle name="Normal 9 2 2 3 11" xfId="12245" xr:uid="{82D102E0-002D-4D25-8DAA-7C91E8CEEFF2}"/>
    <cellStyle name="Normal 9 2 2 3 12" xfId="14498" xr:uid="{4EDEF4D8-F68F-4F8A-98D8-380935DC812C}"/>
    <cellStyle name="Normal 9 2 2 3 13" xfId="16751" xr:uid="{E42F4DDD-779A-44B6-BC53-5EEF46B17BC5}"/>
    <cellStyle name="Normal 9 2 2 3 2" xfId="2088" xr:uid="{E1CC1F25-795A-441C-90E0-BDCB7F8FCACC}"/>
    <cellStyle name="Normal 9 2 2 3 2 2" xfId="13372" xr:uid="{17206375-5562-4C71-9518-EEDD33506EFE}"/>
    <cellStyle name="Normal 9 2 2 3 2 3" xfId="15625" xr:uid="{447A55BB-203C-4503-9FD6-0D624B21B0AA}"/>
    <cellStyle name="Normal 9 2 2 3 2 4" xfId="17878" xr:uid="{AA11F58F-67C1-4C26-BADE-25E184A953EB}"/>
    <cellStyle name="Normal 9 2 2 3 3" xfId="3214" xr:uid="{1FE4EE4E-FC8E-41D1-95C8-07BC17D7FA96}"/>
    <cellStyle name="Normal 9 2 2 3 4" xfId="4340" xr:uid="{EA003C59-25CC-43AC-BF7A-7A711C60BB25}"/>
    <cellStyle name="Normal 9 2 2 3 5" xfId="5466" xr:uid="{BFF541DA-A159-42ED-854D-553042DB2313}"/>
    <cellStyle name="Normal 9 2 2 3 6" xfId="6593" xr:uid="{943764BB-64D2-4E29-A5E3-8AFFC1A0E33C}"/>
    <cellStyle name="Normal 9 2 2 3 7" xfId="7729" xr:uid="{0D9A0D48-013B-4CA0-9273-FAC10BE88DEE}"/>
    <cellStyle name="Normal 9 2 2 3 8" xfId="8122" xr:uid="{5CBE6A47-7A8B-43A8-8918-64FD1967A0B1}"/>
    <cellStyle name="Normal 9 2 2 3 9" xfId="9259" xr:uid="{C6D9DDFA-71C6-43E2-9E73-3E3222BF1969}"/>
    <cellStyle name="Normal 9 2 2 4" xfId="961" xr:uid="{8630457B-D030-473C-8073-B180686389CF}"/>
    <cellStyle name="Normal 9 2 2 4 10" xfId="10385" xr:uid="{7F9CDA8F-E8F9-4EF1-A16C-BE1398F37016}"/>
    <cellStyle name="Normal 9 2 2 4 11" xfId="12246" xr:uid="{4D2E73D1-348C-47D7-92D8-BAD6CEBDA2F8}"/>
    <cellStyle name="Normal 9 2 2 4 12" xfId="14499" xr:uid="{BAF49940-7E6F-45F0-A5AB-69DFCBF65416}"/>
    <cellStyle name="Normal 9 2 2 4 13" xfId="16752" xr:uid="{01F9ECFB-EE06-4680-9635-DF0AB3064E66}"/>
    <cellStyle name="Normal 9 2 2 4 2" xfId="2089" xr:uid="{F15D3F4A-1B43-412F-BEE5-710A5CF28FA4}"/>
    <cellStyle name="Normal 9 2 2 4 2 2" xfId="13373" xr:uid="{D634B4AA-5A3E-4F4F-B17A-90730890ABAB}"/>
    <cellStyle name="Normal 9 2 2 4 2 3" xfId="15626" xr:uid="{411ED952-D2FD-40AA-A7F8-3F6A268C9431}"/>
    <cellStyle name="Normal 9 2 2 4 2 4" xfId="17879" xr:uid="{7A2C3F18-FD6E-40B6-AD63-C2552D3CF236}"/>
    <cellStyle name="Normal 9 2 2 4 3" xfId="3215" xr:uid="{65854FA4-B9FF-4B8C-9096-A360D57935DC}"/>
    <cellStyle name="Normal 9 2 2 4 4" xfId="4341" xr:uid="{7F43FCBA-559C-4BA8-AA97-AE7E6BBA8F30}"/>
    <cellStyle name="Normal 9 2 2 4 5" xfId="5467" xr:uid="{A1AFE5BA-D784-4B19-AE4F-5FB4BAB21EDD}"/>
    <cellStyle name="Normal 9 2 2 4 6" xfId="6594" xr:uid="{E585E280-9B48-4D33-9055-D89EF3F19641}"/>
    <cellStyle name="Normal 9 2 2 4 7" xfId="7730" xr:uid="{8F823CEB-6279-449E-95F6-CD486DFF92BA}"/>
    <cellStyle name="Normal 9 2 2 4 8" xfId="8121" xr:uid="{5DBE106C-1ACC-4DAD-BD62-621214DD3205}"/>
    <cellStyle name="Normal 9 2 2 4 9" xfId="9258" xr:uid="{745F4692-60E6-4396-9E55-ED229B4D7C37}"/>
    <cellStyle name="Normal 9 2 2 5" xfId="2084" xr:uid="{8ECF3FDE-4200-4619-958C-F02682C94E3E}"/>
    <cellStyle name="Normal 9 2 2 5 2" xfId="13368" xr:uid="{DD466BE7-5A13-45AA-9C49-4D39D4F70C4A}"/>
    <cellStyle name="Normal 9 2 2 5 3" xfId="15621" xr:uid="{C86D32F4-33F3-44EF-B0BF-F24894B040E2}"/>
    <cellStyle name="Normal 9 2 2 5 4" xfId="17874" xr:uid="{BEC2720B-E774-40B6-9F34-144DBE254E47}"/>
    <cellStyle name="Normal 9 2 2 6" xfId="3210" xr:uid="{4DECAEE2-B971-446A-B680-0A8F6D943A28}"/>
    <cellStyle name="Normal 9 2 2 7" xfId="4336" xr:uid="{4966B1AA-BF51-4D6A-834B-29EE324ED45C}"/>
    <cellStyle name="Normal 9 2 2 8" xfId="5462" xr:uid="{EB62160C-299B-42B2-94E0-35DE7B8EEF62}"/>
    <cellStyle name="Normal 9 2 2 9" xfId="6589" xr:uid="{6B09CB35-03FD-44DB-98AC-13600F71F95C}"/>
    <cellStyle name="Normal 9 2 3" xfId="962" xr:uid="{FCD0EA38-E1FF-47E6-8A03-867EB18D49E0}"/>
    <cellStyle name="Normal 9 2 3 10" xfId="8120" xr:uid="{84155F6A-9AE1-4819-BD2A-675E549CDFB5}"/>
    <cellStyle name="Normal 9 2 3 11" xfId="9257" xr:uid="{975135D3-3CF8-4058-A5BD-7B7A49C6B651}"/>
    <cellStyle name="Normal 9 2 3 12" xfId="10384" xr:uid="{E7D3DEBF-857E-4579-B82E-89D30846E4F3}"/>
    <cellStyle name="Normal 9 2 3 13" xfId="12247" xr:uid="{B41DF436-466B-4EBF-8D36-4ADBD34AC759}"/>
    <cellStyle name="Normal 9 2 3 14" xfId="14500" xr:uid="{6268B3C6-B6E4-420E-BB7C-35C8825006A9}"/>
    <cellStyle name="Normal 9 2 3 15" xfId="16753" xr:uid="{6B1B3978-28F2-4694-AD87-2D26ABBBA4DC}"/>
    <cellStyle name="Normal 9 2 3 2" xfId="963" xr:uid="{02823CA6-1BAD-43FB-87DC-42E77DE1A750}"/>
    <cellStyle name="Normal 9 2 3 2 10" xfId="10383" xr:uid="{09744ECE-5B23-4A8A-812F-0043257C1E7A}"/>
    <cellStyle name="Normal 9 2 3 2 11" xfId="12248" xr:uid="{88152114-49E9-4CD4-8ADB-DCF40834AB8A}"/>
    <cellStyle name="Normal 9 2 3 2 12" xfId="14501" xr:uid="{B6C8C420-2FEF-4945-BA05-ECE0AFAD8E0B}"/>
    <cellStyle name="Normal 9 2 3 2 13" xfId="16754" xr:uid="{73B8259E-0D34-4018-AE70-8949C231413B}"/>
    <cellStyle name="Normal 9 2 3 2 2" xfId="2091" xr:uid="{805EA8BC-DE47-4A2E-A946-AD264AC01E1D}"/>
    <cellStyle name="Normal 9 2 3 2 2 2" xfId="13375" xr:uid="{18B33799-0DA3-43A9-A3EF-9B2FB16BBB41}"/>
    <cellStyle name="Normal 9 2 3 2 2 3" xfId="15628" xr:uid="{451113D7-6A7C-4FA9-A2DC-6D8D20F803F1}"/>
    <cellStyle name="Normal 9 2 3 2 2 4" xfId="17881" xr:uid="{609EA1F2-550F-4F11-B293-311AA00427C4}"/>
    <cellStyle name="Normal 9 2 3 2 3" xfId="3217" xr:uid="{D7895C65-4408-4917-A1DB-312A2F574A9B}"/>
    <cellStyle name="Normal 9 2 3 2 4" xfId="4343" xr:uid="{3C7E6101-FB9C-4E9D-8DED-E797F4A84FAA}"/>
    <cellStyle name="Normal 9 2 3 2 5" xfId="5469" xr:uid="{9C53E55B-B036-4479-8785-E98468F2B03E}"/>
    <cellStyle name="Normal 9 2 3 2 6" xfId="6596" xr:uid="{A12D45AC-7B3E-4CF3-94C0-68514A89D691}"/>
    <cellStyle name="Normal 9 2 3 2 7" xfId="7732" xr:uid="{52025E14-BFA5-4FC2-B947-D9E45614C774}"/>
    <cellStyle name="Normal 9 2 3 2 8" xfId="8119" xr:uid="{EA3FA646-3EC3-481C-B0E4-F932CCD14BDF}"/>
    <cellStyle name="Normal 9 2 3 2 9" xfId="9256" xr:uid="{44D60686-0761-4591-A1A9-C4228C2988FF}"/>
    <cellStyle name="Normal 9 2 3 3" xfId="964" xr:uid="{3F1D20AD-C332-44E4-BFEB-429BF7505528}"/>
    <cellStyle name="Normal 9 2 3 3 10" xfId="10382" xr:uid="{203C872B-2A74-4561-B4CC-DAFC01ACFC42}"/>
    <cellStyle name="Normal 9 2 3 3 11" xfId="12249" xr:uid="{D3A7B9BE-4013-4F56-AA32-D0BB468C8084}"/>
    <cellStyle name="Normal 9 2 3 3 12" xfId="14502" xr:uid="{FEA6DDC6-2399-436B-BBEB-033DE53233DE}"/>
    <cellStyle name="Normal 9 2 3 3 13" xfId="16755" xr:uid="{22F1C260-C3DB-4BC4-BA1E-6E578E30F815}"/>
    <cellStyle name="Normal 9 2 3 3 2" xfId="2092" xr:uid="{EEA6387A-3FF7-417C-A57F-F7ACA3374415}"/>
    <cellStyle name="Normal 9 2 3 3 2 2" xfId="13376" xr:uid="{48BCC9EF-34CE-4783-A87F-9479FDF440E1}"/>
    <cellStyle name="Normal 9 2 3 3 2 3" xfId="15629" xr:uid="{31277705-A420-40DD-86F5-0FF4FEA62F1F}"/>
    <cellStyle name="Normal 9 2 3 3 2 4" xfId="17882" xr:uid="{A639A729-D935-4357-8ED2-5802758B725E}"/>
    <cellStyle name="Normal 9 2 3 3 3" xfId="3218" xr:uid="{EDC5A3A2-680D-4CF4-B82D-B40905D00C37}"/>
    <cellStyle name="Normal 9 2 3 3 4" xfId="4344" xr:uid="{66060021-6F49-4098-8DD7-5BC8F1F11C62}"/>
    <cellStyle name="Normal 9 2 3 3 5" xfId="5470" xr:uid="{6F87C8DB-CB98-413A-B0D3-1B0278398097}"/>
    <cellStyle name="Normal 9 2 3 3 6" xfId="6597" xr:uid="{2C64F0A0-657D-4D10-82FA-977C20469014}"/>
    <cellStyle name="Normal 9 2 3 3 7" xfId="7733" xr:uid="{02028BCE-46AD-4FD0-BB66-E5C4D15453BB}"/>
    <cellStyle name="Normal 9 2 3 3 8" xfId="8118" xr:uid="{C20EA40E-899A-44F3-9092-A4A9DAEA1E82}"/>
    <cellStyle name="Normal 9 2 3 3 9" xfId="9255" xr:uid="{1D29622C-A474-4F3E-AEEE-1794076A93A6}"/>
    <cellStyle name="Normal 9 2 3 4" xfId="2090" xr:uid="{BBAD1790-59A5-44D2-8AA1-05B50CDC3528}"/>
    <cellStyle name="Normal 9 2 3 4 2" xfId="13374" xr:uid="{8B00ED71-348E-4CBD-B49E-9AB666726787}"/>
    <cellStyle name="Normal 9 2 3 4 3" xfId="15627" xr:uid="{B838A398-9F2C-457C-84D8-37CDC812F0BC}"/>
    <cellStyle name="Normal 9 2 3 4 4" xfId="17880" xr:uid="{D6750BE9-3E31-4EB3-BB9B-8DABF2A22C20}"/>
    <cellStyle name="Normal 9 2 3 5" xfId="3216" xr:uid="{1A9DF264-EF0F-4119-A6BE-FA955191C2C7}"/>
    <cellStyle name="Normal 9 2 3 6" xfId="4342" xr:uid="{A4A60224-2294-4816-9729-AFA6CA5EDA96}"/>
    <cellStyle name="Normal 9 2 3 7" xfId="5468" xr:uid="{B5DD13E5-739C-4D78-872D-4AA1AE97F3C6}"/>
    <cellStyle name="Normal 9 2 3 8" xfId="6595" xr:uid="{EB6229F7-C5A4-4A5E-8975-0607468ECC34}"/>
    <cellStyle name="Normal 9 2 3 9" xfId="7731" xr:uid="{95B4F339-E7D2-4AA2-AA48-6F0F9B0D8669}"/>
    <cellStyle name="Normal 9 2 4" xfId="965" xr:uid="{1FB6E34B-9ACC-4A29-B2E0-3457FED4A48C}"/>
    <cellStyle name="Normal 9 2 4 10" xfId="10381" xr:uid="{829D21C4-2EBE-4229-8F66-644C7D9FA76F}"/>
    <cellStyle name="Normal 9 2 4 11" xfId="12250" xr:uid="{0AD1A720-A122-48A8-8D1C-4AFBFAA3CEDB}"/>
    <cellStyle name="Normal 9 2 4 12" xfId="14503" xr:uid="{1281E6AD-1BBB-4453-8825-56625EF060D3}"/>
    <cellStyle name="Normal 9 2 4 13" xfId="16756" xr:uid="{8355AD90-6D6C-4850-A399-19A17FA6A9F4}"/>
    <cellStyle name="Normal 9 2 4 2" xfId="2093" xr:uid="{0502FD5C-8693-448F-9AA2-9ED64B9C09BF}"/>
    <cellStyle name="Normal 9 2 4 2 2" xfId="13377" xr:uid="{33CA9110-D1F5-4FA1-A6A7-5A073834027C}"/>
    <cellStyle name="Normal 9 2 4 2 3" xfId="15630" xr:uid="{F97FF7F1-7668-497E-A9CB-449B168EC465}"/>
    <cellStyle name="Normal 9 2 4 2 4" xfId="17883" xr:uid="{E7E894F1-1B48-4950-AAF3-11BB187D5E37}"/>
    <cellStyle name="Normal 9 2 4 3" xfId="3219" xr:uid="{B660F0C1-BEEC-42A7-A25A-07339A33CA73}"/>
    <cellStyle name="Normal 9 2 4 4" xfId="4345" xr:uid="{FC66260E-852E-4D9C-8E33-18AC90BEB977}"/>
    <cellStyle name="Normal 9 2 4 5" xfId="5471" xr:uid="{2780B1DA-E905-45D5-8B15-0A68EAE08871}"/>
    <cellStyle name="Normal 9 2 4 6" xfId="6598" xr:uid="{10CFE992-4B0D-4422-9FD5-7F164CDB79C7}"/>
    <cellStyle name="Normal 9 2 4 7" xfId="7734" xr:uid="{44DD740D-EC48-406C-818A-14A6322F9C3D}"/>
    <cellStyle name="Normal 9 2 4 8" xfId="8117" xr:uid="{EF5295F8-11A8-4DD8-9047-04A4DD5E5992}"/>
    <cellStyle name="Normal 9 2 4 9" xfId="9254" xr:uid="{FDC62A11-B66C-46DD-B033-E8219B91E9D0}"/>
    <cellStyle name="Normal 9 2 5" xfId="966" xr:uid="{8B3B501D-47F2-4B01-90F3-0ABFCEB7E51C}"/>
    <cellStyle name="Normal 9 2 5 10" xfId="10380" xr:uid="{21C79254-C3D6-4E42-AD6A-6093EFB86B79}"/>
    <cellStyle name="Normal 9 2 5 11" xfId="12251" xr:uid="{88329B25-B9A4-451A-87BF-F9813BD1B807}"/>
    <cellStyle name="Normal 9 2 5 12" xfId="14504" xr:uid="{AC1DB55E-F68C-4450-B39D-4BCF4C5016C3}"/>
    <cellStyle name="Normal 9 2 5 13" xfId="16757" xr:uid="{2BC21686-BA46-47E4-954D-1BF0D678340E}"/>
    <cellStyle name="Normal 9 2 5 2" xfId="2094" xr:uid="{FEDEE8B5-F01B-436D-9DAF-56E52E78A97F}"/>
    <cellStyle name="Normal 9 2 5 2 2" xfId="13378" xr:uid="{E993807B-4DCA-4AE5-A4FF-014A9BA946ED}"/>
    <cellStyle name="Normal 9 2 5 2 3" xfId="15631" xr:uid="{8E4C0B97-7C63-48F5-A368-4096A897B5DC}"/>
    <cellStyle name="Normal 9 2 5 2 4" xfId="17884" xr:uid="{41A0CD8B-7FFC-4C6C-9B61-AA1FFFB2453B}"/>
    <cellStyle name="Normal 9 2 5 3" xfId="3220" xr:uid="{98118DA8-59C9-4C1F-B456-5043E6F32BE9}"/>
    <cellStyle name="Normal 9 2 5 4" xfId="4346" xr:uid="{61822895-16B1-4EBF-90F9-90323E069475}"/>
    <cellStyle name="Normal 9 2 5 5" xfId="5472" xr:uid="{A374F264-D778-4257-AEB4-15A184D43EC3}"/>
    <cellStyle name="Normal 9 2 5 6" xfId="6599" xr:uid="{7DEE75DE-879C-47B1-AF17-9DE45BD5F005}"/>
    <cellStyle name="Normal 9 2 5 7" xfId="7735" xr:uid="{102D7AA0-5317-4E28-9BEB-8E8CD3512036}"/>
    <cellStyle name="Normal 9 2 5 8" xfId="8116" xr:uid="{59C8A655-12FB-436E-9AA0-F641B4902EAB}"/>
    <cellStyle name="Normal 9 2 5 9" xfId="9253" xr:uid="{FF1FAF96-08A7-4CF4-B452-76BFE69180FD}"/>
    <cellStyle name="Normal 9 2 6" xfId="2083" xr:uid="{0A9470F4-F070-4249-9E16-F7488C3A7314}"/>
    <cellStyle name="Normal 9 2 6 2" xfId="13367" xr:uid="{CF5D9B61-373D-4902-93A7-9E355B16209B}"/>
    <cellStyle name="Normal 9 2 6 3" xfId="15620" xr:uid="{6EAA366C-217A-4EA4-BF90-6CFF21A14109}"/>
    <cellStyle name="Normal 9 2 6 4" xfId="17873" xr:uid="{FD4D57C5-DC9A-4088-AD78-9D0C786E9EE6}"/>
    <cellStyle name="Normal 9 2 7" xfId="3209" xr:uid="{214BDDE5-6194-4D6B-96D8-EA815F36B4A5}"/>
    <cellStyle name="Normal 9 2 8" xfId="4335" xr:uid="{1228B8E4-A8D7-473F-A2CA-C9216FEB4F52}"/>
    <cellStyle name="Normal 9 2 9" xfId="5461" xr:uid="{458F382D-3307-44BC-AD00-D9BB6464DBC5}"/>
    <cellStyle name="Normal 9 3" xfId="967" xr:uid="{F074922E-FABE-4AE3-8A64-B50B69D434C8}"/>
    <cellStyle name="Normal 9 3 10" xfId="7736" xr:uid="{AE5D0811-6881-49CB-90A4-3464D43F5E5B}"/>
    <cellStyle name="Normal 9 3 11" xfId="8115" xr:uid="{01340C84-4FB2-454E-80BF-CA7558E946B7}"/>
    <cellStyle name="Normal 9 3 12" xfId="9252" xr:uid="{F9E4F711-C8BD-4A74-8EEA-FB5960584037}"/>
    <cellStyle name="Normal 9 3 13" xfId="10379" xr:uid="{F8B9E042-2392-42EF-B525-5674084C0A0F}"/>
    <cellStyle name="Normal 9 3 14" xfId="12252" xr:uid="{31A4E77B-20C4-4319-9A62-64FCBA2F1AB0}"/>
    <cellStyle name="Normal 9 3 15" xfId="14505" xr:uid="{546655B6-F55E-4110-BCD7-596B5AF97C1A}"/>
    <cellStyle name="Normal 9 3 16" xfId="16758" xr:uid="{77772F0B-0E6E-4902-987E-EB743FB33593}"/>
    <cellStyle name="Normal 9 3 2" xfId="968" xr:uid="{864053DF-CCE7-48D7-BB2E-31458F263D6C}"/>
    <cellStyle name="Normal 9 3 2 10" xfId="8114" xr:uid="{B4A5158C-E6E9-40F8-BD31-3D2177521FF6}"/>
    <cellStyle name="Normal 9 3 2 11" xfId="9251" xr:uid="{A78E78B5-86CD-4AF5-90CE-8EC73CA0CA60}"/>
    <cellStyle name="Normal 9 3 2 12" xfId="10378" xr:uid="{269AB500-10A4-4F90-AAF3-276EED7D6C6F}"/>
    <cellStyle name="Normal 9 3 2 13" xfId="12253" xr:uid="{CC52C0A9-6011-4DAE-9837-8BAAEDB93D2C}"/>
    <cellStyle name="Normal 9 3 2 14" xfId="14506" xr:uid="{AB7B9052-9A8E-4A10-A4F6-496EA7058F2C}"/>
    <cellStyle name="Normal 9 3 2 15" xfId="16759" xr:uid="{F9BBC971-C76E-4E1D-8B32-FC17ABBC7CD1}"/>
    <cellStyle name="Normal 9 3 2 2" xfId="969" xr:uid="{8100A9DB-7FC3-4FC4-9EB7-7B45D8D8EF7A}"/>
    <cellStyle name="Normal 9 3 2 2 10" xfId="10377" xr:uid="{69D580F7-A032-40AC-BBBE-1C1353426337}"/>
    <cellStyle name="Normal 9 3 2 2 11" xfId="12254" xr:uid="{46D2F2E4-CFA5-4015-B823-E309DCCD1709}"/>
    <cellStyle name="Normal 9 3 2 2 12" xfId="14507" xr:uid="{175EAB63-6A9B-480A-8592-B4D66CAAB044}"/>
    <cellStyle name="Normal 9 3 2 2 13" xfId="16760" xr:uid="{4DA316F4-9067-4B8A-B855-4143B2565440}"/>
    <cellStyle name="Normal 9 3 2 2 2" xfId="2097" xr:uid="{D5772069-FBC2-4E10-B2BE-E786EC14273F}"/>
    <cellStyle name="Normal 9 3 2 2 2 2" xfId="13381" xr:uid="{40ABE662-7ACA-4BC6-AC58-C1C427D1D86A}"/>
    <cellStyle name="Normal 9 3 2 2 2 3" xfId="15634" xr:uid="{E21DA4B3-1B02-4D01-A295-6F1DB4A44B36}"/>
    <cellStyle name="Normal 9 3 2 2 2 4" xfId="17887" xr:uid="{FC988ED8-7081-464E-8763-6EF0523DA87A}"/>
    <cellStyle name="Normal 9 3 2 2 3" xfId="3223" xr:uid="{C248974A-2061-468E-95B0-3F8DDCA14225}"/>
    <cellStyle name="Normal 9 3 2 2 4" xfId="4349" xr:uid="{FFDB4263-C414-4392-8A32-D25EF54065C6}"/>
    <cellStyle name="Normal 9 3 2 2 5" xfId="5475" xr:uid="{40B6C432-16C7-4FD0-BDAF-299FDBAF58FD}"/>
    <cellStyle name="Normal 9 3 2 2 6" xfId="6602" xr:uid="{CF4D5F2A-C1D0-4B6E-A764-86B2127FD09A}"/>
    <cellStyle name="Normal 9 3 2 2 7" xfId="7738" xr:uid="{7EC0C03F-3EE9-4269-B642-ACC4FECE05E6}"/>
    <cellStyle name="Normal 9 3 2 2 8" xfId="8113" xr:uid="{3853D01C-CCFB-4ED1-9AE3-2865021A706D}"/>
    <cellStyle name="Normal 9 3 2 2 9" xfId="9250" xr:uid="{798CC13C-8A4F-49FC-B9E1-BF51D1FAE1BB}"/>
    <cellStyle name="Normal 9 3 2 3" xfId="970" xr:uid="{CDB6EC39-8B8A-4AE3-A716-FD50DA3CBB30}"/>
    <cellStyle name="Normal 9 3 2 3 10" xfId="10376" xr:uid="{3D4ADBAF-3C6E-47A2-ADA7-EE853DCA7CB9}"/>
    <cellStyle name="Normal 9 3 2 3 11" xfId="12255" xr:uid="{5CD78C9B-0348-4B9E-BFE9-56211ACC479D}"/>
    <cellStyle name="Normal 9 3 2 3 12" xfId="14508" xr:uid="{209B3338-F23D-43B2-83F2-816F8D11DD9E}"/>
    <cellStyle name="Normal 9 3 2 3 13" xfId="16761" xr:uid="{26C8A940-1820-4B78-859D-B902DC671553}"/>
    <cellStyle name="Normal 9 3 2 3 2" xfId="2098" xr:uid="{4E9CB1C7-3E3D-4883-96C2-77A651F09A2E}"/>
    <cellStyle name="Normal 9 3 2 3 2 2" xfId="13382" xr:uid="{8DC6AAC9-F3C3-4F6C-9841-1E38543D0908}"/>
    <cellStyle name="Normal 9 3 2 3 2 3" xfId="15635" xr:uid="{C7959FA7-7374-433C-9720-8535256050C9}"/>
    <cellStyle name="Normal 9 3 2 3 2 4" xfId="17888" xr:uid="{33614FD4-9818-4564-8AA4-786007C7BE91}"/>
    <cellStyle name="Normal 9 3 2 3 3" xfId="3224" xr:uid="{58CD864E-6614-498D-9D2A-5252C008BEC7}"/>
    <cellStyle name="Normal 9 3 2 3 4" xfId="4350" xr:uid="{38D50075-178F-4B31-A0BA-E470A9713966}"/>
    <cellStyle name="Normal 9 3 2 3 5" xfId="5476" xr:uid="{053B9C07-C67A-41CC-A99F-D4B66273D55A}"/>
    <cellStyle name="Normal 9 3 2 3 6" xfId="6603" xr:uid="{676FF6B5-3FE2-4B2F-9CD6-E973134859DB}"/>
    <cellStyle name="Normal 9 3 2 3 7" xfId="7739" xr:uid="{1E2F179A-6243-484A-A831-EA311A2B9A10}"/>
    <cellStyle name="Normal 9 3 2 3 8" xfId="8112" xr:uid="{731EEBCD-119E-43EC-A146-CE2B3BF0CEEC}"/>
    <cellStyle name="Normal 9 3 2 3 9" xfId="9249" xr:uid="{A7EA605C-655C-4641-A511-1AEA9C7F5101}"/>
    <cellStyle name="Normal 9 3 2 4" xfId="2096" xr:uid="{38B4038F-3476-4D5B-B378-C84DC676E882}"/>
    <cellStyle name="Normal 9 3 2 4 2" xfId="13380" xr:uid="{8E10F9E5-A835-4D5F-A002-20B6F7D271F0}"/>
    <cellStyle name="Normal 9 3 2 4 3" xfId="15633" xr:uid="{4F303D39-4420-4FF6-ABA6-6E72DAA052F3}"/>
    <cellStyle name="Normal 9 3 2 4 4" xfId="17886" xr:uid="{0A2408D3-A3E6-4D1E-8938-6E4DDC5F2FC3}"/>
    <cellStyle name="Normal 9 3 2 5" xfId="3222" xr:uid="{64ED8284-3446-40DF-B0CB-CDED2943BBAD}"/>
    <cellStyle name="Normal 9 3 2 6" xfId="4348" xr:uid="{893BFCD3-F724-4E16-9251-C39E93B3C448}"/>
    <cellStyle name="Normal 9 3 2 7" xfId="5474" xr:uid="{03053A65-9358-4F17-B125-2DD64C60AA56}"/>
    <cellStyle name="Normal 9 3 2 8" xfId="6601" xr:uid="{486266A3-B7DF-418E-82B1-65DFAE8015B4}"/>
    <cellStyle name="Normal 9 3 2 9" xfId="7737" xr:uid="{A450B37D-9D8A-44C9-9D02-9AA519083085}"/>
    <cellStyle name="Normal 9 3 3" xfId="971" xr:uid="{D7882CD2-73C8-4211-B997-2BBE89F2B7F9}"/>
    <cellStyle name="Normal 9 3 3 10" xfId="10375" xr:uid="{725BA5B6-07DD-4DD6-85D9-3A677F907E84}"/>
    <cellStyle name="Normal 9 3 3 11" xfId="12256" xr:uid="{F622B7C6-48A6-41A0-8550-CC81E0A42521}"/>
    <cellStyle name="Normal 9 3 3 12" xfId="14509" xr:uid="{9BF11519-385D-4680-9E60-04D050393A0E}"/>
    <cellStyle name="Normal 9 3 3 13" xfId="16762" xr:uid="{F4DE3262-37E9-4160-8933-2D74D2B81C84}"/>
    <cellStyle name="Normal 9 3 3 2" xfId="2099" xr:uid="{6F8984C6-F3D4-4A6F-B08C-98503CB2D678}"/>
    <cellStyle name="Normal 9 3 3 2 2" xfId="13383" xr:uid="{D9B02B9A-E40D-4508-AEE0-6809E1745B8F}"/>
    <cellStyle name="Normal 9 3 3 2 3" xfId="15636" xr:uid="{D70AB7A3-B9CE-4612-B4C8-36C98E0A3CBF}"/>
    <cellStyle name="Normal 9 3 3 2 4" xfId="17889" xr:uid="{2DEB90E2-104B-4F06-8D2B-F89FD8FCD692}"/>
    <cellStyle name="Normal 9 3 3 3" xfId="3225" xr:uid="{A7780E4D-1FDA-4371-98E5-AB63398CEE4C}"/>
    <cellStyle name="Normal 9 3 3 4" xfId="4351" xr:uid="{F0D6D388-4078-458F-94B2-D769EDB4E75E}"/>
    <cellStyle name="Normal 9 3 3 5" xfId="5477" xr:uid="{EFB38072-22BC-4477-B353-3FE67EE0D550}"/>
    <cellStyle name="Normal 9 3 3 6" xfId="6604" xr:uid="{74E279CB-9B94-4041-8611-0C0C79FD8689}"/>
    <cellStyle name="Normal 9 3 3 7" xfId="7740" xr:uid="{99892CA1-F951-4776-9182-58A75D1D78F9}"/>
    <cellStyle name="Normal 9 3 3 8" xfId="8111" xr:uid="{E1A50F4B-F96E-4494-B3BE-629D7D55C35E}"/>
    <cellStyle name="Normal 9 3 3 9" xfId="9248" xr:uid="{7D77E837-92F9-419E-818A-9D9711A120BD}"/>
    <cellStyle name="Normal 9 3 4" xfId="972" xr:uid="{3A84E653-4876-4452-92C8-07F4C78237BB}"/>
    <cellStyle name="Normal 9 3 4 10" xfId="10374" xr:uid="{CCD5E7C4-8522-41D6-AA94-B68951A8AC3A}"/>
    <cellStyle name="Normal 9 3 4 11" xfId="12257" xr:uid="{FC0A6CEC-9E5C-40C1-914A-BCAC904880BA}"/>
    <cellStyle name="Normal 9 3 4 12" xfId="14510" xr:uid="{6F886146-4371-46E8-BAF2-C4253C04D88F}"/>
    <cellStyle name="Normal 9 3 4 13" xfId="16763" xr:uid="{7E6C8941-53C0-4292-A76E-19D0CFBF1A98}"/>
    <cellStyle name="Normal 9 3 4 2" xfId="2100" xr:uid="{63CFAAE1-EB20-4C6F-86CE-B7CB2C1D4ECD}"/>
    <cellStyle name="Normal 9 3 4 2 2" xfId="13384" xr:uid="{C64B83AD-1095-4D2A-B83A-9627C1F88415}"/>
    <cellStyle name="Normal 9 3 4 2 3" xfId="15637" xr:uid="{AC16883F-D35C-4077-B57F-34BFF0A6F82C}"/>
    <cellStyle name="Normal 9 3 4 2 4" xfId="17890" xr:uid="{8A8E7F90-E39E-4251-AB9D-7561AA1293F7}"/>
    <cellStyle name="Normal 9 3 4 3" xfId="3226" xr:uid="{0977E10A-EA1E-4FD4-B854-5DDA3929B176}"/>
    <cellStyle name="Normal 9 3 4 4" xfId="4352" xr:uid="{114D4B96-BBDF-4EBC-AC51-6BD901EF37F7}"/>
    <cellStyle name="Normal 9 3 4 5" xfId="5478" xr:uid="{482A6363-E6F6-45D1-B1DE-CE3478B904FB}"/>
    <cellStyle name="Normal 9 3 4 6" xfId="6605" xr:uid="{9FA183CE-EDA4-4411-B59B-9CF01B949FEA}"/>
    <cellStyle name="Normal 9 3 4 7" xfId="7741" xr:uid="{3547F069-D5CD-4198-A638-F1731B225C19}"/>
    <cellStyle name="Normal 9 3 4 8" xfId="8110" xr:uid="{211C5A73-E370-493F-B2E6-75CC88190E0E}"/>
    <cellStyle name="Normal 9 3 4 9" xfId="9247" xr:uid="{F18F9E4F-E8A7-4B51-AFE0-E2C13A25FBF9}"/>
    <cellStyle name="Normal 9 3 5" xfId="2095" xr:uid="{52B7A9EB-39B2-4D3B-82EE-BC4B78F47712}"/>
    <cellStyle name="Normal 9 3 5 2" xfId="13379" xr:uid="{468C6529-9DDA-4C3D-91EF-58B65DCDD7C5}"/>
    <cellStyle name="Normal 9 3 5 3" xfId="15632" xr:uid="{FB0F3C26-BCE5-46F2-9AD5-DBE9E1C94EBB}"/>
    <cellStyle name="Normal 9 3 5 4" xfId="17885" xr:uid="{58EE3057-6032-4136-B770-4CE95B1FF651}"/>
    <cellStyle name="Normal 9 3 6" xfId="3221" xr:uid="{ACF3CBB9-B055-4D96-BE29-3A5C6B0B4DED}"/>
    <cellStyle name="Normal 9 3 7" xfId="4347" xr:uid="{EA2452F7-31CB-4FC0-A997-3EF4AF12B08A}"/>
    <cellStyle name="Normal 9 3 8" xfId="5473" xr:uid="{63350613-120D-48D2-99B4-FB7A1F9CFBD8}"/>
    <cellStyle name="Normal 9 3 9" xfId="6600" xr:uid="{EAFCB352-068F-4281-9A57-F1E6CBECC608}"/>
    <cellStyle name="Normal 9 4" xfId="973" xr:uid="{871B5A22-C553-4FB6-9D05-8E0C7D0D5520}"/>
    <cellStyle name="Normal 9 4 10" xfId="8109" xr:uid="{C1029714-5144-412B-B1C6-48CEB0E41421}"/>
    <cellStyle name="Normal 9 4 11" xfId="9246" xr:uid="{226AC576-AEA6-4453-88D8-1A60D084DA46}"/>
    <cellStyle name="Normal 9 4 12" xfId="10373" xr:uid="{918EE9B6-01E1-4C3F-80BA-3E4429B34315}"/>
    <cellStyle name="Normal 9 4 13" xfId="12258" xr:uid="{BF3EDCB5-E085-440D-815D-5A9FD1D3850E}"/>
    <cellStyle name="Normal 9 4 14" xfId="14511" xr:uid="{2C72C23D-484A-4F42-BACA-E23CD5389446}"/>
    <cellStyle name="Normal 9 4 15" xfId="16764" xr:uid="{FFE00106-EAB6-4B71-949C-76E3369F21B4}"/>
    <cellStyle name="Normal 9 4 2" xfId="974" xr:uid="{CF783F5E-CA85-4943-ABD5-946A84350D71}"/>
    <cellStyle name="Normal 9 4 2 10" xfId="10372" xr:uid="{661F80C1-906C-47E3-A322-D340D2BFAC4B}"/>
    <cellStyle name="Normal 9 4 2 11" xfId="12259" xr:uid="{3E0D8BDA-8E52-4654-90C2-B4ED303FFB3A}"/>
    <cellStyle name="Normal 9 4 2 12" xfId="14512" xr:uid="{4A36EF39-B5BC-4913-A5DF-CC0C8EC7E143}"/>
    <cellStyle name="Normal 9 4 2 13" xfId="16765" xr:uid="{A72C1C5B-C56A-44E2-B293-C66526FE363B}"/>
    <cellStyle name="Normal 9 4 2 2" xfId="2102" xr:uid="{239F3728-B4AE-4A78-80FD-C1755168DF76}"/>
    <cellStyle name="Normal 9 4 2 2 2" xfId="13386" xr:uid="{06F11C87-3A15-4183-9CED-CB9139F30CA4}"/>
    <cellStyle name="Normal 9 4 2 2 3" xfId="15639" xr:uid="{7AE36639-93E5-4C24-BA79-D241CE7DC795}"/>
    <cellStyle name="Normal 9 4 2 2 4" xfId="17892" xr:uid="{70D88E0C-DD6D-4DFA-B12A-B5A065D1848E}"/>
    <cellStyle name="Normal 9 4 2 3" xfId="3228" xr:uid="{74D71F79-A40C-4FE8-BAE2-26B9A89C3330}"/>
    <cellStyle name="Normal 9 4 2 4" xfId="4354" xr:uid="{51934467-7E4D-4419-A49E-8F7BD45882E7}"/>
    <cellStyle name="Normal 9 4 2 5" xfId="5480" xr:uid="{C752FAD2-E440-4007-A215-9DD82A873311}"/>
    <cellStyle name="Normal 9 4 2 6" xfId="6607" xr:uid="{9157EFDA-755D-4244-803B-3B95FBFC1AD7}"/>
    <cellStyle name="Normal 9 4 2 7" xfId="7743" xr:uid="{26AAF28F-E8D4-4EA6-87D1-F8BA49CAA25E}"/>
    <cellStyle name="Normal 9 4 2 8" xfId="8108" xr:uid="{918F8C7A-7854-4C8C-94A4-3A168F5221F5}"/>
    <cellStyle name="Normal 9 4 2 9" xfId="9245" xr:uid="{6E15ACCA-E261-4554-93F1-9D4692E16964}"/>
    <cellStyle name="Normal 9 4 3" xfId="975" xr:uid="{56463DE4-77A5-4731-99EF-B1AFF36496B3}"/>
    <cellStyle name="Normal 9 4 3 10" xfId="10371" xr:uid="{09443FF8-00F9-4A5B-B257-963635AAA316}"/>
    <cellStyle name="Normal 9 4 3 11" xfId="12260" xr:uid="{CA9C03ED-7F00-4E5F-985A-C5576FB72DCC}"/>
    <cellStyle name="Normal 9 4 3 12" xfId="14513" xr:uid="{75BC1746-4DCB-4AE9-A815-58B2514FBD76}"/>
    <cellStyle name="Normal 9 4 3 13" xfId="16766" xr:uid="{00024487-ACFF-4082-899E-24EF0F836A1C}"/>
    <cellStyle name="Normal 9 4 3 2" xfId="2103" xr:uid="{A4A4FD93-F620-48D5-A18B-3AB26221F282}"/>
    <cellStyle name="Normal 9 4 3 2 2" xfId="13387" xr:uid="{2A4A0F10-B0EF-4321-9776-0375D59E3897}"/>
    <cellStyle name="Normal 9 4 3 2 3" xfId="15640" xr:uid="{B2C42923-ADAB-47CD-BF91-DD37283E9D9F}"/>
    <cellStyle name="Normal 9 4 3 2 4" xfId="17893" xr:uid="{B3110E6F-7744-429B-8507-E0F6126BB20B}"/>
    <cellStyle name="Normal 9 4 3 3" xfId="3229" xr:uid="{244DB8A4-D489-41BB-8613-A6AD20E42181}"/>
    <cellStyle name="Normal 9 4 3 4" xfId="4355" xr:uid="{5BD1D9AE-0A63-4017-A0DA-8D60FA318643}"/>
    <cellStyle name="Normal 9 4 3 5" xfId="5481" xr:uid="{DAEEE3C8-E019-4489-8AED-6CD089E981BD}"/>
    <cellStyle name="Normal 9 4 3 6" xfId="6608" xr:uid="{22CDAD10-B8B1-49FA-9F54-2E02329425E3}"/>
    <cellStyle name="Normal 9 4 3 7" xfId="7744" xr:uid="{B15EC0A4-1CF2-4957-B702-459584D00B2A}"/>
    <cellStyle name="Normal 9 4 3 8" xfId="8107" xr:uid="{DFE57FAB-B85D-41BE-8B6F-99BB92464320}"/>
    <cellStyle name="Normal 9 4 3 9" xfId="9244" xr:uid="{E6CA746A-FBF9-4917-9FF3-F81AE07A6578}"/>
    <cellStyle name="Normal 9 4 4" xfId="2101" xr:uid="{28B98690-C456-4534-9C35-DF74C9B6F67E}"/>
    <cellStyle name="Normal 9 4 4 2" xfId="13385" xr:uid="{F78F581C-43EF-4D41-B81D-389157C9EBD7}"/>
    <cellStyle name="Normal 9 4 4 3" xfId="15638" xr:uid="{8040E3B8-A0E9-447A-AB0E-DFC03E9C3693}"/>
    <cellStyle name="Normal 9 4 4 4" xfId="17891" xr:uid="{D7623AAC-11C6-4035-BD79-0C442F97C0B3}"/>
    <cellStyle name="Normal 9 4 5" xfId="3227" xr:uid="{3978CAC3-69EF-4A93-99D3-C5C9E0953F5D}"/>
    <cellStyle name="Normal 9 4 6" xfId="4353" xr:uid="{72A5FBF6-64CC-4877-812A-79E7200C99C0}"/>
    <cellStyle name="Normal 9 4 7" xfId="5479" xr:uid="{E78FD91E-0685-419D-AAB7-7D4624BA8A67}"/>
    <cellStyle name="Normal 9 4 8" xfId="6606" xr:uid="{0988027F-2E46-4F5D-99A5-05283A2DDBF5}"/>
    <cellStyle name="Normal 9 4 9" xfId="7742" xr:uid="{4F3C829B-C5ED-4926-8E93-D791B3894D00}"/>
    <cellStyle name="Normal 9 5" xfId="976" xr:uid="{295EE77F-A2B7-490B-A87A-84DD84F03006}"/>
    <cellStyle name="Normal 9 5 10" xfId="10370" xr:uid="{EFEDB27D-0F49-48BB-B36E-B5B5788AEE53}"/>
    <cellStyle name="Normal 9 5 11" xfId="12261" xr:uid="{2E482E0C-E89D-4236-A45A-803E85C9714F}"/>
    <cellStyle name="Normal 9 5 12" xfId="14514" xr:uid="{071900C4-012E-434A-A2B5-A251006956BF}"/>
    <cellStyle name="Normal 9 5 13" xfId="16767" xr:uid="{4A16F2F8-B14A-428F-AA2E-DF9B9DFE87E6}"/>
    <cellStyle name="Normal 9 5 2" xfId="2104" xr:uid="{18B16850-8A81-4CF1-B528-A1479C90155E}"/>
    <cellStyle name="Normal 9 5 2 2" xfId="13388" xr:uid="{97C52F40-B5F9-4ED6-9F61-961A14DBFA91}"/>
    <cellStyle name="Normal 9 5 2 3" xfId="15641" xr:uid="{FFF70F55-48CA-4F5F-BFA2-649207835908}"/>
    <cellStyle name="Normal 9 5 2 4" xfId="17894" xr:uid="{E013B5D8-AEBE-4D94-A5D1-A73B24485845}"/>
    <cellStyle name="Normal 9 5 3" xfId="3230" xr:uid="{B4E61108-F06C-48D1-91C5-7F97BBA3A491}"/>
    <cellStyle name="Normal 9 5 4" xfId="4356" xr:uid="{C601F262-DBBF-449E-AD94-C53C923B6B11}"/>
    <cellStyle name="Normal 9 5 5" xfId="5482" xr:uid="{B661B211-FD31-4294-A946-E0E062307FFD}"/>
    <cellStyle name="Normal 9 5 6" xfId="6609" xr:uid="{A7910D22-E02B-4B01-A0C9-518C57B4491A}"/>
    <cellStyle name="Normal 9 5 7" xfId="7745" xr:uid="{20FBFC51-F10F-46EE-9A42-32FB8D74A6B6}"/>
    <cellStyle name="Normal 9 5 8" xfId="8106" xr:uid="{EB66162B-6EF1-47AD-A990-C638B9804272}"/>
    <cellStyle name="Normal 9 5 9" xfId="9243" xr:uid="{1E9C3387-1BC2-45AF-80AE-2AB1E9A5A250}"/>
    <cellStyle name="Normal 9 6" xfId="977" xr:uid="{2F316978-8501-43AD-8EB1-7E6765962558}"/>
    <cellStyle name="Normal 9 6 10" xfId="10369" xr:uid="{36136665-8376-4F66-9C57-20D1013EB443}"/>
    <cellStyle name="Normal 9 6 11" xfId="12262" xr:uid="{4AD5617E-FD28-4789-AC18-D82DEEE4F2B3}"/>
    <cellStyle name="Normal 9 6 12" xfId="14515" xr:uid="{4B86F9D7-E19C-4F32-99F6-1D175AAB4B65}"/>
    <cellStyle name="Normal 9 6 13" xfId="16768" xr:uid="{3A4896DD-2D5A-492C-A3BE-59AECA7DF8F7}"/>
    <cellStyle name="Normal 9 6 2" xfId="2105" xr:uid="{B2D74C3E-DAE1-4088-B931-76BEDAFE113C}"/>
    <cellStyle name="Normal 9 6 2 2" xfId="13389" xr:uid="{45ABF7D9-6C01-43CD-B2CF-99C4F01348ED}"/>
    <cellStyle name="Normal 9 6 2 3" xfId="15642" xr:uid="{41702A8E-E74F-44AA-828E-A610171A2A24}"/>
    <cellStyle name="Normal 9 6 2 4" xfId="17895" xr:uid="{3609A7F3-0B4E-4DE6-8B70-BD7CD4F9836F}"/>
    <cellStyle name="Normal 9 6 3" xfId="3231" xr:uid="{0D7A18CF-F244-4768-B679-C7D187B43600}"/>
    <cellStyle name="Normal 9 6 4" xfId="4357" xr:uid="{9E09356F-51D7-4BAD-BA71-9BFBFECCD775}"/>
    <cellStyle name="Normal 9 6 5" xfId="5483" xr:uid="{1F1FDDEA-9567-4E2D-B2F0-1E3C61A6FB13}"/>
    <cellStyle name="Normal 9 6 6" xfId="6610" xr:uid="{93A8AC4B-0779-44E4-B171-794480159305}"/>
    <cellStyle name="Normal 9 6 7" xfId="7746" xr:uid="{C0137E4D-8A29-4FCC-A343-096D1CE59BF6}"/>
    <cellStyle name="Normal 9 6 8" xfId="8105" xr:uid="{EFAAF3C3-A3FA-414D-882F-B3121C274A61}"/>
    <cellStyle name="Normal 9 6 9" xfId="9242" xr:uid="{0AE15ACC-9456-41E0-A8B4-086CD2A182E8}"/>
    <cellStyle name="Normal 9 7" xfId="2082" xr:uid="{C9CBB28F-4437-448A-84C3-ADE234C56B7F}"/>
    <cellStyle name="Normal 9 7 2" xfId="13366" xr:uid="{2967BB86-5B2C-45F6-92D3-5A9CD41FD176}"/>
    <cellStyle name="Normal 9 7 3" xfId="15619" xr:uid="{55F48022-D872-4134-97C7-DE6F8907C28A}"/>
    <cellStyle name="Normal 9 7 4" xfId="17872" xr:uid="{BF296666-1065-4CFE-910E-AAF16805BE5A}"/>
    <cellStyle name="Normal 9 8" xfId="3208" xr:uid="{811B14E3-5824-4BDA-BFA6-C73261DE7E29}"/>
    <cellStyle name="Normal 9 9" xfId="4334" xr:uid="{DFF32E91-F45F-46F4-A7BF-F4651FDAE98C}"/>
    <cellStyle name="Percent" xfId="2" builtinId="5"/>
    <cellStyle name="Percent 10" xfId="978" xr:uid="{E3239F78-F07E-44A7-A9D3-9D0CFBF11AFE}"/>
    <cellStyle name="Percent 10 10" xfId="10368" xr:uid="{ADFE273F-2FDC-4ABC-9406-C2E017306856}"/>
    <cellStyle name="Percent 10 11" xfId="12263" xr:uid="{094C3A5A-76EB-4B8B-9D06-656DD35C35CB}"/>
    <cellStyle name="Percent 10 12" xfId="14516" xr:uid="{6DCCC8CC-53A1-41D7-8AA8-ACE8E8EF47F8}"/>
    <cellStyle name="Percent 10 13" xfId="16769" xr:uid="{DF20883E-335B-4270-9A46-F58CA418778B}"/>
    <cellStyle name="Percent 10 2" xfId="2106" xr:uid="{A156008A-0726-43EC-A34C-51EE45E0F407}"/>
    <cellStyle name="Percent 10 2 2" xfId="13390" xr:uid="{1F015495-154C-4D84-97E9-8188A058B94D}"/>
    <cellStyle name="Percent 10 2 3" xfId="15643" xr:uid="{27F1B5D6-8100-4925-AC74-1A376D803B9A}"/>
    <cellStyle name="Percent 10 2 4" xfId="17896" xr:uid="{E053882D-6A02-49F2-A8B0-D6A28EE0C808}"/>
    <cellStyle name="Percent 10 3" xfId="3232" xr:uid="{6BA5F5E1-D0A9-4BC5-8699-96DA45BACEB8}"/>
    <cellStyle name="Percent 10 4" xfId="4358" xr:uid="{A6520A55-61C6-40A2-BD33-595B5018DD42}"/>
    <cellStyle name="Percent 10 5" xfId="5484" xr:uid="{1E3C84D1-AEAE-4F6D-9BF1-D4A17B667F82}"/>
    <cellStyle name="Percent 10 6" xfId="6611" xr:uid="{4460EBB9-6931-45AF-91A4-99D59E599F39}"/>
    <cellStyle name="Percent 10 7" xfId="7747" xr:uid="{C6F7D0A2-3664-48E1-888A-D78E02867062}"/>
    <cellStyle name="Percent 10 8" xfId="8104" xr:uid="{0CA9CED9-2FA6-406C-B878-1EB69669E4AD}"/>
    <cellStyle name="Percent 10 9" xfId="9241" xr:uid="{32EF9F0D-C55C-4989-9E5B-E9F4DAC4B90E}"/>
    <cellStyle name="Percent 11" xfId="979" xr:uid="{FEB76E34-2F8F-4520-B6F0-20489475FEBC}"/>
    <cellStyle name="Percent 11 10" xfId="10367" xr:uid="{815DFF0C-B7D7-46F2-9605-12C564BC5101}"/>
    <cellStyle name="Percent 11 11" xfId="12264" xr:uid="{44A7DE03-411F-4DD5-9D54-E1BF1A4E6D12}"/>
    <cellStyle name="Percent 11 12" xfId="14517" xr:uid="{135FEA10-0AE6-4466-BD2F-DF6011FF8CF1}"/>
    <cellStyle name="Percent 11 13" xfId="16770" xr:uid="{37495426-8A9A-4A49-BD64-3CD062B2EAFA}"/>
    <cellStyle name="Percent 11 2" xfId="2107" xr:uid="{3654557A-F17E-487C-8E18-4B6A3F465CFA}"/>
    <cellStyle name="Percent 11 2 2" xfId="13391" xr:uid="{475F4FC8-A041-4E89-9297-40E836E385E5}"/>
    <cellStyle name="Percent 11 2 3" xfId="15644" xr:uid="{8AFB4783-C285-4A3A-ACEA-B0A397B77B1B}"/>
    <cellStyle name="Percent 11 2 4" xfId="17897" xr:uid="{81DD0DC0-5B62-49DA-9644-E633223E1838}"/>
    <cellStyle name="Percent 11 3" xfId="3233" xr:uid="{00D0DCB0-C9C0-431A-897A-B5D951EF0645}"/>
    <cellStyle name="Percent 11 4" xfId="4359" xr:uid="{EEFFEF22-D903-4DEA-AECE-6811E0AA0B02}"/>
    <cellStyle name="Percent 11 5" xfId="5485" xr:uid="{B3D9655E-30CD-4A2C-BA95-62D659EF96F9}"/>
    <cellStyle name="Percent 11 6" xfId="6612" xr:uid="{B4216355-3177-4C9B-950E-4F6DEE361A0F}"/>
    <cellStyle name="Percent 11 7" xfId="7748" xr:uid="{508E0A91-E9B6-4CD2-96F3-0A95DFB29E7C}"/>
    <cellStyle name="Percent 11 8" xfId="8103" xr:uid="{D9D3BE33-8798-46FD-BBF9-F56BE254B6C6}"/>
    <cellStyle name="Percent 11 9" xfId="9240" xr:uid="{30193A49-8A05-4C51-BA48-B99B6DF6A27D}"/>
    <cellStyle name="Percent 12" xfId="23" xr:uid="{72E33BC3-094E-4564-B84B-FCF6BAAB3205}"/>
    <cellStyle name="Percent 12 2" xfId="12444" xr:uid="{96316B2C-7DBA-407A-A5E6-64DD31F04D8C}"/>
    <cellStyle name="Percent 12 3" xfId="14697" xr:uid="{9DC6068C-2098-4A42-A240-F15A2956CABF}"/>
    <cellStyle name="Percent 12 4" xfId="16950" xr:uid="{494E791D-DEFC-4B51-8794-6FCB0BA45D4B}"/>
    <cellStyle name="Percent 13" xfId="1160" xr:uid="{8EBF4586-2150-4AD4-899A-6FA7B249D5DC}"/>
    <cellStyle name="Percent 14" xfId="2286" xr:uid="{0FB898BE-737C-4883-B7FA-D85DCBF1FC73}"/>
    <cellStyle name="Percent 15" xfId="3412" xr:uid="{2EB8137D-95AF-4BAB-87FE-2136CEBAAF5E}"/>
    <cellStyle name="Percent 16" xfId="4538" xr:uid="{44E713F0-6553-4A1C-A508-E4D6CE028B55}"/>
    <cellStyle name="Percent 17" xfId="5665" xr:uid="{7C3DFBFA-F139-4DFA-BB0D-68885A910365}"/>
    <cellStyle name="Percent 18" xfId="6792" xr:uid="{A46FA6A2-5522-4A24-9D40-DDEAB5F03601}"/>
    <cellStyle name="Percent 19" xfId="9048" xr:uid="{70D0AE94-A23D-4EA7-ACC3-19A0066D35EA}"/>
    <cellStyle name="Percent 2" xfId="19" xr:uid="{00000000-0005-0000-0000-00003F000000}"/>
    <cellStyle name="Percent 2 10" xfId="3234" xr:uid="{F7BDA7BC-2BAF-4039-8ED5-43EC5876984E}"/>
    <cellStyle name="Percent 2 11" xfId="4360" xr:uid="{5B37F97F-3648-4A4E-8574-6D4F9DE15570}"/>
    <cellStyle name="Percent 2 12" xfId="5486" xr:uid="{684C199F-7773-4A68-8E69-956752E3EA05}"/>
    <cellStyle name="Percent 2 13" xfId="6613" xr:uid="{45E43784-597F-4030-A84A-66949B84C7F6}"/>
    <cellStyle name="Percent 2 14" xfId="7749" xr:uid="{95737D0E-0363-4763-902A-17285390840E}"/>
    <cellStyle name="Percent 2 15" xfId="8102" xr:uid="{792F6CE0-1162-4080-8E58-F7A6AB25AFCF}"/>
    <cellStyle name="Percent 2 16" xfId="9239" xr:uid="{EDBC4E1F-D6F8-4D17-834C-E11682AEA158}"/>
    <cellStyle name="Percent 2 17" xfId="10366" xr:uid="{49333613-4085-4362-9A25-BD0806A67BFB}"/>
    <cellStyle name="Percent 2 18" xfId="12265" xr:uid="{15B595E5-CD70-4C6A-9E08-0C785D00437E}"/>
    <cellStyle name="Percent 2 19" xfId="14518" xr:uid="{070E4F11-5B5D-41D7-8048-72D980B698FC}"/>
    <cellStyle name="Percent 2 2" xfId="20" xr:uid="{00000000-0005-0000-0000-000040000000}"/>
    <cellStyle name="Percent 2 2 10" xfId="4361" xr:uid="{90753520-A8A9-4360-BA0A-37C9B3FCF0F6}"/>
    <cellStyle name="Percent 2 2 11" xfId="5487" xr:uid="{DD9AD558-0B02-4FEF-A11E-A63A905E6B2A}"/>
    <cellStyle name="Percent 2 2 12" xfId="6614" xr:uid="{37F100CF-35D0-41C5-A503-2F0636BEEF95}"/>
    <cellStyle name="Percent 2 2 13" xfId="7750" xr:uid="{01A3DEBF-70FF-447B-8923-07DF9A77C7F6}"/>
    <cellStyle name="Percent 2 2 14" xfId="8101" xr:uid="{16A76E1B-FA03-4243-8F73-257B88ED3385}"/>
    <cellStyle name="Percent 2 2 15" xfId="9238" xr:uid="{64482B74-300E-4B6D-825E-0B0493F6F6C1}"/>
    <cellStyle name="Percent 2 2 16" xfId="10365" xr:uid="{251A4251-6C28-46D2-BF06-14B99EA2F04D}"/>
    <cellStyle name="Percent 2 2 17" xfId="12266" xr:uid="{AB6DE4BB-55DE-415A-8942-85B808A6836E}"/>
    <cellStyle name="Percent 2 2 18" xfId="14519" xr:uid="{9E33068A-6BEF-4288-85A9-C5C986D80245}"/>
    <cellStyle name="Percent 2 2 19" xfId="16772" xr:uid="{AA7EAECE-2959-49BF-BB04-8A88D8694DA4}"/>
    <cellStyle name="Percent 2 2 2" xfId="982" xr:uid="{B0F38861-6056-497F-87A8-620C9505CAFA}"/>
    <cellStyle name="Percent 2 2 2 10" xfId="6615" xr:uid="{E512CD39-852F-44E4-9506-E9F47B2FDE5E}"/>
    <cellStyle name="Percent 2 2 2 11" xfId="7751" xr:uid="{6A4E9DFE-E83C-4490-AD9E-3413FC1FF2C2}"/>
    <cellStyle name="Percent 2 2 2 12" xfId="8100" xr:uid="{680C04FF-BFB3-432D-83CE-5F498EF45948}"/>
    <cellStyle name="Percent 2 2 2 13" xfId="9237" xr:uid="{21914574-F257-494D-A848-22DE7B578FBD}"/>
    <cellStyle name="Percent 2 2 2 14" xfId="10364" xr:uid="{346DFAF4-D594-4E24-9714-13D83064A161}"/>
    <cellStyle name="Percent 2 2 2 15" xfId="12267" xr:uid="{3E2271AB-FA1F-4557-908E-C8DAF38CEEFE}"/>
    <cellStyle name="Percent 2 2 2 16" xfId="14520" xr:uid="{1F6324CD-A022-4430-8F19-8B52C0B141C0}"/>
    <cellStyle name="Percent 2 2 2 17" xfId="16773" xr:uid="{5526123E-E663-4405-9075-FA9D1E24E0A6}"/>
    <cellStyle name="Percent 2 2 2 2" xfId="983" xr:uid="{9BCA1CEB-A9C8-4C90-8C8E-BA2538A1C40A}"/>
    <cellStyle name="Percent 2 2 2 2 10" xfId="7752" xr:uid="{218EB9D7-0B4F-4352-B07D-5F2CBB0346ED}"/>
    <cellStyle name="Percent 2 2 2 2 11" xfId="8099" xr:uid="{42B3EB24-0A08-485F-8616-1BD4729D1B01}"/>
    <cellStyle name="Percent 2 2 2 2 12" xfId="9236" xr:uid="{2B2DF9F3-E338-4FF4-9827-FA87C113B8E8}"/>
    <cellStyle name="Percent 2 2 2 2 13" xfId="10363" xr:uid="{AC711AB8-E6F0-411B-8A59-C7D4CF30C265}"/>
    <cellStyle name="Percent 2 2 2 2 14" xfId="12268" xr:uid="{7D0D3F4D-F5A5-4D6C-ABFE-0A17D8D215A8}"/>
    <cellStyle name="Percent 2 2 2 2 15" xfId="14521" xr:uid="{061F3F7A-12F9-4ACA-8F00-0F3AECABC796}"/>
    <cellStyle name="Percent 2 2 2 2 16" xfId="16774" xr:uid="{C6E9B4A5-CED1-449B-8E6E-094378EBDE10}"/>
    <cellStyle name="Percent 2 2 2 2 2" xfId="984" xr:uid="{D992425A-5FE5-440A-A7B1-D7BF9E82BDB5}"/>
    <cellStyle name="Percent 2 2 2 2 2 10" xfId="8098" xr:uid="{D41A55AD-D825-4847-8371-B75CEF9091EA}"/>
    <cellStyle name="Percent 2 2 2 2 2 11" xfId="9235" xr:uid="{1D4638A1-DEEC-4452-8FA6-7EEC380064A5}"/>
    <cellStyle name="Percent 2 2 2 2 2 12" xfId="10362" xr:uid="{133619FF-1EDC-4A99-B775-CC67185DF2AF}"/>
    <cellStyle name="Percent 2 2 2 2 2 13" xfId="12269" xr:uid="{45547E60-C49D-4021-B28B-809F5BE70CEE}"/>
    <cellStyle name="Percent 2 2 2 2 2 14" xfId="14522" xr:uid="{9A336BA8-6B82-4150-9F34-7216B5DFED05}"/>
    <cellStyle name="Percent 2 2 2 2 2 15" xfId="16775" xr:uid="{010980B8-634E-4D4A-8C6B-0799A2EFC138}"/>
    <cellStyle name="Percent 2 2 2 2 2 2" xfId="985" xr:uid="{61A4EE3D-049C-4874-973C-D90CBDD38140}"/>
    <cellStyle name="Percent 2 2 2 2 2 2 10" xfId="10361" xr:uid="{F8C81D0F-8501-4DE5-8447-667566701C5A}"/>
    <cellStyle name="Percent 2 2 2 2 2 2 11" xfId="12270" xr:uid="{3E19568F-D10F-429B-B3AB-2B3DE9E75310}"/>
    <cellStyle name="Percent 2 2 2 2 2 2 12" xfId="14523" xr:uid="{6E095E19-22B9-4F67-B504-9F83356AF6E4}"/>
    <cellStyle name="Percent 2 2 2 2 2 2 13" xfId="16776" xr:uid="{A82DE2AD-6406-42F7-8968-F3BC4727F83F}"/>
    <cellStyle name="Percent 2 2 2 2 2 2 2" xfId="2113" xr:uid="{EA7BF6A7-DC00-4E79-B139-FFC7756DF46C}"/>
    <cellStyle name="Percent 2 2 2 2 2 2 2 2" xfId="13397" xr:uid="{A10C3184-FD22-4773-8185-2F975B4A0697}"/>
    <cellStyle name="Percent 2 2 2 2 2 2 2 3" xfId="15650" xr:uid="{6F0D6657-9E9E-4384-9703-F3109D52E82D}"/>
    <cellStyle name="Percent 2 2 2 2 2 2 2 4" xfId="17903" xr:uid="{FDC8BE48-3318-4956-A034-09A122BDC337}"/>
    <cellStyle name="Percent 2 2 2 2 2 2 3" xfId="3239" xr:uid="{757755E7-4184-406D-9079-4E3BDC8DACF6}"/>
    <cellStyle name="Percent 2 2 2 2 2 2 4" xfId="4365" xr:uid="{8934DA8E-54FE-47B8-8AC3-392E40D96406}"/>
    <cellStyle name="Percent 2 2 2 2 2 2 5" xfId="5491" xr:uid="{757CD484-CAE0-47F5-965E-AF90F0FE4118}"/>
    <cellStyle name="Percent 2 2 2 2 2 2 6" xfId="6618" xr:uid="{9AEED07F-1B92-4C05-AD20-0169B1C507E1}"/>
    <cellStyle name="Percent 2 2 2 2 2 2 7" xfId="7754" xr:uid="{D6B15A8A-D940-4DA5-8238-DB9BDD8638E1}"/>
    <cellStyle name="Percent 2 2 2 2 2 2 8" xfId="8097" xr:uid="{6FDAF4C0-FE05-47DE-805E-F962D84C0A7B}"/>
    <cellStyle name="Percent 2 2 2 2 2 2 9" xfId="9234" xr:uid="{B90ACA96-B262-42E5-9F06-961980448DD8}"/>
    <cellStyle name="Percent 2 2 2 2 2 3" xfId="986" xr:uid="{025225BF-9D0D-4F28-8D56-DADD587515A8}"/>
    <cellStyle name="Percent 2 2 2 2 2 3 10" xfId="10360" xr:uid="{21C2EB84-A6B7-4B02-A2E1-6AE92EF709AD}"/>
    <cellStyle name="Percent 2 2 2 2 2 3 11" xfId="12271" xr:uid="{530D7EEB-A098-453F-84DC-A453B8B55EF8}"/>
    <cellStyle name="Percent 2 2 2 2 2 3 12" xfId="14524" xr:uid="{6E6AC30F-075B-48C5-8B6E-117558DC20B0}"/>
    <cellStyle name="Percent 2 2 2 2 2 3 13" xfId="16777" xr:uid="{A8D476AD-9AC0-4B48-953B-5FDC163F03DF}"/>
    <cellStyle name="Percent 2 2 2 2 2 3 2" xfId="2114" xr:uid="{4D49CE39-5FAA-4A1E-BC75-4A49F6A8E2D9}"/>
    <cellStyle name="Percent 2 2 2 2 2 3 2 2" xfId="13398" xr:uid="{8BEE0A42-94BC-491A-A3BB-B0B4CC657D53}"/>
    <cellStyle name="Percent 2 2 2 2 2 3 2 3" xfId="15651" xr:uid="{CDE694ED-3E7A-46CC-99B1-9EDE6AE1EEB0}"/>
    <cellStyle name="Percent 2 2 2 2 2 3 2 4" xfId="17904" xr:uid="{63419169-0996-4EE4-97C3-3C46F19D8493}"/>
    <cellStyle name="Percent 2 2 2 2 2 3 3" xfId="3240" xr:uid="{19820F08-6746-48AB-93E5-C806F4B04C86}"/>
    <cellStyle name="Percent 2 2 2 2 2 3 4" xfId="4366" xr:uid="{58C29B45-F213-48E9-81D0-0DE07FF230FC}"/>
    <cellStyle name="Percent 2 2 2 2 2 3 5" xfId="5492" xr:uid="{04D7675F-21FE-40B9-BD23-46AAE31B148B}"/>
    <cellStyle name="Percent 2 2 2 2 2 3 6" xfId="6619" xr:uid="{871025B7-B0F9-4DDA-B615-D856862F5B2E}"/>
    <cellStyle name="Percent 2 2 2 2 2 3 7" xfId="7755" xr:uid="{9226E2D9-F8B5-4848-B17D-ED1CB8B46FD0}"/>
    <cellStyle name="Percent 2 2 2 2 2 3 8" xfId="8096" xr:uid="{B7F1D188-3828-429F-A184-D8DCE448D7DA}"/>
    <cellStyle name="Percent 2 2 2 2 2 3 9" xfId="9233" xr:uid="{A1C8BA4B-091D-4DCD-85F9-945D278EB9A8}"/>
    <cellStyle name="Percent 2 2 2 2 2 4" xfId="2112" xr:uid="{7BC7126A-9479-4BC6-8459-80A6DE713261}"/>
    <cellStyle name="Percent 2 2 2 2 2 4 2" xfId="13396" xr:uid="{4822F41E-B077-4BB4-87A9-3844F3282199}"/>
    <cellStyle name="Percent 2 2 2 2 2 4 3" xfId="15649" xr:uid="{84813BE7-3A45-457B-A9C2-ACC7181E2F9F}"/>
    <cellStyle name="Percent 2 2 2 2 2 4 4" xfId="17902" xr:uid="{EA5F211A-152A-4C58-BE76-136C40527A65}"/>
    <cellStyle name="Percent 2 2 2 2 2 5" xfId="3238" xr:uid="{61E62D82-D011-433C-BB62-B8311D2FBF33}"/>
    <cellStyle name="Percent 2 2 2 2 2 6" xfId="4364" xr:uid="{08637DFD-8DBC-4DE4-9581-84F65B3B1FB9}"/>
    <cellStyle name="Percent 2 2 2 2 2 7" xfId="5490" xr:uid="{193537F4-4404-4B55-9BBE-D5DBDC0870DA}"/>
    <cellStyle name="Percent 2 2 2 2 2 8" xfId="6617" xr:uid="{6AB51904-940D-404C-9E44-45E372529E18}"/>
    <cellStyle name="Percent 2 2 2 2 2 9" xfId="7753" xr:uid="{937F6004-E86F-4E4E-BF54-AA14CDFB5FDE}"/>
    <cellStyle name="Percent 2 2 2 2 3" xfId="987" xr:uid="{D6CEA512-3D8E-4402-B32E-E84A065B21FA}"/>
    <cellStyle name="Percent 2 2 2 2 3 10" xfId="10359" xr:uid="{770F54F7-37C9-4557-A240-93A17954AC27}"/>
    <cellStyle name="Percent 2 2 2 2 3 11" xfId="12272" xr:uid="{4F795845-CD01-4189-B1B8-C1376F579F67}"/>
    <cellStyle name="Percent 2 2 2 2 3 12" xfId="14525" xr:uid="{68193493-8395-4511-B834-3A578A54C9ED}"/>
    <cellStyle name="Percent 2 2 2 2 3 13" xfId="16778" xr:uid="{F340C63E-DCA7-4DAF-94A5-EC6052164895}"/>
    <cellStyle name="Percent 2 2 2 2 3 2" xfId="2115" xr:uid="{BE74F6D1-EEFE-4FFE-BF09-F9B1CA1E6058}"/>
    <cellStyle name="Percent 2 2 2 2 3 2 2" xfId="13399" xr:uid="{62D9E3BC-14E7-4737-8BE4-AD9DA138BCD6}"/>
    <cellStyle name="Percent 2 2 2 2 3 2 3" xfId="15652" xr:uid="{570E799D-9225-4846-8B04-33A6960E7297}"/>
    <cellStyle name="Percent 2 2 2 2 3 2 4" xfId="17905" xr:uid="{2BC149B0-B853-47EB-AF9C-683017746788}"/>
    <cellStyle name="Percent 2 2 2 2 3 3" xfId="3241" xr:uid="{C21604FC-0AFF-4C4D-B3A8-0E29C1D96A03}"/>
    <cellStyle name="Percent 2 2 2 2 3 4" xfId="4367" xr:uid="{5305E85D-246C-4AA1-88E3-124533DE1E1F}"/>
    <cellStyle name="Percent 2 2 2 2 3 5" xfId="5493" xr:uid="{C36632AC-6BEE-4B43-873B-1E3D5CDF4CEF}"/>
    <cellStyle name="Percent 2 2 2 2 3 6" xfId="6620" xr:uid="{26D2F7F7-DCF9-4E81-AA3F-1628933BBB89}"/>
    <cellStyle name="Percent 2 2 2 2 3 7" xfId="7756" xr:uid="{1F40AB07-496C-47EE-BCB6-1E04B284C0E2}"/>
    <cellStyle name="Percent 2 2 2 2 3 8" xfId="8095" xr:uid="{0E87F972-AE4E-438D-B841-18BFAA78F25F}"/>
    <cellStyle name="Percent 2 2 2 2 3 9" xfId="9232" xr:uid="{457A9EB9-EE49-4702-9840-69819F4EF857}"/>
    <cellStyle name="Percent 2 2 2 2 4" xfId="988" xr:uid="{1D77910A-8A9A-4000-9083-20CA04074631}"/>
    <cellStyle name="Percent 2 2 2 2 4 10" xfId="10358" xr:uid="{BD49D5AE-958F-4C8A-9AAD-D68B8ABF75A5}"/>
    <cellStyle name="Percent 2 2 2 2 4 11" xfId="12273" xr:uid="{C0DEDE1F-E08E-4131-A0C6-7AA6452B2E55}"/>
    <cellStyle name="Percent 2 2 2 2 4 12" xfId="14526" xr:uid="{338C48CA-92E9-4371-8F23-245602B17C6C}"/>
    <cellStyle name="Percent 2 2 2 2 4 13" xfId="16779" xr:uid="{C8BA4906-A014-466E-88AF-EDBB1CA748D1}"/>
    <cellStyle name="Percent 2 2 2 2 4 2" xfId="2116" xr:uid="{0553C530-1B05-40B1-82B4-B38C0A732604}"/>
    <cellStyle name="Percent 2 2 2 2 4 2 2" xfId="13400" xr:uid="{0DB3F30D-0001-4D91-AF04-F16F85B3A557}"/>
    <cellStyle name="Percent 2 2 2 2 4 2 3" xfId="15653" xr:uid="{05A49FA7-236D-4876-B866-0F2B75C0D4A0}"/>
    <cellStyle name="Percent 2 2 2 2 4 2 4" xfId="17906" xr:uid="{6F705067-318E-4300-B656-27C671EF74E4}"/>
    <cellStyle name="Percent 2 2 2 2 4 3" xfId="3242" xr:uid="{D12E1020-FDF1-4374-B27E-369916D9174D}"/>
    <cellStyle name="Percent 2 2 2 2 4 4" xfId="4368" xr:uid="{F52BD793-C701-4C51-A4A0-4EB3DCED3D45}"/>
    <cellStyle name="Percent 2 2 2 2 4 5" xfId="5494" xr:uid="{3ACF809D-88B0-41FF-8A82-779060B8BD1A}"/>
    <cellStyle name="Percent 2 2 2 2 4 6" xfId="6621" xr:uid="{6785527A-6007-444B-92B1-AA3EDC6F3423}"/>
    <cellStyle name="Percent 2 2 2 2 4 7" xfId="7757" xr:uid="{6067FD89-20DF-44F3-859A-E506675A1C3A}"/>
    <cellStyle name="Percent 2 2 2 2 4 8" xfId="8094" xr:uid="{03117FEF-E712-4B93-95A6-73425BBA62D1}"/>
    <cellStyle name="Percent 2 2 2 2 4 9" xfId="9231" xr:uid="{96DB505C-4C0A-4E29-8148-E3469A313FD5}"/>
    <cellStyle name="Percent 2 2 2 2 5" xfId="2111" xr:uid="{34047F3F-A095-4271-B404-88C1FA172C91}"/>
    <cellStyle name="Percent 2 2 2 2 5 2" xfId="13395" xr:uid="{809D6416-5777-4862-8476-BC50FADC195B}"/>
    <cellStyle name="Percent 2 2 2 2 5 3" xfId="15648" xr:uid="{39C16487-B24A-439A-8147-85E5E315B611}"/>
    <cellStyle name="Percent 2 2 2 2 5 4" xfId="17901" xr:uid="{2CFDF212-970E-4F6F-8ABB-DE3770F24B40}"/>
    <cellStyle name="Percent 2 2 2 2 6" xfId="3237" xr:uid="{FC98CDC8-5187-48C1-95EB-8F944AE62D4F}"/>
    <cellStyle name="Percent 2 2 2 2 7" xfId="4363" xr:uid="{12B34BBC-F182-4F4D-B50A-E33ABC1C60BF}"/>
    <cellStyle name="Percent 2 2 2 2 8" xfId="5489" xr:uid="{BF9886AE-94DA-46A0-9C51-394C1A4841E3}"/>
    <cellStyle name="Percent 2 2 2 2 9" xfId="6616" xr:uid="{673E23B3-F3C3-4004-80B0-3B702984CC20}"/>
    <cellStyle name="Percent 2 2 2 3" xfId="989" xr:uid="{BDFA43F3-38AD-42F2-9A52-354B561CD951}"/>
    <cellStyle name="Percent 2 2 2 3 10" xfId="8093" xr:uid="{89783AB2-19CC-4C5B-B8D3-214505D5D47D}"/>
    <cellStyle name="Percent 2 2 2 3 11" xfId="9230" xr:uid="{0B8FD918-E267-40ED-BD97-8F3FCF32524D}"/>
    <cellStyle name="Percent 2 2 2 3 12" xfId="10357" xr:uid="{B7140ADB-51E0-4261-8A55-18751D358493}"/>
    <cellStyle name="Percent 2 2 2 3 13" xfId="12274" xr:uid="{AF8527FA-3F27-40A8-8961-CBC2DFF2E48C}"/>
    <cellStyle name="Percent 2 2 2 3 14" xfId="14527" xr:uid="{A9C72CD4-00C0-47C1-A603-11F60239E208}"/>
    <cellStyle name="Percent 2 2 2 3 15" xfId="16780" xr:uid="{A19F1A60-EE71-43B2-BF7A-045582B4E782}"/>
    <cellStyle name="Percent 2 2 2 3 2" xfId="990" xr:uid="{92BD672D-0852-411B-ADC7-E639156CFA43}"/>
    <cellStyle name="Percent 2 2 2 3 2 10" xfId="10356" xr:uid="{105F1ADD-4ACC-4E58-8FCC-F2AD0899CE93}"/>
    <cellStyle name="Percent 2 2 2 3 2 11" xfId="12275" xr:uid="{6ED6634A-E7EA-408B-A68A-FA1BFECEC8C2}"/>
    <cellStyle name="Percent 2 2 2 3 2 12" xfId="14528" xr:uid="{18BF0C37-2007-4CEF-B040-56C6CD5E9A02}"/>
    <cellStyle name="Percent 2 2 2 3 2 13" xfId="16781" xr:uid="{791DE815-523E-4683-BAE7-500897BCE640}"/>
    <cellStyle name="Percent 2 2 2 3 2 2" xfId="2118" xr:uid="{05819CFE-0B72-4066-AC33-0BE45AF1924F}"/>
    <cellStyle name="Percent 2 2 2 3 2 2 2" xfId="13402" xr:uid="{17DFE220-2D57-4768-9AC5-A0B47E9EDF39}"/>
    <cellStyle name="Percent 2 2 2 3 2 2 3" xfId="15655" xr:uid="{478F8649-875D-4819-873B-0463C76C3B2E}"/>
    <cellStyle name="Percent 2 2 2 3 2 2 4" xfId="17908" xr:uid="{D08FC1AD-5AA0-4466-9ED0-C07E935A2758}"/>
    <cellStyle name="Percent 2 2 2 3 2 3" xfId="3244" xr:uid="{A66E6BDD-183C-4803-B9FF-92E3A89659B5}"/>
    <cellStyle name="Percent 2 2 2 3 2 4" xfId="4370" xr:uid="{C5041C65-638E-4FD2-B27C-A83226C45E96}"/>
    <cellStyle name="Percent 2 2 2 3 2 5" xfId="5496" xr:uid="{932C97E1-FBC1-446D-B69D-FC7FC33E06BC}"/>
    <cellStyle name="Percent 2 2 2 3 2 6" xfId="6623" xr:uid="{81942152-CFF6-4306-B9A7-6768E82D0AF1}"/>
    <cellStyle name="Percent 2 2 2 3 2 7" xfId="7759" xr:uid="{D5EC9CF8-ABCB-4D57-B793-7783C3ACD61F}"/>
    <cellStyle name="Percent 2 2 2 3 2 8" xfId="8092" xr:uid="{45FA9944-939C-421F-9930-4E21CDB6799F}"/>
    <cellStyle name="Percent 2 2 2 3 2 9" xfId="9229" xr:uid="{3DB7DE73-E936-4893-8410-807AB6F22B06}"/>
    <cellStyle name="Percent 2 2 2 3 3" xfId="991" xr:uid="{695401DF-00DD-4FAE-A136-00BE9B197558}"/>
    <cellStyle name="Percent 2 2 2 3 3 10" xfId="10355" xr:uid="{8A632D08-AE6E-4332-A5E8-C4DFBA493389}"/>
    <cellStyle name="Percent 2 2 2 3 3 11" xfId="12276" xr:uid="{2EEB328C-3156-45D1-AAAE-EB81F2C72BC7}"/>
    <cellStyle name="Percent 2 2 2 3 3 12" xfId="14529" xr:uid="{6BDA8EA9-0B6D-4F09-890F-8B3F900401BA}"/>
    <cellStyle name="Percent 2 2 2 3 3 13" xfId="16782" xr:uid="{2F09804A-667C-4490-BE02-414DB23327BA}"/>
    <cellStyle name="Percent 2 2 2 3 3 2" xfId="2119" xr:uid="{CC0224A7-24D9-4F1F-AD17-2DEF8D1C8CB6}"/>
    <cellStyle name="Percent 2 2 2 3 3 2 2" xfId="13403" xr:uid="{570099D5-661E-4DF9-88B2-05A71F725D18}"/>
    <cellStyle name="Percent 2 2 2 3 3 2 3" xfId="15656" xr:uid="{04547B62-A38B-47FD-BA2D-EC25CC19B552}"/>
    <cellStyle name="Percent 2 2 2 3 3 2 4" xfId="17909" xr:uid="{8844CD5B-8E24-4C47-8E22-9A0F33709DBF}"/>
    <cellStyle name="Percent 2 2 2 3 3 3" xfId="3245" xr:uid="{A350FCF6-A28F-4EAA-B9FD-27DF1B7C5814}"/>
    <cellStyle name="Percent 2 2 2 3 3 4" xfId="4371" xr:uid="{4B021721-9268-4238-83AE-9DE75C3B6589}"/>
    <cellStyle name="Percent 2 2 2 3 3 5" xfId="5497" xr:uid="{DE5293FD-941A-44C0-8971-CA01A6F54940}"/>
    <cellStyle name="Percent 2 2 2 3 3 6" xfId="6624" xr:uid="{1480059A-4216-4949-AFEC-BD857ADFDD69}"/>
    <cellStyle name="Percent 2 2 2 3 3 7" xfId="7760" xr:uid="{65F4C4D2-465F-4FC4-AC7D-6E2BD5F40762}"/>
    <cellStyle name="Percent 2 2 2 3 3 8" xfId="8091" xr:uid="{7696D335-FDB0-46C4-AC03-09C4AC6140B7}"/>
    <cellStyle name="Percent 2 2 2 3 3 9" xfId="9228" xr:uid="{478C7D92-FD5E-4188-ADAB-3874F29E4CF4}"/>
    <cellStyle name="Percent 2 2 2 3 4" xfId="2117" xr:uid="{FB48FBD8-971A-4AAB-83BD-0B0414F9E4D7}"/>
    <cellStyle name="Percent 2 2 2 3 4 2" xfId="13401" xr:uid="{1D60618F-19F1-4884-B314-716DB1CB19BF}"/>
    <cellStyle name="Percent 2 2 2 3 4 3" xfId="15654" xr:uid="{87064EA3-D99F-4251-9E8B-BB6493F58AC3}"/>
    <cellStyle name="Percent 2 2 2 3 4 4" xfId="17907" xr:uid="{17FC5B47-E826-4371-B342-BA5BB124DEA5}"/>
    <cellStyle name="Percent 2 2 2 3 5" xfId="3243" xr:uid="{6F60288E-D9C9-4AD9-8028-86517FDC26F5}"/>
    <cellStyle name="Percent 2 2 2 3 6" xfId="4369" xr:uid="{946D8CB2-57E9-4237-BDCF-6373E2CCFB75}"/>
    <cellStyle name="Percent 2 2 2 3 7" xfId="5495" xr:uid="{0788DF97-EEF5-487E-A08C-78E90989D484}"/>
    <cellStyle name="Percent 2 2 2 3 8" xfId="6622" xr:uid="{647254ED-EC2D-452C-A20B-89209DB2FC8C}"/>
    <cellStyle name="Percent 2 2 2 3 9" xfId="7758" xr:uid="{0604162E-1D3B-4D18-B744-015A6BE44916}"/>
    <cellStyle name="Percent 2 2 2 4" xfId="992" xr:uid="{AD5734F6-77F3-40BB-8F1D-742331C2DA53}"/>
    <cellStyle name="Percent 2 2 2 4 10" xfId="10354" xr:uid="{D94EC5CB-FB06-4646-9696-12051B96198D}"/>
    <cellStyle name="Percent 2 2 2 4 11" xfId="12277" xr:uid="{BDA86117-7F3D-490A-9560-2517DFFC7390}"/>
    <cellStyle name="Percent 2 2 2 4 12" xfId="14530" xr:uid="{B0B70F0C-E00A-4C1A-B2EA-060F4EE914F8}"/>
    <cellStyle name="Percent 2 2 2 4 13" xfId="16783" xr:uid="{BD743A48-DD8E-4346-9007-062A8946A527}"/>
    <cellStyle name="Percent 2 2 2 4 2" xfId="2120" xr:uid="{83DC1E76-4D6E-4A8F-B02D-B42D2E33C404}"/>
    <cellStyle name="Percent 2 2 2 4 2 2" xfId="13404" xr:uid="{6ACE1542-03B8-442C-8A26-0CAB25240296}"/>
    <cellStyle name="Percent 2 2 2 4 2 3" xfId="15657" xr:uid="{FE431C67-E9B6-4D61-AFAD-EFECCBFD4045}"/>
    <cellStyle name="Percent 2 2 2 4 2 4" xfId="17910" xr:uid="{894C2E87-5614-4555-8DBC-6A6B2765599F}"/>
    <cellStyle name="Percent 2 2 2 4 3" xfId="3246" xr:uid="{117CC4CF-D7BD-40C3-A19F-03A5D7383DD8}"/>
    <cellStyle name="Percent 2 2 2 4 4" xfId="4372" xr:uid="{14996CF6-762A-4592-BE12-2E957814F121}"/>
    <cellStyle name="Percent 2 2 2 4 5" xfId="5498" xr:uid="{4F250AD5-1ABD-4E5C-9690-976814E75CEC}"/>
    <cellStyle name="Percent 2 2 2 4 6" xfId="6625" xr:uid="{7750C7ED-8DE6-4CF5-B5B9-2BC796CE1784}"/>
    <cellStyle name="Percent 2 2 2 4 7" xfId="7761" xr:uid="{FFE8324C-461C-4511-8E41-7F3845F0EBD8}"/>
    <cellStyle name="Percent 2 2 2 4 8" xfId="8090" xr:uid="{A032C1DF-BB3C-4FF9-89DB-FFCB7B1DE8BD}"/>
    <cellStyle name="Percent 2 2 2 4 9" xfId="9227" xr:uid="{2F1614AA-262F-4F0C-8A39-83BA5E201BFE}"/>
    <cellStyle name="Percent 2 2 2 5" xfId="993" xr:uid="{0D9555EA-2403-491F-938B-41D9890DB463}"/>
    <cellStyle name="Percent 2 2 2 5 10" xfId="10353" xr:uid="{96B853D2-78B4-4228-BED3-52C5796BA44C}"/>
    <cellStyle name="Percent 2 2 2 5 11" xfId="12278" xr:uid="{F56662BC-93B2-4F7F-8B29-02046C73F13A}"/>
    <cellStyle name="Percent 2 2 2 5 12" xfId="14531" xr:uid="{F43B2224-DEE0-4F10-AF23-F3827350E6B1}"/>
    <cellStyle name="Percent 2 2 2 5 13" xfId="16784" xr:uid="{D281109C-5E47-429A-BBAB-BC7998E9FBD0}"/>
    <cellStyle name="Percent 2 2 2 5 2" xfId="2121" xr:uid="{75DD259F-3966-48C0-9CB9-021AC6D0EFF4}"/>
    <cellStyle name="Percent 2 2 2 5 2 2" xfId="13405" xr:uid="{C71682CC-1B48-409A-A582-66E9D6145301}"/>
    <cellStyle name="Percent 2 2 2 5 2 3" xfId="15658" xr:uid="{97317EA0-4853-48E1-A70A-10E7CE30128E}"/>
    <cellStyle name="Percent 2 2 2 5 2 4" xfId="17911" xr:uid="{B4865D25-DDC6-4EB1-9C49-BE8612A6EBDA}"/>
    <cellStyle name="Percent 2 2 2 5 3" xfId="3247" xr:uid="{2DB323A9-C1F7-4EDD-831C-B6E25F743BF7}"/>
    <cellStyle name="Percent 2 2 2 5 4" xfId="4373" xr:uid="{4B3D16EC-9731-4A04-BC97-833BDC348CF1}"/>
    <cellStyle name="Percent 2 2 2 5 5" xfId="5499" xr:uid="{8586AD2D-73AD-4C0E-89DF-F36EA92A0DD3}"/>
    <cellStyle name="Percent 2 2 2 5 6" xfId="6626" xr:uid="{61062953-61EC-4606-B8D9-236FA4990AAB}"/>
    <cellStyle name="Percent 2 2 2 5 7" xfId="7762" xr:uid="{C6C889DE-858A-46B6-9298-60B834EC60BF}"/>
    <cellStyle name="Percent 2 2 2 5 8" xfId="8089" xr:uid="{36A61833-8BD2-46B9-A59C-64CECF2F7B89}"/>
    <cellStyle name="Percent 2 2 2 5 9" xfId="9226" xr:uid="{6E29D808-DDEE-4625-BEEE-01DBEEBB2EC6}"/>
    <cellStyle name="Percent 2 2 2 6" xfId="2110" xr:uid="{3515EA62-EF6E-4E89-9D25-48BC9BC86831}"/>
    <cellStyle name="Percent 2 2 2 6 2" xfId="13394" xr:uid="{5B98060F-F0C7-435B-A992-2BE280E7D614}"/>
    <cellStyle name="Percent 2 2 2 6 3" xfId="15647" xr:uid="{16D3B0B2-4B93-4F64-8594-C8134BE0EC9A}"/>
    <cellStyle name="Percent 2 2 2 6 4" xfId="17900" xr:uid="{BA3160B1-A7AA-4947-B10B-76A2571FB441}"/>
    <cellStyle name="Percent 2 2 2 7" xfId="3236" xr:uid="{DA911BBB-2AA8-4DD5-ABAF-701F42B3AF21}"/>
    <cellStyle name="Percent 2 2 2 8" xfId="4362" xr:uid="{82BC1F0F-7BB2-486A-B05C-F53323CC688A}"/>
    <cellStyle name="Percent 2 2 2 9" xfId="5488" xr:uid="{506F744B-4886-499C-8ECC-58FFD811D8F3}"/>
    <cellStyle name="Percent 2 2 3" xfId="994" xr:uid="{9F23F7AB-C64D-42C0-A559-4C0D85479147}"/>
    <cellStyle name="Percent 2 2 3 10" xfId="7763" xr:uid="{390F5817-1E67-4A21-A373-2F835D6F42A4}"/>
    <cellStyle name="Percent 2 2 3 11" xfId="8088" xr:uid="{6CA268F1-D2B3-430E-81EA-15F1FFFCF22F}"/>
    <cellStyle name="Percent 2 2 3 12" xfId="9225" xr:uid="{5CDB9306-213A-45CD-AAD0-A64694EA6C0D}"/>
    <cellStyle name="Percent 2 2 3 13" xfId="10352" xr:uid="{5AD74883-A5B7-4427-8CA0-F3E78A7D90D9}"/>
    <cellStyle name="Percent 2 2 3 14" xfId="12279" xr:uid="{BF82D541-7132-4417-9280-D3854CDAE213}"/>
    <cellStyle name="Percent 2 2 3 15" xfId="14532" xr:uid="{7A09839F-527F-4BA9-993F-436F57D3413B}"/>
    <cellStyle name="Percent 2 2 3 16" xfId="16785" xr:uid="{5F4B5D08-8B50-40EA-8E59-9698E1F2B17B}"/>
    <cellStyle name="Percent 2 2 3 2" xfId="995" xr:uid="{C900AFF2-2564-4411-9D87-EAEEBEFFA44D}"/>
    <cellStyle name="Percent 2 2 3 2 10" xfId="8087" xr:uid="{3CD18AC6-B972-4C80-90F0-DEBD9D78544A}"/>
    <cellStyle name="Percent 2 2 3 2 11" xfId="9224" xr:uid="{988C8F9A-785B-469B-A712-F34F40E9CE92}"/>
    <cellStyle name="Percent 2 2 3 2 12" xfId="10351" xr:uid="{7E8C4010-5FC1-414D-9DAB-BD444D550439}"/>
    <cellStyle name="Percent 2 2 3 2 13" xfId="12280" xr:uid="{ED66509E-BD4B-45D8-8691-BA35267E7723}"/>
    <cellStyle name="Percent 2 2 3 2 14" xfId="14533" xr:uid="{1ED204B1-B1F3-49FB-9406-E90B4E6D2D18}"/>
    <cellStyle name="Percent 2 2 3 2 15" xfId="16786" xr:uid="{013487C1-AD1C-45C8-9116-F4EE5EDDE1E7}"/>
    <cellStyle name="Percent 2 2 3 2 2" xfId="996" xr:uid="{670834E2-E40A-4588-A830-771E3AD7ADF9}"/>
    <cellStyle name="Percent 2 2 3 2 2 10" xfId="10350" xr:uid="{293D8EC4-8AA1-4280-AC15-AB6C07A91407}"/>
    <cellStyle name="Percent 2 2 3 2 2 11" xfId="12281" xr:uid="{FA4E16B9-4509-45A8-96A6-4A6447512046}"/>
    <cellStyle name="Percent 2 2 3 2 2 12" xfId="14534" xr:uid="{A4F910E8-38DC-4A73-95A3-E9774984D176}"/>
    <cellStyle name="Percent 2 2 3 2 2 13" xfId="16787" xr:uid="{23F3E023-F635-4C19-9AA7-81F22D4FAF40}"/>
    <cellStyle name="Percent 2 2 3 2 2 2" xfId="2124" xr:uid="{8FC3FB19-0014-4A7B-8B8E-688B80EBF3DF}"/>
    <cellStyle name="Percent 2 2 3 2 2 2 2" xfId="13408" xr:uid="{3BA8F7FE-0C20-45B3-8052-89A8FD804229}"/>
    <cellStyle name="Percent 2 2 3 2 2 2 3" xfId="15661" xr:uid="{3E5A8ADF-6AFD-4B83-AB58-C3D69A3EA35B}"/>
    <cellStyle name="Percent 2 2 3 2 2 2 4" xfId="17914" xr:uid="{A1496FF1-9A43-4D0D-81DA-9082FBACD400}"/>
    <cellStyle name="Percent 2 2 3 2 2 3" xfId="3250" xr:uid="{32F29243-B376-4DC9-93D5-ECF2C098D80F}"/>
    <cellStyle name="Percent 2 2 3 2 2 4" xfId="4376" xr:uid="{E4E05115-6253-48D5-A5F7-6C42BBBC9B37}"/>
    <cellStyle name="Percent 2 2 3 2 2 5" xfId="5502" xr:uid="{9AEFBF30-A507-4652-88E4-010A8CBF052A}"/>
    <cellStyle name="Percent 2 2 3 2 2 6" xfId="6629" xr:uid="{52BE7CA9-C2A4-4389-8808-4ADF892564CF}"/>
    <cellStyle name="Percent 2 2 3 2 2 7" xfId="7765" xr:uid="{4ED613D0-78C1-4085-A730-23A10265F2F9}"/>
    <cellStyle name="Percent 2 2 3 2 2 8" xfId="8086" xr:uid="{AD7CA574-9AFA-4C0D-94F6-E8510B2B665A}"/>
    <cellStyle name="Percent 2 2 3 2 2 9" xfId="9223" xr:uid="{704DDBE9-B0E4-4CDA-BEC8-AEB42F2E2F84}"/>
    <cellStyle name="Percent 2 2 3 2 3" xfId="997" xr:uid="{04BC3E57-03B0-4572-847C-DF8F70FFB939}"/>
    <cellStyle name="Percent 2 2 3 2 3 10" xfId="10349" xr:uid="{46C47DB1-F502-490E-BC22-B1EACDC6277F}"/>
    <cellStyle name="Percent 2 2 3 2 3 11" xfId="12282" xr:uid="{176BB31E-4DA1-43D9-98F9-EB767F73AC2F}"/>
    <cellStyle name="Percent 2 2 3 2 3 12" xfId="14535" xr:uid="{49641064-12A8-44B7-A21C-D136389009C7}"/>
    <cellStyle name="Percent 2 2 3 2 3 13" xfId="16788" xr:uid="{1DF6802A-A015-40FC-9C62-5B4E42ABBA97}"/>
    <cellStyle name="Percent 2 2 3 2 3 2" xfId="2125" xr:uid="{369F3467-A625-4D58-91A6-EB14640ECE79}"/>
    <cellStyle name="Percent 2 2 3 2 3 2 2" xfId="13409" xr:uid="{50C007D1-1FEC-4787-8442-4559FEC23A86}"/>
    <cellStyle name="Percent 2 2 3 2 3 2 3" xfId="15662" xr:uid="{0F198636-6B27-42AC-A9C6-5C9B9C010B87}"/>
    <cellStyle name="Percent 2 2 3 2 3 2 4" xfId="17915" xr:uid="{84F2A1CD-448F-412B-97E2-D40FFDC1DB5B}"/>
    <cellStyle name="Percent 2 2 3 2 3 3" xfId="3251" xr:uid="{6EEDC814-A6B4-40D3-A293-8399E92E6CAD}"/>
    <cellStyle name="Percent 2 2 3 2 3 4" xfId="4377" xr:uid="{9808870B-0324-4BB0-8527-18A64F6D55CC}"/>
    <cellStyle name="Percent 2 2 3 2 3 5" xfId="5503" xr:uid="{05BC5260-07FB-4104-B557-FA11151AA946}"/>
    <cellStyle name="Percent 2 2 3 2 3 6" xfId="6630" xr:uid="{A01A0DC9-50F1-47F3-9FDA-41B47ECFC4E0}"/>
    <cellStyle name="Percent 2 2 3 2 3 7" xfId="7766" xr:uid="{BEE9FB1A-2715-45B2-8C65-DB34A9F09076}"/>
    <cellStyle name="Percent 2 2 3 2 3 8" xfId="8085" xr:uid="{2A10B417-1F81-4FAE-8DD8-D1AEA3C4B04D}"/>
    <cellStyle name="Percent 2 2 3 2 3 9" xfId="9222" xr:uid="{D538D9C6-0CF8-4705-A3AF-7C6C8FB67975}"/>
    <cellStyle name="Percent 2 2 3 2 4" xfId="2123" xr:uid="{EAE59C9A-41EE-4FA5-8977-7D3B9654B17C}"/>
    <cellStyle name="Percent 2 2 3 2 4 2" xfId="13407" xr:uid="{86C146AB-8E42-48C0-A685-7443593A18F9}"/>
    <cellStyle name="Percent 2 2 3 2 4 3" xfId="15660" xr:uid="{92F93705-EE40-4ACE-89C7-5ACD8A313E33}"/>
    <cellStyle name="Percent 2 2 3 2 4 4" xfId="17913" xr:uid="{DF45BC2C-7A25-4C18-8BA5-778A23091982}"/>
    <cellStyle name="Percent 2 2 3 2 5" xfId="3249" xr:uid="{75E641E9-B397-4397-A50E-19376BEF163A}"/>
    <cellStyle name="Percent 2 2 3 2 6" xfId="4375" xr:uid="{CCFDDF0C-E58F-49D4-AB22-E982B0469732}"/>
    <cellStyle name="Percent 2 2 3 2 7" xfId="5501" xr:uid="{1FABE5F3-9CFC-40C1-95AD-B2F52C67D2F3}"/>
    <cellStyle name="Percent 2 2 3 2 8" xfId="6628" xr:uid="{055B55D9-35DB-4A3F-A866-98BBF7E176FE}"/>
    <cellStyle name="Percent 2 2 3 2 9" xfId="7764" xr:uid="{78DB0399-2CB8-4BB4-B148-DAB2D0CEF6C0}"/>
    <cellStyle name="Percent 2 2 3 3" xfId="998" xr:uid="{B89DE167-2F33-407B-B187-C2381EEDCF43}"/>
    <cellStyle name="Percent 2 2 3 3 10" xfId="10348" xr:uid="{B05B624A-E079-4163-A1EC-C81A4B07E90E}"/>
    <cellStyle name="Percent 2 2 3 3 11" xfId="12283" xr:uid="{B8AD11EC-FA31-483D-94EC-D2E899CF278C}"/>
    <cellStyle name="Percent 2 2 3 3 12" xfId="14536" xr:uid="{A2DE69D4-8978-462E-9EB5-62156D5E37FB}"/>
    <cellStyle name="Percent 2 2 3 3 13" xfId="16789" xr:uid="{818749E8-9C26-4EBF-81BB-9C662C13C773}"/>
    <cellStyle name="Percent 2 2 3 3 2" xfId="2126" xr:uid="{7C5689AA-CABD-4A3C-BFAA-0716DCB1A0B7}"/>
    <cellStyle name="Percent 2 2 3 3 2 2" xfId="13410" xr:uid="{7BDE4EA8-D2EB-4BF3-9363-019FAA2FC0FF}"/>
    <cellStyle name="Percent 2 2 3 3 2 3" xfId="15663" xr:uid="{FDEFF2FA-D01D-4AF4-9F0E-80B5CF7F5E91}"/>
    <cellStyle name="Percent 2 2 3 3 2 4" xfId="17916" xr:uid="{27E40EDF-9D4B-4CE4-90A2-ACA60671E9EE}"/>
    <cellStyle name="Percent 2 2 3 3 3" xfId="3252" xr:uid="{8DF7C8C4-6785-44E8-A3AC-AE626583BA24}"/>
    <cellStyle name="Percent 2 2 3 3 4" xfId="4378" xr:uid="{0C147428-162A-490E-A134-1EEDDDB0FA49}"/>
    <cellStyle name="Percent 2 2 3 3 5" xfId="5504" xr:uid="{93E031E3-A6B4-44A2-8787-CEBE4105804E}"/>
    <cellStyle name="Percent 2 2 3 3 6" xfId="6631" xr:uid="{12ACF631-24B3-4000-A554-055488DC4594}"/>
    <cellStyle name="Percent 2 2 3 3 7" xfId="7767" xr:uid="{8A323A25-B557-4237-81C3-5316DA072302}"/>
    <cellStyle name="Percent 2 2 3 3 8" xfId="8084" xr:uid="{AAEE589A-F267-4423-A48F-AE854CD1D19D}"/>
    <cellStyle name="Percent 2 2 3 3 9" xfId="9221" xr:uid="{AED6AFDF-6BC4-472C-941C-E6DEDE525E83}"/>
    <cellStyle name="Percent 2 2 3 4" xfId="999" xr:uid="{5842451B-47B4-4219-9A5E-9885F79213E6}"/>
    <cellStyle name="Percent 2 2 3 4 10" xfId="10347" xr:uid="{E91FC14B-8B12-431D-B1EF-F967E31C2915}"/>
    <cellStyle name="Percent 2 2 3 4 11" xfId="12284" xr:uid="{01B3ED30-26B1-4D2D-B90A-4F444D7C9CB8}"/>
    <cellStyle name="Percent 2 2 3 4 12" xfId="14537" xr:uid="{4BC72DBC-6414-4262-A459-99F0973225F7}"/>
    <cellStyle name="Percent 2 2 3 4 13" xfId="16790" xr:uid="{EE11CF1D-5E14-4DFA-90E4-274019AEE40E}"/>
    <cellStyle name="Percent 2 2 3 4 2" xfId="2127" xr:uid="{8C754FD4-9230-4C39-9F07-FC9041D1D67C}"/>
    <cellStyle name="Percent 2 2 3 4 2 2" xfId="13411" xr:uid="{55595142-E078-45B2-A10F-432D7605DA9A}"/>
    <cellStyle name="Percent 2 2 3 4 2 3" xfId="15664" xr:uid="{28196B9E-3BD5-427A-96DC-10D106BA9F0E}"/>
    <cellStyle name="Percent 2 2 3 4 2 4" xfId="17917" xr:uid="{090082AD-B018-45A9-996B-9A81B2718738}"/>
    <cellStyle name="Percent 2 2 3 4 3" xfId="3253" xr:uid="{C5D5096D-71F9-496B-AA4A-0555EA5AB707}"/>
    <cellStyle name="Percent 2 2 3 4 4" xfId="4379" xr:uid="{3C311514-E3B8-4624-997E-E9B897C3E1D0}"/>
    <cellStyle name="Percent 2 2 3 4 5" xfId="5505" xr:uid="{23758706-AFB1-4142-B3AB-70C7B103AF46}"/>
    <cellStyle name="Percent 2 2 3 4 6" xfId="6632" xr:uid="{BED70C81-C382-4ECC-B715-7740E7C1872D}"/>
    <cellStyle name="Percent 2 2 3 4 7" xfId="7768" xr:uid="{9B8816F7-DED9-49EA-AC67-49E27FCE53B6}"/>
    <cellStyle name="Percent 2 2 3 4 8" xfId="8083" xr:uid="{D0866373-E99E-4025-B6A4-3BA54BFB3475}"/>
    <cellStyle name="Percent 2 2 3 4 9" xfId="9220" xr:uid="{F28AEBED-1A23-4A0E-BA83-B6BCB358B3DE}"/>
    <cellStyle name="Percent 2 2 3 5" xfId="2122" xr:uid="{1ED9728C-3B56-495A-87AD-A6EA8F2D5BA2}"/>
    <cellStyle name="Percent 2 2 3 5 2" xfId="13406" xr:uid="{7237D1BA-74DD-4EF7-A4AD-D96D614A6E06}"/>
    <cellStyle name="Percent 2 2 3 5 3" xfId="15659" xr:uid="{6AB68B5D-629D-4294-8115-16F568DC7E36}"/>
    <cellStyle name="Percent 2 2 3 5 4" xfId="17912" xr:uid="{AE8EBFCD-3DB4-4A18-AD66-A3D4C4EE9054}"/>
    <cellStyle name="Percent 2 2 3 6" xfId="3248" xr:uid="{96D97B75-2145-4B39-9AE1-FF6AA84BD7DB}"/>
    <cellStyle name="Percent 2 2 3 7" xfId="4374" xr:uid="{F9F7E67E-7014-4A32-A7D8-FA2F80BBE89F}"/>
    <cellStyle name="Percent 2 2 3 8" xfId="5500" xr:uid="{CC768462-B69B-4101-B000-FE50F505C0D7}"/>
    <cellStyle name="Percent 2 2 3 9" xfId="6627" xr:uid="{ED94619E-CDAC-455E-A995-3DDB59767163}"/>
    <cellStyle name="Percent 2 2 4" xfId="1000" xr:uid="{EB650036-68A7-4447-820E-CD7AC67349CF}"/>
    <cellStyle name="Percent 2 2 4 10" xfId="8082" xr:uid="{E2FEB782-86A2-4871-A9BC-5EA4665AE23B}"/>
    <cellStyle name="Percent 2 2 4 11" xfId="9219" xr:uid="{CC6623B9-E40C-453D-9E31-41A0AECA4FB3}"/>
    <cellStyle name="Percent 2 2 4 12" xfId="10346" xr:uid="{46BB36F9-9F86-46B8-9663-371D3BA47256}"/>
    <cellStyle name="Percent 2 2 4 13" xfId="12285" xr:uid="{DD9B0CC8-F38D-4EB7-8364-771E2C0ABD70}"/>
    <cellStyle name="Percent 2 2 4 14" xfId="14538" xr:uid="{D10055C9-13C3-4068-BB3D-044E844F76FD}"/>
    <cellStyle name="Percent 2 2 4 15" xfId="16791" xr:uid="{6011D665-5E68-4B50-833C-2F220228289E}"/>
    <cellStyle name="Percent 2 2 4 2" xfId="1001" xr:uid="{CFFAA7B5-E446-4CAA-918C-FFAF10AB89AF}"/>
    <cellStyle name="Percent 2 2 4 2 10" xfId="10345" xr:uid="{5F55D289-59E4-445D-B70F-7EECD1BC2360}"/>
    <cellStyle name="Percent 2 2 4 2 11" xfId="12286" xr:uid="{C83C8C94-D62B-467D-810D-36478589C0B3}"/>
    <cellStyle name="Percent 2 2 4 2 12" xfId="14539" xr:uid="{007B73C3-AEE7-4F0C-82F5-3ED1DD2B13D9}"/>
    <cellStyle name="Percent 2 2 4 2 13" xfId="16792" xr:uid="{EFF9CF40-BCAB-4F7A-B7EF-4E45B577D6AC}"/>
    <cellStyle name="Percent 2 2 4 2 2" xfId="2129" xr:uid="{1632A109-33DF-40C4-9894-7956F5BDC3B1}"/>
    <cellStyle name="Percent 2 2 4 2 2 2" xfId="13413" xr:uid="{526813DC-DD37-466C-A45E-D3721B267D31}"/>
    <cellStyle name="Percent 2 2 4 2 2 3" xfId="15666" xr:uid="{15E9D9D1-721E-42C3-AC98-F0AE7C0926BA}"/>
    <cellStyle name="Percent 2 2 4 2 2 4" xfId="17919" xr:uid="{76577284-D075-491E-B3AD-7E36DEFBFB7C}"/>
    <cellStyle name="Percent 2 2 4 2 3" xfId="3255" xr:uid="{D93D1BCD-A13E-4D34-81D4-B2275785B776}"/>
    <cellStyle name="Percent 2 2 4 2 4" xfId="4381" xr:uid="{F3722387-E965-4394-93AE-40CF1F80226A}"/>
    <cellStyle name="Percent 2 2 4 2 5" xfId="5507" xr:uid="{62A4D4B7-4850-45D5-82CC-3E44661B9B46}"/>
    <cellStyle name="Percent 2 2 4 2 6" xfId="6634" xr:uid="{04310353-B06A-4593-B26C-9662BC0CB036}"/>
    <cellStyle name="Percent 2 2 4 2 7" xfId="7770" xr:uid="{996364B4-91B5-4F17-BFCD-464A70F137C2}"/>
    <cellStyle name="Percent 2 2 4 2 8" xfId="8081" xr:uid="{032B03BA-A462-4155-9A20-D569879FF504}"/>
    <cellStyle name="Percent 2 2 4 2 9" xfId="9218" xr:uid="{2B17B560-9C31-4D4D-BF62-72239F0822C1}"/>
    <cellStyle name="Percent 2 2 4 3" xfId="1002" xr:uid="{DFC3DAE5-129E-4E21-8FFE-E6D12501303B}"/>
    <cellStyle name="Percent 2 2 4 3 10" xfId="10344" xr:uid="{705F7060-75D1-43E7-87E2-729537B9BD8B}"/>
    <cellStyle name="Percent 2 2 4 3 11" xfId="12287" xr:uid="{E10BD77C-14AE-4B26-A27F-A519F9A31443}"/>
    <cellStyle name="Percent 2 2 4 3 12" xfId="14540" xr:uid="{A091AB48-E1F6-4A25-8F63-8E64559A6C59}"/>
    <cellStyle name="Percent 2 2 4 3 13" xfId="16793" xr:uid="{47F68F7C-CF7F-45C3-AE0A-3FC45A5ABD7E}"/>
    <cellStyle name="Percent 2 2 4 3 2" xfId="2130" xr:uid="{A3E13DC8-5230-4187-9923-BBC801551906}"/>
    <cellStyle name="Percent 2 2 4 3 2 2" xfId="13414" xr:uid="{EE7B9152-2021-4001-A270-79176BF08867}"/>
    <cellStyle name="Percent 2 2 4 3 2 3" xfId="15667" xr:uid="{0F3B4962-932A-4CC0-B3EF-0678F069B9FE}"/>
    <cellStyle name="Percent 2 2 4 3 2 4" xfId="17920" xr:uid="{EF8E319B-5662-49F6-A76B-0CF557F249B6}"/>
    <cellStyle name="Percent 2 2 4 3 3" xfId="3256" xr:uid="{49BE382A-5856-45AA-A54C-F6E9F2AA1BA3}"/>
    <cellStyle name="Percent 2 2 4 3 4" xfId="4382" xr:uid="{BBA6308A-560A-4E78-8B4C-253E9B3B1C54}"/>
    <cellStyle name="Percent 2 2 4 3 5" xfId="5508" xr:uid="{6BD46853-9686-42F1-AFA8-D3CA170CF281}"/>
    <cellStyle name="Percent 2 2 4 3 6" xfId="6635" xr:uid="{55391C67-8372-488C-80AD-DB62332ADD0D}"/>
    <cellStyle name="Percent 2 2 4 3 7" xfId="7771" xr:uid="{5776BE94-A31F-403E-AC15-727DED5BBBA7}"/>
    <cellStyle name="Percent 2 2 4 3 8" xfId="8080" xr:uid="{4D03F7B5-E65E-424D-9E0D-241FE5E91534}"/>
    <cellStyle name="Percent 2 2 4 3 9" xfId="9217" xr:uid="{3B64982B-47F2-4F34-9303-3F72CE71A7F3}"/>
    <cellStyle name="Percent 2 2 4 4" xfId="2128" xr:uid="{E9F6E6C9-1865-48B6-9BEC-0642D4C2B4F6}"/>
    <cellStyle name="Percent 2 2 4 4 2" xfId="13412" xr:uid="{1F482EFF-1237-4EAA-8BBD-5FFE218B4D0E}"/>
    <cellStyle name="Percent 2 2 4 4 3" xfId="15665" xr:uid="{F58129B6-D972-4509-B90E-B896E637A97D}"/>
    <cellStyle name="Percent 2 2 4 4 4" xfId="17918" xr:uid="{EC3D150B-B761-40F7-89AD-FDED7F530024}"/>
    <cellStyle name="Percent 2 2 4 5" xfId="3254" xr:uid="{D183F879-D824-46CF-8F02-26D2928D0A64}"/>
    <cellStyle name="Percent 2 2 4 6" xfId="4380" xr:uid="{E9E78AB9-9A77-44CF-B412-229E4D479765}"/>
    <cellStyle name="Percent 2 2 4 7" xfId="5506" xr:uid="{2C44D33A-5B4E-4AE6-A7FF-63F27DA40B27}"/>
    <cellStyle name="Percent 2 2 4 8" xfId="6633" xr:uid="{06270103-A288-4098-9D55-06C213097092}"/>
    <cellStyle name="Percent 2 2 4 9" xfId="7769" xr:uid="{BE78DE81-D023-43C9-BD44-D4D6CBCA075A}"/>
    <cellStyle name="Percent 2 2 5" xfId="1003" xr:uid="{6E57DF25-48C4-4CF4-BBAE-46945E3AB6F5}"/>
    <cellStyle name="Percent 2 2 5 10" xfId="10343" xr:uid="{D9B11EDE-7504-46E9-8CD6-0A26D0C6E24C}"/>
    <cellStyle name="Percent 2 2 5 11" xfId="12288" xr:uid="{11977373-D2AE-4E43-80C9-0DDBC65F38BA}"/>
    <cellStyle name="Percent 2 2 5 12" xfId="14541" xr:uid="{063262DD-7DE0-4E89-93C3-7CCFC6CBD905}"/>
    <cellStyle name="Percent 2 2 5 13" xfId="16794" xr:uid="{5BB4D48A-8122-40E7-BE0A-ABA81BB1E1DD}"/>
    <cellStyle name="Percent 2 2 5 2" xfId="2131" xr:uid="{2D209F13-96C8-40FA-B4E8-58CCC69639F6}"/>
    <cellStyle name="Percent 2 2 5 2 2" xfId="13415" xr:uid="{30817AF1-6547-4C7A-86A9-25D31D298DA0}"/>
    <cellStyle name="Percent 2 2 5 2 3" xfId="15668" xr:uid="{1177A348-3CA8-4A56-A966-2EE77F714268}"/>
    <cellStyle name="Percent 2 2 5 2 4" xfId="17921" xr:uid="{15BD0868-98D5-47A4-9248-DA7DBC773FE5}"/>
    <cellStyle name="Percent 2 2 5 3" xfId="3257" xr:uid="{265E76E3-7963-413A-9458-063E4A4D5E6F}"/>
    <cellStyle name="Percent 2 2 5 4" xfId="4383" xr:uid="{8000A2E0-E22D-4358-8261-D2EDC32C0CAD}"/>
    <cellStyle name="Percent 2 2 5 5" xfId="5509" xr:uid="{7ED72592-7A15-4DCC-9195-4F8D7DC44443}"/>
    <cellStyle name="Percent 2 2 5 6" xfId="6636" xr:uid="{ED1599C6-972F-459B-B4C3-7BF87D1AA1FD}"/>
    <cellStyle name="Percent 2 2 5 7" xfId="7772" xr:uid="{DB3ED3BF-ED5E-44C1-AA4D-602450CA07E3}"/>
    <cellStyle name="Percent 2 2 5 8" xfId="8079" xr:uid="{B9C1B2DA-C5A3-4300-AFC4-C70C2640E665}"/>
    <cellStyle name="Percent 2 2 5 9" xfId="9216" xr:uid="{A25B8C2A-36E8-4FFA-A5DD-C660D23672A7}"/>
    <cellStyle name="Percent 2 2 6" xfId="1004" xr:uid="{56E27701-954F-4E63-8590-7E4E4633B277}"/>
    <cellStyle name="Percent 2 2 6 10" xfId="10342" xr:uid="{1B631932-90D3-41BC-B55D-4ECF554496D1}"/>
    <cellStyle name="Percent 2 2 6 11" xfId="12289" xr:uid="{14EEC67B-7A73-4B71-ADD9-F0F38A7C5FA2}"/>
    <cellStyle name="Percent 2 2 6 12" xfId="14542" xr:uid="{A119788E-6BFF-401C-9E5A-311D7994AD6D}"/>
    <cellStyle name="Percent 2 2 6 13" xfId="16795" xr:uid="{20E7CBF1-1C74-444A-ABEE-45CEB2858024}"/>
    <cellStyle name="Percent 2 2 6 2" xfId="2132" xr:uid="{EB16F2B4-B1BA-47E4-B4A5-C2A5EAAC93E7}"/>
    <cellStyle name="Percent 2 2 6 2 2" xfId="13416" xr:uid="{9178181A-3A58-4C0D-A03D-96E1F7FCD8AA}"/>
    <cellStyle name="Percent 2 2 6 2 3" xfId="15669" xr:uid="{3963329E-515F-45CF-8FAB-19E1524C34C0}"/>
    <cellStyle name="Percent 2 2 6 2 4" xfId="17922" xr:uid="{45487A79-5FF8-4078-AB26-D26AFA323801}"/>
    <cellStyle name="Percent 2 2 6 3" xfId="3258" xr:uid="{D88D88D1-0F67-4655-B7E7-0D6D12D83518}"/>
    <cellStyle name="Percent 2 2 6 4" xfId="4384" xr:uid="{2A8BAD76-6198-4974-B2A5-05BFB7ABFF24}"/>
    <cellStyle name="Percent 2 2 6 5" xfId="5510" xr:uid="{72AC2735-6513-44F2-99E2-52080AEF4384}"/>
    <cellStyle name="Percent 2 2 6 6" xfId="6637" xr:uid="{4E2AFD88-2B6A-4848-BB58-C5AA2409B7C6}"/>
    <cellStyle name="Percent 2 2 6 7" xfId="7773" xr:uid="{E03D6FAE-B8C7-47D9-B2C6-D78CAD273870}"/>
    <cellStyle name="Percent 2 2 6 8" xfId="8078" xr:uid="{BDD65754-B40C-4074-93C4-EDA0E231822D}"/>
    <cellStyle name="Percent 2 2 6 9" xfId="9215" xr:uid="{83FBCBA2-C21F-4D57-82CA-B0708411026A}"/>
    <cellStyle name="Percent 2 2 7" xfId="981" xr:uid="{45102999-AA50-46BE-9D32-87DF2340ECFA}"/>
    <cellStyle name="Percent 2 2 7 2" xfId="13393" xr:uid="{FD18B3CD-EB1C-4F30-BBD6-4DA7DE77D8A9}"/>
    <cellStyle name="Percent 2 2 7 3" xfId="15646" xr:uid="{6F27CB7B-013D-4A42-9077-97E0C3759969}"/>
    <cellStyle name="Percent 2 2 7 4" xfId="17899" xr:uid="{7E02068C-3BB6-4BEC-84EC-9EE215B82508}"/>
    <cellStyle name="Percent 2 2 8" xfId="2109" xr:uid="{596D0931-3F5C-4927-8641-DEEFE05D7951}"/>
    <cellStyle name="Percent 2 2 9" xfId="3235" xr:uid="{921A747D-2E7C-42EC-9085-03F0DB62B45F}"/>
    <cellStyle name="Percent 2 20" xfId="16771" xr:uid="{646D6FA0-623C-4C0F-9CBC-BF49B879151A}"/>
    <cellStyle name="Percent 2 3" xfId="1005" xr:uid="{124B80FC-F5C9-4214-AF16-4031188B55EC}"/>
    <cellStyle name="Percent 2 3 10" xfId="6638" xr:uid="{10A913A0-E819-4C2F-9781-4D82D644E2E8}"/>
    <cellStyle name="Percent 2 3 11" xfId="7774" xr:uid="{DFBD3A8B-85E5-4F3E-A8AC-488A40638655}"/>
    <cellStyle name="Percent 2 3 12" xfId="8077" xr:uid="{B5F6F718-E358-4F56-8FE2-DA2049499F1C}"/>
    <cellStyle name="Percent 2 3 13" xfId="9214" xr:uid="{EBAFF4FC-31D4-4B8D-905F-2CC067D66EE2}"/>
    <cellStyle name="Percent 2 3 14" xfId="10341" xr:uid="{01EEA52F-5559-442B-B8F9-800B5385C9FD}"/>
    <cellStyle name="Percent 2 3 15" xfId="12290" xr:uid="{7B15C9C4-498B-4EBF-83A6-19540C988A33}"/>
    <cellStyle name="Percent 2 3 16" xfId="14543" xr:uid="{426E1A87-22C7-4B3C-95D5-E5BD06ADC358}"/>
    <cellStyle name="Percent 2 3 17" xfId="16796" xr:uid="{BB887EE0-4EB3-4344-B075-AE4583B28097}"/>
    <cellStyle name="Percent 2 3 2" xfId="1006" xr:uid="{1277D2CF-9A07-4830-97AB-A78E8DB0E712}"/>
    <cellStyle name="Percent 2 3 2 10" xfId="7775" xr:uid="{6862CF16-77A1-4528-A4E5-E6E5069B823C}"/>
    <cellStyle name="Percent 2 3 2 11" xfId="8076" xr:uid="{958C12F2-0626-45EC-94DF-F804F57AC57B}"/>
    <cellStyle name="Percent 2 3 2 12" xfId="9213" xr:uid="{5365E7F9-EF68-412C-B09B-F04B7A363DE2}"/>
    <cellStyle name="Percent 2 3 2 13" xfId="10340" xr:uid="{8F2B8206-9823-4A23-9905-41000D4CCE56}"/>
    <cellStyle name="Percent 2 3 2 14" xfId="12291" xr:uid="{09B57D4F-A779-440E-9093-83D7859E83A8}"/>
    <cellStyle name="Percent 2 3 2 15" xfId="14544" xr:uid="{2B01E21F-D078-4C41-A416-FC1E515D2899}"/>
    <cellStyle name="Percent 2 3 2 16" xfId="16797" xr:uid="{5895E0BE-5221-4981-9ADB-088CCD749E51}"/>
    <cellStyle name="Percent 2 3 2 2" xfId="1007" xr:uid="{1C4E6BF0-873F-49F7-A6C2-C92B0C6EAE72}"/>
    <cellStyle name="Percent 2 3 2 2 10" xfId="8075" xr:uid="{50A4ECC8-8BE2-49AF-B8B5-4BF58D0471C3}"/>
    <cellStyle name="Percent 2 3 2 2 11" xfId="9212" xr:uid="{C3F68C73-8C2A-41A9-BAC1-650D2746B9BC}"/>
    <cellStyle name="Percent 2 3 2 2 12" xfId="10339" xr:uid="{0C508030-1F83-469F-A14E-C0C794A62FA8}"/>
    <cellStyle name="Percent 2 3 2 2 13" xfId="12292" xr:uid="{E681EDAC-CAB8-4BAD-AFEB-C2E34C55CF1B}"/>
    <cellStyle name="Percent 2 3 2 2 14" xfId="14545" xr:uid="{D2BC2BD7-CCEA-4287-98F4-91F8C0113E39}"/>
    <cellStyle name="Percent 2 3 2 2 15" xfId="16798" xr:uid="{09513C68-181D-430A-959C-A68F522A44E7}"/>
    <cellStyle name="Percent 2 3 2 2 2" xfId="1008" xr:uid="{61C8B6EB-2DAE-4063-A40C-B79726897497}"/>
    <cellStyle name="Percent 2 3 2 2 2 10" xfId="10338" xr:uid="{C456B724-0E80-4745-B882-660D9266AF78}"/>
    <cellStyle name="Percent 2 3 2 2 2 11" xfId="12293" xr:uid="{D2D48A61-B681-4653-8518-3681A147E665}"/>
    <cellStyle name="Percent 2 3 2 2 2 12" xfId="14546" xr:uid="{F2F53130-620E-423C-BB66-91B651DDFCDF}"/>
    <cellStyle name="Percent 2 3 2 2 2 13" xfId="16799" xr:uid="{EC32CE22-96DE-46EA-B526-47A688C6EE5C}"/>
    <cellStyle name="Percent 2 3 2 2 2 2" xfId="2136" xr:uid="{D2C3C622-A4B1-4B4F-887D-935A40B38A33}"/>
    <cellStyle name="Percent 2 3 2 2 2 2 2" xfId="13420" xr:uid="{63F25F6B-8DBA-4FDF-A731-E05A4B6B62B8}"/>
    <cellStyle name="Percent 2 3 2 2 2 2 3" xfId="15673" xr:uid="{94682204-A73F-4CA5-B846-C4F08937C2CC}"/>
    <cellStyle name="Percent 2 3 2 2 2 2 4" xfId="17926" xr:uid="{D6249CFD-8595-424C-BD19-5E6A17680C26}"/>
    <cellStyle name="Percent 2 3 2 2 2 3" xfId="3262" xr:uid="{CD87F78C-867C-4119-8DC3-B497204021CE}"/>
    <cellStyle name="Percent 2 3 2 2 2 4" xfId="4388" xr:uid="{F01F4874-3033-481A-93B2-CD98C0B0D0F8}"/>
    <cellStyle name="Percent 2 3 2 2 2 5" xfId="5514" xr:uid="{12C82312-7B15-4FB5-B56F-8FE9CFEF2142}"/>
    <cellStyle name="Percent 2 3 2 2 2 6" xfId="6641" xr:uid="{3CF2E8DE-4909-4B1D-8E63-4D2A5ED11514}"/>
    <cellStyle name="Percent 2 3 2 2 2 7" xfId="7777" xr:uid="{36EC3981-FB56-462C-AAB3-74B364963515}"/>
    <cellStyle name="Percent 2 3 2 2 2 8" xfId="8074" xr:uid="{32F7E863-FBCA-4957-8C17-A5826930A638}"/>
    <cellStyle name="Percent 2 3 2 2 2 9" xfId="9211" xr:uid="{BED872CE-3F7A-4D1A-9B4A-8F132E1DFCF9}"/>
    <cellStyle name="Percent 2 3 2 2 3" xfId="1009" xr:uid="{07ED9075-0BBE-4798-B680-9BBA185197A8}"/>
    <cellStyle name="Percent 2 3 2 2 3 10" xfId="10337" xr:uid="{54E191A6-BA13-4D23-88B7-C8E3BDA48FA2}"/>
    <cellStyle name="Percent 2 3 2 2 3 11" xfId="12294" xr:uid="{2B8324AB-DF11-4B16-83B1-C7B065157949}"/>
    <cellStyle name="Percent 2 3 2 2 3 12" xfId="14547" xr:uid="{57D0F3A8-AEDA-40EE-8107-A00F4597A271}"/>
    <cellStyle name="Percent 2 3 2 2 3 13" xfId="16800" xr:uid="{1240AB8B-3395-45E0-BB42-4E46849A73EC}"/>
    <cellStyle name="Percent 2 3 2 2 3 2" xfId="2137" xr:uid="{8563FBE0-F83D-4C27-A990-C5C266082595}"/>
    <cellStyle name="Percent 2 3 2 2 3 2 2" xfId="13421" xr:uid="{7AA41654-C741-4E33-8384-C04BA1FC5204}"/>
    <cellStyle name="Percent 2 3 2 2 3 2 3" xfId="15674" xr:uid="{D3BD91E8-D58E-4C32-8D43-664E9699E9E6}"/>
    <cellStyle name="Percent 2 3 2 2 3 2 4" xfId="17927" xr:uid="{EE906B18-94A4-4E02-97C3-ABACDDADFD23}"/>
    <cellStyle name="Percent 2 3 2 2 3 3" xfId="3263" xr:uid="{0F75AB34-8FB7-4713-A23D-950AEE7E3F44}"/>
    <cellStyle name="Percent 2 3 2 2 3 4" xfId="4389" xr:uid="{E0519E46-F032-4B0A-88DC-F4143B75D344}"/>
    <cellStyle name="Percent 2 3 2 2 3 5" xfId="5515" xr:uid="{AC44BD27-86D7-4548-B92A-3559C3E5E63B}"/>
    <cellStyle name="Percent 2 3 2 2 3 6" xfId="6642" xr:uid="{476FA362-CA0F-435A-8418-FE868BF419B1}"/>
    <cellStyle name="Percent 2 3 2 2 3 7" xfId="7778" xr:uid="{3AA41244-88FD-4453-BB80-0CC25208F1C2}"/>
    <cellStyle name="Percent 2 3 2 2 3 8" xfId="8073" xr:uid="{E8FF8C1D-9F69-40E2-B835-8BD3C5AC0B84}"/>
    <cellStyle name="Percent 2 3 2 2 3 9" xfId="9210" xr:uid="{3C9ACA4A-9143-4499-A582-145674D2CBE1}"/>
    <cellStyle name="Percent 2 3 2 2 4" xfId="2135" xr:uid="{72F4DB8A-B0BD-468F-85D3-A80FB57634E0}"/>
    <cellStyle name="Percent 2 3 2 2 4 2" xfId="13419" xr:uid="{98C39602-FABA-4FE6-A48A-1BFABE2BBD96}"/>
    <cellStyle name="Percent 2 3 2 2 4 3" xfId="15672" xr:uid="{81E1140B-6B53-48B5-A63A-00004CC52298}"/>
    <cellStyle name="Percent 2 3 2 2 4 4" xfId="17925" xr:uid="{54672FA1-DCD3-4D2C-AC69-C5420D08E211}"/>
    <cellStyle name="Percent 2 3 2 2 5" xfId="3261" xr:uid="{F68D0D2B-DE6A-45B7-82ED-75A739CF19DA}"/>
    <cellStyle name="Percent 2 3 2 2 6" xfId="4387" xr:uid="{06889FCA-9454-4CD9-A578-E9B126EB4F10}"/>
    <cellStyle name="Percent 2 3 2 2 7" xfId="5513" xr:uid="{0CA37520-553E-47DD-82A5-AD3BE088AC1E}"/>
    <cellStyle name="Percent 2 3 2 2 8" xfId="6640" xr:uid="{0778E93C-CD77-4E48-A1FC-C42B659FFEB1}"/>
    <cellStyle name="Percent 2 3 2 2 9" xfId="7776" xr:uid="{5CFD7F39-6A86-4CA9-B323-41316D659682}"/>
    <cellStyle name="Percent 2 3 2 3" xfId="1010" xr:uid="{1520C758-4D3F-4687-9044-722DBC0AC0B6}"/>
    <cellStyle name="Percent 2 3 2 3 10" xfId="10336" xr:uid="{FF42EE4C-257D-43B7-81D3-95EBACC6C401}"/>
    <cellStyle name="Percent 2 3 2 3 11" xfId="12295" xr:uid="{61A2E5BC-6AEA-43E3-9EFD-E13BD3F7C4AE}"/>
    <cellStyle name="Percent 2 3 2 3 12" xfId="14548" xr:uid="{AF9557D7-CD92-4550-A1DB-89F3398B313D}"/>
    <cellStyle name="Percent 2 3 2 3 13" xfId="16801" xr:uid="{4BA1B2A7-C82B-40E5-BD8C-C72BD9CD8AB9}"/>
    <cellStyle name="Percent 2 3 2 3 2" xfId="2138" xr:uid="{902AB482-08C9-4CAA-B5D1-8571597F7F7A}"/>
    <cellStyle name="Percent 2 3 2 3 2 2" xfId="13422" xr:uid="{FA754518-AE7D-4BF0-A143-6D7ACE8EF9C4}"/>
    <cellStyle name="Percent 2 3 2 3 2 3" xfId="15675" xr:uid="{61C79D0E-2D0C-4DDE-B83D-ACEE26AC575A}"/>
    <cellStyle name="Percent 2 3 2 3 2 4" xfId="17928" xr:uid="{37F96C5F-1F4C-475D-BB5A-45A7E083FCF1}"/>
    <cellStyle name="Percent 2 3 2 3 3" xfId="3264" xr:uid="{42139A67-A69B-4E96-8FBC-A6A78237E5FD}"/>
    <cellStyle name="Percent 2 3 2 3 4" xfId="4390" xr:uid="{05115367-F91C-49AC-B64B-1C1BC4C11FB4}"/>
    <cellStyle name="Percent 2 3 2 3 5" xfId="5516" xr:uid="{0C5363B4-A106-4720-9DDE-1C1D317A8FC9}"/>
    <cellStyle name="Percent 2 3 2 3 6" xfId="6643" xr:uid="{4E8A98AD-480B-4671-8D48-8978F9919D81}"/>
    <cellStyle name="Percent 2 3 2 3 7" xfId="7779" xr:uid="{1F5B3123-8735-469C-A67B-67F51455A3B3}"/>
    <cellStyle name="Percent 2 3 2 3 8" xfId="8072" xr:uid="{0257DC6A-F333-4C8C-84A7-11CB4AB8FCA4}"/>
    <cellStyle name="Percent 2 3 2 3 9" xfId="9209" xr:uid="{8241C834-AE5D-444F-A06E-27C69E19F9A0}"/>
    <cellStyle name="Percent 2 3 2 4" xfId="1011" xr:uid="{33FF7ED4-ED83-4129-9641-64A4B2EA1F34}"/>
    <cellStyle name="Percent 2 3 2 4 10" xfId="10335" xr:uid="{86B1450D-17BE-442B-ACB2-4BB17965E3A2}"/>
    <cellStyle name="Percent 2 3 2 4 11" xfId="12296" xr:uid="{51053884-AB83-45E6-AFA4-AB8D42BCAE28}"/>
    <cellStyle name="Percent 2 3 2 4 12" xfId="14549" xr:uid="{9C9AD7BF-F54A-4108-A744-667FA6AE9042}"/>
    <cellStyle name="Percent 2 3 2 4 13" xfId="16802" xr:uid="{D7DB10A3-69CA-4912-8790-8C72767AB181}"/>
    <cellStyle name="Percent 2 3 2 4 2" xfId="2139" xr:uid="{843F409D-A070-4FE4-A951-35DEFD7FAE0B}"/>
    <cellStyle name="Percent 2 3 2 4 2 2" xfId="13423" xr:uid="{B2EB1E12-951C-4D0D-8FEC-1F1274F63D5E}"/>
    <cellStyle name="Percent 2 3 2 4 2 3" xfId="15676" xr:uid="{5F5F083F-3E59-4F8F-B930-FEC966B16FEE}"/>
    <cellStyle name="Percent 2 3 2 4 2 4" xfId="17929" xr:uid="{84826419-D73C-4889-86CC-D38B43E19AE1}"/>
    <cellStyle name="Percent 2 3 2 4 3" xfId="3265" xr:uid="{1FF71D92-A109-4ED4-B0F5-7C04BEEEA8CC}"/>
    <cellStyle name="Percent 2 3 2 4 4" xfId="4391" xr:uid="{CBB83825-AE78-40BE-B90F-0F8A042A3A88}"/>
    <cellStyle name="Percent 2 3 2 4 5" xfId="5517" xr:uid="{F0F18DB2-B15F-45F3-ACA7-DF7F2C816BBB}"/>
    <cellStyle name="Percent 2 3 2 4 6" xfId="6644" xr:uid="{DE4AB20C-F354-4CB6-8115-791AF453C013}"/>
    <cellStyle name="Percent 2 3 2 4 7" xfId="7780" xr:uid="{C1286AF2-8610-4729-BF7E-863140A26DB5}"/>
    <cellStyle name="Percent 2 3 2 4 8" xfId="8071" xr:uid="{D30D2169-A2D8-4A6B-A13B-741FF4289A2F}"/>
    <cellStyle name="Percent 2 3 2 4 9" xfId="9208" xr:uid="{F554DA45-7AC2-4930-9254-139B814719EF}"/>
    <cellStyle name="Percent 2 3 2 5" xfId="2134" xr:uid="{1CC1BF86-3B21-4D31-B7D8-70862ECE0E68}"/>
    <cellStyle name="Percent 2 3 2 5 2" xfId="13418" xr:uid="{0DEBCEF1-70E8-49CB-AB5C-E73F9EACCE7B}"/>
    <cellStyle name="Percent 2 3 2 5 3" xfId="15671" xr:uid="{DC450D14-3E74-437D-B700-A78BBBF20CAD}"/>
    <cellStyle name="Percent 2 3 2 5 4" xfId="17924" xr:uid="{92D92BAA-A742-475A-8254-F737E3640963}"/>
    <cellStyle name="Percent 2 3 2 6" xfId="3260" xr:uid="{EE0B9B82-843E-4A79-9736-3F0374DFC23F}"/>
    <cellStyle name="Percent 2 3 2 7" xfId="4386" xr:uid="{21CBB6A9-1466-45F6-A72A-69A284D715C2}"/>
    <cellStyle name="Percent 2 3 2 8" xfId="5512" xr:uid="{EFC14BEC-84F0-43C5-AE17-68EBF710E358}"/>
    <cellStyle name="Percent 2 3 2 9" xfId="6639" xr:uid="{A9D778AD-D930-4CA5-9CCD-6BAC4DE6C4C7}"/>
    <cellStyle name="Percent 2 3 3" xfId="1012" xr:uid="{2EACBE0D-DF48-45AF-AB05-955F4D7CB2C7}"/>
    <cellStyle name="Percent 2 3 3 10" xfId="8070" xr:uid="{864E3204-9641-460D-A377-23A77053F8E9}"/>
    <cellStyle name="Percent 2 3 3 11" xfId="9207" xr:uid="{6B4AB920-83AA-4B6B-BFD0-0EC716634355}"/>
    <cellStyle name="Percent 2 3 3 12" xfId="10334" xr:uid="{C01E3AEF-D0DC-4B94-A4EA-7BAC2A94067A}"/>
    <cellStyle name="Percent 2 3 3 13" xfId="12297" xr:uid="{5841614A-9650-4650-BED1-C8CD0A84B2B6}"/>
    <cellStyle name="Percent 2 3 3 14" xfId="14550" xr:uid="{77FBA56F-6C70-43C9-82F3-6FCE6092375A}"/>
    <cellStyle name="Percent 2 3 3 15" xfId="16803" xr:uid="{E5FB193C-8B4F-43A3-85BD-C7209FCEF4A9}"/>
    <cellStyle name="Percent 2 3 3 2" xfId="1013" xr:uid="{E1FA89EC-5A65-4C05-B598-2B474D4FAA6E}"/>
    <cellStyle name="Percent 2 3 3 2 10" xfId="10333" xr:uid="{4BBE1681-8137-412F-8043-62BAEB265F78}"/>
    <cellStyle name="Percent 2 3 3 2 11" xfId="12298" xr:uid="{4D5065DD-E669-4001-A16F-677CA12ACE8A}"/>
    <cellStyle name="Percent 2 3 3 2 12" xfId="14551" xr:uid="{FBFDA962-86E2-4A60-A43C-0CE12F20BBA0}"/>
    <cellStyle name="Percent 2 3 3 2 13" xfId="16804" xr:uid="{481540C3-A006-4BD3-AF69-B3A6D9F8001A}"/>
    <cellStyle name="Percent 2 3 3 2 2" xfId="2141" xr:uid="{361910F6-A72C-408D-9341-2EEDD4F48408}"/>
    <cellStyle name="Percent 2 3 3 2 2 2" xfId="13425" xr:uid="{F8AC3681-9054-4A94-B23A-C9F4868AD8E0}"/>
    <cellStyle name="Percent 2 3 3 2 2 3" xfId="15678" xr:uid="{E386C486-A5DF-4B1C-85D0-4401C99A8DDB}"/>
    <cellStyle name="Percent 2 3 3 2 2 4" xfId="17931" xr:uid="{A0727BE0-F814-4CC9-9627-A6A8FDC6F927}"/>
    <cellStyle name="Percent 2 3 3 2 3" xfId="3267" xr:uid="{A4188BC6-1A22-41AD-970E-BDC96D6A1456}"/>
    <cellStyle name="Percent 2 3 3 2 4" xfId="4393" xr:uid="{B090EE85-4031-4B4F-B4A2-1AAB87EE43A3}"/>
    <cellStyle name="Percent 2 3 3 2 5" xfId="5519" xr:uid="{52A2E2F9-C97C-422E-8F17-58033AE04708}"/>
    <cellStyle name="Percent 2 3 3 2 6" xfId="6646" xr:uid="{0083DAFD-24C6-4786-9CA1-0224266BB4D1}"/>
    <cellStyle name="Percent 2 3 3 2 7" xfId="7782" xr:uid="{4304F853-89D1-4BD2-B081-0C8AD421D4E9}"/>
    <cellStyle name="Percent 2 3 3 2 8" xfId="8069" xr:uid="{98FAB967-09A8-4B60-8BC9-0EDBF7E11920}"/>
    <cellStyle name="Percent 2 3 3 2 9" xfId="9206" xr:uid="{36AFDE9D-CAA7-4508-A194-9CD5AFD9272D}"/>
    <cellStyle name="Percent 2 3 3 3" xfId="1014" xr:uid="{C8D78F46-0475-4F06-8EFB-D8665467C6AD}"/>
    <cellStyle name="Percent 2 3 3 3 10" xfId="10332" xr:uid="{0A446256-FC9C-4D9A-98D3-8F58AA2E2140}"/>
    <cellStyle name="Percent 2 3 3 3 11" xfId="12299" xr:uid="{BD45F07D-1EC0-42FA-8C0A-CAE304D88EB2}"/>
    <cellStyle name="Percent 2 3 3 3 12" xfId="14552" xr:uid="{6092E7C2-2C6E-45B2-9617-359E7B015BEF}"/>
    <cellStyle name="Percent 2 3 3 3 13" xfId="16805" xr:uid="{1B5A9849-DDE5-41AF-B265-7D28859EC78F}"/>
    <cellStyle name="Percent 2 3 3 3 2" xfId="2142" xr:uid="{49E184A8-D981-4D87-9EC2-3DF5046BC0EC}"/>
    <cellStyle name="Percent 2 3 3 3 2 2" xfId="13426" xr:uid="{2D049D7F-B4E2-4EDA-8954-53CA15499A8B}"/>
    <cellStyle name="Percent 2 3 3 3 2 3" xfId="15679" xr:uid="{924898FC-449A-4555-BFEE-B6AFD42AE842}"/>
    <cellStyle name="Percent 2 3 3 3 2 4" xfId="17932" xr:uid="{18662560-6403-47BA-BA62-9AC7D7B476C1}"/>
    <cellStyle name="Percent 2 3 3 3 3" xfId="3268" xr:uid="{B9F81D54-AE79-4213-B470-C2C75AB12F33}"/>
    <cellStyle name="Percent 2 3 3 3 4" xfId="4394" xr:uid="{56B2E650-E4C5-4220-83A4-1E2BC36976E1}"/>
    <cellStyle name="Percent 2 3 3 3 5" xfId="5520" xr:uid="{FD24C5C1-7802-4CE0-A978-B452D48920E9}"/>
    <cellStyle name="Percent 2 3 3 3 6" xfId="6647" xr:uid="{37AAF2FF-C6D8-4405-A7F1-ECB3B4309F11}"/>
    <cellStyle name="Percent 2 3 3 3 7" xfId="7783" xr:uid="{E2B6EA63-98E1-476F-8DAE-AC23E676FA64}"/>
    <cellStyle name="Percent 2 3 3 3 8" xfId="8068" xr:uid="{31183DBA-9B46-4204-B57E-1DFA1254A16C}"/>
    <cellStyle name="Percent 2 3 3 3 9" xfId="9205" xr:uid="{D66880E3-B0DA-401C-8D25-965050E7F24C}"/>
    <cellStyle name="Percent 2 3 3 4" xfId="2140" xr:uid="{30060F17-AFF8-4BAF-ACD1-183EE4F5B283}"/>
    <cellStyle name="Percent 2 3 3 4 2" xfId="13424" xr:uid="{42A333F1-8ACF-4F93-B6A7-C89CF8865FC9}"/>
    <cellStyle name="Percent 2 3 3 4 3" xfId="15677" xr:uid="{C02D0580-3913-4417-82B0-0AAA84883715}"/>
    <cellStyle name="Percent 2 3 3 4 4" xfId="17930" xr:uid="{A10F17F5-150A-4F2D-ADC0-83F0AEEED68B}"/>
    <cellStyle name="Percent 2 3 3 5" xfId="3266" xr:uid="{69F256C4-9B7A-47CA-8CFC-85CC093C26AC}"/>
    <cellStyle name="Percent 2 3 3 6" xfId="4392" xr:uid="{77791923-5DA4-4329-A371-EB79A737AFC6}"/>
    <cellStyle name="Percent 2 3 3 7" xfId="5518" xr:uid="{2575380A-E9D2-424D-995D-CAB20ADC0F02}"/>
    <cellStyle name="Percent 2 3 3 8" xfId="6645" xr:uid="{5DA324AA-DE74-455B-A4C5-D56653D71981}"/>
    <cellStyle name="Percent 2 3 3 9" xfId="7781" xr:uid="{B9FFC3B8-8BE5-4196-A765-2C580A89A4C9}"/>
    <cellStyle name="Percent 2 3 4" xfId="1015" xr:uid="{FBC0D44A-28C3-401D-AAB0-795D6A04BE99}"/>
    <cellStyle name="Percent 2 3 4 10" xfId="10331" xr:uid="{8570B585-7F0D-4FFA-8E3F-546C3E4D98CE}"/>
    <cellStyle name="Percent 2 3 4 11" xfId="12300" xr:uid="{419E7DA8-EFAB-4D80-B747-5D61951A9B79}"/>
    <cellStyle name="Percent 2 3 4 12" xfId="14553" xr:uid="{B7BFDDDD-564E-48E2-BBC1-BF8C6C3D5C8F}"/>
    <cellStyle name="Percent 2 3 4 13" xfId="16806" xr:uid="{9B7101B5-7E03-45C3-966F-E4FB8B5E023D}"/>
    <cellStyle name="Percent 2 3 4 2" xfId="2143" xr:uid="{3B26CE87-161C-46E2-B0A3-B438E682BD13}"/>
    <cellStyle name="Percent 2 3 4 2 2" xfId="13427" xr:uid="{9FF49C32-9B7D-420D-92C0-CCF843DF3CE1}"/>
    <cellStyle name="Percent 2 3 4 2 3" xfId="15680" xr:uid="{954B3D26-DE37-4E13-BD98-16AC481AAFEA}"/>
    <cellStyle name="Percent 2 3 4 2 4" xfId="17933" xr:uid="{2FED6DC8-2EDF-4DB8-9D2E-C6C9649E81EC}"/>
    <cellStyle name="Percent 2 3 4 3" xfId="3269" xr:uid="{0BD1BA4D-EE74-43CD-9EBE-9B97AEAF98E3}"/>
    <cellStyle name="Percent 2 3 4 4" xfId="4395" xr:uid="{AECCEE04-46E7-460B-9F5F-44EF27D7F957}"/>
    <cellStyle name="Percent 2 3 4 5" xfId="5521" xr:uid="{CEB1C898-C7BC-42A9-A986-80814F09D980}"/>
    <cellStyle name="Percent 2 3 4 6" xfId="6648" xr:uid="{45359CCC-3C03-49BA-9894-4591D8534D53}"/>
    <cellStyle name="Percent 2 3 4 7" xfId="7784" xr:uid="{9654EBC1-11C3-42DE-B851-F1283F336BFD}"/>
    <cellStyle name="Percent 2 3 4 8" xfId="8067" xr:uid="{28C09EF4-F680-49FD-B0A7-5A96F0E5C05D}"/>
    <cellStyle name="Percent 2 3 4 9" xfId="9204" xr:uid="{CCB011FB-00D7-474F-8FE9-E9A5A976A72D}"/>
    <cellStyle name="Percent 2 3 5" xfId="1016" xr:uid="{CEC62938-C0F8-42C2-9CBE-D1C40F3D19D1}"/>
    <cellStyle name="Percent 2 3 5 10" xfId="10330" xr:uid="{8966D3E9-67E4-4CCE-9E85-CBAAFBA0CD91}"/>
    <cellStyle name="Percent 2 3 5 11" xfId="12301" xr:uid="{0E8BF137-F18F-4E6D-812F-3210DAE8543A}"/>
    <cellStyle name="Percent 2 3 5 12" xfId="14554" xr:uid="{0F76DDDC-770A-4E8A-90B3-DB71E8B3F9A7}"/>
    <cellStyle name="Percent 2 3 5 13" xfId="16807" xr:uid="{25BAAABD-8A03-4BBF-8670-8CA150DBF80D}"/>
    <cellStyle name="Percent 2 3 5 2" xfId="2144" xr:uid="{7B574D23-3E23-4B42-9764-3041E976AC2C}"/>
    <cellStyle name="Percent 2 3 5 2 2" xfId="13428" xr:uid="{60520702-5B17-4BC7-8A82-B027E97C7A49}"/>
    <cellStyle name="Percent 2 3 5 2 3" xfId="15681" xr:uid="{AC0250FC-94CC-4C54-A8A4-68816D709332}"/>
    <cellStyle name="Percent 2 3 5 2 4" xfId="17934" xr:uid="{71AEF3A5-FE8F-4082-BB2C-BD598AADCE46}"/>
    <cellStyle name="Percent 2 3 5 3" xfId="3270" xr:uid="{492FE6EA-1D6F-4BF1-B20F-315884B1DC44}"/>
    <cellStyle name="Percent 2 3 5 4" xfId="4396" xr:uid="{B93B8148-22C0-474D-993E-83CD3A97AC1D}"/>
    <cellStyle name="Percent 2 3 5 5" xfId="5522" xr:uid="{F33E6A38-3772-451E-865C-3C7C153D832F}"/>
    <cellStyle name="Percent 2 3 5 6" xfId="6649" xr:uid="{5D88BB5C-22B6-40CC-9DAC-9B0E66864323}"/>
    <cellStyle name="Percent 2 3 5 7" xfId="7785" xr:uid="{1F42EB14-AADC-40D9-8BFA-0B6FB3FBF6A8}"/>
    <cellStyle name="Percent 2 3 5 8" xfId="8066" xr:uid="{92642B1A-6604-4C5B-9123-ECDF01E0410C}"/>
    <cellStyle name="Percent 2 3 5 9" xfId="9203" xr:uid="{31D1F3A7-B9A3-4522-83F6-CDDE982E59A0}"/>
    <cellStyle name="Percent 2 3 6" xfId="2133" xr:uid="{1CE60F15-79B6-4D46-BB94-669E51CB430E}"/>
    <cellStyle name="Percent 2 3 6 2" xfId="13417" xr:uid="{BDB0DD4F-928C-4DDA-BE3C-DA4FD107261C}"/>
    <cellStyle name="Percent 2 3 6 3" xfId="15670" xr:uid="{402D58CE-D679-4417-8364-880E396BEDB8}"/>
    <cellStyle name="Percent 2 3 6 4" xfId="17923" xr:uid="{32240B0A-968F-4688-B309-8D5EA4A9BFB9}"/>
    <cellStyle name="Percent 2 3 7" xfId="3259" xr:uid="{4DCBA7D1-2DEB-4D60-A0FE-5EB0D6AB071E}"/>
    <cellStyle name="Percent 2 3 8" xfId="4385" xr:uid="{C4FF8C3B-DFF8-428D-88F0-9043BFC7DA3D}"/>
    <cellStyle name="Percent 2 3 9" xfId="5511" xr:uid="{C5147C72-213C-4BEA-8185-EC9AFCB5AD37}"/>
    <cellStyle name="Percent 2 4" xfId="1017" xr:uid="{D1BBD645-61F2-4790-B744-6C6BDD515222}"/>
    <cellStyle name="Percent 2 4 10" xfId="7786" xr:uid="{279C5B22-6C35-4683-99D7-DD2CD19DE09B}"/>
    <cellStyle name="Percent 2 4 11" xfId="8065" xr:uid="{13AB97DD-E2C9-4E7E-B965-635B8ADB49A4}"/>
    <cellStyle name="Percent 2 4 12" xfId="9202" xr:uid="{C4A896C3-0413-4A6C-8E51-CC9348DCC2E3}"/>
    <cellStyle name="Percent 2 4 13" xfId="10329" xr:uid="{B69F8607-1982-4978-B9D4-19E21D272554}"/>
    <cellStyle name="Percent 2 4 14" xfId="12302" xr:uid="{96245130-67C3-41B9-A406-2815DFA83A3E}"/>
    <cellStyle name="Percent 2 4 15" xfId="14555" xr:uid="{6D8512A2-A67F-4A60-8249-CBEEAA2CEAA5}"/>
    <cellStyle name="Percent 2 4 16" xfId="16808" xr:uid="{E213F86E-C086-4BE3-A05F-980F7D25B662}"/>
    <cellStyle name="Percent 2 4 2" xfId="1018" xr:uid="{E941070F-C3DA-42CF-BC64-8528C705AD3F}"/>
    <cellStyle name="Percent 2 4 2 10" xfId="8064" xr:uid="{CE71989D-6328-461D-8827-1A6F61EB380A}"/>
    <cellStyle name="Percent 2 4 2 11" xfId="9201" xr:uid="{58C3DBBE-9B11-4583-AD99-0A1BFB9480F6}"/>
    <cellStyle name="Percent 2 4 2 12" xfId="10328" xr:uid="{67E0AF0C-4F68-4771-BE26-AE75C6BB8195}"/>
    <cellStyle name="Percent 2 4 2 13" xfId="12303" xr:uid="{10B24375-4B7E-4F26-8687-69C277646FE8}"/>
    <cellStyle name="Percent 2 4 2 14" xfId="14556" xr:uid="{105B2780-28ED-43D4-9CC6-AF076A783A03}"/>
    <cellStyle name="Percent 2 4 2 15" xfId="16809" xr:uid="{4E723E77-92A7-4492-B103-0DFCE2CD9056}"/>
    <cellStyle name="Percent 2 4 2 2" xfId="1019" xr:uid="{013D159A-56D6-4745-A717-321C78FCD703}"/>
    <cellStyle name="Percent 2 4 2 2 10" xfId="10327" xr:uid="{4443A045-6BB6-4903-BE8D-CC9EF73C8673}"/>
    <cellStyle name="Percent 2 4 2 2 11" xfId="12304" xr:uid="{9A0B98CC-96CF-42CA-A50B-C829FFDA2BE2}"/>
    <cellStyle name="Percent 2 4 2 2 12" xfId="14557" xr:uid="{5FA30105-4482-479C-AA20-CD2B840CDCC7}"/>
    <cellStyle name="Percent 2 4 2 2 13" xfId="16810" xr:uid="{4979BFE4-196E-4A0B-BAE5-1CCB3DB864A7}"/>
    <cellStyle name="Percent 2 4 2 2 2" xfId="2147" xr:uid="{36D28697-17BE-4376-8D73-7058D7835EDC}"/>
    <cellStyle name="Percent 2 4 2 2 2 2" xfId="13431" xr:uid="{16BF8D4A-B86B-4EF3-9F8C-6A2E7910620C}"/>
    <cellStyle name="Percent 2 4 2 2 2 3" xfId="15684" xr:uid="{C39B6D5B-165F-4C9A-A01E-4294638DF43D}"/>
    <cellStyle name="Percent 2 4 2 2 2 4" xfId="17937" xr:uid="{181A07C4-FC8E-4551-8D2C-607E96DD1A85}"/>
    <cellStyle name="Percent 2 4 2 2 3" xfId="3273" xr:uid="{64579B48-D5BB-475E-A57F-8AD8138FECCD}"/>
    <cellStyle name="Percent 2 4 2 2 4" xfId="4399" xr:uid="{4FBCDEFD-6796-4DF4-8D7A-2496F007904D}"/>
    <cellStyle name="Percent 2 4 2 2 5" xfId="5525" xr:uid="{A7F4C072-2690-4354-B151-07884B3448DB}"/>
    <cellStyle name="Percent 2 4 2 2 6" xfId="6652" xr:uid="{5739FBCB-AE76-4649-A7F2-3BCF473CC677}"/>
    <cellStyle name="Percent 2 4 2 2 7" xfId="7788" xr:uid="{AF70A8FF-DC6D-4997-9163-B49A01632833}"/>
    <cellStyle name="Percent 2 4 2 2 8" xfId="8063" xr:uid="{CA832963-CD78-4583-A554-A886AE25E398}"/>
    <cellStyle name="Percent 2 4 2 2 9" xfId="9200" xr:uid="{2B0C981D-4344-4F16-9619-CD9B1714F606}"/>
    <cellStyle name="Percent 2 4 2 3" xfId="1020" xr:uid="{1796E409-7BAE-4ECC-8601-F8FC9F7A747E}"/>
    <cellStyle name="Percent 2 4 2 3 10" xfId="10326" xr:uid="{DB65B5F9-836D-4DBF-B6ED-51F22B87F3BA}"/>
    <cellStyle name="Percent 2 4 2 3 11" xfId="12305" xr:uid="{F6F50691-1003-4440-9786-6C7A35979E6F}"/>
    <cellStyle name="Percent 2 4 2 3 12" xfId="14558" xr:uid="{3A89C5D7-07E5-4042-AE89-E8089FA52D4F}"/>
    <cellStyle name="Percent 2 4 2 3 13" xfId="16811" xr:uid="{6916BD96-3198-4FED-9BC9-BCFC2751A966}"/>
    <cellStyle name="Percent 2 4 2 3 2" xfId="2148" xr:uid="{4AE9EC38-8BB4-4440-A338-856CD5019482}"/>
    <cellStyle name="Percent 2 4 2 3 2 2" xfId="13432" xr:uid="{200EB783-5A09-4CFF-A67E-D6BAE5F89312}"/>
    <cellStyle name="Percent 2 4 2 3 2 3" xfId="15685" xr:uid="{01E11962-3A95-4CB2-B838-F28ACE6801D1}"/>
    <cellStyle name="Percent 2 4 2 3 2 4" xfId="17938" xr:uid="{234B3373-8930-4171-B2DF-A7B9C678A641}"/>
    <cellStyle name="Percent 2 4 2 3 3" xfId="3274" xr:uid="{10538A83-5064-4878-B545-010DB82C5168}"/>
    <cellStyle name="Percent 2 4 2 3 4" xfId="4400" xr:uid="{E08EFDF3-357D-49E4-9623-570938910C16}"/>
    <cellStyle name="Percent 2 4 2 3 5" xfId="5526" xr:uid="{383F294B-E7DC-4FFD-A6E8-D3679CFED575}"/>
    <cellStyle name="Percent 2 4 2 3 6" xfId="6653" xr:uid="{93074D4A-475D-4A49-A4E5-C3D062DC3D02}"/>
    <cellStyle name="Percent 2 4 2 3 7" xfId="7789" xr:uid="{92F43014-D868-4699-83F3-8304A6F499F3}"/>
    <cellStyle name="Percent 2 4 2 3 8" xfId="8062" xr:uid="{D6AC71A2-F58C-4E25-83CD-C7AAF885301A}"/>
    <cellStyle name="Percent 2 4 2 3 9" xfId="9199" xr:uid="{AEB00B27-8CA7-4B4C-AF5C-E2747103C730}"/>
    <cellStyle name="Percent 2 4 2 4" xfId="2146" xr:uid="{19755FA2-8451-4E4F-AFAD-1BB8AD1E6633}"/>
    <cellStyle name="Percent 2 4 2 4 2" xfId="13430" xr:uid="{F0996CAF-D3FA-49EB-931B-AEF8233DBE62}"/>
    <cellStyle name="Percent 2 4 2 4 3" xfId="15683" xr:uid="{A3D47A93-A918-4420-B929-77407F2B53E4}"/>
    <cellStyle name="Percent 2 4 2 4 4" xfId="17936" xr:uid="{5A897E2B-4CBC-46C8-9CD3-FC8E4F4C6EFB}"/>
    <cellStyle name="Percent 2 4 2 5" xfId="3272" xr:uid="{B3E31378-752D-47B1-A644-732FF021BE7E}"/>
    <cellStyle name="Percent 2 4 2 6" xfId="4398" xr:uid="{55795B9C-505C-4F74-8CE1-4BDE5E3E613B}"/>
    <cellStyle name="Percent 2 4 2 7" xfId="5524" xr:uid="{45D949F4-6279-4515-B93C-BBD95E1CCA8B}"/>
    <cellStyle name="Percent 2 4 2 8" xfId="6651" xr:uid="{054442DA-6E49-4421-A089-2F88A105E6F3}"/>
    <cellStyle name="Percent 2 4 2 9" xfId="7787" xr:uid="{974D4C8B-A2D6-442B-82D5-14F0CD38C398}"/>
    <cellStyle name="Percent 2 4 3" xfId="1021" xr:uid="{0674DFB4-C21C-4798-A35E-87A9689D6673}"/>
    <cellStyle name="Percent 2 4 3 10" xfId="10325" xr:uid="{55C0D6C3-6652-4C5A-9F88-2B2A75D75493}"/>
    <cellStyle name="Percent 2 4 3 11" xfId="12306" xr:uid="{F9DDAD76-281F-46A8-8D89-0C746F3A98CE}"/>
    <cellStyle name="Percent 2 4 3 12" xfId="14559" xr:uid="{EEB53FB9-BBFD-46BF-B218-F02D0DCD0BCF}"/>
    <cellStyle name="Percent 2 4 3 13" xfId="16812" xr:uid="{B5E3B27C-D6C0-45A1-A0B4-EA2061B682FB}"/>
    <cellStyle name="Percent 2 4 3 2" xfId="2149" xr:uid="{9161D5C1-7959-4190-A41F-95C983C7BEAC}"/>
    <cellStyle name="Percent 2 4 3 2 2" xfId="13433" xr:uid="{BD43C21A-396F-40F5-B3DA-3F71BAF68822}"/>
    <cellStyle name="Percent 2 4 3 2 3" xfId="15686" xr:uid="{9749B6F1-CA1F-4F9E-A63A-EB7F6A8C5570}"/>
    <cellStyle name="Percent 2 4 3 2 4" xfId="17939" xr:uid="{CE5C13E1-17AD-464A-8ABB-5F940322B69E}"/>
    <cellStyle name="Percent 2 4 3 3" xfId="3275" xr:uid="{E8239A44-6649-4288-91F6-93CE0292387E}"/>
    <cellStyle name="Percent 2 4 3 4" xfId="4401" xr:uid="{051416A0-FE04-46E9-AFE8-239FE5EB8BE7}"/>
    <cellStyle name="Percent 2 4 3 5" xfId="5527" xr:uid="{6F0C055D-638D-4F92-BF3F-670F2E4FC025}"/>
    <cellStyle name="Percent 2 4 3 6" xfId="6654" xr:uid="{9484BF8F-02A6-4998-A46C-770EDE387EFF}"/>
    <cellStyle name="Percent 2 4 3 7" xfId="7790" xr:uid="{807E3EBE-5CE4-48BD-84CC-99501689BECE}"/>
    <cellStyle name="Percent 2 4 3 8" xfId="8061" xr:uid="{6B4ACCFB-2D2B-46B2-97DB-FBF8A177898C}"/>
    <cellStyle name="Percent 2 4 3 9" xfId="9198" xr:uid="{6302BAA7-18A6-41EE-8899-DE5823A2EE55}"/>
    <cellStyle name="Percent 2 4 4" xfId="1022" xr:uid="{C0A5C904-484C-482C-A39B-DB9E8ECE7BB4}"/>
    <cellStyle name="Percent 2 4 4 10" xfId="10324" xr:uid="{E68A6F9A-7203-4E08-A388-A932FFBD55BD}"/>
    <cellStyle name="Percent 2 4 4 11" xfId="12307" xr:uid="{47512973-6F71-4F3B-B21D-914FBD850510}"/>
    <cellStyle name="Percent 2 4 4 12" xfId="14560" xr:uid="{FAA15C91-9739-4AD4-A6E1-2D602CEBF801}"/>
    <cellStyle name="Percent 2 4 4 13" xfId="16813" xr:uid="{29FCFE66-33B5-45FE-A3A0-31685A4A2763}"/>
    <cellStyle name="Percent 2 4 4 2" xfId="2150" xr:uid="{67B12EAD-60A4-4183-897A-CD3DBFA1B6AE}"/>
    <cellStyle name="Percent 2 4 4 2 2" xfId="13434" xr:uid="{B1011456-2353-4F52-AE56-A38610923DD5}"/>
    <cellStyle name="Percent 2 4 4 2 3" xfId="15687" xr:uid="{306CE64E-3749-4325-B69F-F1E3ED2C69A5}"/>
    <cellStyle name="Percent 2 4 4 2 4" xfId="17940" xr:uid="{584197C9-2CBB-4F08-A42B-5F0174BFE4D9}"/>
    <cellStyle name="Percent 2 4 4 3" xfId="3276" xr:uid="{5F3721E0-19B4-48E1-90D9-63B6E2DC2353}"/>
    <cellStyle name="Percent 2 4 4 4" xfId="4402" xr:uid="{84F37670-3A31-498F-8179-E5C51824A31D}"/>
    <cellStyle name="Percent 2 4 4 5" xfId="5528" xr:uid="{F332F235-D180-4891-AEF4-39C2C8F8DA3A}"/>
    <cellStyle name="Percent 2 4 4 6" xfId="6655" xr:uid="{F1B88A14-8A0C-49BF-8408-2F5D2E2BC367}"/>
    <cellStyle name="Percent 2 4 4 7" xfId="7791" xr:uid="{83ADB079-1947-4A89-A1FD-F238FB089CC5}"/>
    <cellStyle name="Percent 2 4 4 8" xfId="8060" xr:uid="{0908FBB1-5218-4391-A62A-79559059D1F4}"/>
    <cellStyle name="Percent 2 4 4 9" xfId="9197" xr:uid="{8EFF5CB4-E01B-4521-97A8-D1EDBA8C9538}"/>
    <cellStyle name="Percent 2 4 5" xfId="2145" xr:uid="{B890BB57-4D00-4ABC-9C01-EEE677867DBE}"/>
    <cellStyle name="Percent 2 4 5 2" xfId="13429" xr:uid="{A1156880-67AA-45C2-A71F-A6D85B3B3BAB}"/>
    <cellStyle name="Percent 2 4 5 3" xfId="15682" xr:uid="{27C48681-C327-43EF-8BE4-3BE594F16DEF}"/>
    <cellStyle name="Percent 2 4 5 4" xfId="17935" xr:uid="{BD7872BD-B6E0-43F2-8CB7-53CCD8FBE9ED}"/>
    <cellStyle name="Percent 2 4 6" xfId="3271" xr:uid="{30992B81-CADD-4A68-A58A-087897C7355D}"/>
    <cellStyle name="Percent 2 4 7" xfId="4397" xr:uid="{00D9E812-94D5-457A-AD44-E2725F053367}"/>
    <cellStyle name="Percent 2 4 8" xfId="5523" xr:uid="{16F2BAE4-F799-4C54-B280-0A111BD927FD}"/>
    <cellStyle name="Percent 2 4 9" xfId="6650" xr:uid="{AFBF640C-923E-4175-8AB7-AC9663DA36FB}"/>
    <cellStyle name="Percent 2 5" xfId="1023" xr:uid="{611C7F58-B479-4C1A-8B38-7FDEE1127A7D}"/>
    <cellStyle name="Percent 2 5 10" xfId="8059" xr:uid="{ADE7B413-0D98-4617-A9EE-549404E14976}"/>
    <cellStyle name="Percent 2 5 11" xfId="9196" xr:uid="{79F2A776-ACB1-413A-B56B-CEC7A1AA6C0A}"/>
    <cellStyle name="Percent 2 5 12" xfId="10323" xr:uid="{6F1FA743-F43C-4DF0-8C0A-647CFA9C8A9B}"/>
    <cellStyle name="Percent 2 5 13" xfId="12308" xr:uid="{8700E03C-8B73-443B-9C1C-5528570FA94F}"/>
    <cellStyle name="Percent 2 5 14" xfId="14561" xr:uid="{81A0B94F-5D7E-4722-BACF-9B6E31D9A354}"/>
    <cellStyle name="Percent 2 5 15" xfId="16814" xr:uid="{2F61804A-FD29-4389-8525-42C7001C6ABC}"/>
    <cellStyle name="Percent 2 5 2" xfId="1024" xr:uid="{E4D2F26B-4A82-434E-BED1-75BC493AFD18}"/>
    <cellStyle name="Percent 2 5 2 10" xfId="10322" xr:uid="{EB4AD49C-BB39-49C3-B990-A82B72FFE5A4}"/>
    <cellStyle name="Percent 2 5 2 11" xfId="12309" xr:uid="{19BF0895-5B74-4E1A-9F40-D8B36D6E4009}"/>
    <cellStyle name="Percent 2 5 2 12" xfId="14562" xr:uid="{7BD8ACCC-198A-4360-8A7B-FBC6DAB3A53B}"/>
    <cellStyle name="Percent 2 5 2 13" xfId="16815" xr:uid="{BDBD761D-CB75-40A8-8442-08E3E86B5315}"/>
    <cellStyle name="Percent 2 5 2 2" xfId="2152" xr:uid="{E45459D7-E8BD-4D3F-ABAD-9EA67AB5B4A1}"/>
    <cellStyle name="Percent 2 5 2 2 2" xfId="13436" xr:uid="{530F5000-FDEA-4563-90A7-4EE723607E30}"/>
    <cellStyle name="Percent 2 5 2 2 3" xfId="15689" xr:uid="{D2F5E058-2FA0-4059-961F-5297B0021C5A}"/>
    <cellStyle name="Percent 2 5 2 2 4" xfId="17942" xr:uid="{7553F31B-63D8-4DF6-A870-A2F2238C1E85}"/>
    <cellStyle name="Percent 2 5 2 3" xfId="3278" xr:uid="{AE9F4BA7-DA94-4F2B-A87C-712D65B0B96E}"/>
    <cellStyle name="Percent 2 5 2 4" xfId="4404" xr:uid="{F2F307EB-9DB6-4D37-9E8D-B0C32871480D}"/>
    <cellStyle name="Percent 2 5 2 5" xfId="5530" xr:uid="{5600294C-25C3-42C2-973E-A33B6DA4D5B9}"/>
    <cellStyle name="Percent 2 5 2 6" xfId="6657" xr:uid="{4D919560-661D-4115-B5D0-BE7EDA9AD58D}"/>
    <cellStyle name="Percent 2 5 2 7" xfId="7793" xr:uid="{E13BA5EA-D2ED-41C3-BD89-C170ED641E02}"/>
    <cellStyle name="Percent 2 5 2 8" xfId="8058" xr:uid="{21864272-87E1-4815-9ED8-D780C43D483B}"/>
    <cellStyle name="Percent 2 5 2 9" xfId="9195" xr:uid="{86F518C9-0EA0-46D4-9E25-1DE9389771C8}"/>
    <cellStyle name="Percent 2 5 3" xfId="1025" xr:uid="{BAB8816C-5B51-4AFB-88AC-D7C73D5EF4FE}"/>
    <cellStyle name="Percent 2 5 3 10" xfId="10321" xr:uid="{BD55EB1E-59CF-4DD4-847F-7CCF0C1B3D42}"/>
    <cellStyle name="Percent 2 5 3 11" xfId="12310" xr:uid="{AC82E0B1-B43E-41AB-981A-ECACA0461C64}"/>
    <cellStyle name="Percent 2 5 3 12" xfId="14563" xr:uid="{16411D6B-78E1-4BCD-93DA-5018A35553C1}"/>
    <cellStyle name="Percent 2 5 3 13" xfId="16816" xr:uid="{AFDD491C-440B-479E-9FF6-7C0BC75AA45C}"/>
    <cellStyle name="Percent 2 5 3 2" xfId="2153" xr:uid="{31A8BC06-E12E-43E2-BA69-440DD5ED280E}"/>
    <cellStyle name="Percent 2 5 3 2 2" xfId="13437" xr:uid="{E1C7644E-9A91-459D-B8EB-7D84C809F207}"/>
    <cellStyle name="Percent 2 5 3 2 3" xfId="15690" xr:uid="{0206D75A-962A-477B-A879-177B577AE595}"/>
    <cellStyle name="Percent 2 5 3 2 4" xfId="17943" xr:uid="{C882BC97-3940-4355-9D21-8374EDE4B8E1}"/>
    <cellStyle name="Percent 2 5 3 3" xfId="3279" xr:uid="{C46DEC7A-7644-4723-A14E-47912B5FB377}"/>
    <cellStyle name="Percent 2 5 3 4" xfId="4405" xr:uid="{DCD693F4-C571-4F70-B446-BEEEBAAF8EE5}"/>
    <cellStyle name="Percent 2 5 3 5" xfId="5531" xr:uid="{9DA0740F-F15A-4F40-BAB0-330EDAAE4299}"/>
    <cellStyle name="Percent 2 5 3 6" xfId="6658" xr:uid="{771C1568-0C2F-48BF-8F43-E80F08AE4D10}"/>
    <cellStyle name="Percent 2 5 3 7" xfId="7794" xr:uid="{87F7A208-9269-41E2-A658-6628FE8EE77A}"/>
    <cellStyle name="Percent 2 5 3 8" xfId="8057" xr:uid="{401D6305-9CC2-4140-B9ED-19FB83A40393}"/>
    <cellStyle name="Percent 2 5 3 9" xfId="9194" xr:uid="{F7241DE6-CB70-444B-925C-78F05F133354}"/>
    <cellStyle name="Percent 2 5 4" xfId="2151" xr:uid="{9B97412C-D147-4192-84F1-67D21C3C5BEE}"/>
    <cellStyle name="Percent 2 5 4 2" xfId="13435" xr:uid="{84989785-2D5F-48C9-96A7-0E63740037BB}"/>
    <cellStyle name="Percent 2 5 4 3" xfId="15688" xr:uid="{7E231DF6-5300-4D5C-AC7A-FE92A2A9D962}"/>
    <cellStyle name="Percent 2 5 4 4" xfId="17941" xr:uid="{B7673427-EC94-480F-A939-AF7C5D4F1C92}"/>
    <cellStyle name="Percent 2 5 5" xfId="3277" xr:uid="{0325A66A-BF67-42C0-A34A-CFF14B24D2BA}"/>
    <cellStyle name="Percent 2 5 6" xfId="4403" xr:uid="{17045C50-D569-44B0-90CD-E804676D3C1E}"/>
    <cellStyle name="Percent 2 5 7" xfId="5529" xr:uid="{9F6FAA12-BBCA-4C08-B846-2768D2B2C6E3}"/>
    <cellStyle name="Percent 2 5 8" xfId="6656" xr:uid="{2D7B903F-C169-45C2-A31A-213569848AFD}"/>
    <cellStyle name="Percent 2 5 9" xfId="7792" xr:uid="{3783F238-B85F-43A7-B90F-A72A27AB67BD}"/>
    <cellStyle name="Percent 2 6" xfId="1026" xr:uid="{042536B4-AE81-4E3B-AAEC-77FBCE81721B}"/>
    <cellStyle name="Percent 2 6 10" xfId="10320" xr:uid="{4008ECEA-2FB6-4FD0-8B5E-69ED28AA7B9E}"/>
    <cellStyle name="Percent 2 6 11" xfId="12311" xr:uid="{A5A2F541-B7CF-455E-97D6-716ADD34E239}"/>
    <cellStyle name="Percent 2 6 12" xfId="14564" xr:uid="{A14F48C2-DD94-4682-8607-07F42FEF6A3F}"/>
    <cellStyle name="Percent 2 6 13" xfId="16817" xr:uid="{D8B87DA0-1861-4381-AF27-48F655438642}"/>
    <cellStyle name="Percent 2 6 2" xfId="2154" xr:uid="{E7CCCDC4-C4DB-41D8-A576-C54FEEAD4B93}"/>
    <cellStyle name="Percent 2 6 2 2" xfId="13438" xr:uid="{8ECA9772-4FE2-4EE6-AF88-1ED238825902}"/>
    <cellStyle name="Percent 2 6 2 3" xfId="15691" xr:uid="{38FC4F2C-B579-4FFE-A297-CBE4C0F3B434}"/>
    <cellStyle name="Percent 2 6 2 4" xfId="17944" xr:uid="{17C202D3-21BC-451F-AC2A-7D3C59E64146}"/>
    <cellStyle name="Percent 2 6 3" xfId="3280" xr:uid="{2A7849F4-2691-448E-8695-B537AE0E9817}"/>
    <cellStyle name="Percent 2 6 4" xfId="4406" xr:uid="{F177B4B1-4CF0-43ED-ADE4-94D6E0AD2D55}"/>
    <cellStyle name="Percent 2 6 5" xfId="5532" xr:uid="{AC973770-133F-43F0-8A18-33F30B8C049D}"/>
    <cellStyle name="Percent 2 6 6" xfId="6659" xr:uid="{43B26192-C406-464E-9F7A-16272D9DDE77}"/>
    <cellStyle name="Percent 2 6 7" xfId="7795" xr:uid="{1FB047D9-57C2-4D88-AE46-ECFC5369A62A}"/>
    <cellStyle name="Percent 2 6 8" xfId="8056" xr:uid="{C6EAA64B-D36A-435E-9B50-EDC616DA2B74}"/>
    <cellStyle name="Percent 2 6 9" xfId="9193" xr:uid="{13026231-C557-4EFB-8165-8CACB1016BB6}"/>
    <cellStyle name="Percent 2 7" xfId="1027" xr:uid="{AEAB1545-43B2-4154-911D-65AA4AC80CEE}"/>
    <cellStyle name="Percent 2 7 10" xfId="10319" xr:uid="{DC934C28-9525-4F0C-B183-1CF9B4D2349C}"/>
    <cellStyle name="Percent 2 7 11" xfId="12312" xr:uid="{B3C2EDB3-A856-4152-A036-83A095A8786F}"/>
    <cellStyle name="Percent 2 7 12" xfId="14565" xr:uid="{2279ED95-54B5-48A1-82D8-DC6DAB3F74D4}"/>
    <cellStyle name="Percent 2 7 13" xfId="16818" xr:uid="{BCE71EAA-4F30-403E-967E-EE71E9A46737}"/>
    <cellStyle name="Percent 2 7 2" xfId="2155" xr:uid="{3ED37B59-AC9B-4079-8510-9A6DDBCD7822}"/>
    <cellStyle name="Percent 2 7 2 2" xfId="13439" xr:uid="{7AD85AA8-E9FE-4A4B-937D-6F272DAC1DF1}"/>
    <cellStyle name="Percent 2 7 2 3" xfId="15692" xr:uid="{757162B1-4157-46F2-B9D9-412851A65336}"/>
    <cellStyle name="Percent 2 7 2 4" xfId="17945" xr:uid="{177CE6FC-9381-4E5C-8DA4-BE35E0664BCC}"/>
    <cellStyle name="Percent 2 7 3" xfId="3281" xr:uid="{244FEDE0-64CF-498F-8D75-A62F4534116C}"/>
    <cellStyle name="Percent 2 7 4" xfId="4407" xr:uid="{7EB9827B-AA34-4C79-B429-8E814B5FED44}"/>
    <cellStyle name="Percent 2 7 5" xfId="5533" xr:uid="{B82D07E2-F1EA-4537-B689-D2903B0FE878}"/>
    <cellStyle name="Percent 2 7 6" xfId="6660" xr:uid="{792A0203-9CEC-4DE2-9EDE-B66E35453664}"/>
    <cellStyle name="Percent 2 7 7" xfId="7796" xr:uid="{34BF0362-4F00-4842-9EE9-3A440FCF5B9A}"/>
    <cellStyle name="Percent 2 7 8" xfId="8055" xr:uid="{C864EA44-83E4-41DC-8A79-9F771C3C20FC}"/>
    <cellStyle name="Percent 2 7 9" xfId="9192" xr:uid="{24EB9929-F6E5-453C-9D1E-FB3A6B284BAB}"/>
    <cellStyle name="Percent 2 8" xfId="980" xr:uid="{1B7CED52-C03B-4A43-B37D-E5DE8D5CFBEF}"/>
    <cellStyle name="Percent 2 8 2" xfId="13392" xr:uid="{BD465A9F-0DB4-4780-AE0F-529F04FB707B}"/>
    <cellStyle name="Percent 2 8 3" xfId="15645" xr:uid="{DE3AE4AE-0D1B-43AD-981A-3F7DE142E54D}"/>
    <cellStyle name="Percent 2 8 4" xfId="17898" xr:uid="{AA101C43-A91A-4006-9273-AD5852AF02EE}"/>
    <cellStyle name="Percent 2 9" xfId="2108" xr:uid="{DA72925E-2831-4DEC-9041-89862C803422}"/>
    <cellStyle name="Percent 20" xfId="9054" xr:uid="{2E8B857B-4755-4EBA-B0AC-58A024982698}"/>
    <cellStyle name="Percent 21" xfId="10185" xr:uid="{82752D25-408C-4FCD-9D39-E735B8678D1A}"/>
    <cellStyle name="Percent 22" xfId="11312" xr:uid="{20054A3F-B3EF-44FF-9804-5F79FF61A81E}"/>
    <cellStyle name="Percent 23" xfId="11317" xr:uid="{A2F20063-20B2-4377-A59D-959A2C7F39AC}"/>
    <cellStyle name="Percent 24" xfId="13570" xr:uid="{0A5545F7-C465-4619-8750-9E3EEC0AC27C}"/>
    <cellStyle name="Percent 25" xfId="15823" xr:uid="{DF897738-0619-4DAA-B585-71DC84E31F1E}"/>
    <cellStyle name="Percent 3" xfId="21" xr:uid="{00000000-0005-0000-0000-000041000000}"/>
    <cellStyle name="Percent 3 10" xfId="3282" xr:uid="{2717885C-C010-4483-92DB-76EC86004B37}"/>
    <cellStyle name="Percent 3 11" xfId="4408" xr:uid="{7EB56CC2-ACE8-4F5E-9539-F1B7EC3B958D}"/>
    <cellStyle name="Percent 3 12" xfId="5534" xr:uid="{DFB9A9DB-716E-401E-A8BA-4F16C02A8889}"/>
    <cellStyle name="Percent 3 13" xfId="6661" xr:uid="{41473F0E-EF72-4088-94B6-E6C2C0FD4A1F}"/>
    <cellStyle name="Percent 3 14" xfId="7797" xr:uid="{82147335-2EDD-4719-B162-53B3E6640519}"/>
    <cellStyle name="Percent 3 15" xfId="8054" xr:uid="{10D8F1AD-388D-4121-A5F1-511B4FB26A97}"/>
    <cellStyle name="Percent 3 16" xfId="9191" xr:uid="{3D61BEF5-1F9D-44C9-97A2-8E13DA65A6A1}"/>
    <cellStyle name="Percent 3 17" xfId="10318" xr:uid="{6221310B-F608-4C59-855E-980A893C7D82}"/>
    <cellStyle name="Percent 3 18" xfId="12313" xr:uid="{511729C5-4143-4ED7-B1CB-F6862837044D}"/>
    <cellStyle name="Percent 3 19" xfId="14566" xr:uid="{00781708-ACE3-49F5-9320-4FCC148BB469}"/>
    <cellStyle name="Percent 3 2" xfId="1029" xr:uid="{A019D25E-A6F2-4D3F-ADC1-2393FDEF3D84}"/>
    <cellStyle name="Percent 3 2 10" xfId="5535" xr:uid="{755D594A-C4C2-42DB-9EC1-413907ED45E6}"/>
    <cellStyle name="Percent 3 2 11" xfId="6662" xr:uid="{5AA7A086-82E6-42A0-8F5B-B630D8C8E3C6}"/>
    <cellStyle name="Percent 3 2 12" xfId="7798" xr:uid="{9D3A0329-7A0C-4BBE-A4A9-E1E8197EEBA9}"/>
    <cellStyle name="Percent 3 2 13" xfId="8053" xr:uid="{4E381756-D388-4E5F-96FF-3B8E4A3681E3}"/>
    <cellStyle name="Percent 3 2 14" xfId="9190" xr:uid="{FFC3ABF0-E473-4AD5-8E25-D4160F9AFE97}"/>
    <cellStyle name="Percent 3 2 15" xfId="10317" xr:uid="{C2745130-B8A3-4DC4-A5EA-EDED26C7FFD3}"/>
    <cellStyle name="Percent 3 2 16" xfId="12314" xr:uid="{BF2FDADE-2933-42F9-8299-3B2841594D6C}"/>
    <cellStyle name="Percent 3 2 17" xfId="14567" xr:uid="{989D709D-A3E3-4CB9-9596-E94C17E0E3A9}"/>
    <cellStyle name="Percent 3 2 18" xfId="16820" xr:uid="{9AE9B2D3-0D0B-48B7-BCAA-96020C2AD0D2}"/>
    <cellStyle name="Percent 3 2 2" xfId="1030" xr:uid="{854A8C98-1D2B-4895-BE92-76D47CE009D0}"/>
    <cellStyle name="Percent 3 2 2 10" xfId="6663" xr:uid="{53E18D7E-53EF-4BB9-832F-23E25EF2B81A}"/>
    <cellStyle name="Percent 3 2 2 11" xfId="7799" xr:uid="{DFE7864F-37F5-4E41-82A3-24979225AF88}"/>
    <cellStyle name="Percent 3 2 2 12" xfId="8052" xr:uid="{D06D35AC-BFE5-48CF-BAC7-A3197DE268E8}"/>
    <cellStyle name="Percent 3 2 2 13" xfId="9189" xr:uid="{DAD5DC8B-F0A9-4789-BA7C-5F5E3095F39B}"/>
    <cellStyle name="Percent 3 2 2 14" xfId="10316" xr:uid="{8CC88AB3-2851-49AD-9648-BBB8F6910BAA}"/>
    <cellStyle name="Percent 3 2 2 15" xfId="12315" xr:uid="{A08F525A-9917-4971-AD16-36D46DADDEFE}"/>
    <cellStyle name="Percent 3 2 2 16" xfId="14568" xr:uid="{5674791D-5F89-4085-9FD6-64797A514F11}"/>
    <cellStyle name="Percent 3 2 2 17" xfId="16821" xr:uid="{920D538A-E7F3-4212-9250-256FAA5FFE34}"/>
    <cellStyle name="Percent 3 2 2 2" xfId="1031" xr:uid="{47DE44DE-5251-45FD-A2F1-76E5B6568316}"/>
    <cellStyle name="Percent 3 2 2 2 10" xfId="7800" xr:uid="{C78BDB47-00B5-4EDF-B667-4D13188CA474}"/>
    <cellStyle name="Percent 3 2 2 2 11" xfId="8051" xr:uid="{1E65F333-0529-4539-AF95-CB870F25DF8F}"/>
    <cellStyle name="Percent 3 2 2 2 12" xfId="9188" xr:uid="{2571C81A-F68C-4B06-9D42-34EBD73327E6}"/>
    <cellStyle name="Percent 3 2 2 2 13" xfId="10315" xr:uid="{5C1BBC6E-0B1E-4A03-8219-ECFF43425374}"/>
    <cellStyle name="Percent 3 2 2 2 14" xfId="12316" xr:uid="{A30D5CC9-73F9-4117-8F8B-88AF3CBF1AD5}"/>
    <cellStyle name="Percent 3 2 2 2 15" xfId="14569" xr:uid="{F7C4E24F-8945-4D9B-8B4E-B41D73D1D9E6}"/>
    <cellStyle name="Percent 3 2 2 2 16" xfId="16822" xr:uid="{3A77BE31-686D-47E6-B9FD-A786659A1925}"/>
    <cellStyle name="Percent 3 2 2 2 2" xfId="1032" xr:uid="{EBFCB10D-DC41-488E-8430-EAC347D2810A}"/>
    <cellStyle name="Percent 3 2 2 2 2 10" xfId="8050" xr:uid="{58BD1EB7-4098-4CEF-A835-30CE99BAA184}"/>
    <cellStyle name="Percent 3 2 2 2 2 11" xfId="9187" xr:uid="{9893261E-D6CD-4324-8ECC-C8C001D8A041}"/>
    <cellStyle name="Percent 3 2 2 2 2 12" xfId="10314" xr:uid="{1C1F532F-44EB-4552-932A-3188FE261207}"/>
    <cellStyle name="Percent 3 2 2 2 2 13" xfId="12317" xr:uid="{40BD90C0-8A1E-4D13-B9D6-836737ADC62E}"/>
    <cellStyle name="Percent 3 2 2 2 2 14" xfId="14570" xr:uid="{0510ED5B-CA0D-4F16-9D77-4BDD206C4DC6}"/>
    <cellStyle name="Percent 3 2 2 2 2 15" xfId="16823" xr:uid="{E26DEC1E-3B5D-4534-81E1-A11D93D5D1F2}"/>
    <cellStyle name="Percent 3 2 2 2 2 2" xfId="1033" xr:uid="{B76FE1C3-046E-4025-8587-D5256D55230C}"/>
    <cellStyle name="Percent 3 2 2 2 2 2 10" xfId="10313" xr:uid="{43429C2A-1121-48A3-AC6E-2162E56DFD92}"/>
    <cellStyle name="Percent 3 2 2 2 2 2 11" xfId="12318" xr:uid="{D119CAFA-A9C4-4361-A1B4-76F06D286890}"/>
    <cellStyle name="Percent 3 2 2 2 2 2 12" xfId="14571" xr:uid="{308A7A39-0345-4542-A045-FDA838A1F5E8}"/>
    <cellStyle name="Percent 3 2 2 2 2 2 13" xfId="16824" xr:uid="{F0B675C4-2E1E-4A28-8E46-A8AB7ED9D3E3}"/>
    <cellStyle name="Percent 3 2 2 2 2 2 2" xfId="2161" xr:uid="{70782F16-A6E6-4415-9946-ABBB67466481}"/>
    <cellStyle name="Percent 3 2 2 2 2 2 2 2" xfId="13445" xr:uid="{758D0A02-4A55-44FD-894F-C628A442A7F8}"/>
    <cellStyle name="Percent 3 2 2 2 2 2 2 3" xfId="15698" xr:uid="{FEC6E1DE-85FD-41DD-9AA1-A2FB270B6634}"/>
    <cellStyle name="Percent 3 2 2 2 2 2 2 4" xfId="17951" xr:uid="{CF2EF1F4-7ED8-4E26-AEEB-A35477D023D2}"/>
    <cellStyle name="Percent 3 2 2 2 2 2 3" xfId="3287" xr:uid="{25DD31D7-ED59-4921-AE77-402655FFA4F7}"/>
    <cellStyle name="Percent 3 2 2 2 2 2 4" xfId="4413" xr:uid="{3F4BCD0D-4BFF-4CEF-85A6-4BB882EF68DA}"/>
    <cellStyle name="Percent 3 2 2 2 2 2 5" xfId="5539" xr:uid="{64735B66-CEF1-4726-9777-A9EF2F8BA950}"/>
    <cellStyle name="Percent 3 2 2 2 2 2 6" xfId="6666" xr:uid="{7300DC90-37C8-4072-A3A4-EB267F136D32}"/>
    <cellStyle name="Percent 3 2 2 2 2 2 7" xfId="7802" xr:uid="{1B0A588E-BD88-490F-95D2-6A7D22CD4E0A}"/>
    <cellStyle name="Percent 3 2 2 2 2 2 8" xfId="8049" xr:uid="{A2CBB2FE-2467-4A7E-8C50-3B2EA09CF421}"/>
    <cellStyle name="Percent 3 2 2 2 2 2 9" xfId="9186" xr:uid="{85348486-BF39-4867-8669-E83F74473D16}"/>
    <cellStyle name="Percent 3 2 2 2 2 3" xfId="1034" xr:uid="{9821E01D-2EC1-4481-B36B-F81E12C62336}"/>
    <cellStyle name="Percent 3 2 2 2 2 3 10" xfId="10312" xr:uid="{A9E6E50F-A241-4B77-BE28-F56E9A9A7010}"/>
    <cellStyle name="Percent 3 2 2 2 2 3 11" xfId="12319" xr:uid="{86198E27-DDC2-4910-B851-DD6B631161F4}"/>
    <cellStyle name="Percent 3 2 2 2 2 3 12" xfId="14572" xr:uid="{4414A19C-99BC-4B67-897B-BBB6F5BBA7B5}"/>
    <cellStyle name="Percent 3 2 2 2 2 3 13" xfId="16825" xr:uid="{66635CCA-EBE7-4E55-AFB6-F95BF00ACC6D}"/>
    <cellStyle name="Percent 3 2 2 2 2 3 2" xfId="2162" xr:uid="{EB20C158-3964-4BA4-AAA6-C308DC0C3A9C}"/>
    <cellStyle name="Percent 3 2 2 2 2 3 2 2" xfId="13446" xr:uid="{58030047-80FA-4108-9520-19FB3857DEE6}"/>
    <cellStyle name="Percent 3 2 2 2 2 3 2 3" xfId="15699" xr:uid="{0164B969-08F9-4A58-8018-73CEF0FD3F6D}"/>
    <cellStyle name="Percent 3 2 2 2 2 3 2 4" xfId="17952" xr:uid="{30E9A53C-0D22-4398-A79E-AAEB80E12410}"/>
    <cellStyle name="Percent 3 2 2 2 2 3 3" xfId="3288" xr:uid="{C06A059C-C4AD-4442-A043-E5F157A86B1D}"/>
    <cellStyle name="Percent 3 2 2 2 2 3 4" xfId="4414" xr:uid="{3F27D0EE-1731-4216-946A-66A7D95BB5AB}"/>
    <cellStyle name="Percent 3 2 2 2 2 3 5" xfId="5540" xr:uid="{B8E51972-E6D5-4E83-8569-7131364BCFF1}"/>
    <cellStyle name="Percent 3 2 2 2 2 3 6" xfId="6667" xr:uid="{97FA9C8B-B969-460A-BB5B-0E290BBE30AF}"/>
    <cellStyle name="Percent 3 2 2 2 2 3 7" xfId="7803" xr:uid="{AA0C63DE-42B6-479F-8544-7953A14F42AD}"/>
    <cellStyle name="Percent 3 2 2 2 2 3 8" xfId="8048" xr:uid="{466249ED-C65F-4E8B-8C74-01307ED6BF10}"/>
    <cellStyle name="Percent 3 2 2 2 2 3 9" xfId="9185" xr:uid="{1A8015A4-612A-4E3C-9FB4-698A9C686C71}"/>
    <cellStyle name="Percent 3 2 2 2 2 4" xfId="2160" xr:uid="{BD41F0F7-ACA3-4550-A05A-10B89CDC6D02}"/>
    <cellStyle name="Percent 3 2 2 2 2 4 2" xfId="13444" xr:uid="{F3BDC48C-1542-4D79-994D-7A40C4260320}"/>
    <cellStyle name="Percent 3 2 2 2 2 4 3" xfId="15697" xr:uid="{5C5104D5-C944-4E09-8506-ED6C33B4A23B}"/>
    <cellStyle name="Percent 3 2 2 2 2 4 4" xfId="17950" xr:uid="{73910B24-1A04-40C4-97BD-0FC70D5EFE26}"/>
    <cellStyle name="Percent 3 2 2 2 2 5" xfId="3286" xr:uid="{53DA622B-78D8-4673-BA79-F16FF8498D1D}"/>
    <cellStyle name="Percent 3 2 2 2 2 6" xfId="4412" xr:uid="{83F381DB-BC6C-4717-A123-CFA5AD149B59}"/>
    <cellStyle name="Percent 3 2 2 2 2 7" xfId="5538" xr:uid="{F05D6ABB-A089-4CD6-902F-005E9583BA25}"/>
    <cellStyle name="Percent 3 2 2 2 2 8" xfId="6665" xr:uid="{DE0FD080-C635-49B3-A17F-C4CC4BAF978A}"/>
    <cellStyle name="Percent 3 2 2 2 2 9" xfId="7801" xr:uid="{E8A5E9EE-484C-46FA-AE88-F6FB43E8EF7D}"/>
    <cellStyle name="Percent 3 2 2 2 3" xfId="1035" xr:uid="{F612A0EB-CEB4-4B20-AEE3-701666798096}"/>
    <cellStyle name="Percent 3 2 2 2 3 10" xfId="10311" xr:uid="{5B2BA6F3-6370-4357-B624-D43F09FF0CB5}"/>
    <cellStyle name="Percent 3 2 2 2 3 11" xfId="12320" xr:uid="{E73F8EC2-95D1-454A-9844-1826593B4B90}"/>
    <cellStyle name="Percent 3 2 2 2 3 12" xfId="14573" xr:uid="{F60226B7-BED8-4944-A6BD-477F4B3EF266}"/>
    <cellStyle name="Percent 3 2 2 2 3 13" xfId="16826" xr:uid="{D912CA67-1AF6-4DAA-948D-A3AF2B881DDB}"/>
    <cellStyle name="Percent 3 2 2 2 3 2" xfId="2163" xr:uid="{84271E2A-5ED9-4B29-8553-F0C47F87EBE6}"/>
    <cellStyle name="Percent 3 2 2 2 3 2 2" xfId="13447" xr:uid="{9731542E-49D4-4454-A39E-71B761F3F862}"/>
    <cellStyle name="Percent 3 2 2 2 3 2 3" xfId="15700" xr:uid="{8CA050EC-B200-4CBF-8A17-EB9476E3415F}"/>
    <cellStyle name="Percent 3 2 2 2 3 2 4" xfId="17953" xr:uid="{3E4067F6-D205-4233-A298-C5DEA508AEE1}"/>
    <cellStyle name="Percent 3 2 2 2 3 3" xfId="3289" xr:uid="{9D891212-3D91-42DD-BCE8-0C640200DEA4}"/>
    <cellStyle name="Percent 3 2 2 2 3 4" xfId="4415" xr:uid="{26DD3E82-C71A-43C1-9A40-A2C4F80AF1C4}"/>
    <cellStyle name="Percent 3 2 2 2 3 5" xfId="5541" xr:uid="{6C651E56-49DE-49EE-A873-3950365DD27D}"/>
    <cellStyle name="Percent 3 2 2 2 3 6" xfId="6668" xr:uid="{7DAA09AE-A829-46C5-B0D0-27B79A71BF70}"/>
    <cellStyle name="Percent 3 2 2 2 3 7" xfId="7804" xr:uid="{1CBCD1DD-FB40-4F38-95F1-1AC3CF7E6F00}"/>
    <cellStyle name="Percent 3 2 2 2 3 8" xfId="8047" xr:uid="{D9E8BCAF-A09F-429A-AE48-3EEE95A21332}"/>
    <cellStyle name="Percent 3 2 2 2 3 9" xfId="9184" xr:uid="{31AB6263-3F91-4DDA-964C-45E752A01D26}"/>
    <cellStyle name="Percent 3 2 2 2 4" xfId="1036" xr:uid="{7C0BF51E-66FA-4333-B7D0-8B168851B661}"/>
    <cellStyle name="Percent 3 2 2 2 4 10" xfId="10310" xr:uid="{CA2A38AE-D43D-4931-A2DD-A2103938A6BE}"/>
    <cellStyle name="Percent 3 2 2 2 4 11" xfId="12321" xr:uid="{E7987F31-D2C9-40E1-9113-46504A24D538}"/>
    <cellStyle name="Percent 3 2 2 2 4 12" xfId="14574" xr:uid="{11555030-DE76-4C4C-820F-AD95898F700D}"/>
    <cellStyle name="Percent 3 2 2 2 4 13" xfId="16827" xr:uid="{7E06E02D-43FD-4075-B5A7-80A7D37ABDC3}"/>
    <cellStyle name="Percent 3 2 2 2 4 2" xfId="2164" xr:uid="{D0B619F0-8A49-4DD5-B5FB-0769D3DC246B}"/>
    <cellStyle name="Percent 3 2 2 2 4 2 2" xfId="13448" xr:uid="{C0614BBF-1205-4001-901F-ABBA223094D3}"/>
    <cellStyle name="Percent 3 2 2 2 4 2 3" xfId="15701" xr:uid="{622CB59D-80CF-4DC3-AD14-2C5166644945}"/>
    <cellStyle name="Percent 3 2 2 2 4 2 4" xfId="17954" xr:uid="{0CA86FB3-EAE5-4855-8588-75EAA896A2A1}"/>
    <cellStyle name="Percent 3 2 2 2 4 3" xfId="3290" xr:uid="{AC04DAEA-C829-4DEA-9BB0-37BAFB81674B}"/>
    <cellStyle name="Percent 3 2 2 2 4 4" xfId="4416" xr:uid="{F596D91D-4268-423A-B6BA-D30D79F1D062}"/>
    <cellStyle name="Percent 3 2 2 2 4 5" xfId="5542" xr:uid="{FE87CFEB-5975-475A-B4F6-1005B4FFEE99}"/>
    <cellStyle name="Percent 3 2 2 2 4 6" xfId="6669" xr:uid="{16CCACC3-37BB-4AE4-9656-1FBDC45FE344}"/>
    <cellStyle name="Percent 3 2 2 2 4 7" xfId="7805" xr:uid="{EDD4514F-8AFE-4521-BAC4-DB916D0B805E}"/>
    <cellStyle name="Percent 3 2 2 2 4 8" xfId="8046" xr:uid="{85F44E19-13A1-4481-B3A6-7124E898CD1D}"/>
    <cellStyle name="Percent 3 2 2 2 4 9" xfId="9183" xr:uid="{176A0DD0-4750-4CA1-8EBA-DA8E7421548E}"/>
    <cellStyle name="Percent 3 2 2 2 5" xfId="2159" xr:uid="{E5F3E427-4660-4A64-8AE3-20A52B70BAB4}"/>
    <cellStyle name="Percent 3 2 2 2 5 2" xfId="13443" xr:uid="{B11E151A-3FF7-4637-BBC5-8E133DFCED01}"/>
    <cellStyle name="Percent 3 2 2 2 5 3" xfId="15696" xr:uid="{C773ED64-9EC1-4D1F-81B4-3524C14BFA81}"/>
    <cellStyle name="Percent 3 2 2 2 5 4" xfId="17949" xr:uid="{C0D4F57F-CBC6-45E4-99FA-0D7223C1465C}"/>
    <cellStyle name="Percent 3 2 2 2 6" xfId="3285" xr:uid="{721C5E3B-73BC-44C2-A6D5-172C0FF59D14}"/>
    <cellStyle name="Percent 3 2 2 2 7" xfId="4411" xr:uid="{60C44E08-1907-4084-9468-8F8EB9EDEC6C}"/>
    <cellStyle name="Percent 3 2 2 2 8" xfId="5537" xr:uid="{5276252A-D148-484C-9625-DC9D61F13EED}"/>
    <cellStyle name="Percent 3 2 2 2 9" xfId="6664" xr:uid="{CB8875E9-BCB3-46A4-9038-930353AEA3C6}"/>
    <cellStyle name="Percent 3 2 2 3" xfId="1037" xr:uid="{D67DFDDA-B943-4740-8261-A3C0D698C1A6}"/>
    <cellStyle name="Percent 3 2 2 3 10" xfId="8045" xr:uid="{59F2B824-9732-4506-AD71-10C6AFF3199B}"/>
    <cellStyle name="Percent 3 2 2 3 11" xfId="9182" xr:uid="{61B25606-72C9-47D6-A24A-316DDB45A162}"/>
    <cellStyle name="Percent 3 2 2 3 12" xfId="10309" xr:uid="{3065EBFB-CC1E-4189-A2FC-45968643662D}"/>
    <cellStyle name="Percent 3 2 2 3 13" xfId="12322" xr:uid="{4C75A4AF-8988-4406-AB96-DDE8CAB28697}"/>
    <cellStyle name="Percent 3 2 2 3 14" xfId="14575" xr:uid="{E91C94B1-806B-4690-BAF3-150209E1E749}"/>
    <cellStyle name="Percent 3 2 2 3 15" xfId="16828" xr:uid="{4B20F126-7E93-4BE9-977A-FA55E3F38507}"/>
    <cellStyle name="Percent 3 2 2 3 2" xfId="1038" xr:uid="{5DAFCCC8-B94D-4076-B512-780653B31E08}"/>
    <cellStyle name="Percent 3 2 2 3 2 10" xfId="10308" xr:uid="{DCAACFE5-750E-4DD9-9AA8-10B33F527057}"/>
    <cellStyle name="Percent 3 2 2 3 2 11" xfId="12323" xr:uid="{49516102-FDAF-4611-9713-BDA7F1185B0A}"/>
    <cellStyle name="Percent 3 2 2 3 2 12" xfId="14576" xr:uid="{EFF12592-D410-47AC-BF3E-74717A4004EB}"/>
    <cellStyle name="Percent 3 2 2 3 2 13" xfId="16829" xr:uid="{9F77BB1D-A818-4A18-982E-DBAF1CF4F864}"/>
    <cellStyle name="Percent 3 2 2 3 2 2" xfId="2166" xr:uid="{10CA4486-F28D-48B7-9319-31ADE355E372}"/>
    <cellStyle name="Percent 3 2 2 3 2 2 2" xfId="13450" xr:uid="{73291EB6-3D03-427E-94F1-CD9C30FE59C8}"/>
    <cellStyle name="Percent 3 2 2 3 2 2 3" xfId="15703" xr:uid="{D119E2FE-A97B-42DE-93F7-8EB6F6CB5530}"/>
    <cellStyle name="Percent 3 2 2 3 2 2 4" xfId="17956" xr:uid="{996DCD40-B5E5-408A-8CC9-0C805AF60447}"/>
    <cellStyle name="Percent 3 2 2 3 2 3" xfId="3292" xr:uid="{0F5B64EF-3484-4FC6-9EB0-027182D3A5CD}"/>
    <cellStyle name="Percent 3 2 2 3 2 4" xfId="4418" xr:uid="{E12307A4-F864-443A-AD2C-B736EC3C183B}"/>
    <cellStyle name="Percent 3 2 2 3 2 5" xfId="5544" xr:uid="{B0854E0A-2B93-4BEA-90B5-92295033F264}"/>
    <cellStyle name="Percent 3 2 2 3 2 6" xfId="6671" xr:uid="{9F183DA5-A76B-46CE-B90E-033A6729D243}"/>
    <cellStyle name="Percent 3 2 2 3 2 7" xfId="7807" xr:uid="{8A4AA4B1-CE4D-4B0B-B3A4-5C9BA532D704}"/>
    <cellStyle name="Percent 3 2 2 3 2 8" xfId="8044" xr:uid="{589B3F61-38DD-4CAE-99AF-56895B0CECDC}"/>
    <cellStyle name="Percent 3 2 2 3 2 9" xfId="9181" xr:uid="{1A778A54-43B9-42B8-85FA-F908C0783DCB}"/>
    <cellStyle name="Percent 3 2 2 3 3" xfId="1039" xr:uid="{6BD6FF2B-658B-4970-988E-073CC47D79E3}"/>
    <cellStyle name="Percent 3 2 2 3 3 10" xfId="10307" xr:uid="{71F0FB35-DC5E-47B9-9F59-49ED1FBCB53A}"/>
    <cellStyle name="Percent 3 2 2 3 3 11" xfId="12324" xr:uid="{9DD94297-8824-4205-BFCA-BBF9E2D17F2C}"/>
    <cellStyle name="Percent 3 2 2 3 3 12" xfId="14577" xr:uid="{7C6ABDD5-2F60-48D8-8B8D-71B64303CB6E}"/>
    <cellStyle name="Percent 3 2 2 3 3 13" xfId="16830" xr:uid="{7B1C3ECC-1247-462B-A02F-9E2CB33B886B}"/>
    <cellStyle name="Percent 3 2 2 3 3 2" xfId="2167" xr:uid="{8BCBAF13-1174-4DAE-BFB7-222868DAF972}"/>
    <cellStyle name="Percent 3 2 2 3 3 2 2" xfId="13451" xr:uid="{EEE40094-922B-45E5-AB18-2046A1943E3B}"/>
    <cellStyle name="Percent 3 2 2 3 3 2 3" xfId="15704" xr:uid="{A72196DB-F177-421E-81A6-F3C35B0C06F9}"/>
    <cellStyle name="Percent 3 2 2 3 3 2 4" xfId="17957" xr:uid="{2D47330B-29E7-49F8-AF8C-886AD71A9739}"/>
    <cellStyle name="Percent 3 2 2 3 3 3" xfId="3293" xr:uid="{F61C57CD-5C19-491E-8927-2607BEFED2D6}"/>
    <cellStyle name="Percent 3 2 2 3 3 4" xfId="4419" xr:uid="{0A52C50C-97E7-4F9A-852A-401F3E6792C7}"/>
    <cellStyle name="Percent 3 2 2 3 3 5" xfId="5545" xr:uid="{B996E946-D25F-4FAB-8125-4DEB0E284F90}"/>
    <cellStyle name="Percent 3 2 2 3 3 6" xfId="6672" xr:uid="{4FC68F2A-AC60-45B8-96AD-D5E9533D04C3}"/>
    <cellStyle name="Percent 3 2 2 3 3 7" xfId="7808" xr:uid="{10009D5A-7152-49C7-9399-A8C39A79B6CE}"/>
    <cellStyle name="Percent 3 2 2 3 3 8" xfId="8043" xr:uid="{E28DB798-C1BF-4C8C-BA4F-06C59910E6B1}"/>
    <cellStyle name="Percent 3 2 2 3 3 9" xfId="9180" xr:uid="{ABBB55D6-AB5E-417A-A52B-5565B8480E0C}"/>
    <cellStyle name="Percent 3 2 2 3 4" xfId="2165" xr:uid="{A818A01B-99AD-4CB8-889D-54E601E98272}"/>
    <cellStyle name="Percent 3 2 2 3 4 2" xfId="13449" xr:uid="{5D8F4BFC-C6D4-4A9D-AE97-663FDAEC1EE1}"/>
    <cellStyle name="Percent 3 2 2 3 4 3" xfId="15702" xr:uid="{65162CFB-9445-4C75-B612-175B04DA7F05}"/>
    <cellStyle name="Percent 3 2 2 3 4 4" xfId="17955" xr:uid="{12D984CD-1CD0-4DA0-8734-20AAA5D45845}"/>
    <cellStyle name="Percent 3 2 2 3 5" xfId="3291" xr:uid="{9CE4F14C-9EA1-449D-9567-07E7D8084A18}"/>
    <cellStyle name="Percent 3 2 2 3 6" xfId="4417" xr:uid="{949F8EE2-8499-4BF6-B6AD-579EE480E0B1}"/>
    <cellStyle name="Percent 3 2 2 3 7" xfId="5543" xr:uid="{B323FB2B-0BE3-4B12-B38E-2581C89836A8}"/>
    <cellStyle name="Percent 3 2 2 3 8" xfId="6670" xr:uid="{E3953E08-F3B7-4CF3-B959-6A0A19B0C0D1}"/>
    <cellStyle name="Percent 3 2 2 3 9" xfId="7806" xr:uid="{6F2F3EBE-C269-471D-849A-18303C39BDCA}"/>
    <cellStyle name="Percent 3 2 2 4" xfId="1040" xr:uid="{127D98A8-70D1-49C1-946C-89DB43110BC1}"/>
    <cellStyle name="Percent 3 2 2 4 10" xfId="10306" xr:uid="{A675A6F7-5F8C-463E-97B8-71DD5FDC22AD}"/>
    <cellStyle name="Percent 3 2 2 4 11" xfId="12325" xr:uid="{55753838-BCFA-4FCB-A402-3FA001445685}"/>
    <cellStyle name="Percent 3 2 2 4 12" xfId="14578" xr:uid="{591B4F90-C53C-487B-A7B5-A48FDC032D9B}"/>
    <cellStyle name="Percent 3 2 2 4 13" xfId="16831" xr:uid="{2725A5A2-38B3-4CD4-B25A-463D63877118}"/>
    <cellStyle name="Percent 3 2 2 4 2" xfId="2168" xr:uid="{3CFCF95A-32FD-4412-86F5-668BF04B9CC8}"/>
    <cellStyle name="Percent 3 2 2 4 2 2" xfId="13452" xr:uid="{CE5CBE34-10BC-4B3F-BFEB-4B0C3903199A}"/>
    <cellStyle name="Percent 3 2 2 4 2 3" xfId="15705" xr:uid="{42CA5C64-007E-4712-B04B-C46C1F4B938D}"/>
    <cellStyle name="Percent 3 2 2 4 2 4" xfId="17958" xr:uid="{BA6EBCDD-650D-4221-8FD7-05CF5C51E895}"/>
    <cellStyle name="Percent 3 2 2 4 3" xfId="3294" xr:uid="{9682F67C-3625-4ABC-9A58-9563442393EF}"/>
    <cellStyle name="Percent 3 2 2 4 4" xfId="4420" xr:uid="{182891CC-A71F-4042-AD71-9F9C0B9BE435}"/>
    <cellStyle name="Percent 3 2 2 4 5" xfId="5546" xr:uid="{3918ACC5-8E05-42A9-BCFF-600EC4CD3596}"/>
    <cellStyle name="Percent 3 2 2 4 6" xfId="6673" xr:uid="{C4FBD777-E2DB-4E2D-B988-53BE316525C2}"/>
    <cellStyle name="Percent 3 2 2 4 7" xfId="7809" xr:uid="{AE8522A6-16BE-4C53-AE7A-0E748AF76164}"/>
    <cellStyle name="Percent 3 2 2 4 8" xfId="8042" xr:uid="{2B880509-6FF3-4190-AFEF-D2BC1456F42B}"/>
    <cellStyle name="Percent 3 2 2 4 9" xfId="9179" xr:uid="{7CBAA9FE-EC91-42B5-9E9E-CF1873E1B7F9}"/>
    <cellStyle name="Percent 3 2 2 5" xfId="1041" xr:uid="{F487411C-A4D0-4402-A958-8B74CCD8F749}"/>
    <cellStyle name="Percent 3 2 2 5 10" xfId="10305" xr:uid="{09E55C73-3B23-42E2-8EF0-47E903347A9B}"/>
    <cellStyle name="Percent 3 2 2 5 11" xfId="12326" xr:uid="{EF669D81-1DA8-4A83-BD41-41917B4F293A}"/>
    <cellStyle name="Percent 3 2 2 5 12" xfId="14579" xr:uid="{B8A27312-DC01-4FFD-9D5F-CE5F739B7EDC}"/>
    <cellStyle name="Percent 3 2 2 5 13" xfId="16832" xr:uid="{E4BF53AD-2F98-4137-9974-9BDB6C0332EB}"/>
    <cellStyle name="Percent 3 2 2 5 2" xfId="2169" xr:uid="{3BBB971D-8FC1-4954-B231-60A0150CA1AE}"/>
    <cellStyle name="Percent 3 2 2 5 2 2" xfId="13453" xr:uid="{D5C17F52-6BD6-4803-98F0-5569629F387E}"/>
    <cellStyle name="Percent 3 2 2 5 2 3" xfId="15706" xr:uid="{AC71763C-75B5-425D-8627-A4F1CEB5D6A9}"/>
    <cellStyle name="Percent 3 2 2 5 2 4" xfId="17959" xr:uid="{1ADC69A7-58F8-4BD2-8F5F-AD1178E963C1}"/>
    <cellStyle name="Percent 3 2 2 5 3" xfId="3295" xr:uid="{B664C587-E222-4714-95E0-328414BEBB45}"/>
    <cellStyle name="Percent 3 2 2 5 4" xfId="4421" xr:uid="{ED803AF1-3650-4A68-AA6D-DE41DE08BD8E}"/>
    <cellStyle name="Percent 3 2 2 5 5" xfId="5547" xr:uid="{8B0716D7-4832-4036-9CCF-61D8F2E104AB}"/>
    <cellStyle name="Percent 3 2 2 5 6" xfId="6674" xr:uid="{33E47098-1848-41BE-8F7F-B0CF681DC0D1}"/>
    <cellStyle name="Percent 3 2 2 5 7" xfId="7810" xr:uid="{50864F55-EF72-44E3-B313-8BAFFDB863D9}"/>
    <cellStyle name="Percent 3 2 2 5 8" xfId="8041" xr:uid="{0FF77DF5-4AB6-4EAF-88ED-1FBBE8A15559}"/>
    <cellStyle name="Percent 3 2 2 5 9" xfId="9178" xr:uid="{0ED09383-3E4D-41DA-8048-D48C2B1BA0D9}"/>
    <cellStyle name="Percent 3 2 2 6" xfId="2158" xr:uid="{2D84F915-22C0-4EFD-87F2-58FA5D5381AE}"/>
    <cellStyle name="Percent 3 2 2 6 2" xfId="13442" xr:uid="{14DB0348-D08B-4F72-9FEC-F04932C6E1C9}"/>
    <cellStyle name="Percent 3 2 2 6 3" xfId="15695" xr:uid="{8B83BCDA-A0FC-41F5-AD78-A971E3292D2F}"/>
    <cellStyle name="Percent 3 2 2 6 4" xfId="17948" xr:uid="{C93CF234-E73F-4692-A28B-9C3E754E2AAE}"/>
    <cellStyle name="Percent 3 2 2 7" xfId="3284" xr:uid="{8670EC22-7571-41BB-A660-5FA71F003805}"/>
    <cellStyle name="Percent 3 2 2 8" xfId="4410" xr:uid="{3BA73CDB-4B29-49C5-BFA3-BFAE23D3F7C8}"/>
    <cellStyle name="Percent 3 2 2 9" xfId="5536" xr:uid="{1F4E8B8B-5B6E-429A-AF41-747A5A6DB13F}"/>
    <cellStyle name="Percent 3 2 3" xfId="1042" xr:uid="{22DC267E-70F9-456C-887D-F206403A81CF}"/>
    <cellStyle name="Percent 3 2 3 10" xfId="7811" xr:uid="{68D90541-8B4A-4AF9-83BD-E19ACFAA8FF5}"/>
    <cellStyle name="Percent 3 2 3 11" xfId="8040" xr:uid="{15FD90F5-D63A-4154-8EC8-16E48C5B8D6A}"/>
    <cellStyle name="Percent 3 2 3 12" xfId="9177" xr:uid="{4A28ECDE-AD13-4C82-A6D1-464E4602F2CF}"/>
    <cellStyle name="Percent 3 2 3 13" xfId="10304" xr:uid="{BBECC32F-C37D-48B8-929F-7004A96E835D}"/>
    <cellStyle name="Percent 3 2 3 14" xfId="12327" xr:uid="{2A01E2E8-9293-4AD5-BBAC-89295A3EB812}"/>
    <cellStyle name="Percent 3 2 3 15" xfId="14580" xr:uid="{40BF23AD-0014-42FC-BF1E-FD4B9446ED9A}"/>
    <cellStyle name="Percent 3 2 3 16" xfId="16833" xr:uid="{131B22B0-1BFE-406E-9059-D9134E938886}"/>
    <cellStyle name="Percent 3 2 3 2" xfId="1043" xr:uid="{1BDF77CE-BBC9-42B5-918A-36A6F924818B}"/>
    <cellStyle name="Percent 3 2 3 2 10" xfId="8039" xr:uid="{1AAEA361-1696-45E9-A3A5-3BD2F215555E}"/>
    <cellStyle name="Percent 3 2 3 2 11" xfId="9176" xr:uid="{33BA717D-F41B-4322-AE2B-4E983DA1C530}"/>
    <cellStyle name="Percent 3 2 3 2 12" xfId="10303" xr:uid="{F45AC40A-D64F-4230-B303-356F02A8C7AB}"/>
    <cellStyle name="Percent 3 2 3 2 13" xfId="12328" xr:uid="{A9EFCEA9-7591-4BA7-9D27-0199ECC60682}"/>
    <cellStyle name="Percent 3 2 3 2 14" xfId="14581" xr:uid="{EBA661E3-77C7-429D-AB02-1D6B929886C7}"/>
    <cellStyle name="Percent 3 2 3 2 15" xfId="16834" xr:uid="{1FC5B0F5-8871-4129-B486-A15145DEF269}"/>
    <cellStyle name="Percent 3 2 3 2 2" xfId="1044" xr:uid="{FE2D2759-51DA-4946-B668-60E05C795C94}"/>
    <cellStyle name="Percent 3 2 3 2 2 10" xfId="10302" xr:uid="{71156B9C-6DE7-40B5-98B2-8A25A2D477D0}"/>
    <cellStyle name="Percent 3 2 3 2 2 11" xfId="12329" xr:uid="{7A4A24FA-6B48-49A1-A13B-E634DAAE3BE6}"/>
    <cellStyle name="Percent 3 2 3 2 2 12" xfId="14582" xr:uid="{5E54FA9D-C2B9-41AB-8640-B097C368EA74}"/>
    <cellStyle name="Percent 3 2 3 2 2 13" xfId="16835" xr:uid="{58D0160A-5C56-42C7-B31C-D11AB1CB5BEF}"/>
    <cellStyle name="Percent 3 2 3 2 2 2" xfId="2172" xr:uid="{3FC3451D-7D01-4D78-BBED-E8F5250971BA}"/>
    <cellStyle name="Percent 3 2 3 2 2 2 2" xfId="13456" xr:uid="{A1C87DB1-D186-467E-85F3-174313CA3BA7}"/>
    <cellStyle name="Percent 3 2 3 2 2 2 3" xfId="15709" xr:uid="{438EC8C3-7ACE-4FB7-9A78-1A2A9F441A47}"/>
    <cellStyle name="Percent 3 2 3 2 2 2 4" xfId="17962" xr:uid="{A7D2CC6E-F497-4DB9-BFA3-D346E01A5EF8}"/>
    <cellStyle name="Percent 3 2 3 2 2 3" xfId="3298" xr:uid="{3602E704-1E41-4FDB-9B45-9038F2BBDDA4}"/>
    <cellStyle name="Percent 3 2 3 2 2 4" xfId="4424" xr:uid="{BE200502-D9B2-433F-BD64-4A28D3C759E0}"/>
    <cellStyle name="Percent 3 2 3 2 2 5" xfId="5550" xr:uid="{6937AA71-89A2-41B9-9E7B-C07464875FBC}"/>
    <cellStyle name="Percent 3 2 3 2 2 6" xfId="6677" xr:uid="{988BB16B-3756-4767-8BDD-F906A19AFF36}"/>
    <cellStyle name="Percent 3 2 3 2 2 7" xfId="7813" xr:uid="{CDAF81AE-B5FD-4FBC-98D0-8FF83ACBCD54}"/>
    <cellStyle name="Percent 3 2 3 2 2 8" xfId="8038" xr:uid="{FE91C06E-FCDD-4E87-B0A8-BBF398E69135}"/>
    <cellStyle name="Percent 3 2 3 2 2 9" xfId="9175" xr:uid="{9EDED056-E2D9-4C66-8674-DE9720CF1818}"/>
    <cellStyle name="Percent 3 2 3 2 3" xfId="1045" xr:uid="{88D671E1-1170-47D3-9356-0C69B7BA594E}"/>
    <cellStyle name="Percent 3 2 3 2 3 10" xfId="10301" xr:uid="{C4B4360B-A649-47CB-BBD8-4D34D138484A}"/>
    <cellStyle name="Percent 3 2 3 2 3 11" xfId="12330" xr:uid="{46CA8CD5-C239-4C10-B8B7-FDF74426D261}"/>
    <cellStyle name="Percent 3 2 3 2 3 12" xfId="14583" xr:uid="{4C3C28FF-A579-4C6D-ABBF-80B989E3BDE7}"/>
    <cellStyle name="Percent 3 2 3 2 3 13" xfId="16836" xr:uid="{D2E943B7-80A2-4BAC-8F51-E902DC50CD0A}"/>
    <cellStyle name="Percent 3 2 3 2 3 2" xfId="2173" xr:uid="{CAA63A1D-453A-4FC1-9E7E-63E2FE493360}"/>
    <cellStyle name="Percent 3 2 3 2 3 2 2" xfId="13457" xr:uid="{032F9EEF-3FB1-40E5-98E9-54284FB82E32}"/>
    <cellStyle name="Percent 3 2 3 2 3 2 3" xfId="15710" xr:uid="{31B3C8B4-CADF-4B37-B309-39D64238FF58}"/>
    <cellStyle name="Percent 3 2 3 2 3 2 4" xfId="17963" xr:uid="{32A99038-1394-480A-9A76-5E96B48D1FF6}"/>
    <cellStyle name="Percent 3 2 3 2 3 3" xfId="3299" xr:uid="{C6CF0C83-5A8E-449E-B9B8-97C7272CC3A5}"/>
    <cellStyle name="Percent 3 2 3 2 3 4" xfId="4425" xr:uid="{EB0AB244-9A72-45DA-9916-A3BBF139C0AA}"/>
    <cellStyle name="Percent 3 2 3 2 3 5" xfId="5551" xr:uid="{D610599D-5FF4-4DE8-BF75-68D659E1B04E}"/>
    <cellStyle name="Percent 3 2 3 2 3 6" xfId="6678" xr:uid="{AF3479BC-E4BA-4494-A2D6-63C62F2658E4}"/>
    <cellStyle name="Percent 3 2 3 2 3 7" xfId="7814" xr:uid="{367FBCCA-A5A9-4F64-B9E0-7770F3BF46B4}"/>
    <cellStyle name="Percent 3 2 3 2 3 8" xfId="8037" xr:uid="{2A2DCAEA-BFAE-4218-8D9B-5D014A0A7EF0}"/>
    <cellStyle name="Percent 3 2 3 2 3 9" xfId="9174" xr:uid="{F6949382-5685-4BAA-9DDE-E0763D0C0AAB}"/>
    <cellStyle name="Percent 3 2 3 2 4" xfId="2171" xr:uid="{80CF3F38-8AD1-4971-867A-1D2A737891C0}"/>
    <cellStyle name="Percent 3 2 3 2 4 2" xfId="13455" xr:uid="{C97BA2D1-5E4B-4C86-85E6-C27D979010F7}"/>
    <cellStyle name="Percent 3 2 3 2 4 3" xfId="15708" xr:uid="{6E049B97-0C5E-4E42-91BC-F89C8740AE16}"/>
    <cellStyle name="Percent 3 2 3 2 4 4" xfId="17961" xr:uid="{F487ED4C-BAD6-468A-90BB-27DD2C36CBAC}"/>
    <cellStyle name="Percent 3 2 3 2 5" xfId="3297" xr:uid="{72A41731-B5A8-4D5F-9CAB-F952AEFC7AEA}"/>
    <cellStyle name="Percent 3 2 3 2 6" xfId="4423" xr:uid="{35A676C4-A327-49C0-B27D-C696FBEE38DE}"/>
    <cellStyle name="Percent 3 2 3 2 7" xfId="5549" xr:uid="{DA7C301B-08B4-4F43-A0DF-74C0C0DFC0A2}"/>
    <cellStyle name="Percent 3 2 3 2 8" xfId="6676" xr:uid="{CC9D2683-3B19-4B9D-B9DF-72F5CB5BC138}"/>
    <cellStyle name="Percent 3 2 3 2 9" xfId="7812" xr:uid="{458D93CB-3B07-429C-8CC4-E0166CD36493}"/>
    <cellStyle name="Percent 3 2 3 3" xfId="1046" xr:uid="{4DC1666B-EDCA-444C-B1F6-DB4D8BF21C4F}"/>
    <cellStyle name="Percent 3 2 3 3 10" xfId="10300" xr:uid="{8E2926C8-D4B0-4BA0-B067-019AB37D99A4}"/>
    <cellStyle name="Percent 3 2 3 3 11" xfId="12331" xr:uid="{FD172281-1CF6-4652-9604-9A821089442C}"/>
    <cellStyle name="Percent 3 2 3 3 12" xfId="14584" xr:uid="{6EEBF125-EEB3-4D45-B82B-C9B11C0AA65E}"/>
    <cellStyle name="Percent 3 2 3 3 13" xfId="16837" xr:uid="{9A225253-6167-46ED-87D4-8BE6C53D38DC}"/>
    <cellStyle name="Percent 3 2 3 3 2" xfId="2174" xr:uid="{289D04DD-6482-4965-B13B-A586292E9D26}"/>
    <cellStyle name="Percent 3 2 3 3 2 2" xfId="13458" xr:uid="{FA03502C-AEE7-443A-85ED-3630B8D425B7}"/>
    <cellStyle name="Percent 3 2 3 3 2 3" xfId="15711" xr:uid="{B4D3C478-F917-4AB0-A690-33BE1CA12AB3}"/>
    <cellStyle name="Percent 3 2 3 3 2 4" xfId="17964" xr:uid="{7E760EBD-9E86-4161-B56D-C6E1AD578A0C}"/>
    <cellStyle name="Percent 3 2 3 3 3" xfId="3300" xr:uid="{53E76A87-1E0B-422F-AB4D-C7F36E2535E6}"/>
    <cellStyle name="Percent 3 2 3 3 4" xfId="4426" xr:uid="{1E6EB56B-CA50-4199-B23F-24372D6A481D}"/>
    <cellStyle name="Percent 3 2 3 3 5" xfId="5552" xr:uid="{060FFC9E-1679-4A35-A617-CE0E57BD7227}"/>
    <cellStyle name="Percent 3 2 3 3 6" xfId="6679" xr:uid="{59D64272-8974-42E6-8B0D-224A7D20C1CF}"/>
    <cellStyle name="Percent 3 2 3 3 7" xfId="7815" xr:uid="{34E7FE05-6CF3-4740-B0D2-3F42CF9AF994}"/>
    <cellStyle name="Percent 3 2 3 3 8" xfId="8036" xr:uid="{FE00494E-C865-4E5A-8F77-CCD01A91F738}"/>
    <cellStyle name="Percent 3 2 3 3 9" xfId="9173" xr:uid="{E47E1AF5-6812-4CE6-9F09-79E5FB14C14D}"/>
    <cellStyle name="Percent 3 2 3 4" xfId="1047" xr:uid="{4A507716-E7EE-4BDE-A846-AFEDADEF6DB9}"/>
    <cellStyle name="Percent 3 2 3 4 10" xfId="10299" xr:uid="{236069B5-49B8-4A41-AEE9-3E63691C9BB0}"/>
    <cellStyle name="Percent 3 2 3 4 11" xfId="12332" xr:uid="{3562BC3C-4935-47FB-B02F-58518DD06BDA}"/>
    <cellStyle name="Percent 3 2 3 4 12" xfId="14585" xr:uid="{CD221F22-C3AF-4281-9E33-9A4B63C5410C}"/>
    <cellStyle name="Percent 3 2 3 4 13" xfId="16838" xr:uid="{A7C66D05-2CBB-4C81-8A43-9C4069D3974F}"/>
    <cellStyle name="Percent 3 2 3 4 2" xfId="2175" xr:uid="{A9F65A2B-E827-4A9E-B9E8-52440C01B362}"/>
    <cellStyle name="Percent 3 2 3 4 2 2" xfId="13459" xr:uid="{41A60BA1-808A-4ED6-B838-D0BF275BABC2}"/>
    <cellStyle name="Percent 3 2 3 4 2 3" xfId="15712" xr:uid="{BCEE80CD-2322-4A21-8C3B-4B8C3AEC57F8}"/>
    <cellStyle name="Percent 3 2 3 4 2 4" xfId="17965" xr:uid="{40BA4A44-2B9D-4611-9704-6E5251FB6ED9}"/>
    <cellStyle name="Percent 3 2 3 4 3" xfId="3301" xr:uid="{31291D27-614D-4B70-80E0-3FC2D241A9F8}"/>
    <cellStyle name="Percent 3 2 3 4 4" xfId="4427" xr:uid="{C41400D7-D578-414D-AB34-66A18AABA93C}"/>
    <cellStyle name="Percent 3 2 3 4 5" xfId="5553" xr:uid="{87815B05-40A4-41C2-89C6-6E94B53D7C35}"/>
    <cellStyle name="Percent 3 2 3 4 6" xfId="6680" xr:uid="{88AC19D9-C99A-4177-B5BE-4C3AD0A7E27C}"/>
    <cellStyle name="Percent 3 2 3 4 7" xfId="7816" xr:uid="{C27D0108-1811-436E-AD23-A3835499822E}"/>
    <cellStyle name="Percent 3 2 3 4 8" xfId="8035" xr:uid="{E3483353-4C25-43CA-A354-D74423664550}"/>
    <cellStyle name="Percent 3 2 3 4 9" xfId="9172" xr:uid="{0F5D516E-3310-4A26-96F6-8CCF3AC05EC0}"/>
    <cellStyle name="Percent 3 2 3 5" xfId="2170" xr:uid="{D9E8BF77-498C-4840-9C45-F7AA34698F67}"/>
    <cellStyle name="Percent 3 2 3 5 2" xfId="13454" xr:uid="{756A8386-0D15-47FE-9568-D5765EF3D6D9}"/>
    <cellStyle name="Percent 3 2 3 5 3" xfId="15707" xr:uid="{F24C222E-635F-462E-ABC6-E9E775E31EDD}"/>
    <cellStyle name="Percent 3 2 3 5 4" xfId="17960" xr:uid="{7ABB15E6-C8E3-458A-94EA-3B2371DD7A0B}"/>
    <cellStyle name="Percent 3 2 3 6" xfId="3296" xr:uid="{27FC153F-E141-4626-8565-3BD24E423EA8}"/>
    <cellStyle name="Percent 3 2 3 7" xfId="4422" xr:uid="{4D148D29-909C-41C8-AB45-11C6CC45C56B}"/>
    <cellStyle name="Percent 3 2 3 8" xfId="5548" xr:uid="{E14B317D-C101-4942-8CC9-A6FBE11E8B5B}"/>
    <cellStyle name="Percent 3 2 3 9" xfId="6675" xr:uid="{CC5D0CE6-7A32-4F5E-8CDC-698CB95D073B}"/>
    <cellStyle name="Percent 3 2 4" xfId="1048" xr:uid="{C87BA0D7-0819-4AFF-91C6-130895357BBF}"/>
    <cellStyle name="Percent 3 2 4 10" xfId="8034" xr:uid="{495D36FF-8F2E-480F-9657-5572D74826EA}"/>
    <cellStyle name="Percent 3 2 4 11" xfId="9171" xr:uid="{66751238-850B-48D1-A2EB-2552D887A294}"/>
    <cellStyle name="Percent 3 2 4 12" xfId="10298" xr:uid="{39100D28-F67E-4140-A8F7-FFA6F61DA8F2}"/>
    <cellStyle name="Percent 3 2 4 13" xfId="12333" xr:uid="{BDDC3905-92C9-42DA-A24E-5AC6ECC11C5D}"/>
    <cellStyle name="Percent 3 2 4 14" xfId="14586" xr:uid="{5ECDA41B-269F-4817-924F-F1349C4D6D05}"/>
    <cellStyle name="Percent 3 2 4 15" xfId="16839" xr:uid="{A5392D73-469C-408F-89C4-281FCFF1AC47}"/>
    <cellStyle name="Percent 3 2 4 2" xfId="1049" xr:uid="{8384A7A9-4A80-4F6E-AE16-5BD24ADE31FB}"/>
    <cellStyle name="Percent 3 2 4 2 10" xfId="10297" xr:uid="{1A39E998-81F2-4CD6-91B7-8A9B5190A0AA}"/>
    <cellStyle name="Percent 3 2 4 2 11" xfId="12334" xr:uid="{7C0A5272-A45E-43FC-9C5F-C44710BD7515}"/>
    <cellStyle name="Percent 3 2 4 2 12" xfId="14587" xr:uid="{EF5416C8-23F5-4BE2-9429-D6DE153ECC66}"/>
    <cellStyle name="Percent 3 2 4 2 13" xfId="16840" xr:uid="{15D7CFA8-09B5-46C1-9CC6-2C3C96E958D5}"/>
    <cellStyle name="Percent 3 2 4 2 2" xfId="2177" xr:uid="{F74E0827-2C14-447E-AB55-83268F204525}"/>
    <cellStyle name="Percent 3 2 4 2 2 2" xfId="13461" xr:uid="{1E30C9F8-0C07-4BBD-8B69-337935057F37}"/>
    <cellStyle name="Percent 3 2 4 2 2 3" xfId="15714" xr:uid="{4F1BBDE9-A639-404A-9313-7117E3B7F2B0}"/>
    <cellStyle name="Percent 3 2 4 2 2 4" xfId="17967" xr:uid="{1141B295-E5B2-4290-899C-C71EEB57B151}"/>
    <cellStyle name="Percent 3 2 4 2 3" xfId="3303" xr:uid="{D1D3EF8D-F25F-4F79-BCC9-D0F279FBEDE5}"/>
    <cellStyle name="Percent 3 2 4 2 4" xfId="4429" xr:uid="{72D81EEF-7F83-4F46-A9A3-4E06CA879AF0}"/>
    <cellStyle name="Percent 3 2 4 2 5" xfId="5555" xr:uid="{B6C624C3-67B0-44B3-985C-75C16C692A3C}"/>
    <cellStyle name="Percent 3 2 4 2 6" xfId="6682" xr:uid="{EA9F7FE5-5211-46B0-9BE0-5DCD3D9A63FE}"/>
    <cellStyle name="Percent 3 2 4 2 7" xfId="7818" xr:uid="{6F92292C-87A1-49AF-A494-8949DA307B20}"/>
    <cellStyle name="Percent 3 2 4 2 8" xfId="8033" xr:uid="{1C110BD7-4721-4BFC-BF02-2C06D7E573DC}"/>
    <cellStyle name="Percent 3 2 4 2 9" xfId="9170" xr:uid="{96EE99C2-9F23-4D0C-9426-61484BB76655}"/>
    <cellStyle name="Percent 3 2 4 3" xfId="1050" xr:uid="{1D81A278-2A20-4E9D-8399-C9F2587B4DC0}"/>
    <cellStyle name="Percent 3 2 4 3 10" xfId="10296" xr:uid="{C3256CF1-2331-4181-B287-D2E53D419558}"/>
    <cellStyle name="Percent 3 2 4 3 11" xfId="12335" xr:uid="{5A545B84-E643-4C74-B021-9C6A28C413A3}"/>
    <cellStyle name="Percent 3 2 4 3 12" xfId="14588" xr:uid="{33A9947C-EA9A-44C5-82C0-3827626593FF}"/>
    <cellStyle name="Percent 3 2 4 3 13" xfId="16841" xr:uid="{7DA2E18D-0DAB-4995-8795-E47A704A4126}"/>
    <cellStyle name="Percent 3 2 4 3 2" xfId="2178" xr:uid="{1862DB08-DC52-400B-BEE8-A58899C6F0BC}"/>
    <cellStyle name="Percent 3 2 4 3 2 2" xfId="13462" xr:uid="{669A854F-5201-44D2-BE8A-EA40EB96CBA2}"/>
    <cellStyle name="Percent 3 2 4 3 2 3" xfId="15715" xr:uid="{5CEB6DC1-DE42-4A2D-ABE8-147C8767E69F}"/>
    <cellStyle name="Percent 3 2 4 3 2 4" xfId="17968" xr:uid="{1CE7BC50-523D-4EDA-B3D7-DAD3CD76ADAA}"/>
    <cellStyle name="Percent 3 2 4 3 3" xfId="3304" xr:uid="{300479C6-C044-4E28-BFD7-B2B18A25001F}"/>
    <cellStyle name="Percent 3 2 4 3 4" xfId="4430" xr:uid="{74E2152F-2804-4A9F-975E-D6B9412E7377}"/>
    <cellStyle name="Percent 3 2 4 3 5" xfId="5556" xr:uid="{FBFC5DFA-AF00-4C13-886A-FE579D77FB3D}"/>
    <cellStyle name="Percent 3 2 4 3 6" xfId="6683" xr:uid="{8274F2CC-46DD-4702-B8EE-34DF99A9376C}"/>
    <cellStyle name="Percent 3 2 4 3 7" xfId="7819" xr:uid="{0C0C0DED-FE40-4716-8F63-333BC85B298A}"/>
    <cellStyle name="Percent 3 2 4 3 8" xfId="8032" xr:uid="{067B15CC-5B4B-4F30-BB78-370D11AD2A7F}"/>
    <cellStyle name="Percent 3 2 4 3 9" xfId="9169" xr:uid="{B28C4896-1057-467D-90E3-0E4AB5459A8F}"/>
    <cellStyle name="Percent 3 2 4 4" xfId="2176" xr:uid="{0330CD35-671B-4CAA-BE23-244ABCBB8845}"/>
    <cellStyle name="Percent 3 2 4 4 2" xfId="13460" xr:uid="{A2E9E2A3-901C-4F23-B0A4-CFEBFD38E150}"/>
    <cellStyle name="Percent 3 2 4 4 3" xfId="15713" xr:uid="{95C8CA3D-43B2-4182-B059-FFB10886279B}"/>
    <cellStyle name="Percent 3 2 4 4 4" xfId="17966" xr:uid="{23A06070-6328-4B45-9F3C-A7C108D017C5}"/>
    <cellStyle name="Percent 3 2 4 5" xfId="3302" xr:uid="{8B0D7769-E551-425F-AC58-8ABBC4FF6DD3}"/>
    <cellStyle name="Percent 3 2 4 6" xfId="4428" xr:uid="{8987707D-9852-4AFB-ADFE-6D7D8BF2944D}"/>
    <cellStyle name="Percent 3 2 4 7" xfId="5554" xr:uid="{7489E904-AD4B-426F-963C-7DED8A8DCDD8}"/>
    <cellStyle name="Percent 3 2 4 8" xfId="6681" xr:uid="{1BF7AADE-184E-4D53-AA28-427AF28C00A4}"/>
    <cellStyle name="Percent 3 2 4 9" xfId="7817" xr:uid="{8DDB54E8-C995-4C4B-A454-6EC78D688AEB}"/>
    <cellStyle name="Percent 3 2 5" xfId="1051" xr:uid="{0606FF88-81F6-4BEE-9BAE-5C0F385BBEC3}"/>
    <cellStyle name="Percent 3 2 5 10" xfId="10295" xr:uid="{D2DA5C66-813C-4E62-AE63-5E0AF9C3275C}"/>
    <cellStyle name="Percent 3 2 5 11" xfId="12336" xr:uid="{8820BD89-F974-4E09-B827-BC889FCF9292}"/>
    <cellStyle name="Percent 3 2 5 12" xfId="14589" xr:uid="{A088E63F-3579-4600-AA9A-F8A5FC065F1A}"/>
    <cellStyle name="Percent 3 2 5 13" xfId="16842" xr:uid="{332FD1B4-7A27-41F2-B632-99E458563B33}"/>
    <cellStyle name="Percent 3 2 5 2" xfId="2179" xr:uid="{BDE9600C-9417-49E1-8F39-10EB4428CD41}"/>
    <cellStyle name="Percent 3 2 5 2 2" xfId="13463" xr:uid="{2AB1B643-E195-41A6-8776-D76D38E9B7A5}"/>
    <cellStyle name="Percent 3 2 5 2 3" xfId="15716" xr:uid="{E53A18BE-068C-4A89-A375-D291443A51FA}"/>
    <cellStyle name="Percent 3 2 5 2 4" xfId="17969" xr:uid="{F7CEB17A-98EC-4A7B-8F9A-0B63746C185E}"/>
    <cellStyle name="Percent 3 2 5 3" xfId="3305" xr:uid="{881ABEDC-51BB-421E-AC51-9613709134AE}"/>
    <cellStyle name="Percent 3 2 5 4" xfId="4431" xr:uid="{18FBF736-90B0-4188-ACAB-9ADE73F2B8A1}"/>
    <cellStyle name="Percent 3 2 5 5" xfId="5557" xr:uid="{65E268FC-6E9A-4AF4-B76D-A72A53A6857C}"/>
    <cellStyle name="Percent 3 2 5 6" xfId="6684" xr:uid="{01503153-EA80-4AB4-B92A-784918BCC7F4}"/>
    <cellStyle name="Percent 3 2 5 7" xfId="7820" xr:uid="{0A352BD1-FA12-4F17-A3EF-29BBCE862C35}"/>
    <cellStyle name="Percent 3 2 5 8" xfId="8031" xr:uid="{5FC0C1C2-4319-4055-AB22-CC82CC988487}"/>
    <cellStyle name="Percent 3 2 5 9" xfId="9168" xr:uid="{411EE0AB-9A2D-494E-A735-3C3FCDBF9FA9}"/>
    <cellStyle name="Percent 3 2 6" xfId="1052" xr:uid="{2C8F70C8-7919-4740-9708-8FCA03B733BE}"/>
    <cellStyle name="Percent 3 2 6 10" xfId="10294" xr:uid="{51C8A35E-D1E8-4E0E-A641-1CED02594A47}"/>
    <cellStyle name="Percent 3 2 6 11" xfId="12337" xr:uid="{6B1242D9-F9E3-45AE-844E-4B9CAB4A0B8F}"/>
    <cellStyle name="Percent 3 2 6 12" xfId="14590" xr:uid="{E7DA60C5-6C73-460C-80E5-394FFF61F7F6}"/>
    <cellStyle name="Percent 3 2 6 13" xfId="16843" xr:uid="{871489BB-BDC2-4387-BE79-580CB988880A}"/>
    <cellStyle name="Percent 3 2 6 2" xfId="2180" xr:uid="{FAD2AA15-AD23-4554-AA12-2BD16310DC42}"/>
    <cellStyle name="Percent 3 2 6 2 2" xfId="13464" xr:uid="{30443BA1-3C11-4217-82DA-D685E89520FA}"/>
    <cellStyle name="Percent 3 2 6 2 3" xfId="15717" xr:uid="{36D29C4D-D0A8-4556-BB3D-480C2644F745}"/>
    <cellStyle name="Percent 3 2 6 2 4" xfId="17970" xr:uid="{B76D0D05-E653-4F07-8657-BF86BFC47755}"/>
    <cellStyle name="Percent 3 2 6 3" xfId="3306" xr:uid="{09FF44D2-F4BC-425E-A90D-66C4A65B86F4}"/>
    <cellStyle name="Percent 3 2 6 4" xfId="4432" xr:uid="{5E9D1E0F-D4E6-4F29-A63A-8E4D7E6782D7}"/>
    <cellStyle name="Percent 3 2 6 5" xfId="5558" xr:uid="{F03C37EC-B982-46B8-8C9D-21D39053F3D1}"/>
    <cellStyle name="Percent 3 2 6 6" xfId="6685" xr:uid="{D7F02556-E142-4C39-B9ED-F1CEA4C6FB7E}"/>
    <cellStyle name="Percent 3 2 6 7" xfId="7821" xr:uid="{7C738B71-B538-4B18-96DD-D54C95CE42A4}"/>
    <cellStyle name="Percent 3 2 6 8" xfId="8030" xr:uid="{0041F190-C2DD-45AC-8B82-87B9837D4477}"/>
    <cellStyle name="Percent 3 2 6 9" xfId="9167" xr:uid="{34AE394E-F315-4C62-A5A2-886CD46504DF}"/>
    <cellStyle name="Percent 3 2 7" xfId="2157" xr:uid="{40C84A49-8AAE-4D3B-B03F-F4F2FE82E671}"/>
    <cellStyle name="Percent 3 2 7 2" xfId="13441" xr:uid="{DB34DCDB-AED4-47B6-AEAD-084215BCA47E}"/>
    <cellStyle name="Percent 3 2 7 3" xfId="15694" xr:uid="{7F562820-EBFD-4B14-802B-BBCBB44731FB}"/>
    <cellStyle name="Percent 3 2 7 4" xfId="17947" xr:uid="{B14A98F4-E91D-4BB5-A182-D695DFF77AC1}"/>
    <cellStyle name="Percent 3 2 8" xfId="3283" xr:uid="{EF4A7DA0-7D79-42FA-8002-1EDAAF01B8EB}"/>
    <cellStyle name="Percent 3 2 9" xfId="4409" xr:uid="{E6769E17-C9BF-4D12-BB55-4E65BF29ABD9}"/>
    <cellStyle name="Percent 3 20" xfId="16819" xr:uid="{5825A3C0-3033-44CE-B762-93AB907396A3}"/>
    <cellStyle name="Percent 3 3" xfId="1053" xr:uid="{F2D6228A-B1FC-4E98-9C13-EFCC8A4B94B9}"/>
    <cellStyle name="Percent 3 3 10" xfId="6686" xr:uid="{B8A67BA9-09B8-42DE-9713-DFECD1AE58A4}"/>
    <cellStyle name="Percent 3 3 11" xfId="7822" xr:uid="{5B487948-6412-4C72-B6EB-0F7D80DDDDA9}"/>
    <cellStyle name="Percent 3 3 12" xfId="8029" xr:uid="{26B3F1FE-6404-4B81-9CF2-4B28C520CAE8}"/>
    <cellStyle name="Percent 3 3 13" xfId="9166" xr:uid="{E65DEB3B-C290-4C87-ABD4-B7BB2CD51A49}"/>
    <cellStyle name="Percent 3 3 14" xfId="10293" xr:uid="{8EE31738-CF78-4F90-8DD0-F4A8145122A8}"/>
    <cellStyle name="Percent 3 3 15" xfId="12338" xr:uid="{66064DEC-F3F6-4E88-8EF0-9D1CF87EA38F}"/>
    <cellStyle name="Percent 3 3 16" xfId="14591" xr:uid="{65E5879B-6451-4D59-9166-E7421B5B1750}"/>
    <cellStyle name="Percent 3 3 17" xfId="16844" xr:uid="{D8189EAF-BF5C-4918-B22B-29600425E465}"/>
    <cellStyle name="Percent 3 3 2" xfId="1054" xr:uid="{C958EB2D-22AB-4312-917A-F919B5DD4ACB}"/>
    <cellStyle name="Percent 3 3 2 10" xfId="7823" xr:uid="{555DC917-A2D6-48C9-AAF1-2A72947B9EC4}"/>
    <cellStyle name="Percent 3 3 2 11" xfId="8028" xr:uid="{340528AD-9796-42EC-9E8C-BE26401BE81F}"/>
    <cellStyle name="Percent 3 3 2 12" xfId="9165" xr:uid="{DB0E6807-9263-4136-BC43-CFE36804417B}"/>
    <cellStyle name="Percent 3 3 2 13" xfId="10292" xr:uid="{521876D9-6FD6-4391-9031-7DDD941D0E4C}"/>
    <cellStyle name="Percent 3 3 2 14" xfId="12339" xr:uid="{A7C9888B-C3BC-4E03-9DA8-A1A9A675DE31}"/>
    <cellStyle name="Percent 3 3 2 15" xfId="14592" xr:uid="{F1826409-517E-448A-B0DA-8AE575A73059}"/>
    <cellStyle name="Percent 3 3 2 16" xfId="16845" xr:uid="{B3D6F6F5-3E97-45B7-AF91-5A793351E187}"/>
    <cellStyle name="Percent 3 3 2 2" xfId="1055" xr:uid="{DD66C4B4-E44E-40E3-9350-6977614B1B9F}"/>
    <cellStyle name="Percent 3 3 2 2 10" xfId="8027" xr:uid="{4EB2B2B4-17CE-4280-A8C0-B20D84449F6B}"/>
    <cellStyle name="Percent 3 3 2 2 11" xfId="9164" xr:uid="{04498554-E355-4A6A-9E75-897E4EFC7B2D}"/>
    <cellStyle name="Percent 3 3 2 2 12" xfId="10291" xr:uid="{A87ECB67-C398-433F-A8BE-448CA9B4C88C}"/>
    <cellStyle name="Percent 3 3 2 2 13" xfId="12340" xr:uid="{4AEEC165-F04E-406B-9B9C-90629BD714EC}"/>
    <cellStyle name="Percent 3 3 2 2 14" xfId="14593" xr:uid="{B28F64F7-9EE9-4692-A888-91AE76CA32D0}"/>
    <cellStyle name="Percent 3 3 2 2 15" xfId="16846" xr:uid="{20580449-7575-4CDC-9927-C6B43A4CB8C3}"/>
    <cellStyle name="Percent 3 3 2 2 2" xfId="1056" xr:uid="{95B0F414-1C53-4827-A1D5-B29EC180AB5D}"/>
    <cellStyle name="Percent 3 3 2 2 2 10" xfId="10290" xr:uid="{588E3A0D-40E5-4005-8F1B-ADB5E825312E}"/>
    <cellStyle name="Percent 3 3 2 2 2 11" xfId="12341" xr:uid="{F3C02923-CDAE-4EC8-A2E4-22A2AC70D668}"/>
    <cellStyle name="Percent 3 3 2 2 2 12" xfId="14594" xr:uid="{48245800-C3F3-4064-90A7-6C9FD12DF057}"/>
    <cellStyle name="Percent 3 3 2 2 2 13" xfId="16847" xr:uid="{21481777-E027-4E92-B657-161CF02E4224}"/>
    <cellStyle name="Percent 3 3 2 2 2 2" xfId="2184" xr:uid="{101DB86D-1470-4A8A-AB07-65B3B4DBD7E2}"/>
    <cellStyle name="Percent 3 3 2 2 2 2 2" xfId="13468" xr:uid="{50D27F6A-D96D-419F-AD4F-6BB738864C4D}"/>
    <cellStyle name="Percent 3 3 2 2 2 2 3" xfId="15721" xr:uid="{16FBD68E-8D3C-4711-831A-8B01786DF4A7}"/>
    <cellStyle name="Percent 3 3 2 2 2 2 4" xfId="17974" xr:uid="{35B7C113-5EE3-46DB-95EF-4458659A5533}"/>
    <cellStyle name="Percent 3 3 2 2 2 3" xfId="3310" xr:uid="{AFE459DE-C8E6-4350-9613-FB9B740DAF82}"/>
    <cellStyle name="Percent 3 3 2 2 2 4" xfId="4436" xr:uid="{12EC92EB-3B99-42F2-B585-84EFD93CC2E4}"/>
    <cellStyle name="Percent 3 3 2 2 2 5" xfId="5562" xr:uid="{7B7CE9E4-6B7B-42E3-AA87-4CF319FAA5CD}"/>
    <cellStyle name="Percent 3 3 2 2 2 6" xfId="6689" xr:uid="{C3F1E7EA-29B4-4EC9-946F-42A1C8A061A4}"/>
    <cellStyle name="Percent 3 3 2 2 2 7" xfId="7825" xr:uid="{06433065-0B99-4CE6-B8B1-E8D706FE7C2C}"/>
    <cellStyle name="Percent 3 3 2 2 2 8" xfId="8026" xr:uid="{D297AEA0-A45C-4244-BFD2-CF0632751068}"/>
    <cellStyle name="Percent 3 3 2 2 2 9" xfId="9163" xr:uid="{3D17A396-434D-463F-B8AA-C512CF0B7C85}"/>
    <cellStyle name="Percent 3 3 2 2 3" xfId="1057" xr:uid="{4497ADE0-9D0A-45C0-8856-D30909CB70CE}"/>
    <cellStyle name="Percent 3 3 2 2 3 10" xfId="10289" xr:uid="{D059EE2F-0B1B-4BB6-B6E3-7FC826D6CFC3}"/>
    <cellStyle name="Percent 3 3 2 2 3 11" xfId="12342" xr:uid="{C9A77364-7C93-4346-AED5-E98358E242ED}"/>
    <cellStyle name="Percent 3 3 2 2 3 12" xfId="14595" xr:uid="{BA7532C2-CED0-4737-8C02-7D1E0C5A7247}"/>
    <cellStyle name="Percent 3 3 2 2 3 13" xfId="16848" xr:uid="{078AC8CB-0A92-4212-84B7-3085D99FAF99}"/>
    <cellStyle name="Percent 3 3 2 2 3 2" xfId="2185" xr:uid="{10083B2B-E049-404B-8770-E12E4F8C7EF5}"/>
    <cellStyle name="Percent 3 3 2 2 3 2 2" xfId="13469" xr:uid="{0BFFDFE0-C13D-48EB-BC5B-5792B4C742BE}"/>
    <cellStyle name="Percent 3 3 2 2 3 2 3" xfId="15722" xr:uid="{9075433C-BC96-4E6E-ACC6-5689EB47056B}"/>
    <cellStyle name="Percent 3 3 2 2 3 2 4" xfId="17975" xr:uid="{22F27802-DBE2-4021-A9D4-620031BA08AE}"/>
    <cellStyle name="Percent 3 3 2 2 3 3" xfId="3311" xr:uid="{6F1709E1-D98B-497B-8226-16C1CB0C7E92}"/>
    <cellStyle name="Percent 3 3 2 2 3 4" xfId="4437" xr:uid="{D59E490D-4455-4513-BA2F-851BEF2C364C}"/>
    <cellStyle name="Percent 3 3 2 2 3 5" xfId="5563" xr:uid="{7C9306E1-5807-4DA9-87B9-9D632EB90752}"/>
    <cellStyle name="Percent 3 3 2 2 3 6" xfId="6690" xr:uid="{1FE6E093-BA91-4B3D-8610-EF4321A2C915}"/>
    <cellStyle name="Percent 3 3 2 2 3 7" xfId="7826" xr:uid="{F8965EED-F9C0-4D0F-A7D6-DB5798FD5433}"/>
    <cellStyle name="Percent 3 3 2 2 3 8" xfId="8025" xr:uid="{58472BF6-9BAA-42B7-B0D3-86047079B6E1}"/>
    <cellStyle name="Percent 3 3 2 2 3 9" xfId="9162" xr:uid="{DA8A10EB-60BE-431A-9D10-4AC7F8EE5BEF}"/>
    <cellStyle name="Percent 3 3 2 2 4" xfId="2183" xr:uid="{795D07B9-42A0-4482-B96B-A830141C760D}"/>
    <cellStyle name="Percent 3 3 2 2 4 2" xfId="13467" xr:uid="{5AA65150-14BE-4ABA-BA11-A28DC5659340}"/>
    <cellStyle name="Percent 3 3 2 2 4 3" xfId="15720" xr:uid="{8C0E9876-7949-4E01-A9D0-1BECF0454775}"/>
    <cellStyle name="Percent 3 3 2 2 4 4" xfId="17973" xr:uid="{D68CB23A-58E0-43B7-BE37-3363BC40FDC9}"/>
    <cellStyle name="Percent 3 3 2 2 5" xfId="3309" xr:uid="{93D0D870-908F-477C-B988-8785D2C197F6}"/>
    <cellStyle name="Percent 3 3 2 2 6" xfId="4435" xr:uid="{9889EAF0-092F-492F-A28B-92391A496AED}"/>
    <cellStyle name="Percent 3 3 2 2 7" xfId="5561" xr:uid="{8B19884A-9EF9-45F5-8DF8-A3580A2D0691}"/>
    <cellStyle name="Percent 3 3 2 2 8" xfId="6688" xr:uid="{E74EE202-7EC1-4CDA-8F87-0317DBE52AC4}"/>
    <cellStyle name="Percent 3 3 2 2 9" xfId="7824" xr:uid="{170A5088-2013-4AF2-9B36-8498B9DABF06}"/>
    <cellStyle name="Percent 3 3 2 3" xfId="1058" xr:uid="{341D61FA-0A88-4DE8-8F10-8E215A1F0A4A}"/>
    <cellStyle name="Percent 3 3 2 3 10" xfId="10288" xr:uid="{01B47773-090B-4593-B544-CD4FEB9D5D2A}"/>
    <cellStyle name="Percent 3 3 2 3 11" xfId="12343" xr:uid="{0C6972FE-CA70-4ABB-B931-2F664E33214C}"/>
    <cellStyle name="Percent 3 3 2 3 12" xfId="14596" xr:uid="{6ED0D4A9-7EB0-4231-885D-8E5EF31CE2C9}"/>
    <cellStyle name="Percent 3 3 2 3 13" xfId="16849" xr:uid="{B412EDC3-555B-4345-A1E7-472CCA4F48C4}"/>
    <cellStyle name="Percent 3 3 2 3 2" xfId="2186" xr:uid="{ACBD53BA-FA4B-497B-AE7C-6E6F00673580}"/>
    <cellStyle name="Percent 3 3 2 3 2 2" xfId="13470" xr:uid="{791C1E8F-BE2E-4C70-9DF6-7AE3F1DAAA21}"/>
    <cellStyle name="Percent 3 3 2 3 2 3" xfId="15723" xr:uid="{39EC65A2-FFB3-4E25-8BC5-C6D959B18CAE}"/>
    <cellStyle name="Percent 3 3 2 3 2 4" xfId="17976" xr:uid="{FCA24ABB-2DEE-4DE4-8355-61CD13DD05AE}"/>
    <cellStyle name="Percent 3 3 2 3 3" xfId="3312" xr:uid="{C48A4BDF-E776-42E4-91B6-9C91424DF61E}"/>
    <cellStyle name="Percent 3 3 2 3 4" xfId="4438" xr:uid="{0269CF88-D837-4BE6-B27D-D28E481A8A48}"/>
    <cellStyle name="Percent 3 3 2 3 5" xfId="5564" xr:uid="{75D10AE3-DEAA-4691-9519-97FD19861703}"/>
    <cellStyle name="Percent 3 3 2 3 6" xfId="6691" xr:uid="{14985AEC-B01D-480A-8E73-6096389CE472}"/>
    <cellStyle name="Percent 3 3 2 3 7" xfId="7827" xr:uid="{FA26D3EB-C7A4-4CC6-A51D-7FA081109282}"/>
    <cellStyle name="Percent 3 3 2 3 8" xfId="8024" xr:uid="{D4E3F2FD-D3BB-48F0-B8A5-2C50FAA0C151}"/>
    <cellStyle name="Percent 3 3 2 3 9" xfId="9161" xr:uid="{C1370E12-C4BF-4EF9-A571-6590C3AB191B}"/>
    <cellStyle name="Percent 3 3 2 4" xfId="1059" xr:uid="{EA21AA21-957B-41E5-8A95-FCFDC3A45707}"/>
    <cellStyle name="Percent 3 3 2 4 10" xfId="10287" xr:uid="{6EBC2F94-8BE1-4216-B722-8B1D6A90368F}"/>
    <cellStyle name="Percent 3 3 2 4 11" xfId="12344" xr:uid="{14813E41-D01B-4417-B877-2A05A71DB5E0}"/>
    <cellStyle name="Percent 3 3 2 4 12" xfId="14597" xr:uid="{9B6E24F5-5C9E-4402-8FA3-477DF7E13D78}"/>
    <cellStyle name="Percent 3 3 2 4 13" xfId="16850" xr:uid="{176F37A3-0B0F-49F1-989A-3E1A817DD4D6}"/>
    <cellStyle name="Percent 3 3 2 4 2" xfId="2187" xr:uid="{23251B71-07DA-48A2-B549-B72A35080876}"/>
    <cellStyle name="Percent 3 3 2 4 2 2" xfId="13471" xr:uid="{FF6AA865-FA21-40C3-83BB-312B25F778C6}"/>
    <cellStyle name="Percent 3 3 2 4 2 3" xfId="15724" xr:uid="{02E78416-CE99-4AFE-9CBC-D5B369B2AC82}"/>
    <cellStyle name="Percent 3 3 2 4 2 4" xfId="17977" xr:uid="{9738FEF9-4816-4798-80E7-490D25BCB0D6}"/>
    <cellStyle name="Percent 3 3 2 4 3" xfId="3313" xr:uid="{EEB4A757-F108-4243-8349-EDC862DDD58D}"/>
    <cellStyle name="Percent 3 3 2 4 4" xfId="4439" xr:uid="{BCE53CC0-40B0-4C86-892D-323B8C2CD6C3}"/>
    <cellStyle name="Percent 3 3 2 4 5" xfId="5565" xr:uid="{8B93CCBA-55D0-453B-8422-E675B207BE66}"/>
    <cellStyle name="Percent 3 3 2 4 6" xfId="6692" xr:uid="{D55ECDC2-C30F-4CE1-8C4D-566887569B6E}"/>
    <cellStyle name="Percent 3 3 2 4 7" xfId="7828" xr:uid="{4C8E4386-A4D4-4A1F-9154-EB0254FED095}"/>
    <cellStyle name="Percent 3 3 2 4 8" xfId="8023" xr:uid="{CBBC1476-FE3A-4238-B8D7-0E2A63424E93}"/>
    <cellStyle name="Percent 3 3 2 4 9" xfId="9160" xr:uid="{63B8AA90-C941-4208-9F95-518F7822F4D7}"/>
    <cellStyle name="Percent 3 3 2 5" xfId="2182" xr:uid="{B0479991-C6A0-40C9-A9A0-D2B56AE5BC53}"/>
    <cellStyle name="Percent 3 3 2 5 2" xfId="13466" xr:uid="{FA5759F6-985A-430D-8646-473CA946DE3B}"/>
    <cellStyle name="Percent 3 3 2 5 3" xfId="15719" xr:uid="{C8BB2C85-EF8D-40C6-A691-35B104C6BE7D}"/>
    <cellStyle name="Percent 3 3 2 5 4" xfId="17972" xr:uid="{2D59D216-1C49-47FB-B1D0-A159C889487C}"/>
    <cellStyle name="Percent 3 3 2 6" xfId="3308" xr:uid="{0EA26A9C-9697-4F4F-B402-59ADFACDC02D}"/>
    <cellStyle name="Percent 3 3 2 7" xfId="4434" xr:uid="{ACBCC079-4256-40DB-BBD2-59B03A04F758}"/>
    <cellStyle name="Percent 3 3 2 8" xfId="5560" xr:uid="{F27FFCDE-6980-40DE-84CA-428E7A5A387B}"/>
    <cellStyle name="Percent 3 3 2 9" xfId="6687" xr:uid="{DEECC6E6-BA22-420F-845B-ADDCD52BA946}"/>
    <cellStyle name="Percent 3 3 3" xfId="1060" xr:uid="{ED9110DA-BA9F-4DCC-A6D7-17D15A50B18B}"/>
    <cellStyle name="Percent 3 3 3 10" xfId="8022" xr:uid="{42100446-B2F0-4CD4-8220-02FBCD0F0532}"/>
    <cellStyle name="Percent 3 3 3 11" xfId="9159" xr:uid="{5DB8098E-AA57-4985-BB1A-223FB47B341C}"/>
    <cellStyle name="Percent 3 3 3 12" xfId="10286" xr:uid="{09F4E54D-E17D-4776-86DE-1EBCA2F8EEEA}"/>
    <cellStyle name="Percent 3 3 3 13" xfId="12345" xr:uid="{285293AB-416D-4212-84A1-620CD67FA11E}"/>
    <cellStyle name="Percent 3 3 3 14" xfId="14598" xr:uid="{472121BF-A977-4F6A-A4FC-9B6B9F0DD414}"/>
    <cellStyle name="Percent 3 3 3 15" xfId="16851" xr:uid="{B6FFD1FE-6E2F-42E5-B3BB-1496E3474EC3}"/>
    <cellStyle name="Percent 3 3 3 2" xfId="1061" xr:uid="{3B07F9D8-0D4B-4867-896A-E6628E34E4E0}"/>
    <cellStyle name="Percent 3 3 3 2 10" xfId="10285" xr:uid="{B607E770-4B4F-4364-96FE-10C8080C55D8}"/>
    <cellStyle name="Percent 3 3 3 2 11" xfId="12346" xr:uid="{BF040786-2BC1-4BE4-A9A8-C4567E3917E5}"/>
    <cellStyle name="Percent 3 3 3 2 12" xfId="14599" xr:uid="{9B665D33-AAEF-47B1-8386-A271D85FF63D}"/>
    <cellStyle name="Percent 3 3 3 2 13" xfId="16852" xr:uid="{26D2EBA7-A34E-4F48-BA60-915CD5249A2A}"/>
    <cellStyle name="Percent 3 3 3 2 2" xfId="2189" xr:uid="{2ADC8AD6-728A-4858-90D1-28722D7C99DB}"/>
    <cellStyle name="Percent 3 3 3 2 2 2" xfId="13473" xr:uid="{5D42A68C-C9EB-4980-AC3B-B8CE7D04D51D}"/>
    <cellStyle name="Percent 3 3 3 2 2 3" xfId="15726" xr:uid="{F76B6325-2F85-42F1-B35F-DFB761B2432B}"/>
    <cellStyle name="Percent 3 3 3 2 2 4" xfId="17979" xr:uid="{356953AB-5C8B-487D-BC48-6C8CE6F2B811}"/>
    <cellStyle name="Percent 3 3 3 2 3" xfId="3315" xr:uid="{2ABCA1B1-287D-4509-B2F5-AC5509DA6C5E}"/>
    <cellStyle name="Percent 3 3 3 2 4" xfId="4441" xr:uid="{1F32A9F4-670B-4E2F-9ADF-588F2AF12101}"/>
    <cellStyle name="Percent 3 3 3 2 5" xfId="5567" xr:uid="{6EB479F8-D84F-4C2A-816F-6F76DC2B6A71}"/>
    <cellStyle name="Percent 3 3 3 2 6" xfId="6694" xr:uid="{7902A7C7-593B-4E85-B40A-60FD85B2FD64}"/>
    <cellStyle name="Percent 3 3 3 2 7" xfId="7830" xr:uid="{98C01F2A-5DC6-48CA-930A-0BE240D85329}"/>
    <cellStyle name="Percent 3 3 3 2 8" xfId="8021" xr:uid="{14F6F9F2-CA87-4E16-958B-24B38D310E3B}"/>
    <cellStyle name="Percent 3 3 3 2 9" xfId="9158" xr:uid="{780EB546-C4BB-427E-87C5-5D889F8174C2}"/>
    <cellStyle name="Percent 3 3 3 3" xfId="1062" xr:uid="{CB9F6603-9002-40F0-9424-4A8F7E7890B9}"/>
    <cellStyle name="Percent 3 3 3 3 10" xfId="10284" xr:uid="{56F6C617-D5D0-4E27-99B0-D2EA7A675400}"/>
    <cellStyle name="Percent 3 3 3 3 11" xfId="12347" xr:uid="{E708DEE1-8040-4877-B7E8-8382DB36597E}"/>
    <cellStyle name="Percent 3 3 3 3 12" xfId="14600" xr:uid="{D73A9E00-B9B9-46ED-A922-E83799C864F4}"/>
    <cellStyle name="Percent 3 3 3 3 13" xfId="16853" xr:uid="{6694803E-A792-496C-8B08-B6232EBF54F1}"/>
    <cellStyle name="Percent 3 3 3 3 2" xfId="2190" xr:uid="{882EF89A-60A5-446C-8C0E-CC0B3D4F4143}"/>
    <cellStyle name="Percent 3 3 3 3 2 2" xfId="13474" xr:uid="{9CC60771-397A-4CC3-BC6F-811383172706}"/>
    <cellStyle name="Percent 3 3 3 3 2 3" xfId="15727" xr:uid="{7F6A730C-3EA7-4DC6-B028-254EC89BA3D5}"/>
    <cellStyle name="Percent 3 3 3 3 2 4" xfId="17980" xr:uid="{AD9337CD-B8BA-4912-9750-290D6983B63F}"/>
    <cellStyle name="Percent 3 3 3 3 3" xfId="3316" xr:uid="{212CA040-844D-4E52-8C82-DDE12DB3B636}"/>
    <cellStyle name="Percent 3 3 3 3 4" xfId="4442" xr:uid="{A965CE96-7BBE-4E7E-8529-3933A2FE5A7F}"/>
    <cellStyle name="Percent 3 3 3 3 5" xfId="5568" xr:uid="{876D7BDA-A5F8-45EB-BAF5-C235C815174E}"/>
    <cellStyle name="Percent 3 3 3 3 6" xfId="6695" xr:uid="{A9BB589F-3377-4A37-B070-FB9EA78121B6}"/>
    <cellStyle name="Percent 3 3 3 3 7" xfId="7831" xr:uid="{03140C6C-BB41-4BE1-86AD-CC870D06A9F8}"/>
    <cellStyle name="Percent 3 3 3 3 8" xfId="8020" xr:uid="{4191B91F-529F-41E1-9BF7-A50B54CDFCC8}"/>
    <cellStyle name="Percent 3 3 3 3 9" xfId="9157" xr:uid="{CFF79E8B-118B-48BA-9EC4-D2A4B4AAC1E6}"/>
    <cellStyle name="Percent 3 3 3 4" xfId="2188" xr:uid="{9E08F399-15A2-499C-9C2B-4F553171D66F}"/>
    <cellStyle name="Percent 3 3 3 4 2" xfId="13472" xr:uid="{60ED8A32-2DD3-4CC0-9435-22DC2D41448B}"/>
    <cellStyle name="Percent 3 3 3 4 3" xfId="15725" xr:uid="{A99E6F61-D044-490D-9658-26464090F00B}"/>
    <cellStyle name="Percent 3 3 3 4 4" xfId="17978" xr:uid="{BDAACB1E-7394-44C6-925B-011BF8B8F6AB}"/>
    <cellStyle name="Percent 3 3 3 5" xfId="3314" xr:uid="{6B9D3874-194C-4BB5-9546-4AE8FBBB8D0C}"/>
    <cellStyle name="Percent 3 3 3 6" xfId="4440" xr:uid="{38B235A8-9130-42AD-A9F6-CBC00EF937EB}"/>
    <cellStyle name="Percent 3 3 3 7" xfId="5566" xr:uid="{7B18862E-A969-42E5-A1DE-F79855C07557}"/>
    <cellStyle name="Percent 3 3 3 8" xfId="6693" xr:uid="{93932EE1-83C7-4CEF-96A7-13DC42E945B4}"/>
    <cellStyle name="Percent 3 3 3 9" xfId="7829" xr:uid="{C01F12BF-32B4-4D83-BC47-34C3E7947536}"/>
    <cellStyle name="Percent 3 3 4" xfId="1063" xr:uid="{F7D7E1F0-54E2-410E-853A-7AE52F9E707E}"/>
    <cellStyle name="Percent 3 3 4 10" xfId="10283" xr:uid="{8E3DD745-090B-46BA-B6A7-3C38AFB896F9}"/>
    <cellStyle name="Percent 3 3 4 11" xfId="12348" xr:uid="{583EA925-B787-44CC-9A83-19BFB4D3E4BB}"/>
    <cellStyle name="Percent 3 3 4 12" xfId="14601" xr:uid="{1B794480-D4AA-4704-9EFD-9B199A8FE81B}"/>
    <cellStyle name="Percent 3 3 4 13" xfId="16854" xr:uid="{5C64A7A5-2470-4E41-9F07-1D2379941EA9}"/>
    <cellStyle name="Percent 3 3 4 2" xfId="2191" xr:uid="{252E419C-2DAD-4A84-AEC6-3011EEFBA9EB}"/>
    <cellStyle name="Percent 3 3 4 2 2" xfId="13475" xr:uid="{4B17C5A8-EF1D-4BFD-A2F8-8EE2B8FA6F9E}"/>
    <cellStyle name="Percent 3 3 4 2 3" xfId="15728" xr:uid="{13544A51-4AAD-4546-805B-9D1729A6AE81}"/>
    <cellStyle name="Percent 3 3 4 2 4" xfId="17981" xr:uid="{4D404163-BD7F-4CAA-8F1E-DCFE3CD89F17}"/>
    <cellStyle name="Percent 3 3 4 3" xfId="3317" xr:uid="{DF97E1B5-B2AA-4F02-B8BA-71C9E4E1D941}"/>
    <cellStyle name="Percent 3 3 4 4" xfId="4443" xr:uid="{C5735C43-AD25-4988-A731-C2AF2440AE6E}"/>
    <cellStyle name="Percent 3 3 4 5" xfId="5569" xr:uid="{D5B2DF8D-F70E-47F1-8101-1A15D4884A4E}"/>
    <cellStyle name="Percent 3 3 4 6" xfId="6696" xr:uid="{212A62DC-C5C0-40CB-A470-D2256BD3EE2F}"/>
    <cellStyle name="Percent 3 3 4 7" xfId="7832" xr:uid="{299619C3-2C4F-4E02-8C51-4C614E4BC291}"/>
    <cellStyle name="Percent 3 3 4 8" xfId="8019" xr:uid="{912EE8E4-A681-4043-971F-950FD7869529}"/>
    <cellStyle name="Percent 3 3 4 9" xfId="9156" xr:uid="{80A33DB2-D015-446D-808E-FD19B5D8E5EC}"/>
    <cellStyle name="Percent 3 3 5" xfId="1064" xr:uid="{79FDF1B3-1DBB-4F76-8B32-5A96804C2FE8}"/>
    <cellStyle name="Percent 3 3 5 10" xfId="10282" xr:uid="{7306F3FC-DE58-47BD-B085-48E1FDCC6AF5}"/>
    <cellStyle name="Percent 3 3 5 11" xfId="12349" xr:uid="{D853C9D1-2A5A-4E31-86DD-73B828E77627}"/>
    <cellStyle name="Percent 3 3 5 12" xfId="14602" xr:uid="{CE610533-576B-4D42-8C6F-DE28A94642F0}"/>
    <cellStyle name="Percent 3 3 5 13" xfId="16855" xr:uid="{2F347C0B-356B-4029-A26C-F0D11ED01E67}"/>
    <cellStyle name="Percent 3 3 5 2" xfId="2192" xr:uid="{E4FBA520-20AD-4375-9BA4-5202F052F284}"/>
    <cellStyle name="Percent 3 3 5 2 2" xfId="13476" xr:uid="{18BD0E94-3008-488A-9BF1-B57E5D72C5FB}"/>
    <cellStyle name="Percent 3 3 5 2 3" xfId="15729" xr:uid="{0ECF43C4-25BC-498C-B06E-666FE5CC00F0}"/>
    <cellStyle name="Percent 3 3 5 2 4" xfId="17982" xr:uid="{E711F129-6FCF-49E4-A530-C5EBD5A2876E}"/>
    <cellStyle name="Percent 3 3 5 3" xfId="3318" xr:uid="{E5D2CB99-09CE-4E51-87F2-4E45492D768B}"/>
    <cellStyle name="Percent 3 3 5 4" xfId="4444" xr:uid="{BA112898-92E7-47B9-AAA9-1A94A950271A}"/>
    <cellStyle name="Percent 3 3 5 5" xfId="5570" xr:uid="{BCDAC0DB-94DC-4239-A9E2-E18E4FDBD930}"/>
    <cellStyle name="Percent 3 3 5 6" xfId="6697" xr:uid="{8F323709-4051-492C-9C03-B604864E8C8E}"/>
    <cellStyle name="Percent 3 3 5 7" xfId="7833" xr:uid="{05869C61-1E02-4068-994F-6FDA2E19FFA5}"/>
    <cellStyle name="Percent 3 3 5 8" xfId="8018" xr:uid="{7B510897-246D-4ADD-890D-66373FF73068}"/>
    <cellStyle name="Percent 3 3 5 9" xfId="9155" xr:uid="{25ADA9E8-2D04-4693-B547-B901BAD1AE1F}"/>
    <cellStyle name="Percent 3 3 6" xfId="2181" xr:uid="{E23E3258-A140-490B-9E5D-A593E0903F29}"/>
    <cellStyle name="Percent 3 3 6 2" xfId="13465" xr:uid="{28A0DC6B-84C4-42B5-849E-F57BC4FCB603}"/>
    <cellStyle name="Percent 3 3 6 3" xfId="15718" xr:uid="{481FD3AF-E097-49FE-B621-ACE9FC421C5B}"/>
    <cellStyle name="Percent 3 3 6 4" xfId="17971" xr:uid="{35CE684A-BE0B-4CE4-BF63-FADDC8214735}"/>
    <cellStyle name="Percent 3 3 7" xfId="3307" xr:uid="{BD7EF1E7-4BF7-41E5-A619-003A0300750F}"/>
    <cellStyle name="Percent 3 3 8" xfId="4433" xr:uid="{D05DE53F-CD57-4993-8DCE-AA36E8EC4E40}"/>
    <cellStyle name="Percent 3 3 9" xfId="5559" xr:uid="{E02205F2-19AA-4AA3-B577-AEA2B36413EB}"/>
    <cellStyle name="Percent 3 4" xfId="1065" xr:uid="{129D442F-317C-40D2-9A55-4D3335F30607}"/>
    <cellStyle name="Percent 3 4 10" xfId="7834" xr:uid="{2F0DC503-16CE-4227-9E8A-16B0E57B37E9}"/>
    <cellStyle name="Percent 3 4 11" xfId="8017" xr:uid="{38089B68-C68D-47D1-A81C-85057EB6D9A8}"/>
    <cellStyle name="Percent 3 4 12" xfId="9154" xr:uid="{70C30A65-DDF3-4C70-91D3-B31A1FF468C4}"/>
    <cellStyle name="Percent 3 4 13" xfId="10281" xr:uid="{467BCAC0-5B64-4374-82FE-45A8EFB665CE}"/>
    <cellStyle name="Percent 3 4 14" xfId="12350" xr:uid="{DFA03890-D65C-4EB7-9493-62070595CBC2}"/>
    <cellStyle name="Percent 3 4 15" xfId="14603" xr:uid="{54FB780C-279C-415B-878C-15E6A75B247C}"/>
    <cellStyle name="Percent 3 4 16" xfId="16856" xr:uid="{2F3CA87B-74D7-4954-8373-47BFF64D6BC9}"/>
    <cellStyle name="Percent 3 4 2" xfId="1066" xr:uid="{50959ABC-AB17-4F0D-A0DA-971E838A166B}"/>
    <cellStyle name="Percent 3 4 2 10" xfId="8016" xr:uid="{2B00D9E4-C3AD-41BC-BA2D-B13B300D966E}"/>
    <cellStyle name="Percent 3 4 2 11" xfId="9153" xr:uid="{EE0E6E33-C86D-455E-8336-E864DF56EB64}"/>
    <cellStyle name="Percent 3 4 2 12" xfId="10280" xr:uid="{00F02E03-B99F-4999-93FD-857C26E2569F}"/>
    <cellStyle name="Percent 3 4 2 13" xfId="12351" xr:uid="{8367E2F5-F8EB-4647-A5D9-9F1D39CF56CD}"/>
    <cellStyle name="Percent 3 4 2 14" xfId="14604" xr:uid="{1610CC2D-2F43-4B83-BB5E-B2A971EA9845}"/>
    <cellStyle name="Percent 3 4 2 15" xfId="16857" xr:uid="{963D4471-A8EF-49DB-B853-BE42D6382A2C}"/>
    <cellStyle name="Percent 3 4 2 2" xfId="1067" xr:uid="{EF8780F1-D00E-4C87-A396-35A1283653E3}"/>
    <cellStyle name="Percent 3 4 2 2 10" xfId="10279" xr:uid="{22E2EF15-66DB-40BD-9A6A-EA0F2CC71F48}"/>
    <cellStyle name="Percent 3 4 2 2 11" xfId="12352" xr:uid="{D939394F-6CBC-4166-AA22-C3470D4EF2DA}"/>
    <cellStyle name="Percent 3 4 2 2 12" xfId="14605" xr:uid="{6E814FA5-AC92-4AA4-9E2F-58C71D653FF9}"/>
    <cellStyle name="Percent 3 4 2 2 13" xfId="16858" xr:uid="{E1CBF495-0C10-4FF7-AF11-0FDB39AE1B06}"/>
    <cellStyle name="Percent 3 4 2 2 2" xfId="2195" xr:uid="{E6F61A83-203C-4591-B666-A356DE3C167A}"/>
    <cellStyle name="Percent 3 4 2 2 2 2" xfId="13479" xr:uid="{B4E3F731-81FA-482D-AE96-3DF28473EB15}"/>
    <cellStyle name="Percent 3 4 2 2 2 3" xfId="15732" xr:uid="{40F2903A-0011-4CD2-916E-7A07F18669E0}"/>
    <cellStyle name="Percent 3 4 2 2 2 4" xfId="17985" xr:uid="{E8BC287E-B220-4771-AA22-7CEE42488D12}"/>
    <cellStyle name="Percent 3 4 2 2 3" xfId="3321" xr:uid="{D027FB6F-C4FD-49FA-8298-06384891A4B4}"/>
    <cellStyle name="Percent 3 4 2 2 4" xfId="4447" xr:uid="{8C7F5426-6BD3-405C-AF83-095ECBB44C23}"/>
    <cellStyle name="Percent 3 4 2 2 5" xfId="5573" xr:uid="{41B909CC-121E-4BC3-8647-295B9C47846C}"/>
    <cellStyle name="Percent 3 4 2 2 6" xfId="6700" xr:uid="{7DD14768-B214-4A0B-A668-E1F537E463CE}"/>
    <cellStyle name="Percent 3 4 2 2 7" xfId="7836" xr:uid="{642A5F92-55CD-484A-929C-44461A5C7787}"/>
    <cellStyle name="Percent 3 4 2 2 8" xfId="8015" xr:uid="{24258696-03EC-45A6-8E34-F6B5D4AC496B}"/>
    <cellStyle name="Percent 3 4 2 2 9" xfId="9152" xr:uid="{E6496524-C0E5-4B09-9E3C-91B00D1E571F}"/>
    <cellStyle name="Percent 3 4 2 3" xfId="1068" xr:uid="{9D6E64CB-1CCE-468D-AB75-5C0DAFD9EDCE}"/>
    <cellStyle name="Percent 3 4 2 3 10" xfId="10278" xr:uid="{508748F7-4BF5-4425-AAD8-8A4D42124E3E}"/>
    <cellStyle name="Percent 3 4 2 3 11" xfId="12353" xr:uid="{DD420CB9-EE9E-4156-BA8D-9991A6C8F9C2}"/>
    <cellStyle name="Percent 3 4 2 3 12" xfId="14606" xr:uid="{82E22F58-C7C3-4BCF-8F88-644FE6B52E95}"/>
    <cellStyle name="Percent 3 4 2 3 13" xfId="16859" xr:uid="{AD6D00C9-A793-455A-8BDA-A84D7F0A1EFD}"/>
    <cellStyle name="Percent 3 4 2 3 2" xfId="2196" xr:uid="{76E34A24-78CD-433B-8EE1-2765995F7D44}"/>
    <cellStyle name="Percent 3 4 2 3 2 2" xfId="13480" xr:uid="{41BC167D-A1B3-4C03-AB71-34D6E11F7860}"/>
    <cellStyle name="Percent 3 4 2 3 2 3" xfId="15733" xr:uid="{E74D4BF9-E44E-44B1-AD42-45AE97F846DC}"/>
    <cellStyle name="Percent 3 4 2 3 2 4" xfId="17986" xr:uid="{9DF19A82-1B46-4E15-9D64-1858785AEA9D}"/>
    <cellStyle name="Percent 3 4 2 3 3" xfId="3322" xr:uid="{ACFD1589-BCAE-4137-ACC9-9B0760FD6471}"/>
    <cellStyle name="Percent 3 4 2 3 4" xfId="4448" xr:uid="{CE8960A3-2B14-410F-8FD6-18ADAF71EE7D}"/>
    <cellStyle name="Percent 3 4 2 3 5" xfId="5574" xr:uid="{314614A3-4139-44F4-9C75-22B65E3B6D59}"/>
    <cellStyle name="Percent 3 4 2 3 6" xfId="6701" xr:uid="{6B132F4A-8CC7-4581-81AD-1D00EB6A27D9}"/>
    <cellStyle name="Percent 3 4 2 3 7" xfId="7837" xr:uid="{65A5E7C6-8DB3-4C6A-A2A0-BD76C8C6800E}"/>
    <cellStyle name="Percent 3 4 2 3 8" xfId="8014" xr:uid="{CF764BAD-9BC3-4F29-8E34-836BD2475284}"/>
    <cellStyle name="Percent 3 4 2 3 9" xfId="9151" xr:uid="{31B23F97-0F07-4B80-ACF5-609945DE592E}"/>
    <cellStyle name="Percent 3 4 2 4" xfId="2194" xr:uid="{FB7973C6-48A2-40AF-A446-CB2AB6440314}"/>
    <cellStyle name="Percent 3 4 2 4 2" xfId="13478" xr:uid="{D55AD766-FDCE-4686-8359-D1F19B8FB1CB}"/>
    <cellStyle name="Percent 3 4 2 4 3" xfId="15731" xr:uid="{00F5EB91-F348-41D2-84B8-9CDAC8D53E11}"/>
    <cellStyle name="Percent 3 4 2 4 4" xfId="17984" xr:uid="{9EF1BCDF-DFF2-4DCD-B52A-685FE7BDED8F}"/>
    <cellStyle name="Percent 3 4 2 5" xfId="3320" xr:uid="{1CDA96E8-B51B-415C-AB98-B89670866C1D}"/>
    <cellStyle name="Percent 3 4 2 6" xfId="4446" xr:uid="{19E0ACC7-08AB-421E-BE33-2AE2C12BE126}"/>
    <cellStyle name="Percent 3 4 2 7" xfId="5572" xr:uid="{BE548184-A74C-4E04-B891-D2BFF066CC04}"/>
    <cellStyle name="Percent 3 4 2 8" xfId="6699" xr:uid="{558D7E85-8217-4105-BE9C-FE41965A6AB1}"/>
    <cellStyle name="Percent 3 4 2 9" xfId="7835" xr:uid="{C92452F1-42BB-4B5E-A4BF-2687CA1FC73A}"/>
    <cellStyle name="Percent 3 4 3" xfId="1069" xr:uid="{55FBBAFF-5EA6-407A-8CB6-500B19A84C87}"/>
    <cellStyle name="Percent 3 4 3 10" xfId="10277" xr:uid="{6C30F9E6-8D81-4133-AD29-0D357B8C3A1B}"/>
    <cellStyle name="Percent 3 4 3 11" xfId="12354" xr:uid="{6729E27B-5154-482D-B50E-016606795582}"/>
    <cellStyle name="Percent 3 4 3 12" xfId="14607" xr:uid="{6BFCA991-0235-49B4-9616-DB4440344C77}"/>
    <cellStyle name="Percent 3 4 3 13" xfId="16860" xr:uid="{057F5FA0-227B-4103-B04E-40A8F3F9E42B}"/>
    <cellStyle name="Percent 3 4 3 2" xfId="2197" xr:uid="{AB65608B-5321-4900-A769-EE5C9E8CFD5D}"/>
    <cellStyle name="Percent 3 4 3 2 2" xfId="13481" xr:uid="{010D9C59-D4E4-4F49-8CEF-275A44C18D8B}"/>
    <cellStyle name="Percent 3 4 3 2 3" xfId="15734" xr:uid="{14CB49A0-6D2D-451D-9321-53B980BAF7C8}"/>
    <cellStyle name="Percent 3 4 3 2 4" xfId="17987" xr:uid="{E3FB8FDD-E6AB-42D0-A1C7-B714FB6CA19B}"/>
    <cellStyle name="Percent 3 4 3 3" xfId="3323" xr:uid="{7A219CC4-530C-4560-9296-84CA7321B1F2}"/>
    <cellStyle name="Percent 3 4 3 4" xfId="4449" xr:uid="{EABC1CC3-77B3-4B07-B4AD-4F021EDD0247}"/>
    <cellStyle name="Percent 3 4 3 5" xfId="5575" xr:uid="{12FE2544-9074-4972-9C30-1FD4778F5352}"/>
    <cellStyle name="Percent 3 4 3 6" xfId="6702" xr:uid="{01450083-E662-4139-B2D0-1EE5F5771050}"/>
    <cellStyle name="Percent 3 4 3 7" xfId="7838" xr:uid="{47E81AC8-8790-4DFB-A769-2A5E28D7D96F}"/>
    <cellStyle name="Percent 3 4 3 8" xfId="8013" xr:uid="{C4B3F822-0BA8-4384-8337-D2B71558B089}"/>
    <cellStyle name="Percent 3 4 3 9" xfId="9150" xr:uid="{27235DC9-649B-4934-B846-BD7CD1635A10}"/>
    <cellStyle name="Percent 3 4 4" xfId="1070" xr:uid="{D72EE990-8B79-4259-8F91-B2DBD92BC9B6}"/>
    <cellStyle name="Percent 3 4 4 10" xfId="10276" xr:uid="{71ED6A62-38B4-4517-93AF-7DD2EF7B2218}"/>
    <cellStyle name="Percent 3 4 4 11" xfId="12355" xr:uid="{7D97BE09-BDA5-413A-8E53-D7BF25E4EADB}"/>
    <cellStyle name="Percent 3 4 4 12" xfId="14608" xr:uid="{A9FD95B0-1B8B-47E6-BC32-0104B24F71AF}"/>
    <cellStyle name="Percent 3 4 4 13" xfId="16861" xr:uid="{80CF8AA5-CEF5-4E95-829D-FA7CC57D0250}"/>
    <cellStyle name="Percent 3 4 4 2" xfId="2198" xr:uid="{8EBE811E-0758-4BC2-B239-A65C72912580}"/>
    <cellStyle name="Percent 3 4 4 2 2" xfId="13482" xr:uid="{7537B988-3FFE-4906-B8E4-62CBD13A6764}"/>
    <cellStyle name="Percent 3 4 4 2 3" xfId="15735" xr:uid="{3AA04A02-64D1-40E9-9352-00250652C206}"/>
    <cellStyle name="Percent 3 4 4 2 4" xfId="17988" xr:uid="{247EF988-B784-4DCC-8832-1A32EDD29D2C}"/>
    <cellStyle name="Percent 3 4 4 3" xfId="3324" xr:uid="{11DA66AB-EF32-488D-9C11-35D40A079FB9}"/>
    <cellStyle name="Percent 3 4 4 4" xfId="4450" xr:uid="{A69F753D-E8CB-486A-8A2D-51646AE70D5A}"/>
    <cellStyle name="Percent 3 4 4 5" xfId="5576" xr:uid="{DD00F580-4BC5-4C94-8789-540556E26D3F}"/>
    <cellStyle name="Percent 3 4 4 6" xfId="6703" xr:uid="{F0C9C91D-9CFA-4C12-A548-EAB0C20540AF}"/>
    <cellStyle name="Percent 3 4 4 7" xfId="7839" xr:uid="{457738C9-E6CA-49D5-99B8-66DFE8B4E747}"/>
    <cellStyle name="Percent 3 4 4 8" xfId="8012" xr:uid="{7BC0788B-B39A-4919-9A17-B72EF4E4066E}"/>
    <cellStyle name="Percent 3 4 4 9" xfId="9149" xr:uid="{034F2A6F-A2E3-413A-B78D-5617A2FBD306}"/>
    <cellStyle name="Percent 3 4 5" xfId="2193" xr:uid="{039FBC26-0818-4589-B0E5-76E41290B382}"/>
    <cellStyle name="Percent 3 4 5 2" xfId="13477" xr:uid="{FA9E1654-2422-468F-92E0-32B2CE3B7983}"/>
    <cellStyle name="Percent 3 4 5 3" xfId="15730" xr:uid="{40B3692B-7006-49C9-BF4A-43D58EED604A}"/>
    <cellStyle name="Percent 3 4 5 4" xfId="17983" xr:uid="{C459EF57-C6C0-43E9-B90C-F79EEBF1E4A7}"/>
    <cellStyle name="Percent 3 4 6" xfId="3319" xr:uid="{FDD7BBCF-BDCE-4DC8-8EBF-54167F78D771}"/>
    <cellStyle name="Percent 3 4 7" xfId="4445" xr:uid="{EB961C7A-86E8-453B-9E11-D1051E59DBB8}"/>
    <cellStyle name="Percent 3 4 8" xfId="5571" xr:uid="{E89BBB38-762D-4446-BB7F-101AF055A5F7}"/>
    <cellStyle name="Percent 3 4 9" xfId="6698" xr:uid="{C89F290C-87BE-414C-9582-BF43BB36BCFD}"/>
    <cellStyle name="Percent 3 5" xfId="1071" xr:uid="{403F6F29-4AFF-4524-ADBF-8E10394D2C77}"/>
    <cellStyle name="Percent 3 5 10" xfId="8011" xr:uid="{F26A702F-5348-4D61-9960-199366206284}"/>
    <cellStyle name="Percent 3 5 11" xfId="9148" xr:uid="{66385AD6-DAED-4CE7-8E9A-8FFE7C53D784}"/>
    <cellStyle name="Percent 3 5 12" xfId="10275" xr:uid="{DA35E7FB-BB74-4B9A-9E0F-FA3DC258B25D}"/>
    <cellStyle name="Percent 3 5 13" xfId="12356" xr:uid="{BAC2DE42-20D0-4BA8-9E2F-FED39D3C3083}"/>
    <cellStyle name="Percent 3 5 14" xfId="14609" xr:uid="{C79CB13C-8691-45AF-AA1B-C14D06D79DAD}"/>
    <cellStyle name="Percent 3 5 15" xfId="16862" xr:uid="{1C1DA2D7-5627-4E70-B5F6-4560351FFD6B}"/>
    <cellStyle name="Percent 3 5 2" xfId="1072" xr:uid="{561B60D6-31F7-47E9-B128-B78B36DD9132}"/>
    <cellStyle name="Percent 3 5 2 10" xfId="10274" xr:uid="{433A2D01-048D-477E-9036-16A6E0CA9B2C}"/>
    <cellStyle name="Percent 3 5 2 11" xfId="12357" xr:uid="{36671572-BAA0-4020-BCEA-00A7C882BC2C}"/>
    <cellStyle name="Percent 3 5 2 12" xfId="14610" xr:uid="{4722E6E8-A574-435C-AF5D-CA79320FFF78}"/>
    <cellStyle name="Percent 3 5 2 13" xfId="16863" xr:uid="{8BF36C86-E863-499A-B4D8-513A27F6D48B}"/>
    <cellStyle name="Percent 3 5 2 2" xfId="2200" xr:uid="{4097B4BC-3B20-41BF-B73F-97AEFEF527DA}"/>
    <cellStyle name="Percent 3 5 2 2 2" xfId="13484" xr:uid="{9175B141-A0D9-4D54-B4EB-71B0DA848867}"/>
    <cellStyle name="Percent 3 5 2 2 3" xfId="15737" xr:uid="{DF59474A-EC39-4ED5-AD27-9BDE4CB95895}"/>
    <cellStyle name="Percent 3 5 2 2 4" xfId="17990" xr:uid="{FC298890-66F6-4D95-B14E-9B1F7B7CD8C3}"/>
    <cellStyle name="Percent 3 5 2 3" xfId="3326" xr:uid="{F0EB736B-5FEC-48F3-986B-AE615231AB6E}"/>
    <cellStyle name="Percent 3 5 2 4" xfId="4452" xr:uid="{AABAACE8-758A-49EA-95D4-AB160D375102}"/>
    <cellStyle name="Percent 3 5 2 5" xfId="5578" xr:uid="{E1085C45-918B-4D8C-AE55-052BBEEF3C41}"/>
    <cellStyle name="Percent 3 5 2 6" xfId="6705" xr:uid="{EAB89C30-061A-4627-AD93-669B65600029}"/>
    <cellStyle name="Percent 3 5 2 7" xfId="7841" xr:uid="{3BFA83EF-9A9A-4C3A-BAD5-F7832F4DEB41}"/>
    <cellStyle name="Percent 3 5 2 8" xfId="8010" xr:uid="{82AB8F5E-1F7C-408A-89C8-F7C43C1BA194}"/>
    <cellStyle name="Percent 3 5 2 9" xfId="9147" xr:uid="{F6AE9635-DB50-4E08-A3C5-A6C12F960D33}"/>
    <cellStyle name="Percent 3 5 3" xfId="1073" xr:uid="{BC4368EA-B358-403A-9E1B-B7CE1B919930}"/>
    <cellStyle name="Percent 3 5 3 10" xfId="10273" xr:uid="{5ACFFA26-03A2-47FF-9518-D09CF3A59258}"/>
    <cellStyle name="Percent 3 5 3 11" xfId="12358" xr:uid="{B9DBE5DD-0D0D-4179-BE40-253A689BFEC4}"/>
    <cellStyle name="Percent 3 5 3 12" xfId="14611" xr:uid="{577EE75E-4016-4320-9732-B94B913C9A7C}"/>
    <cellStyle name="Percent 3 5 3 13" xfId="16864" xr:uid="{89F29FCA-0CB9-4045-BDD6-7EC66A721A58}"/>
    <cellStyle name="Percent 3 5 3 2" xfId="2201" xr:uid="{F8E62A55-0935-4DF3-AB2A-CC7ECF7A57B7}"/>
    <cellStyle name="Percent 3 5 3 2 2" xfId="13485" xr:uid="{A14A93DB-F2BE-404B-811A-B208A72536DF}"/>
    <cellStyle name="Percent 3 5 3 2 3" xfId="15738" xr:uid="{0757D939-7500-4669-8719-AB5089F7A9B7}"/>
    <cellStyle name="Percent 3 5 3 2 4" xfId="17991" xr:uid="{CF6C8CD1-2238-4426-867D-7AD8DAAAA9A6}"/>
    <cellStyle name="Percent 3 5 3 3" xfId="3327" xr:uid="{EC95176E-0A75-4356-8643-A285C23C616F}"/>
    <cellStyle name="Percent 3 5 3 4" xfId="4453" xr:uid="{A1E83E6B-C335-4EE7-87E1-23A729E5B7D9}"/>
    <cellStyle name="Percent 3 5 3 5" xfId="5579" xr:uid="{55609D74-1C0F-48D7-AEB6-8C4F4A073EB7}"/>
    <cellStyle name="Percent 3 5 3 6" xfId="6706" xr:uid="{9D4CBA11-654F-45EA-9569-8B92D6B63AE4}"/>
    <cellStyle name="Percent 3 5 3 7" xfId="7842" xr:uid="{7D279513-6BCC-461A-A8EF-EC7A660BD1F3}"/>
    <cellStyle name="Percent 3 5 3 8" xfId="8009" xr:uid="{6C3AEA87-8748-4BD1-BEDC-937BE94B15C7}"/>
    <cellStyle name="Percent 3 5 3 9" xfId="9146" xr:uid="{34540090-77D2-406A-8C51-B62331204325}"/>
    <cellStyle name="Percent 3 5 4" xfId="2199" xr:uid="{32C9C348-0996-4F7D-B072-A497701EAA7A}"/>
    <cellStyle name="Percent 3 5 4 2" xfId="13483" xr:uid="{12A33E31-BC71-4BB5-9BDF-E0B897EED3DC}"/>
    <cellStyle name="Percent 3 5 4 3" xfId="15736" xr:uid="{6C5E1359-C58C-4B47-AC90-A248904BEAB6}"/>
    <cellStyle name="Percent 3 5 4 4" xfId="17989" xr:uid="{4849E1BD-CA16-439F-91D0-6DADE3FF28B3}"/>
    <cellStyle name="Percent 3 5 5" xfId="3325" xr:uid="{7D4687DA-22D2-45D4-8B84-8666EB62BDD7}"/>
    <cellStyle name="Percent 3 5 6" xfId="4451" xr:uid="{6FBF6DD1-F698-4822-8B1D-CDDAAA0BD083}"/>
    <cellStyle name="Percent 3 5 7" xfId="5577" xr:uid="{5CB57099-74A4-493F-9DC6-B542E6A2A816}"/>
    <cellStyle name="Percent 3 5 8" xfId="6704" xr:uid="{8499920C-F086-45F4-89FA-9EA4A4AEA287}"/>
    <cellStyle name="Percent 3 5 9" xfId="7840" xr:uid="{5F3D9D0D-CE1C-49A8-939D-2B1CD092F048}"/>
    <cellStyle name="Percent 3 6" xfId="1074" xr:uid="{1A96DE11-535B-4E31-A03B-4687CC295EAC}"/>
    <cellStyle name="Percent 3 6 10" xfId="10272" xr:uid="{228FFE74-FC11-47D1-BBB3-D89CBC7F97C1}"/>
    <cellStyle name="Percent 3 6 11" xfId="12359" xr:uid="{5D557C90-467C-4532-BEA1-2C498ECFAB73}"/>
    <cellStyle name="Percent 3 6 12" xfId="14612" xr:uid="{7383DD44-DD83-4D70-8A80-96CE37B134F2}"/>
    <cellStyle name="Percent 3 6 13" xfId="16865" xr:uid="{98916D75-DDED-47E6-B7E5-7D33396BF0DA}"/>
    <cellStyle name="Percent 3 6 2" xfId="2202" xr:uid="{79FB8AE8-BE40-49C9-94A1-4EAEAAD94E1D}"/>
    <cellStyle name="Percent 3 6 2 2" xfId="13486" xr:uid="{1B235C4C-F08F-43C1-9F3E-C0F1CE2ACE8F}"/>
    <cellStyle name="Percent 3 6 2 3" xfId="15739" xr:uid="{DC8B2245-004D-484D-BC23-A3A1F22B5695}"/>
    <cellStyle name="Percent 3 6 2 4" xfId="17992" xr:uid="{7DA1B261-DC75-4902-9C54-CEBC36DC0784}"/>
    <cellStyle name="Percent 3 6 3" xfId="3328" xr:uid="{663FA57F-7790-46DF-9904-E131A9F88956}"/>
    <cellStyle name="Percent 3 6 4" xfId="4454" xr:uid="{E110DF60-85FA-493F-B623-912297329A44}"/>
    <cellStyle name="Percent 3 6 5" xfId="5580" xr:uid="{1864459D-15AC-4DE4-AE6F-106A9BDE1D34}"/>
    <cellStyle name="Percent 3 6 6" xfId="6707" xr:uid="{B0FF4A3B-80E1-4A96-B2F2-0BDC3FA1BCC8}"/>
    <cellStyle name="Percent 3 6 7" xfId="7843" xr:uid="{00D0A3A4-9615-4B35-B793-0AC54B155C59}"/>
    <cellStyle name="Percent 3 6 8" xfId="8008" xr:uid="{E45C7EFA-796F-4D7D-83DD-0C477CE90C30}"/>
    <cellStyle name="Percent 3 6 9" xfId="9145" xr:uid="{D488772E-7AB5-4943-960E-C9DCAE06113E}"/>
    <cellStyle name="Percent 3 7" xfId="1075" xr:uid="{40C58FF6-F637-4BD1-8BFA-701D13F2793D}"/>
    <cellStyle name="Percent 3 7 10" xfId="10271" xr:uid="{C6366ABB-07CB-494C-8AA9-43BC3024DF16}"/>
    <cellStyle name="Percent 3 7 11" xfId="12360" xr:uid="{BEB73545-2890-4220-B76B-4C663411B26B}"/>
    <cellStyle name="Percent 3 7 12" xfId="14613" xr:uid="{D0939556-B008-4DA1-9E49-642BB73DE0F9}"/>
    <cellStyle name="Percent 3 7 13" xfId="16866" xr:uid="{957E7F23-1DB8-4EB1-B21A-CEAD80EE43AB}"/>
    <cellStyle name="Percent 3 7 2" xfId="2203" xr:uid="{056FC069-A041-480D-B147-E4F65AEA0E3B}"/>
    <cellStyle name="Percent 3 7 2 2" xfId="13487" xr:uid="{0D6CA493-90F0-4DCD-8A9A-8C7E48779D56}"/>
    <cellStyle name="Percent 3 7 2 3" xfId="15740" xr:uid="{4D8ED634-9768-46D5-8C91-1CCB29DB707C}"/>
    <cellStyle name="Percent 3 7 2 4" xfId="17993" xr:uid="{66F4F827-6A5B-45ED-B5FB-F01ED7361965}"/>
    <cellStyle name="Percent 3 7 3" xfId="3329" xr:uid="{11322549-2625-44B3-8A1B-1C29A14879DA}"/>
    <cellStyle name="Percent 3 7 4" xfId="4455" xr:uid="{C3677E69-7E93-4038-AD74-BAA3DB2D4590}"/>
    <cellStyle name="Percent 3 7 5" xfId="5581" xr:uid="{4F9DC3F7-744A-4E6E-82B6-A3230065D41D}"/>
    <cellStyle name="Percent 3 7 6" xfId="6708" xr:uid="{9325EF51-F58A-4A5F-BB2D-DE2014E88AF8}"/>
    <cellStyle name="Percent 3 7 7" xfId="7844" xr:uid="{CD6F1AC6-9915-4A83-B9E9-24E4B9F912F2}"/>
    <cellStyle name="Percent 3 7 8" xfId="8007" xr:uid="{0586F12F-B819-4567-BFFC-5C7693D40DD0}"/>
    <cellStyle name="Percent 3 7 9" xfId="9144" xr:uid="{B38E41FF-5110-46D6-B33F-259EC2D7ECDD}"/>
    <cellStyle name="Percent 3 8" xfId="1028" xr:uid="{63941011-AF74-41B8-BB04-BF766A573923}"/>
    <cellStyle name="Percent 3 8 2" xfId="13440" xr:uid="{F6971CED-7CE4-4471-8B9D-4C2D273B6238}"/>
    <cellStyle name="Percent 3 8 3" xfId="15693" xr:uid="{B7E1CE5B-CFF8-4EA3-B9EA-1C015889799B}"/>
    <cellStyle name="Percent 3 8 4" xfId="17946" xr:uid="{ADA21857-7087-492E-919E-127B43FE558F}"/>
    <cellStyle name="Percent 3 9" xfId="2156" xr:uid="{B03FF819-BEE1-4D9E-8189-431F5AF7AAB2}"/>
    <cellStyle name="Percent 4" xfId="1076" xr:uid="{74931DF2-23FB-4304-8117-3292E02C3A1F}"/>
    <cellStyle name="Percent 4 10" xfId="5582" xr:uid="{A8D88844-F02E-4D28-B72C-3CC4E1857321}"/>
    <cellStyle name="Percent 4 11" xfId="6709" xr:uid="{BB5B2B56-65D6-4B21-8D9E-21367AB3FD9F}"/>
    <cellStyle name="Percent 4 12" xfId="7845" xr:uid="{EE663322-DAAE-44EE-B23F-38CB52844237}"/>
    <cellStyle name="Percent 4 13" xfId="8006" xr:uid="{68466A42-F7D0-4F2A-A6B1-2DBA3A04D9B4}"/>
    <cellStyle name="Percent 4 14" xfId="9143" xr:uid="{14566319-DB02-453A-8573-1435F5C17654}"/>
    <cellStyle name="Percent 4 15" xfId="10270" xr:uid="{C539B816-EB1A-43C3-B3B0-61E7BD44DEE4}"/>
    <cellStyle name="Percent 4 16" xfId="12361" xr:uid="{59A95A61-1A9B-4F05-A881-59189574AB72}"/>
    <cellStyle name="Percent 4 17" xfId="14614" xr:uid="{286D9ECE-3E8F-4304-AC32-E31242D0FA2F}"/>
    <cellStyle name="Percent 4 18" xfId="16867" xr:uid="{44237D70-BDAB-4E34-8ED8-D868BD9136FF}"/>
    <cellStyle name="Percent 4 2" xfId="1077" xr:uid="{730E0FBD-D569-4036-9CEA-F20A4B03D0DE}"/>
    <cellStyle name="Percent 4 2 10" xfId="6710" xr:uid="{A7FE9C6A-09F7-44AA-B485-5A4C9E0F5A5E}"/>
    <cellStyle name="Percent 4 2 11" xfId="7846" xr:uid="{E6DCDC4A-C348-4130-80A6-674385FF45BA}"/>
    <cellStyle name="Percent 4 2 12" xfId="8005" xr:uid="{65DDBB29-39B1-47DB-9E89-575A58041161}"/>
    <cellStyle name="Percent 4 2 13" xfId="9142" xr:uid="{E12CB3B2-7B21-4A47-9B8F-FE98CF7FC038}"/>
    <cellStyle name="Percent 4 2 14" xfId="10269" xr:uid="{12EB0D31-124F-4990-A849-568336246A56}"/>
    <cellStyle name="Percent 4 2 15" xfId="12362" xr:uid="{EE2406F6-7772-4009-9461-610CDA059FB8}"/>
    <cellStyle name="Percent 4 2 16" xfId="14615" xr:uid="{60B1B370-0742-41F5-AEC5-BA7F74FD4E86}"/>
    <cellStyle name="Percent 4 2 17" xfId="16868" xr:uid="{CE2F045A-785B-433C-939D-65B8C06708EB}"/>
    <cellStyle name="Percent 4 2 2" xfId="1078" xr:uid="{BD6E7BB9-C49B-4BD2-BF31-2C4A84D8D876}"/>
    <cellStyle name="Percent 4 2 2 10" xfId="7847" xr:uid="{6DCA9BDF-09E3-47A2-8D14-5796AEB6AEE7}"/>
    <cellStyle name="Percent 4 2 2 11" xfId="8004" xr:uid="{7B5EA197-F109-48F4-B53D-9E6443FFC368}"/>
    <cellStyle name="Percent 4 2 2 12" xfId="9141" xr:uid="{F8BB59DC-00A0-4EDA-B4C6-3B44FB05ADAA}"/>
    <cellStyle name="Percent 4 2 2 13" xfId="10268" xr:uid="{3A0E29DE-4D6A-427C-8E90-B70BD3CB2569}"/>
    <cellStyle name="Percent 4 2 2 14" xfId="12363" xr:uid="{96A0EFBB-A0E7-455B-9B21-47F3315A8A5F}"/>
    <cellStyle name="Percent 4 2 2 15" xfId="14616" xr:uid="{5293D1C1-28C3-400D-8534-638FED92794E}"/>
    <cellStyle name="Percent 4 2 2 16" xfId="16869" xr:uid="{FB049E74-81CC-45C2-A13E-EC2C97D01F05}"/>
    <cellStyle name="Percent 4 2 2 2" xfId="1079" xr:uid="{103DED56-01D3-4753-87F8-9EDF18DAE609}"/>
    <cellStyle name="Percent 4 2 2 2 10" xfId="8003" xr:uid="{D721A9F8-7B97-4927-AC46-CE4DE4C2E76D}"/>
    <cellStyle name="Percent 4 2 2 2 11" xfId="9140" xr:uid="{AE4E6667-AB59-45FE-9435-4286046DA0F5}"/>
    <cellStyle name="Percent 4 2 2 2 12" xfId="10267" xr:uid="{AF724F8F-D47A-40E6-975A-AF284A8C8B46}"/>
    <cellStyle name="Percent 4 2 2 2 13" xfId="12364" xr:uid="{881A1885-E1EF-4C97-926B-35250AD3A072}"/>
    <cellStyle name="Percent 4 2 2 2 14" xfId="14617" xr:uid="{C445E3DD-A43A-489F-A1C9-4BE41C28F203}"/>
    <cellStyle name="Percent 4 2 2 2 15" xfId="16870" xr:uid="{CA88A5E5-B47B-411F-878B-5A1F69AF45B7}"/>
    <cellStyle name="Percent 4 2 2 2 2" xfId="1080" xr:uid="{BCCBC8EA-3FE7-4A05-9B47-BBE67D529FA6}"/>
    <cellStyle name="Percent 4 2 2 2 2 10" xfId="10266" xr:uid="{64E1D101-0530-420D-A35A-F004A83D2A0C}"/>
    <cellStyle name="Percent 4 2 2 2 2 11" xfId="12365" xr:uid="{1EDDD782-6A71-469B-94D9-8050C7F815D9}"/>
    <cellStyle name="Percent 4 2 2 2 2 12" xfId="14618" xr:uid="{B9AD69B8-FDB6-4BCF-AABF-382EDC89A757}"/>
    <cellStyle name="Percent 4 2 2 2 2 13" xfId="16871" xr:uid="{DDDB3FD6-F115-40B3-994A-D6075C3E1622}"/>
    <cellStyle name="Percent 4 2 2 2 2 2" xfId="2208" xr:uid="{88CDEF9B-7FEA-4422-A955-5778AD8E64CD}"/>
    <cellStyle name="Percent 4 2 2 2 2 2 2" xfId="13492" xr:uid="{81F490F8-AF97-4076-94D8-54F44573ED58}"/>
    <cellStyle name="Percent 4 2 2 2 2 2 3" xfId="15745" xr:uid="{33F25E71-DB02-466A-8AA7-3CE4974770F1}"/>
    <cellStyle name="Percent 4 2 2 2 2 2 4" xfId="17998" xr:uid="{5A831A54-B1C5-4F23-8ACE-2D39423CB53A}"/>
    <cellStyle name="Percent 4 2 2 2 2 3" xfId="3334" xr:uid="{F0310D43-C2A5-4E32-AEBD-C31018C6CC15}"/>
    <cellStyle name="Percent 4 2 2 2 2 4" xfId="4460" xr:uid="{FE41C1F0-28C9-4B6F-9D41-846D5528EB61}"/>
    <cellStyle name="Percent 4 2 2 2 2 5" xfId="5586" xr:uid="{BD7A9ED8-8A71-40F3-8D8B-1FF08CCA126E}"/>
    <cellStyle name="Percent 4 2 2 2 2 6" xfId="6713" xr:uid="{A2230ADE-7D87-454F-A8B4-7AC892D2A50E}"/>
    <cellStyle name="Percent 4 2 2 2 2 7" xfId="7849" xr:uid="{AE6B3D47-6101-454B-94FD-91281F4C19A7}"/>
    <cellStyle name="Percent 4 2 2 2 2 8" xfId="8002" xr:uid="{B9F2230A-95FA-4A7D-9509-751919490291}"/>
    <cellStyle name="Percent 4 2 2 2 2 9" xfId="9139" xr:uid="{1D696880-0D5E-46D0-91B9-20666486C6B6}"/>
    <cellStyle name="Percent 4 2 2 2 3" xfId="1081" xr:uid="{13528A5C-4ACA-417F-9514-AB073CCA1800}"/>
    <cellStyle name="Percent 4 2 2 2 3 10" xfId="10265" xr:uid="{0050AF47-808F-40F2-8426-36DEB141C5E5}"/>
    <cellStyle name="Percent 4 2 2 2 3 11" xfId="12366" xr:uid="{35345AD7-1398-43BA-A860-8F70CC462CA7}"/>
    <cellStyle name="Percent 4 2 2 2 3 12" xfId="14619" xr:uid="{08F60CB7-96A7-403D-8E5F-2ABDE6283D94}"/>
    <cellStyle name="Percent 4 2 2 2 3 13" xfId="16872" xr:uid="{F203AACA-C624-482A-8FF6-3A1A1222997B}"/>
    <cellStyle name="Percent 4 2 2 2 3 2" xfId="2209" xr:uid="{A39168C0-7475-4B8B-9AFA-71E8C4BCBE9F}"/>
    <cellStyle name="Percent 4 2 2 2 3 2 2" xfId="13493" xr:uid="{A3BD018B-D3AA-4C8E-A87E-022C6BA64EB5}"/>
    <cellStyle name="Percent 4 2 2 2 3 2 3" xfId="15746" xr:uid="{34347098-E4F8-4EEC-BA2E-96BED7E7D90F}"/>
    <cellStyle name="Percent 4 2 2 2 3 2 4" xfId="17999" xr:uid="{A4E63170-942F-4140-B434-AB4E049FDC36}"/>
    <cellStyle name="Percent 4 2 2 2 3 3" xfId="3335" xr:uid="{6C520C26-B2F6-47E2-8D7F-65135FD25E5E}"/>
    <cellStyle name="Percent 4 2 2 2 3 4" xfId="4461" xr:uid="{DA64C53B-C18D-49ED-8612-1B70CDCD0167}"/>
    <cellStyle name="Percent 4 2 2 2 3 5" xfId="5587" xr:uid="{3E8A660E-AFEE-4157-8BCC-60936485729C}"/>
    <cellStyle name="Percent 4 2 2 2 3 6" xfId="6714" xr:uid="{353D56BD-E183-4DEC-BDB8-93C543A61994}"/>
    <cellStyle name="Percent 4 2 2 2 3 7" xfId="7850" xr:uid="{4B4A1424-60A1-4B8A-823C-8E7787869A1B}"/>
    <cellStyle name="Percent 4 2 2 2 3 8" xfId="8001" xr:uid="{1CDC19A7-0619-4091-BB8A-61AFDF816252}"/>
    <cellStyle name="Percent 4 2 2 2 3 9" xfId="9138" xr:uid="{F040A0E4-DE21-4CDE-90F8-D1D6BA0743F3}"/>
    <cellStyle name="Percent 4 2 2 2 4" xfId="2207" xr:uid="{51FAA845-8C2E-4BF6-BE3D-521125833AD1}"/>
    <cellStyle name="Percent 4 2 2 2 4 2" xfId="13491" xr:uid="{43546DAE-4526-4AFC-835B-C1A9C9A49A26}"/>
    <cellStyle name="Percent 4 2 2 2 4 3" xfId="15744" xr:uid="{E4D2C7F6-8BF2-4FDB-9841-FDCA01A8D2E2}"/>
    <cellStyle name="Percent 4 2 2 2 4 4" xfId="17997" xr:uid="{B81AE8BE-587D-46BD-9757-A7093C8151A0}"/>
    <cellStyle name="Percent 4 2 2 2 5" xfId="3333" xr:uid="{862919CA-E6BB-4DFC-9C4B-3AFFB7A80EA6}"/>
    <cellStyle name="Percent 4 2 2 2 6" xfId="4459" xr:uid="{53DB5260-81E6-414C-BD58-B0CDDA015BB9}"/>
    <cellStyle name="Percent 4 2 2 2 7" xfId="5585" xr:uid="{FBF9EDC1-3EB6-416B-9499-45A4D790D0F6}"/>
    <cellStyle name="Percent 4 2 2 2 8" xfId="6712" xr:uid="{CCEF55A7-77FA-4305-98AD-892F2E41728D}"/>
    <cellStyle name="Percent 4 2 2 2 9" xfId="7848" xr:uid="{4250390F-2454-48AC-ADAC-314C025EE3DF}"/>
    <cellStyle name="Percent 4 2 2 3" xfId="1082" xr:uid="{2914F66F-7288-488B-8AAC-A108A336FBDA}"/>
    <cellStyle name="Percent 4 2 2 3 10" xfId="10264" xr:uid="{147F1172-660A-43B4-8308-E274B98A3303}"/>
    <cellStyle name="Percent 4 2 2 3 11" xfId="12367" xr:uid="{CF07762E-4B47-40D6-AC27-AC73D9212FB1}"/>
    <cellStyle name="Percent 4 2 2 3 12" xfId="14620" xr:uid="{5AA0ECA6-C804-470A-ACB0-87550B7ACE20}"/>
    <cellStyle name="Percent 4 2 2 3 13" xfId="16873" xr:uid="{AB95245F-FA0A-4BC5-999A-78742974EBCF}"/>
    <cellStyle name="Percent 4 2 2 3 2" xfId="2210" xr:uid="{76D2F3AF-25E6-441E-8D23-DC3DB4900BB9}"/>
    <cellStyle name="Percent 4 2 2 3 2 2" xfId="13494" xr:uid="{77CDCF99-B8DE-45AA-AF5F-1E7B6432CDD2}"/>
    <cellStyle name="Percent 4 2 2 3 2 3" xfId="15747" xr:uid="{50ADA87B-E794-4C02-BFB9-9B48D8B87494}"/>
    <cellStyle name="Percent 4 2 2 3 2 4" xfId="18000" xr:uid="{EC544475-674F-4EA5-8D5F-4EA79E18A732}"/>
    <cellStyle name="Percent 4 2 2 3 3" xfId="3336" xr:uid="{8C05C262-CF76-4942-8DCF-454DE78289CB}"/>
    <cellStyle name="Percent 4 2 2 3 4" xfId="4462" xr:uid="{4192267B-E856-48A3-AAC3-5D90FAA75D5C}"/>
    <cellStyle name="Percent 4 2 2 3 5" xfId="5588" xr:uid="{77792E18-211F-4CC9-B5DA-35B13F1EB19D}"/>
    <cellStyle name="Percent 4 2 2 3 6" xfId="6715" xr:uid="{A74AB015-D2D8-43E7-B3B7-C9CFA4E303C6}"/>
    <cellStyle name="Percent 4 2 2 3 7" xfId="7851" xr:uid="{EE64CDBC-64A9-4660-AED4-CFD65DEDBBB7}"/>
    <cellStyle name="Percent 4 2 2 3 8" xfId="8000" xr:uid="{C96E5A79-B1EB-4196-91F2-8E1F50F1D3ED}"/>
    <cellStyle name="Percent 4 2 2 3 9" xfId="9137" xr:uid="{4717F480-F7BF-4604-B208-57FD74DFD9A4}"/>
    <cellStyle name="Percent 4 2 2 4" xfId="1083" xr:uid="{7493A01A-25A6-412B-9822-C7C40F775401}"/>
    <cellStyle name="Percent 4 2 2 4 10" xfId="10263" xr:uid="{C934BE19-A30E-435C-BB0D-11218410FAC8}"/>
    <cellStyle name="Percent 4 2 2 4 11" xfId="12368" xr:uid="{11F381E3-5A09-4FE2-BEBA-B80D3F3F55F0}"/>
    <cellStyle name="Percent 4 2 2 4 12" xfId="14621" xr:uid="{11948844-E9B6-4549-8491-B0BD51572287}"/>
    <cellStyle name="Percent 4 2 2 4 13" xfId="16874" xr:uid="{8AB8055F-335F-49F7-9511-53106631BC52}"/>
    <cellStyle name="Percent 4 2 2 4 2" xfId="2211" xr:uid="{AA72F998-5B36-47DD-A9D4-C72F2032ADFE}"/>
    <cellStyle name="Percent 4 2 2 4 2 2" xfId="13495" xr:uid="{29EB02C8-4738-4D8A-863B-F8DB87DCC5B9}"/>
    <cellStyle name="Percent 4 2 2 4 2 3" xfId="15748" xr:uid="{DCBD9D90-7AFD-4D36-A231-7A6149508970}"/>
    <cellStyle name="Percent 4 2 2 4 2 4" xfId="18001" xr:uid="{11714EA5-6D01-44A2-9C87-AAD3BF09289B}"/>
    <cellStyle name="Percent 4 2 2 4 3" xfId="3337" xr:uid="{4AAC0759-1FB0-4692-B6F3-56C30290CD25}"/>
    <cellStyle name="Percent 4 2 2 4 4" xfId="4463" xr:uid="{A953F106-CA8C-45CB-AF05-0C4D2301719D}"/>
    <cellStyle name="Percent 4 2 2 4 5" xfId="5589" xr:uid="{466D54DC-BD71-41A8-B882-34B4E868D4B6}"/>
    <cellStyle name="Percent 4 2 2 4 6" xfId="6716" xr:uid="{D576556D-A904-457B-BCE8-9F491A9BD74A}"/>
    <cellStyle name="Percent 4 2 2 4 7" xfId="7852" xr:uid="{82D7C56C-C75C-4335-A3A8-90AC9B53EA44}"/>
    <cellStyle name="Percent 4 2 2 4 8" xfId="7999" xr:uid="{66A883E1-D2DE-4282-AB36-9835BE6639C1}"/>
    <cellStyle name="Percent 4 2 2 4 9" xfId="9136" xr:uid="{82B332DE-1782-457D-9351-FC3256DCD019}"/>
    <cellStyle name="Percent 4 2 2 5" xfId="2206" xr:uid="{F76052B1-BBC4-4171-9A99-C27EB34FD552}"/>
    <cellStyle name="Percent 4 2 2 5 2" xfId="13490" xr:uid="{8465F56C-E703-4057-8969-5B43B62B73EF}"/>
    <cellStyle name="Percent 4 2 2 5 3" xfId="15743" xr:uid="{63A14C2A-9102-4786-ACE7-8A6A7C2431A1}"/>
    <cellStyle name="Percent 4 2 2 5 4" xfId="17996" xr:uid="{355A0581-1041-498F-A309-BF7CECB8561E}"/>
    <cellStyle name="Percent 4 2 2 6" xfId="3332" xr:uid="{6F39F78A-C4CB-49A1-A9FA-992B64FE1D26}"/>
    <cellStyle name="Percent 4 2 2 7" xfId="4458" xr:uid="{6177AFFE-9248-4EB5-9228-0DF17B0B24AD}"/>
    <cellStyle name="Percent 4 2 2 8" xfId="5584" xr:uid="{D2C1B949-1890-4276-B7C0-785CD153F24C}"/>
    <cellStyle name="Percent 4 2 2 9" xfId="6711" xr:uid="{FF89E1E1-9D98-40B3-AF14-ED81D560D763}"/>
    <cellStyle name="Percent 4 2 3" xfId="1084" xr:uid="{A75C8F29-4BA8-4453-B939-DFFB0B86CE4A}"/>
    <cellStyle name="Percent 4 2 3 10" xfId="7998" xr:uid="{329BE292-C657-4A27-8719-9F91F81188A0}"/>
    <cellStyle name="Percent 4 2 3 11" xfId="9135" xr:uid="{DCBB095B-6BE6-4BA3-B223-6B5580F221EF}"/>
    <cellStyle name="Percent 4 2 3 12" xfId="10262" xr:uid="{0C9B8E9A-7BDE-48E9-BBE6-1B130FCA781A}"/>
    <cellStyle name="Percent 4 2 3 13" xfId="12369" xr:uid="{C6775EBB-E3DF-4FCA-B098-3D433196F18B}"/>
    <cellStyle name="Percent 4 2 3 14" xfId="14622" xr:uid="{5CFA7585-5FE4-43F5-ABAD-7C41238E7367}"/>
    <cellStyle name="Percent 4 2 3 15" xfId="16875" xr:uid="{084B2315-F489-4FF5-B20E-46CE09AAA1AE}"/>
    <cellStyle name="Percent 4 2 3 2" xfId="1085" xr:uid="{51D0718A-CC5E-4678-8C68-1D0C84872221}"/>
    <cellStyle name="Percent 4 2 3 2 10" xfId="10261" xr:uid="{7D923877-BF55-4627-BB2E-8AAE5D426590}"/>
    <cellStyle name="Percent 4 2 3 2 11" xfId="12370" xr:uid="{663D3870-6043-4041-9FD4-E77C265B2CA1}"/>
    <cellStyle name="Percent 4 2 3 2 12" xfId="14623" xr:uid="{DFCD6599-CCD0-4C77-A3CA-E990A9CB9759}"/>
    <cellStyle name="Percent 4 2 3 2 13" xfId="16876" xr:uid="{ACA1DDC7-133E-45C0-BEC6-B7F151FBAB06}"/>
    <cellStyle name="Percent 4 2 3 2 2" xfId="2213" xr:uid="{B25D370F-18E0-4B7B-8CFC-E84B7E473064}"/>
    <cellStyle name="Percent 4 2 3 2 2 2" xfId="13497" xr:uid="{2000BD63-8D6E-40F9-9739-B2B8927E38DC}"/>
    <cellStyle name="Percent 4 2 3 2 2 3" xfId="15750" xr:uid="{10FF7D2E-4578-49DF-90E1-4FA56D9CA0E8}"/>
    <cellStyle name="Percent 4 2 3 2 2 4" xfId="18003" xr:uid="{4E6987BC-30AC-45D3-BA4D-1E933D512E1D}"/>
    <cellStyle name="Percent 4 2 3 2 3" xfId="3339" xr:uid="{457677AD-B31E-4DC5-81BA-2B0F3B4C2758}"/>
    <cellStyle name="Percent 4 2 3 2 4" xfId="4465" xr:uid="{DC2A62D5-B6F6-4994-81E3-803ED9C67ED7}"/>
    <cellStyle name="Percent 4 2 3 2 5" xfId="5591" xr:uid="{A932012A-A3CD-4E0D-826D-40B4B6C9CA09}"/>
    <cellStyle name="Percent 4 2 3 2 6" xfId="6718" xr:uid="{4E1AEC5E-8F3A-4A15-98BB-05698DEF911B}"/>
    <cellStyle name="Percent 4 2 3 2 7" xfId="7854" xr:uid="{AA64CDF3-A2E9-4468-ACAE-B1BED0488A98}"/>
    <cellStyle name="Percent 4 2 3 2 8" xfId="7997" xr:uid="{50E8A711-3CB7-4815-9BBA-0E9D3C20F6F1}"/>
    <cellStyle name="Percent 4 2 3 2 9" xfId="9134" xr:uid="{67EBFB95-4101-4DA2-ABFB-37EFFD5ED6D0}"/>
    <cellStyle name="Percent 4 2 3 3" xfId="1086" xr:uid="{6C312B2D-440B-4B46-858D-1011342C1F4C}"/>
    <cellStyle name="Percent 4 2 3 3 10" xfId="10260" xr:uid="{322CDA47-4EA2-43EC-8920-86BD466DBD77}"/>
    <cellStyle name="Percent 4 2 3 3 11" xfId="12371" xr:uid="{861F72DD-B791-47CA-B481-686D61437639}"/>
    <cellStyle name="Percent 4 2 3 3 12" xfId="14624" xr:uid="{BD161460-74A5-4B99-B6B5-F4985DDA32B9}"/>
    <cellStyle name="Percent 4 2 3 3 13" xfId="16877" xr:uid="{9C8E8878-500E-4A81-857A-69D86E84D706}"/>
    <cellStyle name="Percent 4 2 3 3 2" xfId="2214" xr:uid="{7826E197-4A85-4302-9E8A-C6D44C5D4926}"/>
    <cellStyle name="Percent 4 2 3 3 2 2" xfId="13498" xr:uid="{6E74171D-6738-4524-B2A9-059163AE9EAF}"/>
    <cellStyle name="Percent 4 2 3 3 2 3" xfId="15751" xr:uid="{5F98300C-DFB8-4BF5-8A88-5C610B85A12B}"/>
    <cellStyle name="Percent 4 2 3 3 2 4" xfId="18004" xr:uid="{C7B92E54-CB04-4D9A-9604-90C62A43270C}"/>
    <cellStyle name="Percent 4 2 3 3 3" xfId="3340" xr:uid="{516749F9-981A-41F3-ABE5-10A7593D4F25}"/>
    <cellStyle name="Percent 4 2 3 3 4" xfId="4466" xr:uid="{ABF660EA-3755-441A-A26B-5769ADA90B26}"/>
    <cellStyle name="Percent 4 2 3 3 5" xfId="5592" xr:uid="{A3E04B15-3B62-4526-945E-38A2057461CE}"/>
    <cellStyle name="Percent 4 2 3 3 6" xfId="6719" xr:uid="{E5FF73DC-1805-4530-A2C0-D48A7543F95D}"/>
    <cellStyle name="Percent 4 2 3 3 7" xfId="7855" xr:uid="{D3A1BC17-2348-48BD-8FF5-898A41DEE945}"/>
    <cellStyle name="Percent 4 2 3 3 8" xfId="7996" xr:uid="{58A6CBEC-791A-42D0-A84F-CBEDAEFB4076}"/>
    <cellStyle name="Percent 4 2 3 3 9" xfId="9133" xr:uid="{8E2D33FF-3274-42E4-B5FF-D557F97A2C8B}"/>
    <cellStyle name="Percent 4 2 3 4" xfId="2212" xr:uid="{6BFAF62C-8211-4FBA-BEB3-A601F0F2B839}"/>
    <cellStyle name="Percent 4 2 3 4 2" xfId="13496" xr:uid="{6E1B6BC7-76D7-4242-A9F9-73BB857EAFB5}"/>
    <cellStyle name="Percent 4 2 3 4 3" xfId="15749" xr:uid="{D4825A3B-CAD1-40DA-8561-E0B513FD815A}"/>
    <cellStyle name="Percent 4 2 3 4 4" xfId="18002" xr:uid="{3582FAA9-7168-433D-8661-555947FBCB36}"/>
    <cellStyle name="Percent 4 2 3 5" xfId="3338" xr:uid="{C0080BDA-2136-45B7-8D8A-3D373701DFA1}"/>
    <cellStyle name="Percent 4 2 3 6" xfId="4464" xr:uid="{B124D72A-05C8-4829-BC6D-CD18DA22BEC1}"/>
    <cellStyle name="Percent 4 2 3 7" xfId="5590" xr:uid="{919DD8CC-7773-45B3-AA3A-F35A1673DCD5}"/>
    <cellStyle name="Percent 4 2 3 8" xfId="6717" xr:uid="{445D41BA-AF6A-4849-B1BB-4E36242DF342}"/>
    <cellStyle name="Percent 4 2 3 9" xfId="7853" xr:uid="{976A6F2B-B8F7-468C-AB19-C21DA61125B1}"/>
    <cellStyle name="Percent 4 2 4" xfId="1087" xr:uid="{C0A341B9-134A-4F4C-8D13-FDA0C2350783}"/>
    <cellStyle name="Percent 4 2 4 10" xfId="10259" xr:uid="{8C1A61F4-81FF-4846-BD0F-09BC5E74DF5D}"/>
    <cellStyle name="Percent 4 2 4 11" xfId="12372" xr:uid="{C556DE0F-EB89-4D55-ABA1-9F3212C6953C}"/>
    <cellStyle name="Percent 4 2 4 12" xfId="14625" xr:uid="{42CD3CA7-5DAD-430F-A8CE-ED7CB4D04DE6}"/>
    <cellStyle name="Percent 4 2 4 13" xfId="16878" xr:uid="{2953D1EB-1E6A-4BB0-95CC-FCC6B5BBF996}"/>
    <cellStyle name="Percent 4 2 4 2" xfId="2215" xr:uid="{041E7378-A676-43E4-864C-ED604EF1F540}"/>
    <cellStyle name="Percent 4 2 4 2 2" xfId="13499" xr:uid="{F14C64ED-F648-4F6A-842E-87354467CF3E}"/>
    <cellStyle name="Percent 4 2 4 2 3" xfId="15752" xr:uid="{2EE9DE51-416B-43C8-9471-93609586916A}"/>
    <cellStyle name="Percent 4 2 4 2 4" xfId="18005" xr:uid="{BAAD8160-0055-4E10-933D-B9CA626F7954}"/>
    <cellStyle name="Percent 4 2 4 3" xfId="3341" xr:uid="{18228D02-0443-4201-84FF-CAB441D99A4C}"/>
    <cellStyle name="Percent 4 2 4 4" xfId="4467" xr:uid="{6F2920C7-9BD1-436A-B53A-DD4ACE5F639B}"/>
    <cellStyle name="Percent 4 2 4 5" xfId="5593" xr:uid="{7CE5AA38-67E3-4039-8833-36FB28CE3162}"/>
    <cellStyle name="Percent 4 2 4 6" xfId="6720" xr:uid="{D10D63AE-A2C8-473D-A644-C5A5743E7D29}"/>
    <cellStyle name="Percent 4 2 4 7" xfId="7856" xr:uid="{22EBC144-684A-42FA-9503-379F55137DDA}"/>
    <cellStyle name="Percent 4 2 4 8" xfId="7995" xr:uid="{12BDFB96-94F3-44E1-90F4-D1AB8A6FDB60}"/>
    <cellStyle name="Percent 4 2 4 9" xfId="9132" xr:uid="{DEC89C79-E219-4C7F-8D47-022648582058}"/>
    <cellStyle name="Percent 4 2 5" xfId="1088" xr:uid="{72ABD772-F8BE-48E8-8F25-3918773A0043}"/>
    <cellStyle name="Percent 4 2 5 10" xfId="10258" xr:uid="{E65F0287-80C1-4DC3-9200-790B9CF22AB9}"/>
    <cellStyle name="Percent 4 2 5 11" xfId="12373" xr:uid="{19D688E7-B41B-4D7A-8E08-F5C661AC22A6}"/>
    <cellStyle name="Percent 4 2 5 12" xfId="14626" xr:uid="{3FC43740-0CB0-4683-B9CB-719FFB78F44F}"/>
    <cellStyle name="Percent 4 2 5 13" xfId="16879" xr:uid="{E4A94B96-B11D-42C0-8CF1-8421EC20467C}"/>
    <cellStyle name="Percent 4 2 5 2" xfId="2216" xr:uid="{680650F0-B9EC-4E6D-86EC-85B16F3E7CE0}"/>
    <cellStyle name="Percent 4 2 5 2 2" xfId="13500" xr:uid="{76C35063-1B0B-412F-98B3-9A4A2AE4D066}"/>
    <cellStyle name="Percent 4 2 5 2 3" xfId="15753" xr:uid="{4036C3DB-CE28-4DE8-B2B5-80D87005B291}"/>
    <cellStyle name="Percent 4 2 5 2 4" xfId="18006" xr:uid="{79DB7028-3E1F-432B-928A-66DCEDB4AC9E}"/>
    <cellStyle name="Percent 4 2 5 3" xfId="3342" xr:uid="{1C8C17A0-827B-4228-8807-27303E4AA804}"/>
    <cellStyle name="Percent 4 2 5 4" xfId="4468" xr:uid="{1BE83A43-AE70-4C8D-B082-6E152FB585D6}"/>
    <cellStyle name="Percent 4 2 5 5" xfId="5594" xr:uid="{6309E5E7-37F2-4F1E-A8B5-F49880834509}"/>
    <cellStyle name="Percent 4 2 5 6" xfId="6721" xr:uid="{EF0FB207-1475-4F5F-9176-62E891081887}"/>
    <cellStyle name="Percent 4 2 5 7" xfId="7857" xr:uid="{B4532A92-53AE-4277-9AE9-FF3A8F82DD7D}"/>
    <cellStyle name="Percent 4 2 5 8" xfId="7994" xr:uid="{FC0D7932-022D-48E9-9569-02845F11BD7E}"/>
    <cellStyle name="Percent 4 2 5 9" xfId="9131" xr:uid="{CB9F4480-CDDF-4FF3-8D5D-AC27AD0867D7}"/>
    <cellStyle name="Percent 4 2 6" xfId="2205" xr:uid="{41908516-DADD-4528-B039-A41D25FB62D9}"/>
    <cellStyle name="Percent 4 2 6 2" xfId="13489" xr:uid="{2AED209C-9BF5-4584-8570-EA88237952BE}"/>
    <cellStyle name="Percent 4 2 6 3" xfId="15742" xr:uid="{F3CBD0DF-5CAD-4675-A801-F84C1C14B574}"/>
    <cellStyle name="Percent 4 2 6 4" xfId="17995" xr:uid="{2027B644-127E-47E4-BBD7-F60E0C42C9E5}"/>
    <cellStyle name="Percent 4 2 7" xfId="3331" xr:uid="{485F7442-F4BB-4790-9E8F-5175418E53AD}"/>
    <cellStyle name="Percent 4 2 8" xfId="4457" xr:uid="{655A2E47-3D19-4ACF-A2FA-EB8AE396005C}"/>
    <cellStyle name="Percent 4 2 9" xfId="5583" xr:uid="{E3B78E3B-F7AE-4D56-AE89-52324EE63ACA}"/>
    <cellStyle name="Percent 4 3" xfId="1089" xr:uid="{4F5FE9B3-57E7-4411-ABCD-17D5EBD6C93D}"/>
    <cellStyle name="Percent 4 3 10" xfId="7858" xr:uid="{F4AD6F97-835B-44AA-9DE4-F1A02D8CE2DA}"/>
    <cellStyle name="Percent 4 3 11" xfId="7993" xr:uid="{273FAB92-CEDD-42AC-A41A-387C959D3746}"/>
    <cellStyle name="Percent 4 3 12" xfId="9130" xr:uid="{2B942D9F-C1C0-4790-AA72-F26993F034BD}"/>
    <cellStyle name="Percent 4 3 13" xfId="10257" xr:uid="{8420247A-F7D6-4CB8-8CE0-FF6CCE9594B3}"/>
    <cellStyle name="Percent 4 3 14" xfId="12374" xr:uid="{4D39AE17-7808-4012-8716-0ACBDCA2CA2C}"/>
    <cellStyle name="Percent 4 3 15" xfId="14627" xr:uid="{B648AAA0-41E8-4B34-BCFF-08FE0A4D975D}"/>
    <cellStyle name="Percent 4 3 16" xfId="16880" xr:uid="{64FF9AC9-E9C8-4D7F-95C2-52A54083A8AD}"/>
    <cellStyle name="Percent 4 3 2" xfId="1090" xr:uid="{05394E68-5863-496B-A1B8-B74420673705}"/>
    <cellStyle name="Percent 4 3 2 10" xfId="7992" xr:uid="{631D21A1-B3D6-4EA8-A75C-7FCEE9640A3A}"/>
    <cellStyle name="Percent 4 3 2 11" xfId="9129" xr:uid="{79F208E5-C9D4-4962-BD70-D7D7B50647F8}"/>
    <cellStyle name="Percent 4 3 2 12" xfId="10256" xr:uid="{57CD09CB-6D03-4B47-88DF-3C492B672C6F}"/>
    <cellStyle name="Percent 4 3 2 13" xfId="12375" xr:uid="{AB957597-2016-41DB-9D9A-BB9C66330851}"/>
    <cellStyle name="Percent 4 3 2 14" xfId="14628" xr:uid="{AD1CD90D-F5FA-4775-9993-A7F1B71E7621}"/>
    <cellStyle name="Percent 4 3 2 15" xfId="16881" xr:uid="{E15D9000-F5DC-4813-B097-26BFD2EBBFBA}"/>
    <cellStyle name="Percent 4 3 2 2" xfId="1091" xr:uid="{4C17D65A-8D1F-4207-943A-4893F959E45C}"/>
    <cellStyle name="Percent 4 3 2 2 10" xfId="10255" xr:uid="{6B1BDFE6-E583-4120-B35A-0457CFF24AC6}"/>
    <cellStyle name="Percent 4 3 2 2 11" xfId="12376" xr:uid="{B8340CF5-F283-42DF-A519-1892AFDAF717}"/>
    <cellStyle name="Percent 4 3 2 2 12" xfId="14629" xr:uid="{65C29736-7684-4351-A2CD-515FC61F39AA}"/>
    <cellStyle name="Percent 4 3 2 2 13" xfId="16882" xr:uid="{CF3BE0D7-5887-49B1-9344-A38933348647}"/>
    <cellStyle name="Percent 4 3 2 2 2" xfId="2219" xr:uid="{1AEB94B2-3278-4CC0-BD36-73DB7141CDBD}"/>
    <cellStyle name="Percent 4 3 2 2 2 2" xfId="13503" xr:uid="{7FCCCA67-74F7-4868-8636-7C74CF994C25}"/>
    <cellStyle name="Percent 4 3 2 2 2 3" xfId="15756" xr:uid="{694F076F-F7BA-43F9-AD62-6042470E9565}"/>
    <cellStyle name="Percent 4 3 2 2 2 4" xfId="18009" xr:uid="{EB7AE1B6-4390-4876-AAFD-22B4BAECE688}"/>
    <cellStyle name="Percent 4 3 2 2 3" xfId="3345" xr:uid="{7231AA2F-D686-4C00-B8E5-2480C36595C5}"/>
    <cellStyle name="Percent 4 3 2 2 4" xfId="4471" xr:uid="{9B7A78E3-4C7C-4B04-9950-3BB244EA7E24}"/>
    <cellStyle name="Percent 4 3 2 2 5" xfId="5597" xr:uid="{2D8E03CE-DB4E-415F-BD31-834E88562C47}"/>
    <cellStyle name="Percent 4 3 2 2 6" xfId="6724" xr:uid="{1E9F3F43-48DA-44C9-9996-96F546C0591C}"/>
    <cellStyle name="Percent 4 3 2 2 7" xfId="7860" xr:uid="{26D17D04-DC9B-4B13-9746-13E00EC77758}"/>
    <cellStyle name="Percent 4 3 2 2 8" xfId="7991" xr:uid="{97E8B115-7CD5-4BA4-8DA5-FA3C7924636C}"/>
    <cellStyle name="Percent 4 3 2 2 9" xfId="9128" xr:uid="{9D7AE180-2D97-43A9-879F-45B9E0BED56E}"/>
    <cellStyle name="Percent 4 3 2 3" xfId="1092" xr:uid="{93AC8E66-7AD4-453C-8BAF-409DB3A69916}"/>
    <cellStyle name="Percent 4 3 2 3 10" xfId="10254" xr:uid="{6AD5D5A2-C3E5-4FB3-8722-C2C344F5C155}"/>
    <cellStyle name="Percent 4 3 2 3 11" xfId="12377" xr:uid="{3B9A4719-6273-454E-9772-7D1CEEEFDE68}"/>
    <cellStyle name="Percent 4 3 2 3 12" xfId="14630" xr:uid="{700C4C00-53B9-4C37-99D3-028E87EF01D3}"/>
    <cellStyle name="Percent 4 3 2 3 13" xfId="16883" xr:uid="{6F81FABB-66F8-4679-807E-2EF4BE044E69}"/>
    <cellStyle name="Percent 4 3 2 3 2" xfId="2220" xr:uid="{76631CDD-370F-41FE-AD70-BE4AB18D8C97}"/>
    <cellStyle name="Percent 4 3 2 3 2 2" xfId="13504" xr:uid="{9997E312-318D-4687-A20B-15B401089621}"/>
    <cellStyle name="Percent 4 3 2 3 2 3" xfId="15757" xr:uid="{D7333A86-00B5-462C-9F97-72A3B7761C3F}"/>
    <cellStyle name="Percent 4 3 2 3 2 4" xfId="18010" xr:uid="{BF10A921-045A-420B-B9C3-189E60E4ADFE}"/>
    <cellStyle name="Percent 4 3 2 3 3" xfId="3346" xr:uid="{D7A1CEF6-3C3C-4DEB-B012-EE59DCF362A1}"/>
    <cellStyle name="Percent 4 3 2 3 4" xfId="4472" xr:uid="{6100AFE8-F126-46BD-A7A0-F557E6052F49}"/>
    <cellStyle name="Percent 4 3 2 3 5" xfId="5598" xr:uid="{F901F948-C650-40B6-AE1A-86323B8357D8}"/>
    <cellStyle name="Percent 4 3 2 3 6" xfId="6725" xr:uid="{A2608C47-9B90-4213-9CD0-AFAF1D3D9167}"/>
    <cellStyle name="Percent 4 3 2 3 7" xfId="7861" xr:uid="{FE44BE81-2376-46CE-A170-EB8E8ADDF94E}"/>
    <cellStyle name="Percent 4 3 2 3 8" xfId="7990" xr:uid="{1F58BC3E-F0A1-4143-932B-67C1324D8592}"/>
    <cellStyle name="Percent 4 3 2 3 9" xfId="9127" xr:uid="{2D5F6171-5A29-43CF-A1FA-4EA9683E09D2}"/>
    <cellStyle name="Percent 4 3 2 4" xfId="2218" xr:uid="{0A208DEA-231B-41BE-82F6-78ECDAC50A2F}"/>
    <cellStyle name="Percent 4 3 2 4 2" xfId="13502" xr:uid="{3364AD78-7E80-4938-BAD0-7456754D4138}"/>
    <cellStyle name="Percent 4 3 2 4 3" xfId="15755" xr:uid="{6828722A-02C9-49C8-8907-A017F2FE36AA}"/>
    <cellStyle name="Percent 4 3 2 4 4" xfId="18008" xr:uid="{C9DBD0BC-B2C9-47B8-BBE6-BC54C4E47E6C}"/>
    <cellStyle name="Percent 4 3 2 5" xfId="3344" xr:uid="{AE973917-8DC5-4168-A4B5-27D9842E5E32}"/>
    <cellStyle name="Percent 4 3 2 6" xfId="4470" xr:uid="{81345B2B-1449-418B-BAB4-C6CD010A4342}"/>
    <cellStyle name="Percent 4 3 2 7" xfId="5596" xr:uid="{40BF2959-3132-42E4-9742-2E6A1E4057A4}"/>
    <cellStyle name="Percent 4 3 2 8" xfId="6723" xr:uid="{7BF26C6D-7336-416F-B31E-6823BEE55807}"/>
    <cellStyle name="Percent 4 3 2 9" xfId="7859" xr:uid="{16B2A7F1-29AA-4912-AC76-CE205A38F508}"/>
    <cellStyle name="Percent 4 3 3" xfId="1093" xr:uid="{D0C4B73A-741B-4045-804F-BFDB554FFCDD}"/>
    <cellStyle name="Percent 4 3 3 10" xfId="10253" xr:uid="{E71E1C4E-2A1C-4C8C-A96E-B6225C6BAF91}"/>
    <cellStyle name="Percent 4 3 3 11" xfId="12378" xr:uid="{198E4BC4-A726-4B92-A78B-AC81AD277FD9}"/>
    <cellStyle name="Percent 4 3 3 12" xfId="14631" xr:uid="{A9F1EE96-92E6-48FD-85B3-990D76693541}"/>
    <cellStyle name="Percent 4 3 3 13" xfId="16884" xr:uid="{D713030B-0871-4159-8C16-D19A82297427}"/>
    <cellStyle name="Percent 4 3 3 2" xfId="2221" xr:uid="{EF3934CC-8C6E-4B7D-B29D-0578D143E965}"/>
    <cellStyle name="Percent 4 3 3 2 2" xfId="13505" xr:uid="{B21ECF6A-9787-49F5-AF86-40CB3D52DED3}"/>
    <cellStyle name="Percent 4 3 3 2 3" xfId="15758" xr:uid="{6B1FE427-C71A-41C6-A2CE-072FE8D38D13}"/>
    <cellStyle name="Percent 4 3 3 2 4" xfId="18011" xr:uid="{B70E9845-F387-4DEA-AB78-AFDD9AC97038}"/>
    <cellStyle name="Percent 4 3 3 3" xfId="3347" xr:uid="{1F21009E-6387-4CA8-B513-EB313D41300F}"/>
    <cellStyle name="Percent 4 3 3 4" xfId="4473" xr:uid="{8200AB66-B87F-4CF0-9C75-BD523444527B}"/>
    <cellStyle name="Percent 4 3 3 5" xfId="5599" xr:uid="{885A9D7C-F863-48FF-9CBF-8A35C63C7485}"/>
    <cellStyle name="Percent 4 3 3 6" xfId="6726" xr:uid="{576E9CBD-378B-4181-9A30-7250AE04A39D}"/>
    <cellStyle name="Percent 4 3 3 7" xfId="7862" xr:uid="{1C4B3FD7-A180-45BA-A3DF-354C6CB8829C}"/>
    <cellStyle name="Percent 4 3 3 8" xfId="7989" xr:uid="{488FB2B7-3604-42C2-BA63-218B1CA0A7E1}"/>
    <cellStyle name="Percent 4 3 3 9" xfId="9126" xr:uid="{B766990F-BA29-4FA8-8315-BC2A844BFF94}"/>
    <cellStyle name="Percent 4 3 4" xfId="1094" xr:uid="{C58F2FF1-11AB-47BE-A4E9-CBB92D745B8A}"/>
    <cellStyle name="Percent 4 3 4 10" xfId="10252" xr:uid="{0147DDD5-3766-4D3B-8B4C-502B18BE00BD}"/>
    <cellStyle name="Percent 4 3 4 11" xfId="12379" xr:uid="{ABF78D5F-F00F-4B12-AD96-F63029A61DE6}"/>
    <cellStyle name="Percent 4 3 4 12" xfId="14632" xr:uid="{6C003359-0195-45DC-AB31-70F617F5CBA5}"/>
    <cellStyle name="Percent 4 3 4 13" xfId="16885" xr:uid="{D9BE73E4-C8B0-4E3B-8E88-6963A438EAD7}"/>
    <cellStyle name="Percent 4 3 4 2" xfId="2222" xr:uid="{03879D48-7471-4481-AB7B-C1C4BC8D1BBA}"/>
    <cellStyle name="Percent 4 3 4 2 2" xfId="13506" xr:uid="{C4C19C65-EFFE-45FF-9C2B-00B41BDE07E3}"/>
    <cellStyle name="Percent 4 3 4 2 3" xfId="15759" xr:uid="{7DF084DF-2B2F-4A0A-AAAD-3DDA6DC5C670}"/>
    <cellStyle name="Percent 4 3 4 2 4" xfId="18012" xr:uid="{B81439BF-5501-4B1E-93FB-96A5A1A96324}"/>
    <cellStyle name="Percent 4 3 4 3" xfId="3348" xr:uid="{DF5209D3-B6F4-4CA6-A3CD-9129D120F7F3}"/>
    <cellStyle name="Percent 4 3 4 4" xfId="4474" xr:uid="{634C050B-188D-441D-BB2A-392E1AE28DEE}"/>
    <cellStyle name="Percent 4 3 4 5" xfId="5600" xr:uid="{6D936158-ADD6-4E42-9513-A02887917F80}"/>
    <cellStyle name="Percent 4 3 4 6" xfId="6727" xr:uid="{DD8E61D3-FBB0-4D60-9F37-EB292E10A6DE}"/>
    <cellStyle name="Percent 4 3 4 7" xfId="7863" xr:uid="{E512CFD3-011F-4BA6-9B95-0813E0F3807E}"/>
    <cellStyle name="Percent 4 3 4 8" xfId="7988" xr:uid="{F04D63BD-308F-48A0-AEB4-5770881D3C29}"/>
    <cellStyle name="Percent 4 3 4 9" xfId="9125" xr:uid="{761A53C8-335D-483F-8B01-2164F3B807D3}"/>
    <cellStyle name="Percent 4 3 5" xfId="2217" xr:uid="{2CED0674-74F1-4B90-8B88-0A595CC52A05}"/>
    <cellStyle name="Percent 4 3 5 2" xfId="13501" xr:uid="{AFD63C66-1242-4B34-A7F1-D3A160A169A7}"/>
    <cellStyle name="Percent 4 3 5 3" xfId="15754" xr:uid="{88BB1B47-BC47-49B8-A4B5-8E708488F813}"/>
    <cellStyle name="Percent 4 3 5 4" xfId="18007" xr:uid="{B09351A3-6149-4712-8366-EE8A4B266566}"/>
    <cellStyle name="Percent 4 3 6" xfId="3343" xr:uid="{C81AC3FF-3184-41C6-8B2C-61137EBF2028}"/>
    <cellStyle name="Percent 4 3 7" xfId="4469" xr:uid="{DA00FB80-FE23-49A1-9FAC-F293196E1AC9}"/>
    <cellStyle name="Percent 4 3 8" xfId="5595" xr:uid="{A6760182-FA81-4D0E-BA0A-68AC0043E5EC}"/>
    <cellStyle name="Percent 4 3 9" xfId="6722" xr:uid="{3F00FF02-B43F-419C-93CC-69E74ED13218}"/>
    <cellStyle name="Percent 4 4" xfId="1095" xr:uid="{933C2139-E9C7-473F-A3AF-D8C1F1404224}"/>
    <cellStyle name="Percent 4 4 10" xfId="7987" xr:uid="{FEEAA219-C17E-422D-BFC1-BBF6063B3567}"/>
    <cellStyle name="Percent 4 4 11" xfId="9124" xr:uid="{76090CE7-4BEE-46EC-B5E0-AA62732D5B3A}"/>
    <cellStyle name="Percent 4 4 12" xfId="10251" xr:uid="{142B5032-FA5E-42DF-B57E-01C2EC0717AD}"/>
    <cellStyle name="Percent 4 4 13" xfId="12380" xr:uid="{C577AB90-1B03-41EC-A04A-0B771A9C0995}"/>
    <cellStyle name="Percent 4 4 14" xfId="14633" xr:uid="{C8AF5192-E212-4093-8CEE-C0FA138D2464}"/>
    <cellStyle name="Percent 4 4 15" xfId="16886" xr:uid="{08CE3949-460F-42F1-AD80-00989B5CD090}"/>
    <cellStyle name="Percent 4 4 2" xfId="1096" xr:uid="{AC836EBE-E4E7-47BE-AB7B-8BAB870F78CD}"/>
    <cellStyle name="Percent 4 4 2 10" xfId="10250" xr:uid="{F00EFBE0-2B77-4EA2-A4EA-91B8E6FA2757}"/>
    <cellStyle name="Percent 4 4 2 11" xfId="12381" xr:uid="{EEB8969B-EF0E-4176-95EC-7DDABDAE466D}"/>
    <cellStyle name="Percent 4 4 2 12" xfId="14634" xr:uid="{B7D2E34E-D81C-4305-ACA6-8CF9D24C6788}"/>
    <cellStyle name="Percent 4 4 2 13" xfId="16887" xr:uid="{95630F12-ADE5-4BD1-A901-913D1AC2E99D}"/>
    <cellStyle name="Percent 4 4 2 2" xfId="2224" xr:uid="{77B3E1A7-AEF3-4A6C-8657-EEE10C5BB677}"/>
    <cellStyle name="Percent 4 4 2 2 2" xfId="13508" xr:uid="{17169A0F-B2DD-4B6A-BDFB-8AD7842E2317}"/>
    <cellStyle name="Percent 4 4 2 2 3" xfId="15761" xr:uid="{9A7AB7FC-9737-4A88-8EEC-0C6904A3CE35}"/>
    <cellStyle name="Percent 4 4 2 2 4" xfId="18014" xr:uid="{4B512661-7372-4041-8865-54503961F081}"/>
    <cellStyle name="Percent 4 4 2 3" xfId="3350" xr:uid="{19E0DF0D-9D5F-462D-B60E-CFEB4998ABF2}"/>
    <cellStyle name="Percent 4 4 2 4" xfId="4476" xr:uid="{26E49F9F-3220-4B5D-AF40-B62BFD585D7C}"/>
    <cellStyle name="Percent 4 4 2 5" xfId="5602" xr:uid="{4159075F-66BE-49A7-831E-1B2DE622F11C}"/>
    <cellStyle name="Percent 4 4 2 6" xfId="6729" xr:uid="{28404358-D052-41BA-A025-9EE694E0EC10}"/>
    <cellStyle name="Percent 4 4 2 7" xfId="7865" xr:uid="{82077F5E-34EF-4C14-8BB1-CB2ACEC49DB7}"/>
    <cellStyle name="Percent 4 4 2 8" xfId="7986" xr:uid="{50485B95-B87E-4A86-B305-CCAB11F4C1B1}"/>
    <cellStyle name="Percent 4 4 2 9" xfId="9123" xr:uid="{EDA7CE4A-A2E3-4C4D-A29D-EAB73825E55C}"/>
    <cellStyle name="Percent 4 4 3" xfId="1097" xr:uid="{94CC5C8C-F16E-4CDE-9EE8-4811FAAB4CB0}"/>
    <cellStyle name="Percent 4 4 3 10" xfId="10249" xr:uid="{4862EF54-E3B9-448A-842A-0C1C14A78DA7}"/>
    <cellStyle name="Percent 4 4 3 11" xfId="12382" xr:uid="{F4FFB88C-E0FE-41A9-8285-0A5569196B66}"/>
    <cellStyle name="Percent 4 4 3 12" xfId="14635" xr:uid="{955F20C2-0A43-4AC4-AC7C-2B00997B57AD}"/>
    <cellStyle name="Percent 4 4 3 13" xfId="16888" xr:uid="{0FFCE598-264B-4F24-A8FB-A8A6EB017ADC}"/>
    <cellStyle name="Percent 4 4 3 2" xfId="2225" xr:uid="{6D3C27D2-A062-4E16-9BD4-E049156D56F9}"/>
    <cellStyle name="Percent 4 4 3 2 2" xfId="13509" xr:uid="{72152224-CB37-4785-A694-A6D6DDFB61DF}"/>
    <cellStyle name="Percent 4 4 3 2 3" xfId="15762" xr:uid="{04F69819-E074-4D37-8068-19451A742DB4}"/>
    <cellStyle name="Percent 4 4 3 2 4" xfId="18015" xr:uid="{5CBF7C10-E2B9-4740-B7DA-AF035A657286}"/>
    <cellStyle name="Percent 4 4 3 3" xfId="3351" xr:uid="{95EAD1B9-C9DF-4A21-8AED-5828758571B1}"/>
    <cellStyle name="Percent 4 4 3 4" xfId="4477" xr:uid="{08A60A51-0C63-4B73-ABA3-5F17ACBF5117}"/>
    <cellStyle name="Percent 4 4 3 5" xfId="5603" xr:uid="{8EC1BC6F-CE47-48AC-8A30-D41EF15D3512}"/>
    <cellStyle name="Percent 4 4 3 6" xfId="6730" xr:uid="{0859EC26-0C4C-47DE-8AB3-F7786A4E10E4}"/>
    <cellStyle name="Percent 4 4 3 7" xfId="7866" xr:uid="{9BDB6722-7252-416F-80B3-FEA4047D2321}"/>
    <cellStyle name="Percent 4 4 3 8" xfId="7985" xr:uid="{2E37D7FA-A361-4D6B-8BB0-7DA495CA4CD3}"/>
    <cellStyle name="Percent 4 4 3 9" xfId="9122" xr:uid="{4360059D-2ED2-41D1-9323-102D269BCFDD}"/>
    <cellStyle name="Percent 4 4 4" xfId="2223" xr:uid="{C669BC7B-1AD7-4183-86CC-AF9DB5F9E676}"/>
    <cellStyle name="Percent 4 4 4 2" xfId="13507" xr:uid="{B41A77DF-5F0E-40D2-B5E5-A8274B03540E}"/>
    <cellStyle name="Percent 4 4 4 3" xfId="15760" xr:uid="{79971EC6-F3A6-4B3B-81D3-892A0ADE183C}"/>
    <cellStyle name="Percent 4 4 4 4" xfId="18013" xr:uid="{D1A67831-3D36-4F0E-8B83-F008351CBF1A}"/>
    <cellStyle name="Percent 4 4 5" xfId="3349" xr:uid="{9A603343-B5B3-4BC4-A7B4-DA7895790D25}"/>
    <cellStyle name="Percent 4 4 6" xfId="4475" xr:uid="{EC33FDD5-BBC2-41C6-B656-387403B923F8}"/>
    <cellStyle name="Percent 4 4 7" xfId="5601" xr:uid="{257E31A7-6168-4C9E-ABC2-698E1F68314E}"/>
    <cellStyle name="Percent 4 4 8" xfId="6728" xr:uid="{D9DFE394-F839-4F36-A8AA-ED36D8E9EC31}"/>
    <cellStyle name="Percent 4 4 9" xfId="7864" xr:uid="{F70F4F86-4162-432A-9F2C-353FE3875E06}"/>
    <cellStyle name="Percent 4 5" xfId="1098" xr:uid="{2F1AE8EE-A917-46C9-B5F9-3523FFE32137}"/>
    <cellStyle name="Percent 4 5 10" xfId="10248" xr:uid="{1CBF161F-0E65-4BA7-9BD6-C45B30CC9CA3}"/>
    <cellStyle name="Percent 4 5 11" xfId="12383" xr:uid="{91FDD786-7C52-44D6-B5EB-9753B9D478C2}"/>
    <cellStyle name="Percent 4 5 12" xfId="14636" xr:uid="{23E8378B-33C3-4D1C-AA7E-A2F2AD4C1282}"/>
    <cellStyle name="Percent 4 5 13" xfId="16889" xr:uid="{75C74C7F-5CF6-4536-8F68-EAFD0F08722D}"/>
    <cellStyle name="Percent 4 5 2" xfId="2226" xr:uid="{736049A1-CF8E-4254-A9C2-25F939D8C57D}"/>
    <cellStyle name="Percent 4 5 2 2" xfId="13510" xr:uid="{14095DF1-9BFB-4510-9DE2-21FB5898289B}"/>
    <cellStyle name="Percent 4 5 2 3" xfId="15763" xr:uid="{5AEC4358-BD86-4535-85B6-DB6E7FC85543}"/>
    <cellStyle name="Percent 4 5 2 4" xfId="18016" xr:uid="{99A7FA03-BEC1-487B-8AC1-515CBFB1019C}"/>
    <cellStyle name="Percent 4 5 3" xfId="3352" xr:uid="{1FD92AB4-4556-4F90-8D9A-0E62F2C68D3F}"/>
    <cellStyle name="Percent 4 5 4" xfId="4478" xr:uid="{D1FBDAD0-603F-4FB9-8B90-4B38D8EC8716}"/>
    <cellStyle name="Percent 4 5 5" xfId="5604" xr:uid="{15EC60B9-95A4-47A0-B8C1-BA6A1778CB23}"/>
    <cellStyle name="Percent 4 5 6" xfId="6731" xr:uid="{289455A5-73E6-4498-A02B-42F589D3F2BD}"/>
    <cellStyle name="Percent 4 5 7" xfId="7867" xr:uid="{9A8E68D3-FD83-44CD-B070-9E8BEFA0D755}"/>
    <cellStyle name="Percent 4 5 8" xfId="7984" xr:uid="{5ED897E5-3047-4935-8F58-EC5E9B25F0F1}"/>
    <cellStyle name="Percent 4 5 9" xfId="9121" xr:uid="{C11558DD-925E-4D94-BC6C-5BCC9F3CD047}"/>
    <cellStyle name="Percent 4 6" xfId="1099" xr:uid="{7D1CBAB2-0389-463B-9E06-AE1243B9ADE4}"/>
    <cellStyle name="Percent 4 6 10" xfId="10247" xr:uid="{BBCC0F10-84BF-4760-852D-793B56735FF8}"/>
    <cellStyle name="Percent 4 6 11" xfId="12384" xr:uid="{AA53E9DA-805A-46BC-A41C-CCC0F7FC8976}"/>
    <cellStyle name="Percent 4 6 12" xfId="14637" xr:uid="{77738D32-EC4E-44FB-A78D-6FFAB39322C4}"/>
    <cellStyle name="Percent 4 6 13" xfId="16890" xr:uid="{77287621-B987-4BB4-8D3B-70E1ACC48D78}"/>
    <cellStyle name="Percent 4 6 2" xfId="2227" xr:uid="{6A6D5ADB-D5C7-4F15-9FFC-A76789AED114}"/>
    <cellStyle name="Percent 4 6 2 2" xfId="13511" xr:uid="{1551D5DD-8DEE-480C-8C33-A4052D460D2F}"/>
    <cellStyle name="Percent 4 6 2 3" xfId="15764" xr:uid="{B2288847-528A-4A8D-8E18-80D0D1480F80}"/>
    <cellStyle name="Percent 4 6 2 4" xfId="18017" xr:uid="{68388896-0CF2-4B6C-90C0-6D2178782295}"/>
    <cellStyle name="Percent 4 6 3" xfId="3353" xr:uid="{619225E5-B875-44B7-BB84-68AD3F0C8153}"/>
    <cellStyle name="Percent 4 6 4" xfId="4479" xr:uid="{BA03009F-F21B-4FC2-A9CC-3B467BE0FBD3}"/>
    <cellStyle name="Percent 4 6 5" xfId="5605" xr:uid="{A868CC18-C061-40EB-8D2B-4D4415C44589}"/>
    <cellStyle name="Percent 4 6 6" xfId="6732" xr:uid="{EAD2B5C8-144A-4F49-8F3E-90FEE88B6DA9}"/>
    <cellStyle name="Percent 4 6 7" xfId="7868" xr:uid="{59D447D8-1DDF-46A2-9130-CA2D3B4A734F}"/>
    <cellStyle name="Percent 4 6 8" xfId="7983" xr:uid="{F37034B1-D4CD-4F1D-A4D0-26F71994618F}"/>
    <cellStyle name="Percent 4 6 9" xfId="9120" xr:uid="{DE68E831-2705-487D-BED3-B4B632D9C889}"/>
    <cellStyle name="Percent 4 7" xfId="2204" xr:uid="{F03619AF-1790-4F7F-94E2-81CC590D5EF4}"/>
    <cellStyle name="Percent 4 7 2" xfId="13488" xr:uid="{0D3EA9D4-0A58-43D8-A8E3-4480F242C647}"/>
    <cellStyle name="Percent 4 7 3" xfId="15741" xr:uid="{1156E558-B77D-4EC7-A6E0-DF577AEB86DF}"/>
    <cellStyle name="Percent 4 7 4" xfId="17994" xr:uid="{02E206CF-E770-41E8-885A-3FCE2B6D1EDC}"/>
    <cellStyle name="Percent 4 8" xfId="3330" xr:uid="{754E7327-0A72-4495-A315-4E11484FB4C6}"/>
    <cellStyle name="Percent 4 9" xfId="4456" xr:uid="{3A47334E-4EC2-4E6A-9482-0718CBBA6F9C}"/>
    <cellStyle name="Percent 5" xfId="1100" xr:uid="{A3B961F7-7974-42C5-B8EE-05AEC7E16204}"/>
    <cellStyle name="Percent 5 2" xfId="1101" xr:uid="{6E129971-705E-494F-9DBE-150D90A7A031}"/>
    <cellStyle name="Percent 5 2 2" xfId="7870" xr:uid="{048AE3B3-21D7-44FF-AD14-A177AB7A06EC}"/>
    <cellStyle name="Percent 5 3" xfId="7869" xr:uid="{34511DCC-DEDD-483D-B121-6B20D13F3171}"/>
    <cellStyle name="Percent 6" xfId="1102" xr:uid="{4F8A9164-3658-4A64-96AB-34E052BF3C59}"/>
    <cellStyle name="Percent 6 10" xfId="5606" xr:uid="{27516233-B812-40DD-80CC-8E39A95D9A06}"/>
    <cellStyle name="Percent 6 11" xfId="6733" xr:uid="{EA016474-E00B-4FAE-9DF4-F2096F2CC519}"/>
    <cellStyle name="Percent 6 12" xfId="7871" xr:uid="{94B7D90B-E11E-4B07-B210-0CCA28E92037}"/>
    <cellStyle name="Percent 6 13" xfId="7982" xr:uid="{FAB6D557-02B5-4378-A513-D8FE4ADCF4EE}"/>
    <cellStyle name="Percent 6 14" xfId="9119" xr:uid="{ACA5AD12-F4FE-4956-A466-17E4D7E51768}"/>
    <cellStyle name="Percent 6 15" xfId="10246" xr:uid="{04A31AD4-6716-400E-81E9-C9A9F07D8099}"/>
    <cellStyle name="Percent 6 16" xfId="12385" xr:uid="{60551E72-60A9-4D85-B4E0-E7EC3A53810C}"/>
    <cellStyle name="Percent 6 17" xfId="14638" xr:uid="{0457A6F4-BD30-42AA-B015-A219E56C2EDA}"/>
    <cellStyle name="Percent 6 18" xfId="16891" xr:uid="{3A50AD41-1F35-4490-9AE5-761242CAAF9E}"/>
    <cellStyle name="Percent 6 2" xfId="1103" xr:uid="{807D5E13-78A4-4E56-B7EA-27C7FA0AC9C9}"/>
    <cellStyle name="Percent 6 2 10" xfId="6734" xr:uid="{F0816708-82E1-4D81-BD8D-B56021A74BED}"/>
    <cellStyle name="Percent 6 2 11" xfId="7872" xr:uid="{9DE6C02B-1F17-4C5F-B15D-6038C224999A}"/>
    <cellStyle name="Percent 6 2 12" xfId="7981" xr:uid="{513889D4-8DFB-4037-8DFB-81C2D60915D6}"/>
    <cellStyle name="Percent 6 2 13" xfId="9118" xr:uid="{A1204D17-F6A6-4580-ADA5-85242DDB3FC0}"/>
    <cellStyle name="Percent 6 2 14" xfId="10245" xr:uid="{C5744C29-9364-42C5-96AA-CE62504120E7}"/>
    <cellStyle name="Percent 6 2 15" xfId="12386" xr:uid="{750F4432-8EC5-40F8-9D15-E562DE1313A1}"/>
    <cellStyle name="Percent 6 2 16" xfId="14639" xr:uid="{3E8FA214-D9FD-4378-8DF7-6B2E9E1B86B8}"/>
    <cellStyle name="Percent 6 2 17" xfId="16892" xr:uid="{8D5BAFB0-0BB3-42A0-AB8F-868B50C3F3E7}"/>
    <cellStyle name="Percent 6 2 2" xfId="1104" xr:uid="{53DCB391-3D1B-439E-AA3E-9411D74A5E21}"/>
    <cellStyle name="Percent 6 2 2 10" xfId="7873" xr:uid="{89B7CDF7-5329-4F1B-9626-D57A6EB2843F}"/>
    <cellStyle name="Percent 6 2 2 11" xfId="7980" xr:uid="{5A230DE9-B451-4B27-810D-2A4DF5DAC5BF}"/>
    <cellStyle name="Percent 6 2 2 12" xfId="9117" xr:uid="{774D41B8-79D1-4413-9CB0-B65FF328685B}"/>
    <cellStyle name="Percent 6 2 2 13" xfId="10244" xr:uid="{73F6F4BF-DA67-424B-AC15-68877AEC23B3}"/>
    <cellStyle name="Percent 6 2 2 14" xfId="12387" xr:uid="{A61F3561-356D-48DF-867D-FD1EC2F57A42}"/>
    <cellStyle name="Percent 6 2 2 15" xfId="14640" xr:uid="{68C4F034-ECB7-41D4-8D48-3262A92152F7}"/>
    <cellStyle name="Percent 6 2 2 16" xfId="16893" xr:uid="{55101E63-9E27-4D98-88DE-2B361248DBF5}"/>
    <cellStyle name="Percent 6 2 2 2" xfId="1105" xr:uid="{823BDBD9-3463-4C16-8E2D-F9D4499B02DC}"/>
    <cellStyle name="Percent 6 2 2 2 10" xfId="7979" xr:uid="{148E5869-CD55-40A8-B4BE-B6DEC16B3951}"/>
    <cellStyle name="Percent 6 2 2 2 11" xfId="9116" xr:uid="{105798F6-44A5-4A48-A277-E34F0DF5D9EB}"/>
    <cellStyle name="Percent 6 2 2 2 12" xfId="10243" xr:uid="{8A36D8CB-B2D6-4CBE-9FCD-2241ABE80ECA}"/>
    <cellStyle name="Percent 6 2 2 2 13" xfId="12388" xr:uid="{75943DC9-73CA-4C6F-84F8-035C46B492D9}"/>
    <cellStyle name="Percent 6 2 2 2 14" xfId="14641" xr:uid="{3364E148-75C2-479F-99CB-20481D134CBE}"/>
    <cellStyle name="Percent 6 2 2 2 15" xfId="16894" xr:uid="{66444A30-0CFA-4A50-B636-8B16D9011960}"/>
    <cellStyle name="Percent 6 2 2 2 2" xfId="1106" xr:uid="{EDF64205-2FF3-44E1-9041-D9D69C72517E}"/>
    <cellStyle name="Percent 6 2 2 2 2 10" xfId="10242" xr:uid="{2D06C506-9780-4B3B-8976-9CCE7EEDEDDD}"/>
    <cellStyle name="Percent 6 2 2 2 2 11" xfId="12389" xr:uid="{DD628AF8-8132-41C7-9330-0B5FC9E55A17}"/>
    <cellStyle name="Percent 6 2 2 2 2 12" xfId="14642" xr:uid="{87AD6CEB-E719-4CCA-8AF7-83E429A4E9E8}"/>
    <cellStyle name="Percent 6 2 2 2 2 13" xfId="16895" xr:uid="{7899871D-129D-473C-9507-D09705073F8B}"/>
    <cellStyle name="Percent 6 2 2 2 2 2" xfId="2232" xr:uid="{10FE0B6A-4BAE-468E-B8B1-88EA122052EC}"/>
    <cellStyle name="Percent 6 2 2 2 2 2 2" xfId="13516" xr:uid="{6C1798DF-E35D-4D7C-B269-D84ABDACCED7}"/>
    <cellStyle name="Percent 6 2 2 2 2 2 3" xfId="15769" xr:uid="{89E13E83-9270-44F8-A607-0F5836A18390}"/>
    <cellStyle name="Percent 6 2 2 2 2 2 4" xfId="18022" xr:uid="{1F044CB0-51BD-47B4-BE85-C29E42A3848F}"/>
    <cellStyle name="Percent 6 2 2 2 2 3" xfId="3358" xr:uid="{36854629-B6D6-4B1D-9E2D-8D86AAC5D07C}"/>
    <cellStyle name="Percent 6 2 2 2 2 4" xfId="4484" xr:uid="{E9AD01C4-F3C7-44F7-9555-A1F15A7E6C8D}"/>
    <cellStyle name="Percent 6 2 2 2 2 5" xfId="5610" xr:uid="{8A763934-F599-435E-9DD5-62176C382DAF}"/>
    <cellStyle name="Percent 6 2 2 2 2 6" xfId="6737" xr:uid="{336040D9-EC31-457F-A7F8-19612F5D9700}"/>
    <cellStyle name="Percent 6 2 2 2 2 7" xfId="7875" xr:uid="{E940FF04-22DB-4664-8D4B-2961C0AFCA89}"/>
    <cellStyle name="Percent 6 2 2 2 2 8" xfId="7978" xr:uid="{4AF809DA-22D8-4773-8BFC-3EADB1F815FA}"/>
    <cellStyle name="Percent 6 2 2 2 2 9" xfId="9115" xr:uid="{1D1B53FE-FA78-4699-8B54-92CC623F4DD2}"/>
    <cellStyle name="Percent 6 2 2 2 3" xfId="1107" xr:uid="{99F6B930-13A9-43ED-9749-8CD8F10F133B}"/>
    <cellStyle name="Percent 6 2 2 2 3 10" xfId="10241" xr:uid="{A1ADEE34-FB35-4AC5-9704-CE93932EF2AD}"/>
    <cellStyle name="Percent 6 2 2 2 3 11" xfId="12390" xr:uid="{92E7D95A-DAFC-40E5-9A53-B1E7E21E8A96}"/>
    <cellStyle name="Percent 6 2 2 2 3 12" xfId="14643" xr:uid="{6994E88C-B812-43A1-98E8-812CE7DE9094}"/>
    <cellStyle name="Percent 6 2 2 2 3 13" xfId="16896" xr:uid="{3CF09112-A411-4CB1-A444-942AED872D43}"/>
    <cellStyle name="Percent 6 2 2 2 3 2" xfId="2233" xr:uid="{05095487-8421-4947-BDE4-162DCC30ABA5}"/>
    <cellStyle name="Percent 6 2 2 2 3 2 2" xfId="13517" xr:uid="{20C29323-E359-4442-973C-0F0FA48F6766}"/>
    <cellStyle name="Percent 6 2 2 2 3 2 3" xfId="15770" xr:uid="{F0288764-DDCE-416C-B21D-401E04900BBF}"/>
    <cellStyle name="Percent 6 2 2 2 3 2 4" xfId="18023" xr:uid="{BDE35B2A-7704-4B8E-8100-F25DBA812E9E}"/>
    <cellStyle name="Percent 6 2 2 2 3 3" xfId="3359" xr:uid="{FCAC739F-AF9F-403A-B890-4E90AB2D2EC6}"/>
    <cellStyle name="Percent 6 2 2 2 3 4" xfId="4485" xr:uid="{E1013560-E8C0-48C9-9E77-631597CFD285}"/>
    <cellStyle name="Percent 6 2 2 2 3 5" xfId="5611" xr:uid="{32D574E5-EFD9-4A66-97E1-CF3A48124134}"/>
    <cellStyle name="Percent 6 2 2 2 3 6" xfId="6738" xr:uid="{CB823EB5-EAB0-4485-A640-2739044E7A9A}"/>
    <cellStyle name="Percent 6 2 2 2 3 7" xfId="7876" xr:uid="{B65B3D77-B785-463B-8AC6-D731F6AA5DBC}"/>
    <cellStyle name="Percent 6 2 2 2 3 8" xfId="7977" xr:uid="{05083249-D29F-4800-BDED-ACB1C1C15D3B}"/>
    <cellStyle name="Percent 6 2 2 2 3 9" xfId="9114" xr:uid="{93125B53-6184-463D-9900-B81A466B61B0}"/>
    <cellStyle name="Percent 6 2 2 2 4" xfId="2231" xr:uid="{94121E85-F121-47AA-BCE6-0986A6967C32}"/>
    <cellStyle name="Percent 6 2 2 2 4 2" xfId="13515" xr:uid="{6B2FCDD6-D8F5-4F11-A135-ADF510F7760B}"/>
    <cellStyle name="Percent 6 2 2 2 4 3" xfId="15768" xr:uid="{FB6F5261-7C8C-4FA7-8126-2A8A575F2821}"/>
    <cellStyle name="Percent 6 2 2 2 4 4" xfId="18021" xr:uid="{877E7531-5680-4B88-8268-93CC11518D02}"/>
    <cellStyle name="Percent 6 2 2 2 5" xfId="3357" xr:uid="{A25942C4-1BC9-44CA-BAF2-09392BD069F2}"/>
    <cellStyle name="Percent 6 2 2 2 6" xfId="4483" xr:uid="{DA36B2DD-6C48-458F-B875-8FACFEBEFAF4}"/>
    <cellStyle name="Percent 6 2 2 2 7" xfId="5609" xr:uid="{682F337A-2E71-434E-9028-83351215485F}"/>
    <cellStyle name="Percent 6 2 2 2 8" xfId="6736" xr:uid="{67055700-0213-4B84-B262-91C5A26191C2}"/>
    <cellStyle name="Percent 6 2 2 2 9" xfId="7874" xr:uid="{5BA27324-FFD3-4800-88F7-A147456E9A81}"/>
    <cellStyle name="Percent 6 2 2 3" xfId="1108" xr:uid="{8FF0945A-5A52-4772-9DBA-ABDB5A6B1E87}"/>
    <cellStyle name="Percent 6 2 2 3 10" xfId="10240" xr:uid="{C82182C2-A10A-4061-B89C-FC629FB267AF}"/>
    <cellStyle name="Percent 6 2 2 3 11" xfId="12391" xr:uid="{BCAD0602-4422-4394-9D2F-ECDAD1F6096C}"/>
    <cellStyle name="Percent 6 2 2 3 12" xfId="14644" xr:uid="{E691C8BF-4D0A-4EC5-BC5C-CEF83912E1A6}"/>
    <cellStyle name="Percent 6 2 2 3 13" xfId="16897" xr:uid="{ED137926-B561-44A6-84D9-1AF945573218}"/>
    <cellStyle name="Percent 6 2 2 3 2" xfId="2234" xr:uid="{5FCEC723-FB5D-40A8-B6C1-BA1212ABA61C}"/>
    <cellStyle name="Percent 6 2 2 3 2 2" xfId="13518" xr:uid="{6C47190A-9FBA-4715-8203-D1AF5798563E}"/>
    <cellStyle name="Percent 6 2 2 3 2 3" xfId="15771" xr:uid="{F684EB98-AAA2-4F55-897D-124B8ADE6F77}"/>
    <cellStyle name="Percent 6 2 2 3 2 4" xfId="18024" xr:uid="{48C1DD4B-24DF-4254-B677-103D81BF9033}"/>
    <cellStyle name="Percent 6 2 2 3 3" xfId="3360" xr:uid="{BC65F92F-FCA6-4914-BA26-64F12C08C000}"/>
    <cellStyle name="Percent 6 2 2 3 4" xfId="4486" xr:uid="{56DEAA6F-06A7-4B61-838D-DB354D980619}"/>
    <cellStyle name="Percent 6 2 2 3 5" xfId="5612" xr:uid="{2BF362CE-EFFA-4C89-85FA-56F419EE1861}"/>
    <cellStyle name="Percent 6 2 2 3 6" xfId="6739" xr:uid="{EE179AAD-6A29-4607-8337-46E6120D0359}"/>
    <cellStyle name="Percent 6 2 2 3 7" xfId="7877" xr:uid="{27058EE3-6CFE-4D8D-87D4-28EA86B78D4B}"/>
    <cellStyle name="Percent 6 2 2 3 8" xfId="7976" xr:uid="{D538D353-7800-4E37-968D-50BEE1FF443E}"/>
    <cellStyle name="Percent 6 2 2 3 9" xfId="9113" xr:uid="{76A57CA0-EEF7-42F3-839E-BD8D1BF9800D}"/>
    <cellStyle name="Percent 6 2 2 4" xfId="1109" xr:uid="{5E08AC4D-6331-4F7D-86EE-BBF1DF4F7898}"/>
    <cellStyle name="Percent 6 2 2 4 10" xfId="10239" xr:uid="{5CDFCDDF-6840-442F-9C23-B15609A60E29}"/>
    <cellStyle name="Percent 6 2 2 4 11" xfId="12392" xr:uid="{C36231C4-5D9C-416B-BCD1-2E332E8E8152}"/>
    <cellStyle name="Percent 6 2 2 4 12" xfId="14645" xr:uid="{54B66DE3-3D24-4293-82CD-8AFD15D4B4F7}"/>
    <cellStyle name="Percent 6 2 2 4 13" xfId="16898" xr:uid="{8411DCC2-BB20-4CC8-B58E-60006472D2A1}"/>
    <cellStyle name="Percent 6 2 2 4 2" xfId="2235" xr:uid="{0AA6128E-67B4-4C6C-873B-3AD66CFF2082}"/>
    <cellStyle name="Percent 6 2 2 4 2 2" xfId="13519" xr:uid="{5D2EDF67-F252-4E73-8754-1C39C5573628}"/>
    <cellStyle name="Percent 6 2 2 4 2 3" xfId="15772" xr:uid="{FBBBF85E-A6F0-4C49-A480-1B7FA0C8CD10}"/>
    <cellStyle name="Percent 6 2 2 4 2 4" xfId="18025" xr:uid="{F6252FD8-86C3-42BC-96C6-2753E12C80F9}"/>
    <cellStyle name="Percent 6 2 2 4 3" xfId="3361" xr:uid="{42F82128-C90E-4DAF-BA4F-AE6713776774}"/>
    <cellStyle name="Percent 6 2 2 4 4" xfId="4487" xr:uid="{074E27E0-2181-459B-B7EB-A65854649389}"/>
    <cellStyle name="Percent 6 2 2 4 5" xfId="5613" xr:uid="{E8772553-B0D4-4A52-8735-9AFF94E386FB}"/>
    <cellStyle name="Percent 6 2 2 4 6" xfId="6740" xr:uid="{154A5300-A25A-421D-A62C-98AB0CAB84D2}"/>
    <cellStyle name="Percent 6 2 2 4 7" xfId="7878" xr:uid="{4E6532EE-CC40-4A39-ABAB-D9CEB5A8EE19}"/>
    <cellStyle name="Percent 6 2 2 4 8" xfId="7975" xr:uid="{D5684E52-48B4-4ED5-AFF4-52A551BDDE52}"/>
    <cellStyle name="Percent 6 2 2 4 9" xfId="9112" xr:uid="{E56026FC-89F4-4B85-852D-E6E22CFB7CE1}"/>
    <cellStyle name="Percent 6 2 2 5" xfId="2230" xr:uid="{BC067116-5210-4967-AAC3-40E21F26F38F}"/>
    <cellStyle name="Percent 6 2 2 5 2" xfId="13514" xr:uid="{91EB5A0A-ECE6-4292-83FC-8C487B422A50}"/>
    <cellStyle name="Percent 6 2 2 5 3" xfId="15767" xr:uid="{C7160AC3-D254-4571-A13C-CD8D34BBF0AB}"/>
    <cellStyle name="Percent 6 2 2 5 4" xfId="18020" xr:uid="{F79BB9CA-0A18-4092-842C-BFEE5F76CD79}"/>
    <cellStyle name="Percent 6 2 2 6" xfId="3356" xr:uid="{CAD193A0-8F00-4AD5-933C-C0C556E5C2AF}"/>
    <cellStyle name="Percent 6 2 2 7" xfId="4482" xr:uid="{AFC2185F-9F07-4968-88C3-BDF67AF08BE8}"/>
    <cellStyle name="Percent 6 2 2 8" xfId="5608" xr:uid="{3144CF94-35B9-4D9F-A76F-14A9D3C530D8}"/>
    <cellStyle name="Percent 6 2 2 9" xfId="6735" xr:uid="{30E4CF47-FBFF-4211-90B6-B465B1C0C1AA}"/>
    <cellStyle name="Percent 6 2 3" xfId="1110" xr:uid="{1DE913D5-F3E4-418D-9949-A723FBF0DE3B}"/>
    <cellStyle name="Percent 6 2 3 10" xfId="7974" xr:uid="{2EE1AFA9-5E84-4BF9-BCC1-8D89B5A3773E}"/>
    <cellStyle name="Percent 6 2 3 11" xfId="9111" xr:uid="{33B753FA-3E4A-4379-9992-4DD722D9E8AB}"/>
    <cellStyle name="Percent 6 2 3 12" xfId="10238" xr:uid="{EDF20B13-7D7C-4184-A8AD-ED102B94E0EC}"/>
    <cellStyle name="Percent 6 2 3 13" xfId="12393" xr:uid="{5F723306-333F-4560-8483-83EAADCD03A3}"/>
    <cellStyle name="Percent 6 2 3 14" xfId="14646" xr:uid="{017EFF12-4094-4DE1-8500-F9F73F5D4FFF}"/>
    <cellStyle name="Percent 6 2 3 15" xfId="16899" xr:uid="{428A19E6-31F2-4609-80F7-62B692051A11}"/>
    <cellStyle name="Percent 6 2 3 2" xfId="1111" xr:uid="{B132890C-CF11-459C-8D80-07B60BE74F4D}"/>
    <cellStyle name="Percent 6 2 3 2 10" xfId="10237" xr:uid="{CA5F8D4B-1EC8-4CDC-B4EB-DBF5035B9610}"/>
    <cellStyle name="Percent 6 2 3 2 11" xfId="12394" xr:uid="{0D6E190F-4321-47D8-B362-8C26394ACC03}"/>
    <cellStyle name="Percent 6 2 3 2 12" xfId="14647" xr:uid="{62B88675-C2BE-4499-B961-EFD712C69EA6}"/>
    <cellStyle name="Percent 6 2 3 2 13" xfId="16900" xr:uid="{D0FAB69D-D654-4319-8B09-A63D05BF698D}"/>
    <cellStyle name="Percent 6 2 3 2 2" xfId="2237" xr:uid="{7C768D3B-6EB2-4D5D-9993-EF9F1F22064C}"/>
    <cellStyle name="Percent 6 2 3 2 2 2" xfId="13521" xr:uid="{52BEDB8E-86A5-4B9E-ADD3-71E6EB2FDA03}"/>
    <cellStyle name="Percent 6 2 3 2 2 3" xfId="15774" xr:uid="{45839EAA-A47B-4648-BBDD-BFEBCC24ACD6}"/>
    <cellStyle name="Percent 6 2 3 2 2 4" xfId="18027" xr:uid="{2C59A186-6105-4C61-8F2B-2224FCB5437B}"/>
    <cellStyle name="Percent 6 2 3 2 3" xfId="3363" xr:uid="{01D5393A-8916-490C-BBC5-1A15D21FD2C2}"/>
    <cellStyle name="Percent 6 2 3 2 4" xfId="4489" xr:uid="{5D88952B-325F-4691-97DA-F809F814AEB9}"/>
    <cellStyle name="Percent 6 2 3 2 5" xfId="5615" xr:uid="{507C9E8F-71DB-4A12-8EF9-2232819ACB89}"/>
    <cellStyle name="Percent 6 2 3 2 6" xfId="6742" xr:uid="{90A721FA-C968-49AC-A183-6FABEDC472D3}"/>
    <cellStyle name="Percent 6 2 3 2 7" xfId="7880" xr:uid="{DAE318C9-B132-414B-B696-A55B910C630A}"/>
    <cellStyle name="Percent 6 2 3 2 8" xfId="7973" xr:uid="{5416FF82-E3F0-4AB6-82FD-2D277FB207B2}"/>
    <cellStyle name="Percent 6 2 3 2 9" xfId="9110" xr:uid="{C3365B47-C9E1-4D11-9FBF-E1B7A2B7982C}"/>
    <cellStyle name="Percent 6 2 3 3" xfId="1112" xr:uid="{C4261339-4FEF-440D-B9B1-BB8B600017AA}"/>
    <cellStyle name="Percent 6 2 3 3 10" xfId="10236" xr:uid="{904DCC76-1270-4642-ADCF-171E358B0651}"/>
    <cellStyle name="Percent 6 2 3 3 11" xfId="12395" xr:uid="{208DEEAE-8FAA-4D4F-BAAB-BB15392F17E8}"/>
    <cellStyle name="Percent 6 2 3 3 12" xfId="14648" xr:uid="{8329F19B-FD0D-40FE-A152-9930E063F1A9}"/>
    <cellStyle name="Percent 6 2 3 3 13" xfId="16901" xr:uid="{52A332F2-8F01-46A7-8B6D-EB804101F2BC}"/>
    <cellStyle name="Percent 6 2 3 3 2" xfId="2238" xr:uid="{C308BE3D-E88C-4C43-8E54-616CC8E7E238}"/>
    <cellStyle name="Percent 6 2 3 3 2 2" xfId="13522" xr:uid="{F0156409-21F3-4AFE-AB53-E637D6A64FC9}"/>
    <cellStyle name="Percent 6 2 3 3 2 3" xfId="15775" xr:uid="{94681E5A-9F61-4AF3-8AF7-96143EF848AA}"/>
    <cellStyle name="Percent 6 2 3 3 2 4" xfId="18028" xr:uid="{DC96C5D9-8124-4C48-841A-BB2FCD815C00}"/>
    <cellStyle name="Percent 6 2 3 3 3" xfId="3364" xr:uid="{ECB1C6A1-B94B-4AA4-B129-8F0F76E1D231}"/>
    <cellStyle name="Percent 6 2 3 3 4" xfId="4490" xr:uid="{7F43BDD6-4E11-4578-82FF-482CC4E448D6}"/>
    <cellStyle name="Percent 6 2 3 3 5" xfId="5616" xr:uid="{1A891BDE-04CC-4983-A3EC-7D9DE239BFF3}"/>
    <cellStyle name="Percent 6 2 3 3 6" xfId="6743" xr:uid="{4ECCB34A-1E1C-4387-8637-D9D79425782D}"/>
    <cellStyle name="Percent 6 2 3 3 7" xfId="7881" xr:uid="{29BC2F2E-1620-46C9-A760-D503B3CF11B6}"/>
    <cellStyle name="Percent 6 2 3 3 8" xfId="7972" xr:uid="{FE45907C-DA6E-403C-A5CA-29A4C86ED535}"/>
    <cellStyle name="Percent 6 2 3 3 9" xfId="9109" xr:uid="{64929199-3ED3-4B79-B816-1D16F772AE2B}"/>
    <cellStyle name="Percent 6 2 3 4" xfId="2236" xr:uid="{BEF3E915-3B74-4234-A686-B00C86E48E0B}"/>
    <cellStyle name="Percent 6 2 3 4 2" xfId="13520" xr:uid="{817B5D63-491B-4410-94C0-9B18B5DB93D7}"/>
    <cellStyle name="Percent 6 2 3 4 3" xfId="15773" xr:uid="{A6CD7E15-6245-4552-A2A4-9F2F998AB606}"/>
    <cellStyle name="Percent 6 2 3 4 4" xfId="18026" xr:uid="{A397E547-7F69-4684-9465-7DFF8C02A125}"/>
    <cellStyle name="Percent 6 2 3 5" xfId="3362" xr:uid="{B9CDE25A-A1D3-481E-8D13-014157CC0631}"/>
    <cellStyle name="Percent 6 2 3 6" xfId="4488" xr:uid="{47B8E95F-59D0-4390-882A-2E8A71BE9652}"/>
    <cellStyle name="Percent 6 2 3 7" xfId="5614" xr:uid="{2849AF7D-FBEE-4798-B05A-B340BD15C286}"/>
    <cellStyle name="Percent 6 2 3 8" xfId="6741" xr:uid="{2BBD6090-156A-46B3-B7F0-77171FC235BA}"/>
    <cellStyle name="Percent 6 2 3 9" xfId="7879" xr:uid="{9CA9435C-7300-44B4-AACA-34C9BE814665}"/>
    <cellStyle name="Percent 6 2 4" xfId="1113" xr:uid="{5D07CFB6-55C6-43CD-9233-77A9A05A07DA}"/>
    <cellStyle name="Percent 6 2 4 10" xfId="10235" xr:uid="{6B935D14-3AA1-4E43-A59E-2C9A3921E6AE}"/>
    <cellStyle name="Percent 6 2 4 11" xfId="12396" xr:uid="{66122F55-56B1-4513-A8FA-1C11620A76C1}"/>
    <cellStyle name="Percent 6 2 4 12" xfId="14649" xr:uid="{2FC3CBC0-85C9-4E29-BA51-DD6303D1228E}"/>
    <cellStyle name="Percent 6 2 4 13" xfId="16902" xr:uid="{FFFDD77A-D645-427A-A350-C6853F927723}"/>
    <cellStyle name="Percent 6 2 4 2" xfId="2239" xr:uid="{6240A4F0-D6A8-4AF3-B4A7-3EBFB3D17928}"/>
    <cellStyle name="Percent 6 2 4 2 2" xfId="13523" xr:uid="{66CD944F-5CD6-4E43-BE07-B7562F9CA0C5}"/>
    <cellStyle name="Percent 6 2 4 2 3" xfId="15776" xr:uid="{8B55CF01-3CFD-4A6A-8B1B-768FE8951172}"/>
    <cellStyle name="Percent 6 2 4 2 4" xfId="18029" xr:uid="{7904C964-6BE7-45D8-817E-CBC403B65E82}"/>
    <cellStyle name="Percent 6 2 4 3" xfId="3365" xr:uid="{A1F3BD3C-3843-4BE5-AC3B-0E9CDF9E874D}"/>
    <cellStyle name="Percent 6 2 4 4" xfId="4491" xr:uid="{5CACE9DD-9730-4585-BAD5-0D8AD1E47001}"/>
    <cellStyle name="Percent 6 2 4 5" xfId="5617" xr:uid="{7C008C48-F20A-4A96-ABB3-F110B25E617F}"/>
    <cellStyle name="Percent 6 2 4 6" xfId="6744" xr:uid="{CBBB47A1-FF26-40D3-BE61-B47E7B822786}"/>
    <cellStyle name="Percent 6 2 4 7" xfId="7882" xr:uid="{694393F2-85D7-4D40-9344-F589C795AA2D}"/>
    <cellStyle name="Percent 6 2 4 8" xfId="7971" xr:uid="{BBC1EDB1-EA96-429B-86F3-DEDD82522E58}"/>
    <cellStyle name="Percent 6 2 4 9" xfId="9108" xr:uid="{1ACB2821-D32A-4FB2-A017-32B3B3C9DDF4}"/>
    <cellStyle name="Percent 6 2 5" xfId="1114" xr:uid="{B0A76151-39F6-4974-8EBC-3A1E1342C280}"/>
    <cellStyle name="Percent 6 2 5 10" xfId="10234" xr:uid="{08FEF0B1-4E17-4FDD-A5F8-C03ACBF9D90C}"/>
    <cellStyle name="Percent 6 2 5 11" xfId="12397" xr:uid="{7D88F24B-576F-48C1-908D-49FCF1B7DE9F}"/>
    <cellStyle name="Percent 6 2 5 12" xfId="14650" xr:uid="{599A4392-3CDF-482F-B764-4BA3FC7D1148}"/>
    <cellStyle name="Percent 6 2 5 13" xfId="16903" xr:uid="{C6286B85-07B7-428B-98BC-F203EAFDA70B}"/>
    <cellStyle name="Percent 6 2 5 2" xfId="2240" xr:uid="{2CECE7A5-CBE4-473C-AAFA-E075DC6F8BB6}"/>
    <cellStyle name="Percent 6 2 5 2 2" xfId="13524" xr:uid="{24764F18-4861-484F-9376-20B501B10811}"/>
    <cellStyle name="Percent 6 2 5 2 3" xfId="15777" xr:uid="{7B6FDB73-F242-444E-BDB5-697060F4E614}"/>
    <cellStyle name="Percent 6 2 5 2 4" xfId="18030" xr:uid="{8CC8204F-991C-44F0-ABE1-36F2BB1677C0}"/>
    <cellStyle name="Percent 6 2 5 3" xfId="3366" xr:uid="{63A2A9AF-BD10-46B1-873F-8CEF3409D79D}"/>
    <cellStyle name="Percent 6 2 5 4" xfId="4492" xr:uid="{E18B514C-204A-4FC8-A621-AC5E0FED20F2}"/>
    <cellStyle name="Percent 6 2 5 5" xfId="5618" xr:uid="{E8AC4DAB-3A83-485F-8EB6-1B4F44C28887}"/>
    <cellStyle name="Percent 6 2 5 6" xfId="6745" xr:uid="{02326C27-AF10-48E3-9FFD-10443B30138C}"/>
    <cellStyle name="Percent 6 2 5 7" xfId="7883" xr:uid="{D301ABD6-392A-4279-8159-EF3157B623BB}"/>
    <cellStyle name="Percent 6 2 5 8" xfId="7970" xr:uid="{95E7E587-0E7D-4AA6-BBD7-B8FF537B219F}"/>
    <cellStyle name="Percent 6 2 5 9" xfId="9107" xr:uid="{DD156567-9658-4AE7-B8CE-6DE0513110F5}"/>
    <cellStyle name="Percent 6 2 6" xfId="2229" xr:uid="{01E23AC1-527C-4502-BAB9-06349F67F0DA}"/>
    <cellStyle name="Percent 6 2 6 2" xfId="13513" xr:uid="{0FF0146A-3FE0-43A7-9336-207019734C0E}"/>
    <cellStyle name="Percent 6 2 6 3" xfId="15766" xr:uid="{9457E206-AD1E-4A99-B787-68521E6F8F8C}"/>
    <cellStyle name="Percent 6 2 6 4" xfId="18019" xr:uid="{D4CC0904-891E-4186-8317-6B92939B917D}"/>
    <cellStyle name="Percent 6 2 7" xfId="3355" xr:uid="{B935EBBE-C031-481C-8A12-D1ADFE779CD1}"/>
    <cellStyle name="Percent 6 2 8" xfId="4481" xr:uid="{77738F7C-BD9A-47A5-9EAB-FDEDDF375FFB}"/>
    <cellStyle name="Percent 6 2 9" xfId="5607" xr:uid="{180092AF-0E5F-4048-B982-BDA2FAB80D9B}"/>
    <cellStyle name="Percent 6 3" xfId="1115" xr:uid="{1EE9C0DD-1E81-4E52-AFD7-237B6CE7C785}"/>
    <cellStyle name="Percent 6 3 10" xfId="7884" xr:uid="{824E5B0E-429D-4031-A298-F2F16FD7A434}"/>
    <cellStyle name="Percent 6 3 11" xfId="7969" xr:uid="{446BDFE9-C62C-4388-9EC7-0E3D9AC242F7}"/>
    <cellStyle name="Percent 6 3 12" xfId="9106" xr:uid="{AE292E74-52FD-4410-8045-0A1598776D42}"/>
    <cellStyle name="Percent 6 3 13" xfId="10233" xr:uid="{9FE89052-AA56-432F-AF40-752F55149F5E}"/>
    <cellStyle name="Percent 6 3 14" xfId="12398" xr:uid="{E0FBD8D6-6472-447A-9248-FD898AD25003}"/>
    <cellStyle name="Percent 6 3 15" xfId="14651" xr:uid="{45424E07-26B5-4328-8AC5-B3313C0CCA40}"/>
    <cellStyle name="Percent 6 3 16" xfId="16904" xr:uid="{A7DC27B3-2A19-4E46-802B-19518789816E}"/>
    <cellStyle name="Percent 6 3 2" xfId="1116" xr:uid="{461E0BEC-1F53-4466-AE2F-FEC5E3DF0E4D}"/>
    <cellStyle name="Percent 6 3 2 10" xfId="7968" xr:uid="{E7E597CB-FA80-42AD-A1E8-F981D2EAC586}"/>
    <cellStyle name="Percent 6 3 2 11" xfId="9105" xr:uid="{121BC276-BE1C-420E-9F84-6DD09FDF05A6}"/>
    <cellStyle name="Percent 6 3 2 12" xfId="10232" xr:uid="{794EAC0D-F0EB-4F59-8D30-8B2540DD86A3}"/>
    <cellStyle name="Percent 6 3 2 13" xfId="12399" xr:uid="{5D1C40FF-BBF0-4434-BC42-199DB59A5E48}"/>
    <cellStyle name="Percent 6 3 2 14" xfId="14652" xr:uid="{0A6CDBC1-52C4-4741-B922-C0F27E1BDF2A}"/>
    <cellStyle name="Percent 6 3 2 15" xfId="16905" xr:uid="{90BE36E5-AEBC-4202-81D3-B249D95F18A2}"/>
    <cellStyle name="Percent 6 3 2 2" xfId="1117" xr:uid="{535B3E38-775E-44C6-B5A8-AB98AB2AF6E1}"/>
    <cellStyle name="Percent 6 3 2 2 10" xfId="10231" xr:uid="{61DF0EFB-C3D6-4F87-A209-F944B678FE8F}"/>
    <cellStyle name="Percent 6 3 2 2 11" xfId="12400" xr:uid="{2611BE0B-0DFE-45EF-B390-9CA3E0A9A236}"/>
    <cellStyle name="Percent 6 3 2 2 12" xfId="14653" xr:uid="{40CAAEA2-6F82-45BF-B20E-4214AD90D3FF}"/>
    <cellStyle name="Percent 6 3 2 2 13" xfId="16906" xr:uid="{A1701E10-E395-4DF9-9A61-4AD6E6317AAE}"/>
    <cellStyle name="Percent 6 3 2 2 2" xfId="2243" xr:uid="{CA6C595D-C0D1-47C2-9671-41B1C52CF92A}"/>
    <cellStyle name="Percent 6 3 2 2 2 2" xfId="13527" xr:uid="{A5AF874F-C543-4F6C-B1CE-3F5598126930}"/>
    <cellStyle name="Percent 6 3 2 2 2 3" xfId="15780" xr:uid="{E2FF8967-F079-46FF-8BE5-4DA4237F70F3}"/>
    <cellStyle name="Percent 6 3 2 2 2 4" xfId="18033" xr:uid="{3DA38731-7784-4F42-8C7F-3721154BB78A}"/>
    <cellStyle name="Percent 6 3 2 2 3" xfId="3369" xr:uid="{3723EB74-1B26-43B7-A5E6-D7C6D00C2CE5}"/>
    <cellStyle name="Percent 6 3 2 2 4" xfId="4495" xr:uid="{F082A863-4739-4442-9CE7-F4FE6E0AA530}"/>
    <cellStyle name="Percent 6 3 2 2 5" xfId="5621" xr:uid="{279DE839-B5C8-474F-9C73-43B579DFD2E1}"/>
    <cellStyle name="Percent 6 3 2 2 6" xfId="6748" xr:uid="{BC00D646-8E61-482F-A2FF-9E4849570019}"/>
    <cellStyle name="Percent 6 3 2 2 7" xfId="7886" xr:uid="{EAC7183F-53EF-4A8F-8FE5-51878D0B33AF}"/>
    <cellStyle name="Percent 6 3 2 2 8" xfId="7967" xr:uid="{C8D5981B-ADE6-4CEE-B71A-8E2CC7510972}"/>
    <cellStyle name="Percent 6 3 2 2 9" xfId="9104" xr:uid="{41365AFC-0F03-4AFC-ADD9-E6628F1546DC}"/>
    <cellStyle name="Percent 6 3 2 3" xfId="1118" xr:uid="{6F913B45-8DFD-4A59-AB20-4E0B09DA9FD7}"/>
    <cellStyle name="Percent 6 3 2 3 10" xfId="10230" xr:uid="{5358E2E6-39D0-4158-8A53-42A038325819}"/>
    <cellStyle name="Percent 6 3 2 3 11" xfId="12401" xr:uid="{A03BA64D-EBD9-4B10-B8E9-8D742520CA90}"/>
    <cellStyle name="Percent 6 3 2 3 12" xfId="14654" xr:uid="{790169F2-CCEF-4529-A73F-32B228B2B40D}"/>
    <cellStyle name="Percent 6 3 2 3 13" xfId="16907" xr:uid="{BBB9E73C-893D-48D8-8259-CC5C76795D0B}"/>
    <cellStyle name="Percent 6 3 2 3 2" xfId="2244" xr:uid="{C5439D93-A4DF-48D1-8FD9-3369730D503C}"/>
    <cellStyle name="Percent 6 3 2 3 2 2" xfId="13528" xr:uid="{98F1382B-605B-4F84-8FB9-D57EC664ACEC}"/>
    <cellStyle name="Percent 6 3 2 3 2 3" xfId="15781" xr:uid="{7D7A3BE7-69A9-479C-9997-0F3688A1A5A1}"/>
    <cellStyle name="Percent 6 3 2 3 2 4" xfId="18034" xr:uid="{D9ACBC97-FD23-4825-A59D-716D643D922D}"/>
    <cellStyle name="Percent 6 3 2 3 3" xfId="3370" xr:uid="{86335C37-5F54-467C-948E-A4A2BEB47D02}"/>
    <cellStyle name="Percent 6 3 2 3 4" xfId="4496" xr:uid="{4F4553BA-CE46-4FFA-9018-1E97E0C3207C}"/>
    <cellStyle name="Percent 6 3 2 3 5" xfId="5622" xr:uid="{11A5C179-1704-40B2-9C15-C7404B3112FB}"/>
    <cellStyle name="Percent 6 3 2 3 6" xfId="6749" xr:uid="{CD44D160-5468-41CD-B8F2-A86EFA31B4C7}"/>
    <cellStyle name="Percent 6 3 2 3 7" xfId="7887" xr:uid="{F6F8F275-B777-48ED-843D-CFEA67ADE9C6}"/>
    <cellStyle name="Percent 6 3 2 3 8" xfId="7966" xr:uid="{B30276A8-1415-4FB2-BC7E-5A1C5C2E10D7}"/>
    <cellStyle name="Percent 6 3 2 3 9" xfId="9103" xr:uid="{564B9442-DAD5-4687-B0C9-79FCA1DE6EDD}"/>
    <cellStyle name="Percent 6 3 2 4" xfId="2242" xr:uid="{FD8DC292-6682-4B57-97BB-FA27BF3588FA}"/>
    <cellStyle name="Percent 6 3 2 4 2" xfId="13526" xr:uid="{AEF8C2D9-993B-4249-91B6-99AA0AC93EA1}"/>
    <cellStyle name="Percent 6 3 2 4 3" xfId="15779" xr:uid="{5B4AF52C-00EC-4A67-8CDE-8C16E8E64F55}"/>
    <cellStyle name="Percent 6 3 2 4 4" xfId="18032" xr:uid="{FC320723-5B9D-4C75-91C7-0BE74A1EB3FC}"/>
    <cellStyle name="Percent 6 3 2 5" xfId="3368" xr:uid="{2E882078-2418-4CDE-8FBF-A859F9B436FB}"/>
    <cellStyle name="Percent 6 3 2 6" xfId="4494" xr:uid="{DB8A2F32-4DDB-4124-9259-4686BE03A3D3}"/>
    <cellStyle name="Percent 6 3 2 7" xfId="5620" xr:uid="{29EA4AB3-2696-44CD-90B2-829D52CEF777}"/>
    <cellStyle name="Percent 6 3 2 8" xfId="6747" xr:uid="{1A7DDE03-7772-43F0-9F1D-BA3AE3E83B94}"/>
    <cellStyle name="Percent 6 3 2 9" xfId="7885" xr:uid="{C471A1BA-DEF9-4701-9498-B8DA5AB7F9C4}"/>
    <cellStyle name="Percent 6 3 3" xfId="1119" xr:uid="{C7BCEE61-1267-472B-9848-F55AB4F894F3}"/>
    <cellStyle name="Percent 6 3 3 10" xfId="10229" xr:uid="{E60698BC-34F8-4FD8-85B8-0422B1306A08}"/>
    <cellStyle name="Percent 6 3 3 11" xfId="12402" xr:uid="{D64D0CC0-AEF4-4600-B633-C59130EAF122}"/>
    <cellStyle name="Percent 6 3 3 12" xfId="14655" xr:uid="{1B9C55E6-C2DE-43A6-9BB5-8A010A060E34}"/>
    <cellStyle name="Percent 6 3 3 13" xfId="16908" xr:uid="{E56BEC20-7242-444B-B242-62F903A14DB0}"/>
    <cellStyle name="Percent 6 3 3 2" xfId="2245" xr:uid="{948AEB16-EBA5-4064-ABB5-7C72A7D2511B}"/>
    <cellStyle name="Percent 6 3 3 2 2" xfId="13529" xr:uid="{A753EE7C-2BE4-4519-A68F-1CE819FE070F}"/>
    <cellStyle name="Percent 6 3 3 2 3" xfId="15782" xr:uid="{4E1925F0-BBAF-42C9-91C5-46D2802B5F5F}"/>
    <cellStyle name="Percent 6 3 3 2 4" xfId="18035" xr:uid="{AF5E1E7C-E14C-43F2-8E02-660A246F1FD9}"/>
    <cellStyle name="Percent 6 3 3 3" xfId="3371" xr:uid="{CE96E860-523F-4B62-804C-0A5AE1420945}"/>
    <cellStyle name="Percent 6 3 3 4" xfId="4497" xr:uid="{5D5BCB59-5B92-40A8-B464-7A3389FF5F10}"/>
    <cellStyle name="Percent 6 3 3 5" xfId="5623" xr:uid="{E2F83BC3-6C62-43FA-AE3E-12B27F85302A}"/>
    <cellStyle name="Percent 6 3 3 6" xfId="6750" xr:uid="{07FCA826-AD57-4435-8021-9E305771B4C4}"/>
    <cellStyle name="Percent 6 3 3 7" xfId="7888" xr:uid="{B00699C2-7D8C-4E05-92D2-E3E3AC55D367}"/>
    <cellStyle name="Percent 6 3 3 8" xfId="7965" xr:uid="{152932D6-D31C-46FD-ACB9-B2D650336C44}"/>
    <cellStyle name="Percent 6 3 3 9" xfId="9102" xr:uid="{D79D9F99-CF43-4EC8-8016-E9EBF3AC1ACD}"/>
    <cellStyle name="Percent 6 3 4" xfId="1120" xr:uid="{494B6129-CBE3-4CDA-AB2C-89FD02AA05B0}"/>
    <cellStyle name="Percent 6 3 4 10" xfId="10228" xr:uid="{89E100E0-6B3B-4468-9F7C-816FDBA059F8}"/>
    <cellStyle name="Percent 6 3 4 11" xfId="12403" xr:uid="{956014C9-6902-4FB1-9F67-5E3D86B932D3}"/>
    <cellStyle name="Percent 6 3 4 12" xfId="14656" xr:uid="{BB064FDB-E5A0-4620-8B6C-16874D63D17E}"/>
    <cellStyle name="Percent 6 3 4 13" xfId="16909" xr:uid="{B100186A-54CC-4C11-BECC-0E46504A0CC9}"/>
    <cellStyle name="Percent 6 3 4 2" xfId="2246" xr:uid="{EBD8CA06-E301-4C7B-B865-0205366F3F3D}"/>
    <cellStyle name="Percent 6 3 4 2 2" xfId="13530" xr:uid="{A8799EE7-2E58-45A0-BDB9-B4460FC7E3DC}"/>
    <cellStyle name="Percent 6 3 4 2 3" xfId="15783" xr:uid="{17BBD6C4-8D63-410A-BADE-3FDDD1CABE5B}"/>
    <cellStyle name="Percent 6 3 4 2 4" xfId="18036" xr:uid="{A459B762-9455-4B8F-8E6C-785D1AC40BE9}"/>
    <cellStyle name="Percent 6 3 4 3" xfId="3372" xr:uid="{CD6B26D0-7FEB-4154-8DD3-9637836F9824}"/>
    <cellStyle name="Percent 6 3 4 4" xfId="4498" xr:uid="{D0ACC411-CAFA-47A0-AD42-867C9123CDAF}"/>
    <cellStyle name="Percent 6 3 4 5" xfId="5624" xr:uid="{C6A472C2-F4E7-4660-8FE8-FEFF8C23B789}"/>
    <cellStyle name="Percent 6 3 4 6" xfId="6751" xr:uid="{2BE420AD-6A9A-46B1-A63F-CDF5EF4D87CF}"/>
    <cellStyle name="Percent 6 3 4 7" xfId="7889" xr:uid="{7CFB15F6-0F09-440F-AC4D-F77401D9DDD0}"/>
    <cellStyle name="Percent 6 3 4 8" xfId="7964" xr:uid="{C691DA30-13F8-4C2B-8454-57E927206721}"/>
    <cellStyle name="Percent 6 3 4 9" xfId="9101" xr:uid="{0DB57018-9B93-41B1-8856-7BB6B5316580}"/>
    <cellStyle name="Percent 6 3 5" xfId="2241" xr:uid="{B684F48B-599F-449E-B65D-5804D5770B1E}"/>
    <cellStyle name="Percent 6 3 5 2" xfId="13525" xr:uid="{ECEDFB8B-245B-4DF5-8ED3-7D69B45A7BF1}"/>
    <cellStyle name="Percent 6 3 5 3" xfId="15778" xr:uid="{314BDB53-45D8-4FFB-8C4D-FACBF0872062}"/>
    <cellStyle name="Percent 6 3 5 4" xfId="18031" xr:uid="{70855A4B-4DB4-483E-954F-8C51CD9A3D96}"/>
    <cellStyle name="Percent 6 3 6" xfId="3367" xr:uid="{53AB9AA3-0493-4233-84FE-DCD78A0ACDB1}"/>
    <cellStyle name="Percent 6 3 7" xfId="4493" xr:uid="{91A05144-D9FA-4D9F-A4A6-FFA27161D30D}"/>
    <cellStyle name="Percent 6 3 8" xfId="5619" xr:uid="{6F9013CC-4DFB-4AB2-8D96-99D752106797}"/>
    <cellStyle name="Percent 6 3 9" xfId="6746" xr:uid="{C3629DBE-5442-4DE6-BF5A-93ED53D2366A}"/>
    <cellStyle name="Percent 6 4" xfId="1121" xr:uid="{3D31EE24-1523-4AEC-94D8-B3C1F685735A}"/>
    <cellStyle name="Percent 6 4 10" xfId="7963" xr:uid="{BC37892F-E26C-4D26-9602-3635CA2924F2}"/>
    <cellStyle name="Percent 6 4 11" xfId="9100" xr:uid="{AB8E7DCE-0AF9-4513-B181-245CB3704BF8}"/>
    <cellStyle name="Percent 6 4 12" xfId="10227" xr:uid="{4E737DC1-EC04-4BEF-BE49-C71E85FDC896}"/>
    <cellStyle name="Percent 6 4 13" xfId="12404" xr:uid="{BB90DC0D-9BD4-4B74-B40F-0A94091301E9}"/>
    <cellStyle name="Percent 6 4 14" xfId="14657" xr:uid="{EA91EA20-2ECF-4D9A-A874-86CB5664492E}"/>
    <cellStyle name="Percent 6 4 15" xfId="16910" xr:uid="{6E66DF43-0533-42DF-B674-FD5969E709BC}"/>
    <cellStyle name="Percent 6 4 2" xfId="1122" xr:uid="{F888EBDF-0B81-4F78-B0D2-D864E28CE7EA}"/>
    <cellStyle name="Percent 6 4 2 10" xfId="10226" xr:uid="{1281862E-7BEB-4992-9E03-5047361EC773}"/>
    <cellStyle name="Percent 6 4 2 11" xfId="12405" xr:uid="{36EA51AF-B14B-4A4B-8D59-E2D69C4D4527}"/>
    <cellStyle name="Percent 6 4 2 12" xfId="14658" xr:uid="{D7C5797B-68CB-4C71-9820-0CA14AD1A260}"/>
    <cellStyle name="Percent 6 4 2 13" xfId="16911" xr:uid="{ABEA16E3-1621-4710-A865-E85DB2435600}"/>
    <cellStyle name="Percent 6 4 2 2" xfId="2248" xr:uid="{375A7A25-8F4D-4C49-8CF7-F7B4B3B3D490}"/>
    <cellStyle name="Percent 6 4 2 2 2" xfId="13532" xr:uid="{F706752F-1A7D-4335-84FF-99A6F2F4FBFA}"/>
    <cellStyle name="Percent 6 4 2 2 3" xfId="15785" xr:uid="{A9ECB6A3-C864-4C59-B1D8-F5647E752713}"/>
    <cellStyle name="Percent 6 4 2 2 4" xfId="18038" xr:uid="{45CD6578-73AC-42E7-A1EB-58DBD3E09E62}"/>
    <cellStyle name="Percent 6 4 2 3" xfId="3374" xr:uid="{7B410F43-B2BB-4A17-82DE-E73C1C12AADB}"/>
    <cellStyle name="Percent 6 4 2 4" xfId="4500" xr:uid="{2CEF0631-67CD-4D01-9250-8D7C92D05901}"/>
    <cellStyle name="Percent 6 4 2 5" xfId="5626" xr:uid="{E0B0D461-27AB-4408-BA9C-CE96E41D01E1}"/>
    <cellStyle name="Percent 6 4 2 6" xfId="6753" xr:uid="{2209B5A8-331E-4DAD-8409-C83CA26A7D22}"/>
    <cellStyle name="Percent 6 4 2 7" xfId="7891" xr:uid="{9185892D-27B0-415C-B159-A9FEDD54EFE9}"/>
    <cellStyle name="Percent 6 4 2 8" xfId="7962" xr:uid="{44B570B7-2701-40FD-8C32-9ACED915C4D6}"/>
    <cellStyle name="Percent 6 4 2 9" xfId="9099" xr:uid="{0FBB63E8-32F1-48C9-86E5-11D2D1F93924}"/>
    <cellStyle name="Percent 6 4 3" xfId="1123" xr:uid="{7B7593FA-6D36-43BB-ADFA-206E66DE64B2}"/>
    <cellStyle name="Percent 6 4 3 10" xfId="10225" xr:uid="{CA797CD5-488F-4B33-A6EA-1BEC6060D10C}"/>
    <cellStyle name="Percent 6 4 3 11" xfId="12406" xr:uid="{2B8040CA-0307-47E7-AFB1-2DFE58667DC2}"/>
    <cellStyle name="Percent 6 4 3 12" xfId="14659" xr:uid="{E7FBBC77-BB6D-4C69-92C7-54CB3211F907}"/>
    <cellStyle name="Percent 6 4 3 13" xfId="16912" xr:uid="{73CF28D5-4783-430E-8D95-FB916B97F703}"/>
    <cellStyle name="Percent 6 4 3 2" xfId="2249" xr:uid="{771D4EB9-043F-4009-8D56-F6E1E7491A66}"/>
    <cellStyle name="Percent 6 4 3 2 2" xfId="13533" xr:uid="{999C6656-3CD7-4439-91BD-9ACCE859D0C6}"/>
    <cellStyle name="Percent 6 4 3 2 3" xfId="15786" xr:uid="{63D6F7C5-F09D-474F-A950-C4A36517A5D4}"/>
    <cellStyle name="Percent 6 4 3 2 4" xfId="18039" xr:uid="{2DB56885-608D-4CBF-B64D-DCFA803A4060}"/>
    <cellStyle name="Percent 6 4 3 3" xfId="3375" xr:uid="{07EAC94F-CBDC-4A49-9F44-3635A1031B48}"/>
    <cellStyle name="Percent 6 4 3 4" xfId="4501" xr:uid="{C3BBE239-C950-436E-8F93-2349DF00D236}"/>
    <cellStyle name="Percent 6 4 3 5" xfId="5627" xr:uid="{CBCC8AA3-6A14-4AEA-8479-C0F864FD7C31}"/>
    <cellStyle name="Percent 6 4 3 6" xfId="6754" xr:uid="{FF949539-55C5-45E1-B8C1-14DAE9D5A22A}"/>
    <cellStyle name="Percent 6 4 3 7" xfId="7892" xr:uid="{CFB5CF02-5650-40F3-B742-F19ABF56B9A0}"/>
    <cellStyle name="Percent 6 4 3 8" xfId="7961" xr:uid="{A922881B-777A-41A1-9AAE-BC3BC077CD60}"/>
    <cellStyle name="Percent 6 4 3 9" xfId="9098" xr:uid="{E3AEA752-4266-42B9-9DE2-25DA1566040B}"/>
    <cellStyle name="Percent 6 4 4" xfId="2247" xr:uid="{CF48716D-3423-43FE-90BC-C7BA2FB3CC71}"/>
    <cellStyle name="Percent 6 4 4 2" xfId="13531" xr:uid="{DC4CB8EA-2CE9-4CB4-BFBC-170592AA0E3E}"/>
    <cellStyle name="Percent 6 4 4 3" xfId="15784" xr:uid="{8CAF757E-5E1D-4365-AD46-4B2A59621D4D}"/>
    <cellStyle name="Percent 6 4 4 4" xfId="18037" xr:uid="{0F180523-E5B3-4701-9354-D7DE5BC1A209}"/>
    <cellStyle name="Percent 6 4 5" xfId="3373" xr:uid="{6FA3A0E2-1395-46A3-8FF6-38FCEC7F2D54}"/>
    <cellStyle name="Percent 6 4 6" xfId="4499" xr:uid="{8BD44572-A6A2-4EF2-85D6-63177BBBA04B}"/>
    <cellStyle name="Percent 6 4 7" xfId="5625" xr:uid="{96B31B1C-82A1-4402-8A70-8C6032A38BED}"/>
    <cellStyle name="Percent 6 4 8" xfId="6752" xr:uid="{6091CE4D-A068-49E7-AE93-8B96E8FCDAC8}"/>
    <cellStyle name="Percent 6 4 9" xfId="7890" xr:uid="{ECD0AD5A-E623-4228-9F2A-C11AA1A4FC2F}"/>
    <cellStyle name="Percent 6 5" xfId="1124" xr:uid="{5F9F0FF1-F0D6-410B-9537-444D613F5BC9}"/>
    <cellStyle name="Percent 6 5 10" xfId="10224" xr:uid="{477C2C6C-1A4D-4EF7-8AB4-5B5C5900F867}"/>
    <cellStyle name="Percent 6 5 11" xfId="12407" xr:uid="{C2DBC94A-1EE2-40FC-A4A7-70CE3735D57F}"/>
    <cellStyle name="Percent 6 5 12" xfId="14660" xr:uid="{4AA55C3F-84EB-4107-BA94-81EA53873CE6}"/>
    <cellStyle name="Percent 6 5 13" xfId="16913" xr:uid="{EB73C3BC-7046-400A-B313-8E8975AF5285}"/>
    <cellStyle name="Percent 6 5 2" xfId="2250" xr:uid="{A604E58D-69F0-42A4-87C2-8F7586E4A9E4}"/>
    <cellStyle name="Percent 6 5 2 2" xfId="13534" xr:uid="{E46A2C6B-BA6D-4156-A716-83475BDB034A}"/>
    <cellStyle name="Percent 6 5 2 3" xfId="15787" xr:uid="{31FCFDF9-583A-4EC7-9636-234847531C9E}"/>
    <cellStyle name="Percent 6 5 2 4" xfId="18040" xr:uid="{F91F4987-CDA0-49BD-8A7B-F4ABCC00570B}"/>
    <cellStyle name="Percent 6 5 3" xfId="3376" xr:uid="{BAFC0157-0E4E-4286-A6C8-36AF353BF8B1}"/>
    <cellStyle name="Percent 6 5 4" xfId="4502" xr:uid="{3FAB4978-CB16-4160-9A8E-183734BD7679}"/>
    <cellStyle name="Percent 6 5 5" xfId="5628" xr:uid="{B59F1AF1-FB28-465F-AA61-B171F746E024}"/>
    <cellStyle name="Percent 6 5 6" xfId="6755" xr:uid="{39370DEC-3214-41FF-80AA-BACAC1CB9222}"/>
    <cellStyle name="Percent 6 5 7" xfId="7893" xr:uid="{0F7A3051-41EC-45A7-85B9-6C2DB4FEFF70}"/>
    <cellStyle name="Percent 6 5 8" xfId="7960" xr:uid="{2047DEF6-5B83-4C8F-90C0-52E64E337F7D}"/>
    <cellStyle name="Percent 6 5 9" xfId="9097" xr:uid="{E07BFEE0-1DA3-4321-AD70-AC2E54CF364E}"/>
    <cellStyle name="Percent 6 6" xfId="1125" xr:uid="{7760FA7D-262F-4158-BF47-792C2F507321}"/>
    <cellStyle name="Percent 6 6 10" xfId="10223" xr:uid="{6BC2B60A-B450-4829-B8ED-D6BB4EC7A714}"/>
    <cellStyle name="Percent 6 6 11" xfId="12408" xr:uid="{85136CA7-C3D0-4353-B9DB-F0E821F0CDD9}"/>
    <cellStyle name="Percent 6 6 12" xfId="14661" xr:uid="{91D244AE-2833-4B7E-A422-A4FEDE93A0D6}"/>
    <cellStyle name="Percent 6 6 13" xfId="16914" xr:uid="{F616DA52-D933-4CCF-99AB-0C362A29E4F7}"/>
    <cellStyle name="Percent 6 6 2" xfId="2251" xr:uid="{614EFF00-4274-450F-B616-0194E2FD86D0}"/>
    <cellStyle name="Percent 6 6 2 2" xfId="13535" xr:uid="{1B152DEF-FFC5-46D9-8413-2FD51570C6FA}"/>
    <cellStyle name="Percent 6 6 2 3" xfId="15788" xr:uid="{B4A79C94-E2EF-4AC8-95FA-94EADEC32A4A}"/>
    <cellStyle name="Percent 6 6 2 4" xfId="18041" xr:uid="{988B91F4-7E8B-429E-9CC8-6AFBFE4BD372}"/>
    <cellStyle name="Percent 6 6 3" xfId="3377" xr:uid="{92450A99-C773-4BE9-B6FB-6F926210E983}"/>
    <cellStyle name="Percent 6 6 4" xfId="4503" xr:uid="{0758D004-0C7D-4289-A62A-548F86A74781}"/>
    <cellStyle name="Percent 6 6 5" xfId="5629" xr:uid="{74709C78-B134-4160-831F-EFE407B469D6}"/>
    <cellStyle name="Percent 6 6 6" xfId="6756" xr:uid="{777D7DB0-8A14-44F3-9EEA-B82154108373}"/>
    <cellStyle name="Percent 6 6 7" xfId="7894" xr:uid="{298F3994-AE23-4012-8740-12FB4243AB96}"/>
    <cellStyle name="Percent 6 6 8" xfId="7959" xr:uid="{A286B8EC-B128-477A-A093-D5CEA112B2F3}"/>
    <cellStyle name="Percent 6 6 9" xfId="9096" xr:uid="{F3AE1AB3-B961-4983-851B-5018533511CD}"/>
    <cellStyle name="Percent 6 7" xfId="2228" xr:uid="{48A51D84-02F2-4F9A-8F91-43E8F734753F}"/>
    <cellStyle name="Percent 6 7 2" xfId="13512" xr:uid="{5733DC92-37C1-4389-9631-128CD8276571}"/>
    <cellStyle name="Percent 6 7 3" xfId="15765" xr:uid="{D00734B9-DD65-468E-9C15-4159E8DE6D77}"/>
    <cellStyle name="Percent 6 7 4" xfId="18018" xr:uid="{780653FE-C67E-478A-9E4E-0D97C77A90C0}"/>
    <cellStyle name="Percent 6 8" xfId="3354" xr:uid="{C922C630-A1BF-4D27-94C5-5B3E73C4F0FA}"/>
    <cellStyle name="Percent 6 9" xfId="4480" xr:uid="{DEEDC734-C0BD-4EFD-8F27-02B6D3270DDA}"/>
    <cellStyle name="Percent 7" xfId="1126" xr:uid="{A4A0041B-7C56-4429-8447-3E7026713CD5}"/>
    <cellStyle name="Percent 7 10" xfId="5630" xr:uid="{D2B5C192-7AD5-43C6-8CDC-F749463875B6}"/>
    <cellStyle name="Percent 7 11" xfId="6757" xr:uid="{8B2E17A1-E306-462D-AE3A-F018E3323957}"/>
    <cellStyle name="Percent 7 12" xfId="7895" xr:uid="{E8F0AEAD-EB1C-4025-BCB3-F97C9B1A6807}"/>
    <cellStyle name="Percent 7 13" xfId="7958" xr:uid="{A8F91E38-75A8-4DAC-9336-C9F398CD1B16}"/>
    <cellStyle name="Percent 7 14" xfId="9095" xr:uid="{6404749C-35BD-4387-BC98-7D23527D1B4A}"/>
    <cellStyle name="Percent 7 15" xfId="10222" xr:uid="{0984BE50-E755-4AE6-8555-55516EC39162}"/>
    <cellStyle name="Percent 7 16" xfId="12409" xr:uid="{CA53D236-4132-415E-8A26-D0EA96037035}"/>
    <cellStyle name="Percent 7 17" xfId="14662" xr:uid="{9F6D03CD-3D8C-4A96-A848-D1D6AAB9DF34}"/>
    <cellStyle name="Percent 7 18" xfId="16915" xr:uid="{EA88CF81-A431-492C-8F2E-AB6D24E6D23D}"/>
    <cellStyle name="Percent 7 2" xfId="1127" xr:uid="{DEE05D37-F171-4702-8396-509F58BB2572}"/>
    <cellStyle name="Percent 7 2 10" xfId="6758" xr:uid="{7A6109DA-C3BD-4F68-B040-76135A5FC26C}"/>
    <cellStyle name="Percent 7 2 11" xfId="7896" xr:uid="{04AD1A37-FD2B-4F99-A318-66DF38C2019D}"/>
    <cellStyle name="Percent 7 2 12" xfId="7957" xr:uid="{D83D0CF2-F83A-4255-9DB8-6C4008A192FA}"/>
    <cellStyle name="Percent 7 2 13" xfId="9094" xr:uid="{82D89097-F544-49A5-A215-64636B91BA64}"/>
    <cellStyle name="Percent 7 2 14" xfId="10221" xr:uid="{9FD4BF76-CFE3-4E04-8F7F-7A1E886EF1F5}"/>
    <cellStyle name="Percent 7 2 15" xfId="12410" xr:uid="{D09E2214-A301-4BF7-8993-B08368281677}"/>
    <cellStyle name="Percent 7 2 16" xfId="14663" xr:uid="{595A0ED0-89BD-47AE-9416-2B260BF0DBB6}"/>
    <cellStyle name="Percent 7 2 17" xfId="16916" xr:uid="{656636F4-2EFD-4791-B125-EDD89267B9A1}"/>
    <cellStyle name="Percent 7 2 2" xfId="1128" xr:uid="{EA828220-4794-432B-A03B-E1B4BDC02D79}"/>
    <cellStyle name="Percent 7 2 2 10" xfId="7897" xr:uid="{6C9E83C0-92E9-40E6-AD1F-DF4FD61BED70}"/>
    <cellStyle name="Percent 7 2 2 11" xfId="7956" xr:uid="{A2CFD90F-EFEF-453D-A7EC-24DB9B591012}"/>
    <cellStyle name="Percent 7 2 2 12" xfId="9093" xr:uid="{08100A8F-CE25-4936-BCCD-527A71ED06CF}"/>
    <cellStyle name="Percent 7 2 2 13" xfId="10220" xr:uid="{5F639758-2419-42E4-9780-4CDA89D4FAB2}"/>
    <cellStyle name="Percent 7 2 2 14" xfId="12411" xr:uid="{713480EB-3E70-4C6D-A979-05719A96E58F}"/>
    <cellStyle name="Percent 7 2 2 15" xfId="14664" xr:uid="{C2EFB2F4-6C9D-401D-9F2C-C07178A40C96}"/>
    <cellStyle name="Percent 7 2 2 16" xfId="16917" xr:uid="{2B180DAB-45B7-4CF4-B5FD-0AF3B8E91B80}"/>
    <cellStyle name="Percent 7 2 2 2" xfId="1129" xr:uid="{F5CDF79B-FE7C-43E7-9E6B-0A645B00B41A}"/>
    <cellStyle name="Percent 7 2 2 2 10" xfId="7955" xr:uid="{8A693D11-8708-4CB2-AE84-EBB9E5D1BF4E}"/>
    <cellStyle name="Percent 7 2 2 2 11" xfId="9092" xr:uid="{83E8DB97-EAC8-4D20-8DCA-42F14CA5F062}"/>
    <cellStyle name="Percent 7 2 2 2 12" xfId="10219" xr:uid="{EB93C5FB-E55B-4087-936A-D08DF0122F09}"/>
    <cellStyle name="Percent 7 2 2 2 13" xfId="12412" xr:uid="{3C67696A-4C55-4942-9F88-CCBD1BBB021C}"/>
    <cellStyle name="Percent 7 2 2 2 14" xfId="14665" xr:uid="{05183643-2A33-49D5-82D8-BAA5821BE595}"/>
    <cellStyle name="Percent 7 2 2 2 15" xfId="16918" xr:uid="{DA04A88B-D0F8-495D-A50C-2394FA9DD0E1}"/>
    <cellStyle name="Percent 7 2 2 2 2" xfId="1130" xr:uid="{1303D5CA-6590-4D55-80EE-6828A89BA49B}"/>
    <cellStyle name="Percent 7 2 2 2 2 10" xfId="10218" xr:uid="{E53B9B1E-F9F9-43DC-ACC6-2C9A1ED06E79}"/>
    <cellStyle name="Percent 7 2 2 2 2 11" xfId="12413" xr:uid="{ACF61445-9B6F-48B4-9726-3EC28EBD4FAC}"/>
    <cellStyle name="Percent 7 2 2 2 2 12" xfId="14666" xr:uid="{3A8CAFFD-95D8-48C7-BB06-6152C26BD0E3}"/>
    <cellStyle name="Percent 7 2 2 2 2 13" xfId="16919" xr:uid="{1D1F2DEB-F22E-4086-B64A-29A3AE1C14DE}"/>
    <cellStyle name="Percent 7 2 2 2 2 2" xfId="2256" xr:uid="{CB34F661-C6ED-40E3-84B1-4BDDA211BA79}"/>
    <cellStyle name="Percent 7 2 2 2 2 2 2" xfId="13540" xr:uid="{A9AA47EF-07D9-4DF7-A7AA-C88E331B6244}"/>
    <cellStyle name="Percent 7 2 2 2 2 2 3" xfId="15793" xr:uid="{57107A8B-CDD8-4324-804E-7A0B9A0F004B}"/>
    <cellStyle name="Percent 7 2 2 2 2 2 4" xfId="18046" xr:uid="{71AE8357-074E-4046-8BC6-FF9E83E71818}"/>
    <cellStyle name="Percent 7 2 2 2 2 3" xfId="3382" xr:uid="{C09EB663-FA7E-49FA-ABC2-EF5079504D64}"/>
    <cellStyle name="Percent 7 2 2 2 2 4" xfId="4508" xr:uid="{068C90C1-CD8A-4F56-B4E2-7DFB0981F7CA}"/>
    <cellStyle name="Percent 7 2 2 2 2 5" xfId="5634" xr:uid="{50B19E57-C60F-4EBE-A067-89F2E4C719BB}"/>
    <cellStyle name="Percent 7 2 2 2 2 6" xfId="6761" xr:uid="{E2369A68-1E34-476D-937B-FC60033FE614}"/>
    <cellStyle name="Percent 7 2 2 2 2 7" xfId="7899" xr:uid="{B7BFFEF6-770A-4585-A629-FF53706E6831}"/>
    <cellStyle name="Percent 7 2 2 2 2 8" xfId="7954" xr:uid="{6BE15945-364D-4284-A710-740901CCDA57}"/>
    <cellStyle name="Percent 7 2 2 2 2 9" xfId="9091" xr:uid="{EC5AC3C8-E544-41F4-B795-A840D9C01B9B}"/>
    <cellStyle name="Percent 7 2 2 2 3" xfId="1131" xr:uid="{8118CEE5-A2B9-4132-877B-989CCFDE00BF}"/>
    <cellStyle name="Percent 7 2 2 2 3 10" xfId="10217" xr:uid="{CE12765F-47AA-4CAC-BE60-06778DF06E44}"/>
    <cellStyle name="Percent 7 2 2 2 3 11" xfId="12414" xr:uid="{66968EF9-4E77-42EF-B0CA-2E3D3B8BB0EB}"/>
    <cellStyle name="Percent 7 2 2 2 3 12" xfId="14667" xr:uid="{31AD2116-ED6F-44F8-A79B-47ADEAA50473}"/>
    <cellStyle name="Percent 7 2 2 2 3 13" xfId="16920" xr:uid="{76584B32-51F3-455F-8CBB-157D79E7DCE3}"/>
    <cellStyle name="Percent 7 2 2 2 3 2" xfId="2257" xr:uid="{F7DED7CD-CD5A-418C-82ED-D05127864D19}"/>
    <cellStyle name="Percent 7 2 2 2 3 2 2" xfId="13541" xr:uid="{16961B50-0DD8-42BD-B512-415840938E77}"/>
    <cellStyle name="Percent 7 2 2 2 3 2 3" xfId="15794" xr:uid="{E115A0B3-015A-4B36-9258-B8CE79FBABDD}"/>
    <cellStyle name="Percent 7 2 2 2 3 2 4" xfId="18047" xr:uid="{11C77FD0-6B05-4F18-A518-B8213E28B64F}"/>
    <cellStyle name="Percent 7 2 2 2 3 3" xfId="3383" xr:uid="{17894C3C-A0B2-4B67-9CDA-B698FA23DA77}"/>
    <cellStyle name="Percent 7 2 2 2 3 4" xfId="4509" xr:uid="{9064FA4B-EB6B-4EE8-AE47-958BDD7F1831}"/>
    <cellStyle name="Percent 7 2 2 2 3 5" xfId="5635" xr:uid="{ADF464E4-F405-4576-B21A-71EBCAB46D7B}"/>
    <cellStyle name="Percent 7 2 2 2 3 6" xfId="6762" xr:uid="{AD4D7FF8-6EF5-4792-933F-ABD84041C024}"/>
    <cellStyle name="Percent 7 2 2 2 3 7" xfId="7900" xr:uid="{D0BF519D-F950-4349-92A5-2B8F4DCE3EE2}"/>
    <cellStyle name="Percent 7 2 2 2 3 8" xfId="7953" xr:uid="{41E8D11E-0DC3-4888-B461-ECB1B502FF50}"/>
    <cellStyle name="Percent 7 2 2 2 3 9" xfId="9090" xr:uid="{6F268D97-66D5-41D6-BA0C-E757A0ABD56C}"/>
    <cellStyle name="Percent 7 2 2 2 4" xfId="2255" xr:uid="{E3432AC8-93D5-4562-95B1-CAE0610D6D18}"/>
    <cellStyle name="Percent 7 2 2 2 4 2" xfId="13539" xr:uid="{A99F7490-F296-4E5A-B6DE-1EEFDC3367A8}"/>
    <cellStyle name="Percent 7 2 2 2 4 3" xfId="15792" xr:uid="{C5EA2CD3-1BFB-4615-9474-34BFFB4728E8}"/>
    <cellStyle name="Percent 7 2 2 2 4 4" xfId="18045" xr:uid="{947D5325-6E17-407D-914A-AFA834DBD2C3}"/>
    <cellStyle name="Percent 7 2 2 2 5" xfId="3381" xr:uid="{9DEBD774-C5DE-4996-9C6E-8960236217E6}"/>
    <cellStyle name="Percent 7 2 2 2 6" xfId="4507" xr:uid="{CEA64870-D3A5-4512-9129-F23870B3E230}"/>
    <cellStyle name="Percent 7 2 2 2 7" xfId="5633" xr:uid="{E346BFDE-D24D-4B40-ABFA-DBB75527B281}"/>
    <cellStyle name="Percent 7 2 2 2 8" xfId="6760" xr:uid="{D29917A5-4864-4D33-925B-E033C366D48E}"/>
    <cellStyle name="Percent 7 2 2 2 9" xfId="7898" xr:uid="{173263C5-B446-4DA7-83F8-D31C6F389A4C}"/>
    <cellStyle name="Percent 7 2 2 3" xfId="1132" xr:uid="{BCEB7FB2-847D-4CDE-8247-61C1A16FD3FA}"/>
    <cellStyle name="Percent 7 2 2 3 10" xfId="10216" xr:uid="{019527B0-4916-4623-80C8-AC7283F22CA8}"/>
    <cellStyle name="Percent 7 2 2 3 11" xfId="12415" xr:uid="{88EDE046-B85E-48D3-9541-D833BB5260DA}"/>
    <cellStyle name="Percent 7 2 2 3 12" xfId="14668" xr:uid="{5239619A-611C-49EC-9397-4E8BC5FFB6FE}"/>
    <cellStyle name="Percent 7 2 2 3 13" xfId="16921" xr:uid="{DBA85C45-1F5C-4764-91DC-5296655EE168}"/>
    <cellStyle name="Percent 7 2 2 3 2" xfId="2258" xr:uid="{D4265F3A-D29A-475A-8EC9-F24982729CC2}"/>
    <cellStyle name="Percent 7 2 2 3 2 2" xfId="13542" xr:uid="{FACD6B61-C68A-4F2A-9AF1-46EBF19C162E}"/>
    <cellStyle name="Percent 7 2 2 3 2 3" xfId="15795" xr:uid="{19320A90-F775-48AD-8C55-11BDAA95C0F6}"/>
    <cellStyle name="Percent 7 2 2 3 2 4" xfId="18048" xr:uid="{ABA45537-5B29-4800-95D2-AD8AB020C9F3}"/>
    <cellStyle name="Percent 7 2 2 3 3" xfId="3384" xr:uid="{1DD1ABF0-ABDB-4F4C-A16D-EABF86D8586D}"/>
    <cellStyle name="Percent 7 2 2 3 4" xfId="4510" xr:uid="{084493A2-D57F-4E6F-8E43-B4C438FFD11F}"/>
    <cellStyle name="Percent 7 2 2 3 5" xfId="5636" xr:uid="{092E2B71-0AFF-465B-9A6A-DB43BD81BBA2}"/>
    <cellStyle name="Percent 7 2 2 3 6" xfId="6763" xr:uid="{D6EF9218-9549-4381-A291-E5A981B5EBE7}"/>
    <cellStyle name="Percent 7 2 2 3 7" xfId="7901" xr:uid="{253B083E-19C2-4593-99F3-00C17A1F2BB3}"/>
    <cellStyle name="Percent 7 2 2 3 8" xfId="7952" xr:uid="{060AB99E-8351-4508-A464-E6B886718AD4}"/>
    <cellStyle name="Percent 7 2 2 3 9" xfId="9089" xr:uid="{AC98F550-A3EC-4F65-9964-112DA753D873}"/>
    <cellStyle name="Percent 7 2 2 4" xfId="1133" xr:uid="{DBACDADD-F2D5-4642-BF99-31E4CC37621D}"/>
    <cellStyle name="Percent 7 2 2 4 10" xfId="10215" xr:uid="{C8874EF3-FAA0-46E4-A18C-05DC03147D19}"/>
    <cellStyle name="Percent 7 2 2 4 11" xfId="12416" xr:uid="{FF925284-6906-46B1-852D-966296CE13A8}"/>
    <cellStyle name="Percent 7 2 2 4 12" xfId="14669" xr:uid="{E67FAA82-0CD3-4A36-A42D-B5C6B1204B3C}"/>
    <cellStyle name="Percent 7 2 2 4 13" xfId="16922" xr:uid="{8FE0DF00-C489-49FD-972A-5636B51CDE07}"/>
    <cellStyle name="Percent 7 2 2 4 2" xfId="2259" xr:uid="{4D22D70C-C535-405E-A540-5DBB6E2CFA24}"/>
    <cellStyle name="Percent 7 2 2 4 2 2" xfId="13543" xr:uid="{D72AEFD3-275B-47FE-94BD-36DC33FF713E}"/>
    <cellStyle name="Percent 7 2 2 4 2 3" xfId="15796" xr:uid="{11A902FD-8520-4C0D-A2B1-35A3E55A92E6}"/>
    <cellStyle name="Percent 7 2 2 4 2 4" xfId="18049" xr:uid="{996BFE65-A067-49B5-AD38-B350B7E21AD9}"/>
    <cellStyle name="Percent 7 2 2 4 3" xfId="3385" xr:uid="{B17EB448-F2B2-490F-88C3-0C194CFF682C}"/>
    <cellStyle name="Percent 7 2 2 4 4" xfId="4511" xr:uid="{5294E5F1-F2A8-47A7-A353-AAD47A19B68B}"/>
    <cellStyle name="Percent 7 2 2 4 5" xfId="5637" xr:uid="{45114074-9001-4700-86CB-B4B1695A5DFF}"/>
    <cellStyle name="Percent 7 2 2 4 6" xfId="6764" xr:uid="{5679265D-8FD0-43B6-AFA8-86FBB8F51242}"/>
    <cellStyle name="Percent 7 2 2 4 7" xfId="7902" xr:uid="{5DE929C4-CF86-406E-B493-A39DEEB861F8}"/>
    <cellStyle name="Percent 7 2 2 4 8" xfId="7951" xr:uid="{244F7274-95BB-4D6F-97E7-6C950B6E01E6}"/>
    <cellStyle name="Percent 7 2 2 4 9" xfId="9088" xr:uid="{AD5689DE-9606-4DDF-8EDC-F687EFDB1E0A}"/>
    <cellStyle name="Percent 7 2 2 5" xfId="2254" xr:uid="{6887A76E-9F0C-4DF6-9F52-2F080014C74B}"/>
    <cellStyle name="Percent 7 2 2 5 2" xfId="13538" xr:uid="{9999CF7B-2FB4-4257-9239-F55B129ABECD}"/>
    <cellStyle name="Percent 7 2 2 5 3" xfId="15791" xr:uid="{9665A360-2F7E-40A8-B929-D009332A1647}"/>
    <cellStyle name="Percent 7 2 2 5 4" xfId="18044" xr:uid="{A001AE8E-DE0A-4256-A237-F34A0899C8A5}"/>
    <cellStyle name="Percent 7 2 2 6" xfId="3380" xr:uid="{DF096CF2-486F-4B11-BEF0-B1DC6992BEE8}"/>
    <cellStyle name="Percent 7 2 2 7" xfId="4506" xr:uid="{87D74E59-A54F-4BD0-B4F5-FD8510D4FCAD}"/>
    <cellStyle name="Percent 7 2 2 8" xfId="5632" xr:uid="{AFA8D01A-99FB-40CC-B3A8-DB88A134FB7C}"/>
    <cellStyle name="Percent 7 2 2 9" xfId="6759" xr:uid="{14707BD7-A80B-4F26-81F4-25E6BAA5AC42}"/>
    <cellStyle name="Percent 7 2 3" xfId="1134" xr:uid="{C146977E-AFFD-4085-88A8-F70B97A1CFD8}"/>
    <cellStyle name="Percent 7 2 3 10" xfId="7950" xr:uid="{A56AEFE0-1E20-4998-B5C3-8B110BFA84AB}"/>
    <cellStyle name="Percent 7 2 3 11" xfId="9087" xr:uid="{21E9BA0F-1D00-4897-9162-3F60C638B356}"/>
    <cellStyle name="Percent 7 2 3 12" xfId="10214" xr:uid="{9CCCBD5B-AF09-4F24-A893-DAA9345FE522}"/>
    <cellStyle name="Percent 7 2 3 13" xfId="12417" xr:uid="{849AAD09-04D8-4129-B16F-8BCDEA11BD49}"/>
    <cellStyle name="Percent 7 2 3 14" xfId="14670" xr:uid="{7C2C4093-CE8A-461B-A439-A6A3AEDEA6DD}"/>
    <cellStyle name="Percent 7 2 3 15" xfId="16923" xr:uid="{CBCA95FE-EC82-4853-AB6E-9273FD96BC58}"/>
    <cellStyle name="Percent 7 2 3 2" xfId="1135" xr:uid="{DE43D090-BE31-4F44-9809-B5497BBFBE8D}"/>
    <cellStyle name="Percent 7 2 3 2 10" xfId="10213" xr:uid="{313A3249-D9BA-4B01-9935-E66DEFE776D2}"/>
    <cellStyle name="Percent 7 2 3 2 11" xfId="12418" xr:uid="{500FCCB6-B578-4362-9F65-373C6014C8DB}"/>
    <cellStyle name="Percent 7 2 3 2 12" xfId="14671" xr:uid="{2C004A1E-9A4A-4529-9A93-AB55B6BD3414}"/>
    <cellStyle name="Percent 7 2 3 2 13" xfId="16924" xr:uid="{E34BF0FB-EC87-4187-9033-765E0247DEBB}"/>
    <cellStyle name="Percent 7 2 3 2 2" xfId="2261" xr:uid="{27A09978-94CD-4EAE-88E1-A485210D2F4F}"/>
    <cellStyle name="Percent 7 2 3 2 2 2" xfId="13545" xr:uid="{02A70230-1FBD-4F1A-9C73-38194EE6D0A3}"/>
    <cellStyle name="Percent 7 2 3 2 2 3" xfId="15798" xr:uid="{A963B31D-93DF-4893-9DA1-6768AB630C01}"/>
    <cellStyle name="Percent 7 2 3 2 2 4" xfId="18051" xr:uid="{40FF91BD-4577-425B-9181-D0EAA8B2349C}"/>
    <cellStyle name="Percent 7 2 3 2 3" xfId="3387" xr:uid="{DFC6FE18-A0C4-4F64-AC9E-DEA70F9C0EEE}"/>
    <cellStyle name="Percent 7 2 3 2 4" xfId="4513" xr:uid="{FA591624-0A54-4308-A5AA-F456120796D6}"/>
    <cellStyle name="Percent 7 2 3 2 5" xfId="5639" xr:uid="{D387F0C0-74EE-4F00-BB07-E7D145DC31EC}"/>
    <cellStyle name="Percent 7 2 3 2 6" xfId="6766" xr:uid="{538B0B5A-6A16-4784-A042-78269FE3CE2E}"/>
    <cellStyle name="Percent 7 2 3 2 7" xfId="7904" xr:uid="{D8B2AC0B-3B93-46FC-83C2-E299BB11BED0}"/>
    <cellStyle name="Percent 7 2 3 2 8" xfId="7949" xr:uid="{7552BFDB-DCCF-41C2-88D3-30C0ED50DA2F}"/>
    <cellStyle name="Percent 7 2 3 2 9" xfId="9086" xr:uid="{1B19DFEE-0FA6-4676-81BB-C9D4EB937E90}"/>
    <cellStyle name="Percent 7 2 3 3" xfId="1136" xr:uid="{AD63BA20-8A83-404B-97A5-C9BD9C3CE0C4}"/>
    <cellStyle name="Percent 7 2 3 3 10" xfId="10212" xr:uid="{64410B8D-5566-4033-9D60-511D3FFEB40D}"/>
    <cellStyle name="Percent 7 2 3 3 11" xfId="12419" xr:uid="{012F8BC3-28A3-464C-B0CB-54C38AE49C6F}"/>
    <cellStyle name="Percent 7 2 3 3 12" xfId="14672" xr:uid="{01F3B12A-3927-4A98-BD5C-5474CD82509C}"/>
    <cellStyle name="Percent 7 2 3 3 13" xfId="16925" xr:uid="{517FA3C5-6287-40BA-8E40-D0B378C85B6D}"/>
    <cellStyle name="Percent 7 2 3 3 2" xfId="2262" xr:uid="{C6860818-A5A0-4236-9778-42D5102610C5}"/>
    <cellStyle name="Percent 7 2 3 3 2 2" xfId="13546" xr:uid="{9FDD0B5E-C989-4C78-A149-44C414CD3471}"/>
    <cellStyle name="Percent 7 2 3 3 2 3" xfId="15799" xr:uid="{6C94CCAB-AE37-489B-9598-B110D27ADDB0}"/>
    <cellStyle name="Percent 7 2 3 3 2 4" xfId="18052" xr:uid="{928E203B-D4A4-4BA9-B283-9333D30593DE}"/>
    <cellStyle name="Percent 7 2 3 3 3" xfId="3388" xr:uid="{A2935370-6F3A-4574-900D-1FB3F1D659F8}"/>
    <cellStyle name="Percent 7 2 3 3 4" xfId="4514" xr:uid="{51906C22-6F05-4C3D-8E69-CA7FADDDBFBC}"/>
    <cellStyle name="Percent 7 2 3 3 5" xfId="5640" xr:uid="{FAE8BC87-D3F2-4DE0-8C12-920948EB7C59}"/>
    <cellStyle name="Percent 7 2 3 3 6" xfId="6767" xr:uid="{1385D898-D4E7-481B-B170-CBB045803D7C}"/>
    <cellStyle name="Percent 7 2 3 3 7" xfId="7905" xr:uid="{70C621AC-5643-439E-B886-09507C3DCEFD}"/>
    <cellStyle name="Percent 7 2 3 3 8" xfId="7948" xr:uid="{2EC7DF56-6EF2-47A3-8F0E-C4D451961249}"/>
    <cellStyle name="Percent 7 2 3 3 9" xfId="9085" xr:uid="{4E14DAD5-1EF9-430D-9F42-693D4AD0981F}"/>
    <cellStyle name="Percent 7 2 3 4" xfId="2260" xr:uid="{F986395E-6F64-4734-8302-2E2ED8EF2F38}"/>
    <cellStyle name="Percent 7 2 3 4 2" xfId="13544" xr:uid="{499AE5F8-DACC-438F-B10A-F786C56AA529}"/>
    <cellStyle name="Percent 7 2 3 4 3" xfId="15797" xr:uid="{DDE094A6-1025-42DB-9649-2E2B6F4E22FB}"/>
    <cellStyle name="Percent 7 2 3 4 4" xfId="18050" xr:uid="{1C00BD2D-AE8D-4244-A05C-9DBEC66A785D}"/>
    <cellStyle name="Percent 7 2 3 5" xfId="3386" xr:uid="{3B680FE9-3EDA-4295-BAAB-A3E3068A8AA5}"/>
    <cellStyle name="Percent 7 2 3 6" xfId="4512" xr:uid="{4C3AA0B5-BDF0-4588-A318-56A2CAE4596D}"/>
    <cellStyle name="Percent 7 2 3 7" xfId="5638" xr:uid="{5E529F60-0EEC-4188-8457-BE6A30348A96}"/>
    <cellStyle name="Percent 7 2 3 8" xfId="6765" xr:uid="{3E2FD9C6-4662-457B-AF85-7DFAF3393150}"/>
    <cellStyle name="Percent 7 2 3 9" xfId="7903" xr:uid="{5EC4451E-E80E-4FC8-BF2F-AF6619B0A68E}"/>
    <cellStyle name="Percent 7 2 4" xfId="1137" xr:uid="{002EE9EF-F9EB-4D9B-832A-C866C42C9526}"/>
    <cellStyle name="Percent 7 2 4 10" xfId="10211" xr:uid="{4A279426-C47A-469B-BAEC-60A2BF797C59}"/>
    <cellStyle name="Percent 7 2 4 11" xfId="12420" xr:uid="{C7161CEF-BB50-47AD-8B73-7C76B12E5FD7}"/>
    <cellStyle name="Percent 7 2 4 12" xfId="14673" xr:uid="{D4EE33B3-D4CF-474F-9170-F7B82CA45E85}"/>
    <cellStyle name="Percent 7 2 4 13" xfId="16926" xr:uid="{51931B42-7972-4011-B020-25EC85E9D480}"/>
    <cellStyle name="Percent 7 2 4 2" xfId="2263" xr:uid="{B0385A8D-ADBA-4A8B-8BAE-6F9E8B408955}"/>
    <cellStyle name="Percent 7 2 4 2 2" xfId="13547" xr:uid="{E71174BE-2435-407C-A368-D425FA7B8A19}"/>
    <cellStyle name="Percent 7 2 4 2 3" xfId="15800" xr:uid="{58A10DDE-708F-4BD1-8D38-CD41484B3E90}"/>
    <cellStyle name="Percent 7 2 4 2 4" xfId="18053" xr:uid="{039380BC-CC40-4B29-86FC-733DC52F1B30}"/>
    <cellStyle name="Percent 7 2 4 3" xfId="3389" xr:uid="{12B3305E-781B-496F-A133-959D872EFF64}"/>
    <cellStyle name="Percent 7 2 4 4" xfId="4515" xr:uid="{8CDB2099-E0E2-4301-8D95-997824936A3F}"/>
    <cellStyle name="Percent 7 2 4 5" xfId="5641" xr:uid="{A9C71E7A-E7B0-44E7-8C1E-6C7209116C08}"/>
    <cellStyle name="Percent 7 2 4 6" xfId="6768" xr:uid="{1D0479AE-DF3F-4B1B-A042-1DF593C5462B}"/>
    <cellStyle name="Percent 7 2 4 7" xfId="7906" xr:uid="{F8978D72-4A49-4090-9C9F-010373290D19}"/>
    <cellStyle name="Percent 7 2 4 8" xfId="7947" xr:uid="{86AF54BB-F846-4CC6-8DC9-493A1954A421}"/>
    <cellStyle name="Percent 7 2 4 9" xfId="9084" xr:uid="{7281E115-257C-4B73-A9F1-CDCC0B116501}"/>
    <cellStyle name="Percent 7 2 5" xfId="1138" xr:uid="{11AC070E-3562-452A-961F-A6719D57FDE9}"/>
    <cellStyle name="Percent 7 2 5 10" xfId="10210" xr:uid="{40DD7C64-3BD4-4D46-B8C9-CEE99D770200}"/>
    <cellStyle name="Percent 7 2 5 11" xfId="12421" xr:uid="{C4CF5F10-D21F-48A2-B290-DCF400192A17}"/>
    <cellStyle name="Percent 7 2 5 12" xfId="14674" xr:uid="{2095E1FC-846C-47A6-8804-594BEEC7A214}"/>
    <cellStyle name="Percent 7 2 5 13" xfId="16927" xr:uid="{A0C6D936-6368-4296-9719-537516CD7C6D}"/>
    <cellStyle name="Percent 7 2 5 2" xfId="2264" xr:uid="{A82658C2-51BF-49DE-A2D3-93FDF7CCFD4D}"/>
    <cellStyle name="Percent 7 2 5 2 2" xfId="13548" xr:uid="{12559B34-0740-4BE4-A7A4-CECB8CC677F7}"/>
    <cellStyle name="Percent 7 2 5 2 3" xfId="15801" xr:uid="{C4447C48-6F2A-48A0-8E2B-4FFE4D8FEBB5}"/>
    <cellStyle name="Percent 7 2 5 2 4" xfId="18054" xr:uid="{E8D633C4-08E7-4E6E-9142-8A87DA8E2644}"/>
    <cellStyle name="Percent 7 2 5 3" xfId="3390" xr:uid="{C86EA3EA-60AC-4FEC-BFE4-B6B7D62449E3}"/>
    <cellStyle name="Percent 7 2 5 4" xfId="4516" xr:uid="{A1E0193C-B8B4-4D88-8A31-3FA6DBF1C6EF}"/>
    <cellStyle name="Percent 7 2 5 5" xfId="5642" xr:uid="{5570F425-8D7E-426E-8F74-6169275DC3F5}"/>
    <cellStyle name="Percent 7 2 5 6" xfId="6769" xr:uid="{212643F3-CDBC-469B-B748-4A8ED95B8D17}"/>
    <cellStyle name="Percent 7 2 5 7" xfId="7907" xr:uid="{D57C5D81-0511-4416-A010-0E3A14415288}"/>
    <cellStyle name="Percent 7 2 5 8" xfId="7946" xr:uid="{6667FC46-AB75-41A4-BDF0-40B67E7D9477}"/>
    <cellStyle name="Percent 7 2 5 9" xfId="9083" xr:uid="{740950C7-614C-47F9-AD16-6105B6FF56E4}"/>
    <cellStyle name="Percent 7 2 6" xfId="2253" xr:uid="{A79B7B87-D4D0-4291-85D5-C3DF9D5FAEF9}"/>
    <cellStyle name="Percent 7 2 6 2" xfId="13537" xr:uid="{3E4DB8C0-D475-47A8-A03E-D6DA457D7FFD}"/>
    <cellStyle name="Percent 7 2 6 3" xfId="15790" xr:uid="{335EE3E9-1097-4302-87A6-45E17A06A994}"/>
    <cellStyle name="Percent 7 2 6 4" xfId="18043" xr:uid="{83AF6E3F-A833-47AB-8131-CE1CE11B2326}"/>
    <cellStyle name="Percent 7 2 7" xfId="3379" xr:uid="{B9FF8EC4-9ACB-4686-B148-8A98783F422A}"/>
    <cellStyle name="Percent 7 2 8" xfId="4505" xr:uid="{C9618039-9CC8-47B5-9322-08ADB2D7605B}"/>
    <cellStyle name="Percent 7 2 9" xfId="5631" xr:uid="{6BB95E74-BEAF-44DF-9706-259270B23638}"/>
    <cellStyle name="Percent 7 3" xfId="1139" xr:uid="{23A72B8D-061A-4C89-BE0A-B56F9AB19C02}"/>
    <cellStyle name="Percent 7 3 10" xfId="7908" xr:uid="{AD141F3F-D959-4D13-980F-2004AAC29149}"/>
    <cellStyle name="Percent 7 3 11" xfId="7945" xr:uid="{EEBEEA90-9344-4BB6-9885-206516FBD84E}"/>
    <cellStyle name="Percent 7 3 12" xfId="9082" xr:uid="{B44BCDAC-79BE-4478-9387-C4B52C8DCBA0}"/>
    <cellStyle name="Percent 7 3 13" xfId="10209" xr:uid="{D0B7E70E-D4B1-4C4F-A4EC-DF03254DA4DC}"/>
    <cellStyle name="Percent 7 3 14" xfId="12422" xr:uid="{0E34E775-73F5-4240-A582-3442AF6032F3}"/>
    <cellStyle name="Percent 7 3 15" xfId="14675" xr:uid="{00570FC9-F816-4124-9B15-218A8DC04205}"/>
    <cellStyle name="Percent 7 3 16" xfId="16928" xr:uid="{6DC8D565-03DE-498A-9A98-546AC1707F3D}"/>
    <cellStyle name="Percent 7 3 2" xfId="1140" xr:uid="{2B2BA86B-E8C9-45C0-AFAA-E77953AB7028}"/>
    <cellStyle name="Percent 7 3 2 10" xfId="7944" xr:uid="{8E8B5D47-4CEA-4104-8F82-85FD11F21F90}"/>
    <cellStyle name="Percent 7 3 2 11" xfId="9081" xr:uid="{0E277AEE-CAAC-4852-94D8-2124BA5701B6}"/>
    <cellStyle name="Percent 7 3 2 12" xfId="10208" xr:uid="{CB0B273D-D9AE-45FE-A23A-CCFD2B5CC265}"/>
    <cellStyle name="Percent 7 3 2 13" xfId="12423" xr:uid="{720195EC-434A-447B-87B0-799AACEE43F0}"/>
    <cellStyle name="Percent 7 3 2 14" xfId="14676" xr:uid="{26D36D0D-E6E8-4817-976F-38C9C9F1869D}"/>
    <cellStyle name="Percent 7 3 2 15" xfId="16929" xr:uid="{55AC25D4-E73D-41B9-8059-ED5169C40FBD}"/>
    <cellStyle name="Percent 7 3 2 2" xfId="1141" xr:uid="{20898130-18E8-4477-8E5C-7C8D39766DE1}"/>
    <cellStyle name="Percent 7 3 2 2 10" xfId="10207" xr:uid="{A5005A2A-D844-4321-ABC3-F795426A0B77}"/>
    <cellStyle name="Percent 7 3 2 2 11" xfId="12424" xr:uid="{6A6FFDD7-755D-4448-B2BE-3E3BA2688C30}"/>
    <cellStyle name="Percent 7 3 2 2 12" xfId="14677" xr:uid="{55897B6E-EA09-4375-AB1D-EFA0361EDF6E}"/>
    <cellStyle name="Percent 7 3 2 2 13" xfId="16930" xr:uid="{DBD5AE19-271D-4815-9D82-9E92E5FE9189}"/>
    <cellStyle name="Percent 7 3 2 2 2" xfId="2267" xr:uid="{E3C3C9FF-F720-4B41-81A2-C2DDE43F76D9}"/>
    <cellStyle name="Percent 7 3 2 2 2 2" xfId="13551" xr:uid="{A4ABAF70-8004-41DA-B117-48375A54C582}"/>
    <cellStyle name="Percent 7 3 2 2 2 3" xfId="15804" xr:uid="{204C20B0-4511-44FA-A19E-4BAEBD4B0AA2}"/>
    <cellStyle name="Percent 7 3 2 2 2 4" xfId="18057" xr:uid="{AFB49900-CE2D-434F-B9A6-224773667BE4}"/>
    <cellStyle name="Percent 7 3 2 2 3" xfId="3393" xr:uid="{5787E303-1907-427A-BD4E-25258B13A2EE}"/>
    <cellStyle name="Percent 7 3 2 2 4" xfId="4519" xr:uid="{2D802FFB-EBB0-4A14-B720-35AC67CA039F}"/>
    <cellStyle name="Percent 7 3 2 2 5" xfId="5645" xr:uid="{8663BBCC-D3F1-406C-94D1-95B1C9B13D1E}"/>
    <cellStyle name="Percent 7 3 2 2 6" xfId="6772" xr:uid="{1192D948-CE83-432D-B8BE-B2338BDF3037}"/>
    <cellStyle name="Percent 7 3 2 2 7" xfId="7910" xr:uid="{B69ECF0E-0E15-4D28-9115-2119339E4AF6}"/>
    <cellStyle name="Percent 7 3 2 2 8" xfId="7943" xr:uid="{6ABA0C8D-522D-4F31-BFC3-E9730765B537}"/>
    <cellStyle name="Percent 7 3 2 2 9" xfId="9080" xr:uid="{AA7868BB-FE60-4A83-966C-124171C684C8}"/>
    <cellStyle name="Percent 7 3 2 3" xfId="1142" xr:uid="{02312F23-FAC0-4FCD-97F7-441E6F7D39B2}"/>
    <cellStyle name="Percent 7 3 2 3 10" xfId="10206" xr:uid="{624288AD-B32E-4F50-B975-484E6901120B}"/>
    <cellStyle name="Percent 7 3 2 3 11" xfId="12425" xr:uid="{A2F6F3E3-B0FC-4098-903E-E10A624A63AC}"/>
    <cellStyle name="Percent 7 3 2 3 12" xfId="14678" xr:uid="{EB063CF5-13B9-4661-AF4E-E642D9B5453C}"/>
    <cellStyle name="Percent 7 3 2 3 13" xfId="16931" xr:uid="{18ABE9C4-2F94-4B98-9E49-5AD9A2714675}"/>
    <cellStyle name="Percent 7 3 2 3 2" xfId="2268" xr:uid="{0314F14F-47BB-41FD-99DF-BBC96D35A85C}"/>
    <cellStyle name="Percent 7 3 2 3 2 2" xfId="13552" xr:uid="{6BD55615-4A8A-4A25-BF03-EA3B6D72486E}"/>
    <cellStyle name="Percent 7 3 2 3 2 3" xfId="15805" xr:uid="{B3F682FD-8DF9-48FD-9567-6194E1824A14}"/>
    <cellStyle name="Percent 7 3 2 3 2 4" xfId="18058" xr:uid="{07886A66-5E89-4946-8155-90755CF7B810}"/>
    <cellStyle name="Percent 7 3 2 3 3" xfId="3394" xr:uid="{B11A13D6-58C2-4DFF-8370-F84045CD6058}"/>
    <cellStyle name="Percent 7 3 2 3 4" xfId="4520" xr:uid="{4ECB42D2-6EF8-4ABC-846B-C8F30B8CCD1C}"/>
    <cellStyle name="Percent 7 3 2 3 5" xfId="5646" xr:uid="{FADB7542-E93F-46E9-BCDB-D430BFD2960E}"/>
    <cellStyle name="Percent 7 3 2 3 6" xfId="6773" xr:uid="{793D6938-6516-4102-B65A-86C72121CAE7}"/>
    <cellStyle name="Percent 7 3 2 3 7" xfId="7911" xr:uid="{BC24338C-29E2-464E-AA99-6790C7859AA9}"/>
    <cellStyle name="Percent 7 3 2 3 8" xfId="7942" xr:uid="{66B50EBE-4B31-4B62-B8A6-729CB42B70A5}"/>
    <cellStyle name="Percent 7 3 2 3 9" xfId="9079" xr:uid="{8779DC01-410E-4AA0-A3B4-AF86BFFD731F}"/>
    <cellStyle name="Percent 7 3 2 4" xfId="2266" xr:uid="{F381E077-A44B-4AE1-A73B-6A86250513FB}"/>
    <cellStyle name="Percent 7 3 2 4 2" xfId="13550" xr:uid="{3618E1FB-F1AB-4D74-9FC5-9E3EA0287440}"/>
    <cellStyle name="Percent 7 3 2 4 3" xfId="15803" xr:uid="{9B8C3C4F-CD92-4F33-B5F2-0BEE5042C09C}"/>
    <cellStyle name="Percent 7 3 2 4 4" xfId="18056" xr:uid="{8F0F6AAB-0403-4A4E-A261-1F3A7A5E3841}"/>
    <cellStyle name="Percent 7 3 2 5" xfId="3392" xr:uid="{91B642BD-A068-48C3-AB33-3C59B89BD6B2}"/>
    <cellStyle name="Percent 7 3 2 6" xfId="4518" xr:uid="{4D332475-85E0-4D96-A02C-1ED53669786A}"/>
    <cellStyle name="Percent 7 3 2 7" xfId="5644" xr:uid="{232F2803-4536-4D71-832E-6E99D7560A87}"/>
    <cellStyle name="Percent 7 3 2 8" xfId="6771" xr:uid="{A8074D1E-D9D1-4386-808D-07AA07AF108B}"/>
    <cellStyle name="Percent 7 3 2 9" xfId="7909" xr:uid="{8B7A96B7-9247-4DB5-A2F2-114B1150CF04}"/>
    <cellStyle name="Percent 7 3 3" xfId="1143" xr:uid="{C32E96D0-EFE5-41EC-A823-EEBEF282F793}"/>
    <cellStyle name="Percent 7 3 3 10" xfId="10205" xr:uid="{57473F59-F687-4CC0-9859-A5548CCBBD52}"/>
    <cellStyle name="Percent 7 3 3 11" xfId="12426" xr:uid="{34CA00AC-50D2-40C7-92D2-D73B44EC0B65}"/>
    <cellStyle name="Percent 7 3 3 12" xfId="14679" xr:uid="{84637C85-9369-4BA6-901A-A6F93E914D02}"/>
    <cellStyle name="Percent 7 3 3 13" xfId="16932" xr:uid="{650D135C-D9CA-4894-8FC1-80E65550D18D}"/>
    <cellStyle name="Percent 7 3 3 2" xfId="2269" xr:uid="{E6D565CC-EA70-42C9-B91B-CCEA375BC53B}"/>
    <cellStyle name="Percent 7 3 3 2 2" xfId="13553" xr:uid="{59D358F4-1211-44E4-AB1E-FDFC7B91ACFB}"/>
    <cellStyle name="Percent 7 3 3 2 3" xfId="15806" xr:uid="{D37AF429-F4CD-4364-AD6A-47818D3A9238}"/>
    <cellStyle name="Percent 7 3 3 2 4" xfId="18059" xr:uid="{547F20BF-2B3B-4727-B142-BC4BCE8198C8}"/>
    <cellStyle name="Percent 7 3 3 3" xfId="3395" xr:uid="{BC557F9F-E473-489C-B2A7-EB4769915979}"/>
    <cellStyle name="Percent 7 3 3 4" xfId="4521" xr:uid="{98C7CED3-6142-4799-A4ED-0DE4CC8B465F}"/>
    <cellStyle name="Percent 7 3 3 5" xfId="5647" xr:uid="{477A7A7A-16C4-447C-9BA4-6456B070F8C8}"/>
    <cellStyle name="Percent 7 3 3 6" xfId="6774" xr:uid="{1D51BFF3-11F3-4891-BE6B-B78383A0D4A3}"/>
    <cellStyle name="Percent 7 3 3 7" xfId="7912" xr:uid="{BD211918-B066-458F-A8DA-95623AF44D5F}"/>
    <cellStyle name="Percent 7 3 3 8" xfId="7941" xr:uid="{B5DC7819-E2E9-4BF1-9159-9C9FE8357209}"/>
    <cellStyle name="Percent 7 3 3 9" xfId="9078" xr:uid="{9BB0556B-492A-449B-9DDE-AD76CF0468A7}"/>
    <cellStyle name="Percent 7 3 4" xfId="1144" xr:uid="{BD5A09C7-5E5E-4D08-B618-AFDEC15FD617}"/>
    <cellStyle name="Percent 7 3 4 10" xfId="10204" xr:uid="{44F53239-A66D-4DF0-92CC-714E635FE7FC}"/>
    <cellStyle name="Percent 7 3 4 11" xfId="12427" xr:uid="{3A4FBB61-90CA-48C6-9789-429EB20CB85A}"/>
    <cellStyle name="Percent 7 3 4 12" xfId="14680" xr:uid="{B85C84A9-804D-4470-B695-CA47E65C84AA}"/>
    <cellStyle name="Percent 7 3 4 13" xfId="16933" xr:uid="{F6123F7B-AAAD-456B-A0C2-CC61CA9278F4}"/>
    <cellStyle name="Percent 7 3 4 2" xfId="2270" xr:uid="{6FFE3DFD-8CBF-4E20-B1AA-3F2585D5CA98}"/>
    <cellStyle name="Percent 7 3 4 2 2" xfId="13554" xr:uid="{19758BF4-2050-4FFE-83FF-5223EAA2B1BF}"/>
    <cellStyle name="Percent 7 3 4 2 3" xfId="15807" xr:uid="{0E7FFD72-B7A5-4454-8CFC-EE1A477832DA}"/>
    <cellStyle name="Percent 7 3 4 2 4" xfId="18060" xr:uid="{92B10A75-35A7-47E3-A231-FBB40621F09E}"/>
    <cellStyle name="Percent 7 3 4 3" xfId="3396" xr:uid="{BBC661D6-79B3-45A5-BF94-CC916FC083B8}"/>
    <cellStyle name="Percent 7 3 4 4" xfId="4522" xr:uid="{3D6C26CB-17F9-4844-9F1F-47CEB09EA58F}"/>
    <cellStyle name="Percent 7 3 4 5" xfId="5648" xr:uid="{C6E3CB67-B208-466B-9E4F-7104479C83E2}"/>
    <cellStyle name="Percent 7 3 4 6" xfId="6775" xr:uid="{377358DF-6105-4FCA-A019-E1BC62C5C574}"/>
    <cellStyle name="Percent 7 3 4 7" xfId="7913" xr:uid="{70ACE1B7-D790-4781-99AF-F02BA27969B8}"/>
    <cellStyle name="Percent 7 3 4 8" xfId="7940" xr:uid="{3300AC49-8089-4AEC-93B7-43F6E44AF655}"/>
    <cellStyle name="Percent 7 3 4 9" xfId="9077" xr:uid="{30E5749C-3037-4FC0-B53B-DED45DED24C7}"/>
    <cellStyle name="Percent 7 3 5" xfId="2265" xr:uid="{3EABF8BE-DB50-4B5B-A4B3-BE2910E25359}"/>
    <cellStyle name="Percent 7 3 5 2" xfId="13549" xr:uid="{4668C0B1-AD2A-4031-86EA-91A8BFB15DD0}"/>
    <cellStyle name="Percent 7 3 5 3" xfId="15802" xr:uid="{3C367554-0CB4-4D37-B680-C120376F9824}"/>
    <cellStyle name="Percent 7 3 5 4" xfId="18055" xr:uid="{6137B84A-6B74-44FA-A93D-1173A38D8F77}"/>
    <cellStyle name="Percent 7 3 6" xfId="3391" xr:uid="{7CBD1666-7925-420B-B264-0186E4C16582}"/>
    <cellStyle name="Percent 7 3 7" xfId="4517" xr:uid="{0F60FABD-3C5A-496B-9644-6DE6CE20DA34}"/>
    <cellStyle name="Percent 7 3 8" xfId="5643" xr:uid="{5BFB3EF5-6085-45BA-AC08-C054474651F8}"/>
    <cellStyle name="Percent 7 3 9" xfId="6770" xr:uid="{3A4E7099-2691-4BDB-B5E1-8D0CDEF4D016}"/>
    <cellStyle name="Percent 7 4" xfId="1145" xr:uid="{05E1241A-4640-4A94-B276-28FBA27F0CB2}"/>
    <cellStyle name="Percent 7 4 10" xfId="7939" xr:uid="{F75CBC38-03AF-45CB-A963-17156CDE2DED}"/>
    <cellStyle name="Percent 7 4 11" xfId="9076" xr:uid="{0F3198CF-876F-40A0-B8BD-E733EA792B26}"/>
    <cellStyle name="Percent 7 4 12" xfId="10203" xr:uid="{04095A36-084E-460D-AB56-E86D7B639CF8}"/>
    <cellStyle name="Percent 7 4 13" xfId="12428" xr:uid="{F1072C9D-23D0-470E-BC93-7C54B6CD54A3}"/>
    <cellStyle name="Percent 7 4 14" xfId="14681" xr:uid="{AB74F758-CB0C-4AC6-B4EF-5BF1608F9045}"/>
    <cellStyle name="Percent 7 4 15" xfId="16934" xr:uid="{EDD5C8FE-7249-4BC4-BE03-FD994BA30EA8}"/>
    <cellStyle name="Percent 7 4 2" xfId="1146" xr:uid="{7CFB5E1D-1D2F-43AE-9D19-3A5A521AC160}"/>
    <cellStyle name="Percent 7 4 2 10" xfId="10202" xr:uid="{05EB2A25-6513-46E3-A3DC-DB5EF4E279F5}"/>
    <cellStyle name="Percent 7 4 2 11" xfId="12429" xr:uid="{076F3D70-0758-4F67-B993-FE94696AA81C}"/>
    <cellStyle name="Percent 7 4 2 12" xfId="14682" xr:uid="{4A4B6CA7-108C-4EB9-A2A6-C469A807DA7A}"/>
    <cellStyle name="Percent 7 4 2 13" xfId="16935" xr:uid="{83D6ACF8-F3E6-4699-8917-BED912D73C75}"/>
    <cellStyle name="Percent 7 4 2 2" xfId="2272" xr:uid="{FB907C14-7DBC-4775-AB54-BF001645F7DE}"/>
    <cellStyle name="Percent 7 4 2 2 2" xfId="13556" xr:uid="{EF30934F-79FE-408B-B7C8-A1E4E085874C}"/>
    <cellStyle name="Percent 7 4 2 2 3" xfId="15809" xr:uid="{BBCCC7A1-797C-4287-BCAA-BE48A9FFC10E}"/>
    <cellStyle name="Percent 7 4 2 2 4" xfId="18062" xr:uid="{B60C48B3-44EB-4D83-9C62-7416C3DC6DA3}"/>
    <cellStyle name="Percent 7 4 2 3" xfId="3398" xr:uid="{B0979A0F-7F9A-4574-8953-ABD6F6CC82C6}"/>
    <cellStyle name="Percent 7 4 2 4" xfId="4524" xr:uid="{D3DA272A-90A6-43EB-A44A-00D361E7CD14}"/>
    <cellStyle name="Percent 7 4 2 5" xfId="5650" xr:uid="{99A53784-73BF-4884-A75C-50BEA531F155}"/>
    <cellStyle name="Percent 7 4 2 6" xfId="6777" xr:uid="{094D6955-C220-4CCB-84A5-05E55978E1FB}"/>
    <cellStyle name="Percent 7 4 2 7" xfId="7915" xr:uid="{574578C1-F8CB-4BF4-9A4F-35631073E68B}"/>
    <cellStyle name="Percent 7 4 2 8" xfId="7938" xr:uid="{802FC877-6D06-497D-A7EE-C8F7946942BA}"/>
    <cellStyle name="Percent 7 4 2 9" xfId="9075" xr:uid="{3CB43E29-6070-4DDB-95FF-FB968DD7B299}"/>
    <cellStyle name="Percent 7 4 3" xfId="1147" xr:uid="{BFA90A4F-F296-442A-9587-FF8CEC660228}"/>
    <cellStyle name="Percent 7 4 3 10" xfId="10201" xr:uid="{0A325226-4FC7-480D-AD07-6895041D5C11}"/>
    <cellStyle name="Percent 7 4 3 11" xfId="12430" xr:uid="{0E4E01B1-38CA-4062-B725-17E07654615F}"/>
    <cellStyle name="Percent 7 4 3 12" xfId="14683" xr:uid="{27E05985-D9D3-40A8-A41B-6C322AD3C0F4}"/>
    <cellStyle name="Percent 7 4 3 13" xfId="16936" xr:uid="{BDEAA868-1450-4ED3-ABA2-D6ABD01F2440}"/>
    <cellStyle name="Percent 7 4 3 2" xfId="2273" xr:uid="{6130D880-4424-4E12-A8FE-85D26EC0B258}"/>
    <cellStyle name="Percent 7 4 3 2 2" xfId="13557" xr:uid="{FDF28418-EB28-4F86-8EAC-DEB145B06367}"/>
    <cellStyle name="Percent 7 4 3 2 3" xfId="15810" xr:uid="{4E002268-FFD9-4CD0-919D-09F00D28B690}"/>
    <cellStyle name="Percent 7 4 3 2 4" xfId="18063" xr:uid="{7469A859-7BBE-40E9-8172-AC7789829965}"/>
    <cellStyle name="Percent 7 4 3 3" xfId="3399" xr:uid="{6E21A9BD-1408-4852-8ECA-594B5039A119}"/>
    <cellStyle name="Percent 7 4 3 4" xfId="4525" xr:uid="{7DC6E3E4-AF93-4ED1-9765-D4606384095B}"/>
    <cellStyle name="Percent 7 4 3 5" xfId="5651" xr:uid="{235834AF-895A-4B78-B1EB-C1A4D30764DA}"/>
    <cellStyle name="Percent 7 4 3 6" xfId="6778" xr:uid="{9B3C6879-FB3B-40D7-89FD-6E32628119C2}"/>
    <cellStyle name="Percent 7 4 3 7" xfId="7916" xr:uid="{DD575DE6-91E7-46DB-82C1-224E7C63B012}"/>
    <cellStyle name="Percent 7 4 3 8" xfId="7937" xr:uid="{541ACE9E-03A6-416B-A7A3-C27289A28215}"/>
    <cellStyle name="Percent 7 4 3 9" xfId="9074" xr:uid="{D52EE5DB-E2D2-4ADF-98FA-37DB35D60897}"/>
    <cellStyle name="Percent 7 4 4" xfId="2271" xr:uid="{8B36304C-FD8E-4080-B33A-71461AA3B4B8}"/>
    <cellStyle name="Percent 7 4 4 2" xfId="13555" xr:uid="{0A3C8901-876C-4C5E-8DA9-B47F7433FC56}"/>
    <cellStyle name="Percent 7 4 4 3" xfId="15808" xr:uid="{E6BE20B3-D2DC-49E5-9848-6399B3AD22D1}"/>
    <cellStyle name="Percent 7 4 4 4" xfId="18061" xr:uid="{FFE8A08C-4107-4264-B766-4F191AA53976}"/>
    <cellStyle name="Percent 7 4 5" xfId="3397" xr:uid="{B1F54603-93B7-4EA6-A9EC-2D507CBC57F3}"/>
    <cellStyle name="Percent 7 4 6" xfId="4523" xr:uid="{0A77150D-1462-4C54-A87B-866AEC2EA443}"/>
    <cellStyle name="Percent 7 4 7" xfId="5649" xr:uid="{F2D37672-6E66-48F8-AE88-9DBDEC693192}"/>
    <cellStyle name="Percent 7 4 8" xfId="6776" xr:uid="{93B9645C-7A79-48B9-B6B8-CB56458BECE3}"/>
    <cellStyle name="Percent 7 4 9" xfId="7914" xr:uid="{1614C065-0DE1-4CA6-BD5C-FF81C339B656}"/>
    <cellStyle name="Percent 7 5" xfId="1148" xr:uid="{4CA9B59D-E850-49AA-BD99-E5F83D5A3E40}"/>
    <cellStyle name="Percent 7 5 10" xfId="10200" xr:uid="{4CF77399-CA2F-47EF-BFD5-27E7ABAC66E9}"/>
    <cellStyle name="Percent 7 5 11" xfId="12431" xr:uid="{B715ED94-F8E5-4932-AE73-83625AD8B405}"/>
    <cellStyle name="Percent 7 5 12" xfId="14684" xr:uid="{6EE43A14-2BCF-41A9-9652-2F6A3BCAFECA}"/>
    <cellStyle name="Percent 7 5 13" xfId="16937" xr:uid="{6A042C71-1FE0-45C2-B3EF-0627FF2CA067}"/>
    <cellStyle name="Percent 7 5 2" xfId="2274" xr:uid="{9101A8A3-259A-47A0-BFC2-CA2C635DBAB7}"/>
    <cellStyle name="Percent 7 5 2 2" xfId="13558" xr:uid="{A5ADE308-9E4B-4171-A7B9-744A7175DBD3}"/>
    <cellStyle name="Percent 7 5 2 3" xfId="15811" xr:uid="{67CFD06D-F995-456E-ADAB-E5DA0FA06879}"/>
    <cellStyle name="Percent 7 5 2 4" xfId="18064" xr:uid="{CDE8E6EC-345E-4808-B9E0-1F2E6663464C}"/>
    <cellStyle name="Percent 7 5 3" xfId="3400" xr:uid="{29ACEDD5-7E0E-444C-A4CE-0B21EC51238A}"/>
    <cellStyle name="Percent 7 5 4" xfId="4526" xr:uid="{95536295-7604-462A-9DCF-B625867DD874}"/>
    <cellStyle name="Percent 7 5 5" xfId="5652" xr:uid="{145A9C5A-57FD-4546-9BF2-A77E21C7EBB0}"/>
    <cellStyle name="Percent 7 5 6" xfId="6779" xr:uid="{338D812B-A5DD-43E2-9FA8-09F2FC9FD295}"/>
    <cellStyle name="Percent 7 5 7" xfId="7917" xr:uid="{EAFAB128-071E-4568-BC51-8446879378F5}"/>
    <cellStyle name="Percent 7 5 8" xfId="7936" xr:uid="{0326EF95-0D75-4E6B-B693-28F1E41AB84A}"/>
    <cellStyle name="Percent 7 5 9" xfId="9073" xr:uid="{942EFAAB-4B9A-4B8C-AF02-188B68AA9B1C}"/>
    <cellStyle name="Percent 7 6" xfId="1149" xr:uid="{464E504F-AD5C-488A-BB9A-8AE472265269}"/>
    <cellStyle name="Percent 7 6 10" xfId="10199" xr:uid="{2AD107BD-BC8A-46E1-8DE9-1A4E8A8494F9}"/>
    <cellStyle name="Percent 7 6 11" xfId="12432" xr:uid="{0BB07FF9-9257-4EA3-B6CE-DD4337A9CB36}"/>
    <cellStyle name="Percent 7 6 12" xfId="14685" xr:uid="{8BF98A6D-B6C1-4679-A482-F88AB2225E1F}"/>
    <cellStyle name="Percent 7 6 13" xfId="16938" xr:uid="{CCB9D3F5-8033-4C9C-9444-345FA131813C}"/>
    <cellStyle name="Percent 7 6 2" xfId="2275" xr:uid="{E9F68177-9C3B-4100-9D66-DC1A1A41EF77}"/>
    <cellStyle name="Percent 7 6 2 2" xfId="13559" xr:uid="{AC7D654F-EEE0-4D80-B677-D34F0AB119A3}"/>
    <cellStyle name="Percent 7 6 2 3" xfId="15812" xr:uid="{1C0A9C2D-B5D9-4CD9-9407-48F09832D762}"/>
    <cellStyle name="Percent 7 6 2 4" xfId="18065" xr:uid="{2C30E2DA-3BBF-4E40-8443-552A1724E409}"/>
    <cellStyle name="Percent 7 6 3" xfId="3401" xr:uid="{E116B8A0-E0F5-4EC4-8668-C44F61C7915D}"/>
    <cellStyle name="Percent 7 6 4" xfId="4527" xr:uid="{404EDE9F-890C-4DD1-971E-5E8C84D19B48}"/>
    <cellStyle name="Percent 7 6 5" xfId="5653" xr:uid="{77B879C4-B95B-4FBE-A749-9851C4A8E46F}"/>
    <cellStyle name="Percent 7 6 6" xfId="6780" xr:uid="{8D513CC4-9DB5-465C-A6D8-4D788CC24777}"/>
    <cellStyle name="Percent 7 6 7" xfId="7918" xr:uid="{85A00978-9561-44C2-8747-75761D628C9C}"/>
    <cellStyle name="Percent 7 6 8" xfId="7935" xr:uid="{E2CA1C30-671B-4E56-BBE1-0EB30DAFC374}"/>
    <cellStyle name="Percent 7 6 9" xfId="9072" xr:uid="{141B93E5-F842-46EA-8DD0-2670A8F7FD26}"/>
    <cellStyle name="Percent 7 7" xfId="2252" xr:uid="{CCA21F5C-9B73-4A77-AB2A-583C9639AD5A}"/>
    <cellStyle name="Percent 7 7 2" xfId="13536" xr:uid="{0BF2802E-216D-4C24-BD33-F3C1967F2283}"/>
    <cellStyle name="Percent 7 7 3" xfId="15789" xr:uid="{39EA49BA-C8EC-44FC-B35E-E8E043467322}"/>
    <cellStyle name="Percent 7 7 4" xfId="18042" xr:uid="{417CEE6F-D375-402F-B2DD-6A1FA7E7CDF4}"/>
    <cellStyle name="Percent 7 8" xfId="3378" xr:uid="{95F987D1-7F08-453E-9FA6-E8F398B3B563}"/>
    <cellStyle name="Percent 7 9" xfId="4504" xr:uid="{C340AA62-C82C-4799-AE88-56D4A04C64F9}"/>
    <cellStyle name="Percent 8" xfId="1150" xr:uid="{C011FB8A-3C09-4FD3-A12D-7C09EF364869}"/>
    <cellStyle name="Percent 8 10" xfId="7919" xr:uid="{8555C14F-A2D8-4A2D-A8AE-8B469728ABF7}"/>
    <cellStyle name="Percent 8 11" xfId="7934" xr:uid="{D6E84C25-A310-4468-B422-F65A1989B7A5}"/>
    <cellStyle name="Percent 8 12" xfId="9071" xr:uid="{E206816A-D127-40C4-A090-3B01793E92BE}"/>
    <cellStyle name="Percent 8 13" xfId="10198" xr:uid="{5CB18990-EEE1-4E43-85CD-300BFAA7C524}"/>
    <cellStyle name="Percent 8 14" xfId="12433" xr:uid="{3C000FEB-FDDE-4479-9760-428E2105511F}"/>
    <cellStyle name="Percent 8 15" xfId="14686" xr:uid="{89EE9CB1-831B-4994-BF75-994F5A63C1C0}"/>
    <cellStyle name="Percent 8 16" xfId="16939" xr:uid="{D13FCB9E-492A-40EC-BE86-777E67384A98}"/>
    <cellStyle name="Percent 8 2" xfId="1151" xr:uid="{7793957A-7C61-4F1D-9744-86281FA9AEC9}"/>
    <cellStyle name="Percent 8 2 10" xfId="7933" xr:uid="{3FEB0D0E-9CAC-465C-9F7F-4F6CB8CA769B}"/>
    <cellStyle name="Percent 8 2 11" xfId="9070" xr:uid="{F19DCBF6-8A5A-4303-8660-12D07CD052F0}"/>
    <cellStyle name="Percent 8 2 12" xfId="10197" xr:uid="{C1373D12-7C13-4250-932C-36CA942FEAC5}"/>
    <cellStyle name="Percent 8 2 13" xfId="12434" xr:uid="{EE636611-AE9C-4EF6-982B-DAB2841A0A51}"/>
    <cellStyle name="Percent 8 2 14" xfId="14687" xr:uid="{76FA67C7-B8C6-4045-925D-D6B50F50A8ED}"/>
    <cellStyle name="Percent 8 2 15" xfId="16940" xr:uid="{788D681C-A475-487E-B95E-70B5011B622F}"/>
    <cellStyle name="Percent 8 2 2" xfId="1152" xr:uid="{579970D3-C239-4A50-8EC9-60F8D5F4A47E}"/>
    <cellStyle name="Percent 8 2 2 10" xfId="10196" xr:uid="{75C3D293-D7BB-4B5A-8F89-9942882AC3FB}"/>
    <cellStyle name="Percent 8 2 2 11" xfId="12435" xr:uid="{0A6072AB-DEB1-4F9A-80B6-0BCC3CD98773}"/>
    <cellStyle name="Percent 8 2 2 12" xfId="14688" xr:uid="{5889009A-75DA-4032-8F44-EB1A71CDAFEC}"/>
    <cellStyle name="Percent 8 2 2 13" xfId="16941" xr:uid="{72597D7A-F4A9-4F7B-9A9E-456245BD4152}"/>
    <cellStyle name="Percent 8 2 2 2" xfId="2278" xr:uid="{D42EE6E4-8DD1-473D-9289-6D633A343180}"/>
    <cellStyle name="Percent 8 2 2 2 2" xfId="13562" xr:uid="{BD21F467-C73D-4EE9-B95F-7875B2CE1231}"/>
    <cellStyle name="Percent 8 2 2 2 3" xfId="15815" xr:uid="{242DD95F-4F9A-4FEA-B947-4E2A52D58E84}"/>
    <cellStyle name="Percent 8 2 2 2 4" xfId="18068" xr:uid="{4A434C5A-DBBF-4BB8-BF6C-19B9DA943E4D}"/>
    <cellStyle name="Percent 8 2 2 3" xfId="3404" xr:uid="{99E10B40-4409-4E67-A911-069BE3F2ACB3}"/>
    <cellStyle name="Percent 8 2 2 4" xfId="4530" xr:uid="{CE38691D-6451-4449-86EB-00BCABA7AC46}"/>
    <cellStyle name="Percent 8 2 2 5" xfId="5656" xr:uid="{B94D73F4-51E0-4A81-91E1-C5C936F20E62}"/>
    <cellStyle name="Percent 8 2 2 6" xfId="6783" xr:uid="{E78B00B7-404E-4878-9043-5A83455D95DC}"/>
    <cellStyle name="Percent 8 2 2 7" xfId="7921" xr:uid="{FBD10A8B-5D98-4788-95FC-DDB91A811AAA}"/>
    <cellStyle name="Percent 8 2 2 8" xfId="7932" xr:uid="{4E40FE7C-FA01-4109-B57C-5E627C493EEF}"/>
    <cellStyle name="Percent 8 2 2 9" xfId="9069" xr:uid="{CA0CE053-EF6E-4D7E-B487-BC98998F98C7}"/>
    <cellStyle name="Percent 8 2 3" xfId="1153" xr:uid="{703D288F-531C-447F-BBB9-E53CB613F5A1}"/>
    <cellStyle name="Percent 8 2 3 10" xfId="10195" xr:uid="{4D1851B8-21E8-4472-A9F2-898579AC3FDA}"/>
    <cellStyle name="Percent 8 2 3 11" xfId="12436" xr:uid="{48C755C2-ACE3-45A7-9658-0271972A9E04}"/>
    <cellStyle name="Percent 8 2 3 12" xfId="14689" xr:uid="{5687CC77-D044-45D1-BF73-41F7B9390962}"/>
    <cellStyle name="Percent 8 2 3 13" xfId="16942" xr:uid="{DE394237-8C38-4022-8A33-5E83A7DB07F7}"/>
    <cellStyle name="Percent 8 2 3 2" xfId="2279" xr:uid="{D68CE15B-81C1-461B-B03D-D58AD8588221}"/>
    <cellStyle name="Percent 8 2 3 2 2" xfId="13563" xr:uid="{77338657-5B17-47AC-AE43-2D57ADA82AA2}"/>
    <cellStyle name="Percent 8 2 3 2 3" xfId="15816" xr:uid="{BB76CA84-03B7-4156-B29D-515164E6F443}"/>
    <cellStyle name="Percent 8 2 3 2 4" xfId="18069" xr:uid="{FCB4985A-A647-48F5-87EC-F4F277488239}"/>
    <cellStyle name="Percent 8 2 3 3" xfId="3405" xr:uid="{F7FDFE90-54ED-4246-AD24-9A1AA6A4D7B6}"/>
    <cellStyle name="Percent 8 2 3 4" xfId="4531" xr:uid="{6E5262D0-37E1-4ECC-BD93-2C3F78624CFF}"/>
    <cellStyle name="Percent 8 2 3 5" xfId="5657" xr:uid="{6648EB8E-6842-44D0-B4BB-A9DA5BE8B36A}"/>
    <cellStyle name="Percent 8 2 3 6" xfId="6784" xr:uid="{23E69B0E-C6A0-4031-B61A-51F99E1598D5}"/>
    <cellStyle name="Percent 8 2 3 7" xfId="7922" xr:uid="{C606026B-02F0-4AE8-8810-BB77F4616590}"/>
    <cellStyle name="Percent 8 2 3 8" xfId="7931" xr:uid="{09A0A3A3-C963-4528-8BC1-5BE44FA725A6}"/>
    <cellStyle name="Percent 8 2 3 9" xfId="9068" xr:uid="{6F9F177A-C91F-4667-9029-7B33452DB108}"/>
    <cellStyle name="Percent 8 2 4" xfId="2277" xr:uid="{E23747BB-8911-41E6-AF68-F5FA777A74B5}"/>
    <cellStyle name="Percent 8 2 4 2" xfId="13561" xr:uid="{100E57DD-4668-4877-B8A7-EB59C31BC6EE}"/>
    <cellStyle name="Percent 8 2 4 3" xfId="15814" xr:uid="{A51DB004-EFCA-4AD5-AD76-C6A6769557A9}"/>
    <cellStyle name="Percent 8 2 4 4" xfId="18067" xr:uid="{DA16CB01-2873-4EEA-8AAA-8C8E98C2A499}"/>
    <cellStyle name="Percent 8 2 5" xfId="3403" xr:uid="{6C315F18-8A49-4218-8407-63B9AC4659E4}"/>
    <cellStyle name="Percent 8 2 6" xfId="4529" xr:uid="{A82AFBB6-75E4-45AB-91B0-05E96B617655}"/>
    <cellStyle name="Percent 8 2 7" xfId="5655" xr:uid="{6E669577-4E44-4E3E-87A7-365B845BA46A}"/>
    <cellStyle name="Percent 8 2 8" xfId="6782" xr:uid="{89BDB6DD-2F7A-4D36-92EE-5E4866E16B10}"/>
    <cellStyle name="Percent 8 2 9" xfId="7920" xr:uid="{3B29AB85-EDBF-4819-8B2E-6A4C38D8E3F9}"/>
    <cellStyle name="Percent 8 3" xfId="1154" xr:uid="{8F1DDF6C-0C6E-43BC-B889-D92243275CCE}"/>
    <cellStyle name="Percent 8 3 10" xfId="10194" xr:uid="{7045D34F-63C6-44C9-B58F-B7B15FBCC910}"/>
    <cellStyle name="Percent 8 3 11" xfId="12437" xr:uid="{E17A8A9B-960D-489A-BBE5-70F3423B9EA3}"/>
    <cellStyle name="Percent 8 3 12" xfId="14690" xr:uid="{14FCAC06-2C78-49E5-AD6C-3B134AA66264}"/>
    <cellStyle name="Percent 8 3 13" xfId="16943" xr:uid="{D9AAD3C3-A016-45C3-A9A8-F74E6EDB8426}"/>
    <cellStyle name="Percent 8 3 2" xfId="2280" xr:uid="{65E738B2-97BC-4CA1-A562-28809FFB29A0}"/>
    <cellStyle name="Percent 8 3 2 2" xfId="13564" xr:uid="{9A5D40DB-765F-4919-B37D-7FA94CD27A49}"/>
    <cellStyle name="Percent 8 3 2 3" xfId="15817" xr:uid="{51317582-3135-4DAA-B795-61DD8B15348E}"/>
    <cellStyle name="Percent 8 3 2 4" xfId="18070" xr:uid="{E90CDFC7-08A1-467E-9D3D-FE9CDA81B746}"/>
    <cellStyle name="Percent 8 3 3" xfId="3406" xr:uid="{0271A48D-974F-4FAE-B174-0CD5A4AC02F0}"/>
    <cellStyle name="Percent 8 3 4" xfId="4532" xr:uid="{67876A70-BD44-4B37-BEC0-B4074AB0450E}"/>
    <cellStyle name="Percent 8 3 5" xfId="5658" xr:uid="{C937B6C5-1434-4C83-8073-8187AD05952C}"/>
    <cellStyle name="Percent 8 3 6" xfId="6785" xr:uid="{7AFF7FA6-FF80-47E5-AED9-C024D708DBB8}"/>
    <cellStyle name="Percent 8 3 7" xfId="7923" xr:uid="{D0B93622-B99E-4897-8E1A-6E1323D5F7CF}"/>
    <cellStyle name="Percent 8 3 8" xfId="7930" xr:uid="{8BDD649A-812A-4439-9324-70DBC744AE79}"/>
    <cellStyle name="Percent 8 3 9" xfId="9067" xr:uid="{06B9C54F-4F5C-492D-B8EE-BE09CCE20368}"/>
    <cellStyle name="Percent 8 4" xfId="1155" xr:uid="{CCA4CA57-5708-4E49-871C-DE8707CCB0C3}"/>
    <cellStyle name="Percent 8 4 10" xfId="10193" xr:uid="{EE16631B-ADD8-4F71-AAB0-34F1198042C9}"/>
    <cellStyle name="Percent 8 4 11" xfId="12438" xr:uid="{8E87BCA8-D24D-429A-9A8C-D999CC8C0B40}"/>
    <cellStyle name="Percent 8 4 12" xfId="14691" xr:uid="{4DE57114-0F1D-4383-9A27-D0CFFDE7CB54}"/>
    <cellStyle name="Percent 8 4 13" xfId="16944" xr:uid="{4D563C1E-B3D1-479C-92CA-27C59E0B1FE7}"/>
    <cellStyle name="Percent 8 4 2" xfId="2281" xr:uid="{09EF32CF-59B3-45EC-B528-D03A7FD80B04}"/>
    <cellStyle name="Percent 8 4 2 2" xfId="13565" xr:uid="{05199915-A634-4AD7-88D0-1217B3FA7DE3}"/>
    <cellStyle name="Percent 8 4 2 3" xfId="15818" xr:uid="{565C3895-21F1-4E36-9B94-BA07E718D204}"/>
    <cellStyle name="Percent 8 4 2 4" xfId="18071" xr:uid="{C9827AA8-10E5-4908-B642-AA4898EB94CE}"/>
    <cellStyle name="Percent 8 4 3" xfId="3407" xr:uid="{BA40982F-C53A-4D66-A914-04783DED990E}"/>
    <cellStyle name="Percent 8 4 4" xfId="4533" xr:uid="{E977F76B-44B9-4628-86AF-B62B75153163}"/>
    <cellStyle name="Percent 8 4 5" xfId="5659" xr:uid="{794BAFA4-2244-4BA0-9964-3E88CCCA3031}"/>
    <cellStyle name="Percent 8 4 6" xfId="6786" xr:uid="{347C348E-12B2-4D31-8A44-CFA5FC2BB90F}"/>
    <cellStyle name="Percent 8 4 7" xfId="7924" xr:uid="{8672B389-7F8F-4562-A882-B113BC6A8160}"/>
    <cellStyle name="Percent 8 4 8" xfId="7928" xr:uid="{7BB0F1B1-A7F0-4995-A794-5B127A11A043}"/>
    <cellStyle name="Percent 8 4 9" xfId="9066" xr:uid="{8BF89DDB-6FA4-437E-8315-451AD2F955AF}"/>
    <cellStyle name="Percent 8 5" xfId="2276" xr:uid="{CBC87BBE-F55B-4E20-B163-05D055190C5C}"/>
    <cellStyle name="Percent 8 5 2" xfId="13560" xr:uid="{333F42D0-6CD9-4145-8D7B-7E94A6EB5529}"/>
    <cellStyle name="Percent 8 5 3" xfId="15813" xr:uid="{97F2B86D-8543-4C99-8939-B3824B731A50}"/>
    <cellStyle name="Percent 8 5 4" xfId="18066" xr:uid="{3C07CA42-C09C-40FA-A6D3-8FF5549994B1}"/>
    <cellStyle name="Percent 8 6" xfId="3402" xr:uid="{12B23980-EE18-41DA-B6D9-3530F5FBE562}"/>
    <cellStyle name="Percent 8 7" xfId="4528" xr:uid="{161F0007-0FAF-40EC-85C7-D019794F0F47}"/>
    <cellStyle name="Percent 8 8" xfId="5654" xr:uid="{4EDDAFCD-5A26-4C50-943D-A5646A41DE1A}"/>
    <cellStyle name="Percent 8 9" xfId="6781" xr:uid="{1F918A71-0602-4863-BCAC-F100063D2416}"/>
    <cellStyle name="Percent 9" xfId="1156" xr:uid="{179A6F4B-6E93-4054-9537-757DE55DC039}"/>
    <cellStyle name="Percent 9 10" xfId="9051" xr:uid="{7DC7BEE5-6CEB-4AE3-AB0B-5504526F1F78}"/>
    <cellStyle name="Percent 9 11" xfId="9065" xr:uid="{40BB84B7-5DFD-4A36-8C86-3D275E4E6426}"/>
    <cellStyle name="Percent 9 12" xfId="10192" xr:uid="{2C5392F0-B276-4626-9059-1145FAA7D9E1}"/>
    <cellStyle name="Percent 9 13" xfId="12439" xr:uid="{95236330-5488-4BD0-94E6-044D96C5B9FF}"/>
    <cellStyle name="Percent 9 14" xfId="14692" xr:uid="{56334A3D-44E9-454A-9F2E-4670D0A70F7A}"/>
    <cellStyle name="Percent 9 15" xfId="16945" xr:uid="{9C11B0F6-FB8B-45C9-B014-95817B5CB686}"/>
    <cellStyle name="Percent 9 2" xfId="1157" xr:uid="{F49656AB-0EF3-4108-A4F1-97AFA65AC22E}"/>
    <cellStyle name="Percent 9 2 10" xfId="10191" xr:uid="{4DB9208D-7210-41AD-BCB4-1C2C5829C84E}"/>
    <cellStyle name="Percent 9 2 11" xfId="12440" xr:uid="{0B400CAB-3111-4B3C-98B7-6226351DFAC7}"/>
    <cellStyle name="Percent 9 2 12" xfId="14693" xr:uid="{33C41682-4D9C-4EA5-93FA-9B16DDB645C3}"/>
    <cellStyle name="Percent 9 2 13" xfId="16946" xr:uid="{221D6931-2C92-426B-9A59-57C5E4A1D92E}"/>
    <cellStyle name="Percent 9 2 2" xfId="2283" xr:uid="{4963EC10-EBFA-4DF9-989C-1ACA21D5DA18}"/>
    <cellStyle name="Percent 9 2 2 2" xfId="13567" xr:uid="{ECE977D3-688A-415C-A313-5B0D4A413FE7}"/>
    <cellStyle name="Percent 9 2 2 3" xfId="15820" xr:uid="{B8349341-5449-4CBA-B956-6C126B78C834}"/>
    <cellStyle name="Percent 9 2 2 4" xfId="18073" xr:uid="{E6976095-3B5F-4E7C-97DA-0DD65CD941A9}"/>
    <cellStyle name="Percent 9 2 3" xfId="3409" xr:uid="{1A54A798-17B0-433D-9C14-22578F26B5BC}"/>
    <cellStyle name="Percent 9 2 4" xfId="4535" xr:uid="{1AE3BCA9-486B-4C34-8856-02837331BD22}"/>
    <cellStyle name="Percent 9 2 5" xfId="5661" xr:uid="{BC2301EA-10D1-497B-B812-D4ED7000F691}"/>
    <cellStyle name="Percent 9 2 6" xfId="6788" xr:uid="{89D0C970-2D8C-44F7-B952-0442DEE42B48}"/>
    <cellStyle name="Percent 9 2 7" xfId="7926" xr:uid="{3B03F62B-96AE-44E8-A032-A960AF10FBB4}"/>
    <cellStyle name="Percent 9 2 8" xfId="9052" xr:uid="{2C88E38E-25C3-4D82-9467-EDBECE95F74C}"/>
    <cellStyle name="Percent 9 2 9" xfId="9064" xr:uid="{1C5C2B31-7032-4CD9-9B8C-4455C90D42E9}"/>
    <cellStyle name="Percent 9 3" xfId="1158" xr:uid="{F1D6FB0F-BC51-4F24-8AE7-78C1DEC37E20}"/>
    <cellStyle name="Percent 9 3 10" xfId="10189" xr:uid="{B28A794A-ABCF-494F-8218-E75BBAD0F707}"/>
    <cellStyle name="Percent 9 3 11" xfId="12441" xr:uid="{01B1F2BF-C4D4-4BFD-90BC-036C994A7743}"/>
    <cellStyle name="Percent 9 3 12" xfId="14694" xr:uid="{D4EA4841-9234-448A-8FE3-E26E76743FAD}"/>
    <cellStyle name="Percent 9 3 13" xfId="16947" xr:uid="{CBC63D7F-5EFE-40FE-B4A4-D069F1CC3447}"/>
    <cellStyle name="Percent 9 3 2" xfId="2284" xr:uid="{E5228682-8DEE-4BA5-815B-3D93D78F02B1}"/>
    <cellStyle name="Percent 9 3 2 2" xfId="13568" xr:uid="{E9EC1F16-2713-477B-B543-DC08E9D9F7E6}"/>
    <cellStyle name="Percent 9 3 2 3" xfId="15821" xr:uid="{4D65407B-9EC8-4A16-8C12-56D68A4F6717}"/>
    <cellStyle name="Percent 9 3 2 4" xfId="18074" xr:uid="{DCE64567-8716-4F57-B4A7-6174649E550D}"/>
    <cellStyle name="Percent 9 3 3" xfId="3410" xr:uid="{F48B8EC3-EC49-44A4-BD93-ECCDB4A43978}"/>
    <cellStyle name="Percent 9 3 4" xfId="4536" xr:uid="{64C3142D-CD16-40BE-A534-D054F9D0C50F}"/>
    <cellStyle name="Percent 9 3 5" xfId="5662" xr:uid="{394A895D-63E0-40F6-84AF-AB5DE4AFF9DB}"/>
    <cellStyle name="Percent 9 3 6" xfId="6789" xr:uid="{212DAE7F-94D1-4869-AD8E-AC0AA0459109}"/>
    <cellStyle name="Percent 9 3 7" xfId="7927" xr:uid="{12F47585-1C37-4B07-9445-138CC307EE72}"/>
    <cellStyle name="Percent 9 3 8" xfId="9053" xr:uid="{D1AB4AAA-529F-46C6-9A5D-7DB97270ED35}"/>
    <cellStyle name="Percent 9 3 9" xfId="9062" xr:uid="{723BECCA-30E5-41DA-B11E-131FF4E63EB4}"/>
    <cellStyle name="Percent 9 4" xfId="2282" xr:uid="{F83E6EDA-2C64-4BFB-A6C6-39CA5CB81D16}"/>
    <cellStyle name="Percent 9 4 2" xfId="13566" xr:uid="{D64C24CF-6D84-494F-B609-7E13E6E025E3}"/>
    <cellStyle name="Percent 9 4 3" xfId="15819" xr:uid="{E0D07340-908F-46AB-893C-107D5E74AB42}"/>
    <cellStyle name="Percent 9 4 4" xfId="18072" xr:uid="{AA607581-CF8C-4AD8-9A33-C48D78243A73}"/>
    <cellStyle name="Percent 9 5" xfId="3408" xr:uid="{C7805862-CA9B-457A-BFD0-A7C524F6D50D}"/>
    <cellStyle name="Percent 9 6" xfId="4534" xr:uid="{5A2A9F4F-5EE7-4B05-BBDF-69C88E7930C9}"/>
    <cellStyle name="Percent 9 7" xfId="5660" xr:uid="{4F4E6D48-9F35-4499-8289-2E630512F1F2}"/>
    <cellStyle name="Percent 9 8" xfId="6787" xr:uid="{B25FEBE0-E900-43BB-B414-16572587D428}"/>
    <cellStyle name="Percent 9 9" xfId="7925" xr:uid="{DC597C3C-BB58-4404-A04A-6C9745BD6500}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BO326"/>
  <sheetViews>
    <sheetView zoomScale="70" zoomScaleNormal="70" workbookViewId="0">
      <pane xSplit="3" ySplit="21" topLeftCell="AD119" activePane="bottomRight" state="frozen"/>
      <selection pane="topRight"/>
      <selection pane="bottomLeft"/>
      <selection pane="bottomRight" activeCell="AJ18" sqref="AJ18"/>
    </sheetView>
  </sheetViews>
  <sheetFormatPr defaultColWidth="9" defaultRowHeight="15" x14ac:dyDescent="0.25"/>
  <cols>
    <col min="1" max="1" width="15.7109375" customWidth="1"/>
    <col min="2" max="2" width="61.7109375" customWidth="1"/>
    <col min="3" max="3" width="7.85546875" style="63" customWidth="1"/>
    <col min="4" max="11" width="8.28515625" customWidth="1"/>
    <col min="12" max="21" width="7.42578125" customWidth="1"/>
    <col min="22" max="27" width="8.28515625" customWidth="1"/>
    <col min="28" max="29" width="7.42578125" customWidth="1"/>
    <col min="30" max="41" width="8.28515625" customWidth="1"/>
    <col min="42" max="43" width="7.42578125" customWidth="1"/>
    <col min="44" max="55" width="8.28515625" customWidth="1"/>
    <col min="56" max="57" width="7.42578125" customWidth="1"/>
    <col min="58" max="65" width="8.28515625" customWidth="1"/>
    <col min="66" max="66" width="12.140625" customWidth="1"/>
    <col min="69" max="69" width="9.7109375" customWidth="1"/>
  </cols>
  <sheetData>
    <row r="1" spans="1:67" x14ac:dyDescent="0.25">
      <c r="D1">
        <f t="shared" ref="D1:BF1" si="0">SUM(D5:D21)</f>
        <v>0</v>
      </c>
      <c r="F1">
        <f t="shared" si="0"/>
        <v>0</v>
      </c>
      <c r="H1">
        <f t="shared" si="0"/>
        <v>0</v>
      </c>
      <c r="J1">
        <f t="shared" si="0"/>
        <v>0</v>
      </c>
      <c r="L1">
        <f t="shared" si="0"/>
        <v>0</v>
      </c>
      <c r="N1">
        <f t="shared" si="0"/>
        <v>0</v>
      </c>
      <c r="P1">
        <f t="shared" si="0"/>
        <v>0</v>
      </c>
      <c r="R1">
        <f t="shared" si="0"/>
        <v>0</v>
      </c>
      <c r="T1">
        <f t="shared" si="0"/>
        <v>0</v>
      </c>
      <c r="V1">
        <f t="shared" si="0"/>
        <v>0</v>
      </c>
      <c r="X1">
        <f t="shared" si="0"/>
        <v>0</v>
      </c>
      <c r="Z1">
        <f t="shared" si="0"/>
        <v>0</v>
      </c>
      <c r="AB1">
        <f t="shared" si="0"/>
        <v>0</v>
      </c>
      <c r="AD1">
        <f t="shared" si="0"/>
        <v>0</v>
      </c>
      <c r="AF1">
        <f t="shared" si="0"/>
        <v>1065</v>
      </c>
      <c r="AH1">
        <f t="shared" si="0"/>
        <v>383</v>
      </c>
      <c r="AJ1">
        <f t="shared" si="0"/>
        <v>436</v>
      </c>
      <c r="AL1">
        <f t="shared" si="0"/>
        <v>436</v>
      </c>
      <c r="AN1">
        <f t="shared" si="0"/>
        <v>0</v>
      </c>
      <c r="AP1">
        <f t="shared" si="0"/>
        <v>0</v>
      </c>
      <c r="AR1">
        <f t="shared" si="0"/>
        <v>0</v>
      </c>
      <c r="AT1">
        <f t="shared" si="0"/>
        <v>0</v>
      </c>
      <c r="AV1">
        <f t="shared" si="0"/>
        <v>0</v>
      </c>
      <c r="AX1">
        <f t="shared" si="0"/>
        <v>0</v>
      </c>
      <c r="AZ1">
        <f t="shared" si="0"/>
        <v>0</v>
      </c>
      <c r="BB1">
        <f t="shared" si="0"/>
        <v>0</v>
      </c>
      <c r="BD1">
        <f t="shared" si="0"/>
        <v>0</v>
      </c>
      <c r="BF1">
        <f t="shared" si="0"/>
        <v>0</v>
      </c>
      <c r="BH1">
        <f>SUM(BH5:BH21)</f>
        <v>0</v>
      </c>
      <c r="BN1" s="26">
        <f>SUM(BN5:BN21)</f>
        <v>2320</v>
      </c>
    </row>
    <row r="2" spans="1:67" ht="24" customHeight="1" x14ac:dyDescent="0.25">
      <c r="A2" s="699" t="s">
        <v>0</v>
      </c>
      <c r="B2" s="700"/>
      <c r="C2" s="701"/>
      <c r="D2" s="697">
        <v>45809</v>
      </c>
      <c r="E2" s="698"/>
      <c r="F2" s="697">
        <v>45810</v>
      </c>
      <c r="G2" s="698"/>
      <c r="H2" s="697">
        <v>45811</v>
      </c>
      <c r="I2" s="698"/>
      <c r="J2" s="697">
        <v>45812</v>
      </c>
      <c r="K2" s="698"/>
      <c r="L2" s="697">
        <v>45813</v>
      </c>
      <c r="M2" s="698"/>
      <c r="N2" s="697">
        <v>45814</v>
      </c>
      <c r="O2" s="698"/>
      <c r="P2" s="697">
        <v>45815</v>
      </c>
      <c r="Q2" s="698"/>
      <c r="R2" s="697">
        <v>45816</v>
      </c>
      <c r="S2" s="698"/>
      <c r="T2" s="697">
        <v>45817</v>
      </c>
      <c r="U2" s="698"/>
      <c r="V2" s="697">
        <v>45818</v>
      </c>
      <c r="W2" s="698"/>
      <c r="X2" s="697">
        <v>45819</v>
      </c>
      <c r="Y2" s="698"/>
      <c r="Z2" s="697">
        <v>45820</v>
      </c>
      <c r="AA2" s="698"/>
      <c r="AB2" s="697">
        <v>45821</v>
      </c>
      <c r="AC2" s="698"/>
      <c r="AD2" s="697">
        <v>45822</v>
      </c>
      <c r="AE2" s="698"/>
      <c r="AF2" s="697">
        <v>45823</v>
      </c>
      <c r="AG2" s="698"/>
      <c r="AH2" s="697">
        <v>45824</v>
      </c>
      <c r="AI2" s="698"/>
      <c r="AJ2" s="697">
        <v>45825</v>
      </c>
      <c r="AK2" s="698"/>
      <c r="AL2" s="697">
        <v>45826</v>
      </c>
      <c r="AM2" s="698"/>
      <c r="AN2" s="697">
        <v>45827</v>
      </c>
      <c r="AO2" s="698"/>
      <c r="AP2" s="697">
        <v>45828</v>
      </c>
      <c r="AQ2" s="698"/>
      <c r="AR2" s="697">
        <v>45829</v>
      </c>
      <c r="AS2" s="698"/>
      <c r="AT2" s="697">
        <v>45830</v>
      </c>
      <c r="AU2" s="698"/>
      <c r="AV2" s="697">
        <v>45831</v>
      </c>
      <c r="AW2" s="698"/>
      <c r="AX2" s="697">
        <v>45832</v>
      </c>
      <c r="AY2" s="698"/>
      <c r="AZ2" s="697">
        <v>45833</v>
      </c>
      <c r="BA2" s="698"/>
      <c r="BB2" s="697">
        <v>45834</v>
      </c>
      <c r="BC2" s="698"/>
      <c r="BD2" s="697">
        <v>45835</v>
      </c>
      <c r="BE2" s="698"/>
      <c r="BF2" s="697">
        <v>45836</v>
      </c>
      <c r="BG2" s="698"/>
      <c r="BH2" s="697">
        <v>45837</v>
      </c>
      <c r="BI2" s="698"/>
      <c r="BJ2" s="697">
        <v>45838</v>
      </c>
      <c r="BK2" s="698"/>
      <c r="BL2" s="697"/>
      <c r="BM2" s="698"/>
      <c r="BN2" s="27"/>
    </row>
    <row r="3" spans="1:67" ht="24" customHeight="1" x14ac:dyDescent="0.25">
      <c r="A3" s="699" t="s">
        <v>1</v>
      </c>
      <c r="B3" s="700"/>
      <c r="C3" s="701"/>
      <c r="D3" s="65" t="s">
        <v>2</v>
      </c>
      <c r="E3" s="82" t="s">
        <v>3</v>
      </c>
      <c r="F3" s="65" t="s">
        <v>2</v>
      </c>
      <c r="G3" s="82" t="s">
        <v>3</v>
      </c>
      <c r="H3" s="65" t="s">
        <v>2</v>
      </c>
      <c r="I3" s="82" t="s">
        <v>3</v>
      </c>
      <c r="J3" s="65" t="s">
        <v>2</v>
      </c>
      <c r="K3" s="82" t="s">
        <v>3</v>
      </c>
      <c r="L3" s="65" t="s">
        <v>2</v>
      </c>
      <c r="M3" s="82" t="s">
        <v>3</v>
      </c>
      <c r="N3" s="65" t="s">
        <v>2</v>
      </c>
      <c r="O3" s="82" t="s">
        <v>3</v>
      </c>
      <c r="P3" s="65" t="s">
        <v>2</v>
      </c>
      <c r="Q3" s="82" t="s">
        <v>3</v>
      </c>
      <c r="R3" s="65" t="s">
        <v>2</v>
      </c>
      <c r="S3" s="82" t="s">
        <v>3</v>
      </c>
      <c r="T3" s="65" t="s">
        <v>2</v>
      </c>
      <c r="U3" s="82" t="s">
        <v>3</v>
      </c>
      <c r="V3" s="65" t="s">
        <v>2</v>
      </c>
      <c r="W3" s="82" t="s">
        <v>3</v>
      </c>
      <c r="X3" s="65" t="s">
        <v>2</v>
      </c>
      <c r="Y3" s="82" t="s">
        <v>3</v>
      </c>
      <c r="Z3" s="65" t="s">
        <v>2</v>
      </c>
      <c r="AA3" s="82" t="s">
        <v>3</v>
      </c>
      <c r="AB3" s="65" t="s">
        <v>2</v>
      </c>
      <c r="AC3" s="82" t="s">
        <v>3</v>
      </c>
      <c r="AD3" s="65" t="s">
        <v>2</v>
      </c>
      <c r="AE3" s="82" t="s">
        <v>3</v>
      </c>
      <c r="AF3" s="65" t="s">
        <v>2</v>
      </c>
      <c r="AG3" s="82" t="s">
        <v>3</v>
      </c>
      <c r="AH3" s="65" t="s">
        <v>2</v>
      </c>
      <c r="AI3" s="82" t="s">
        <v>3</v>
      </c>
      <c r="AJ3" s="65" t="s">
        <v>2</v>
      </c>
      <c r="AK3" s="82" t="s">
        <v>3</v>
      </c>
      <c r="AL3" s="65" t="s">
        <v>2</v>
      </c>
      <c r="AM3" s="82" t="s">
        <v>3</v>
      </c>
      <c r="AN3" s="65" t="s">
        <v>2</v>
      </c>
      <c r="AO3" s="82" t="s">
        <v>3</v>
      </c>
      <c r="AP3" s="65" t="s">
        <v>2</v>
      </c>
      <c r="AQ3" s="82" t="s">
        <v>3</v>
      </c>
      <c r="AR3" s="65" t="s">
        <v>2</v>
      </c>
      <c r="AS3" s="82" t="s">
        <v>3</v>
      </c>
      <c r="AT3" s="65" t="s">
        <v>2</v>
      </c>
      <c r="AU3" s="82" t="s">
        <v>3</v>
      </c>
      <c r="AV3" s="65" t="s">
        <v>2</v>
      </c>
      <c r="AW3" s="82" t="s">
        <v>3</v>
      </c>
      <c r="AX3" s="65" t="s">
        <v>2</v>
      </c>
      <c r="AY3" s="82" t="s">
        <v>3</v>
      </c>
      <c r="AZ3" s="65" t="s">
        <v>2</v>
      </c>
      <c r="BA3" s="82" t="s">
        <v>3</v>
      </c>
      <c r="BB3" s="65" t="s">
        <v>2</v>
      </c>
      <c r="BC3" s="82" t="s">
        <v>3</v>
      </c>
      <c r="BD3" s="65" t="s">
        <v>2</v>
      </c>
      <c r="BE3" s="82" t="s">
        <v>3</v>
      </c>
      <c r="BF3" s="65" t="s">
        <v>2</v>
      </c>
      <c r="BG3" s="82" t="s">
        <v>3</v>
      </c>
      <c r="BH3" s="65" t="s">
        <v>2</v>
      </c>
      <c r="BI3" s="82" t="s">
        <v>3</v>
      </c>
      <c r="BJ3" s="65" t="s">
        <v>2</v>
      </c>
      <c r="BK3" s="82" t="s">
        <v>3</v>
      </c>
      <c r="BL3" s="65" t="s">
        <v>2</v>
      </c>
      <c r="BM3" s="82" t="s">
        <v>3</v>
      </c>
      <c r="BN3" s="27"/>
    </row>
    <row r="4" spans="1:67" ht="15.75" x14ac:dyDescent="0.25">
      <c r="A4" s="5" t="s">
        <v>4</v>
      </c>
      <c r="B4" s="6" t="s">
        <v>5</v>
      </c>
      <c r="C4" s="353" t="s">
        <v>6</v>
      </c>
      <c r="D4" s="693" t="s">
        <v>267</v>
      </c>
      <c r="E4" s="694"/>
      <c r="F4" s="693" t="s">
        <v>268</v>
      </c>
      <c r="G4" s="694"/>
      <c r="H4" s="693" t="s">
        <v>7</v>
      </c>
      <c r="I4" s="694"/>
      <c r="J4" s="693" t="s">
        <v>8</v>
      </c>
      <c r="K4" s="694"/>
      <c r="L4" s="693" t="s">
        <v>9</v>
      </c>
      <c r="M4" s="694"/>
      <c r="N4" s="693" t="s">
        <v>10</v>
      </c>
      <c r="O4" s="694"/>
      <c r="P4" s="693" t="s">
        <v>11</v>
      </c>
      <c r="Q4" s="694"/>
      <c r="R4" s="693" t="s">
        <v>12</v>
      </c>
      <c r="S4" s="694"/>
      <c r="T4" s="693" t="s">
        <v>13</v>
      </c>
      <c r="U4" s="694"/>
      <c r="V4" s="693" t="s">
        <v>7</v>
      </c>
      <c r="W4" s="694"/>
      <c r="X4" s="693" t="s">
        <v>8</v>
      </c>
      <c r="Y4" s="694"/>
      <c r="Z4" s="693" t="s">
        <v>9</v>
      </c>
      <c r="AA4" s="694"/>
      <c r="AB4" s="693" t="s">
        <v>10</v>
      </c>
      <c r="AC4" s="694"/>
      <c r="AD4" s="693" t="s">
        <v>11</v>
      </c>
      <c r="AE4" s="694"/>
      <c r="AF4" s="693" t="s">
        <v>12</v>
      </c>
      <c r="AG4" s="694"/>
      <c r="AH4" s="693" t="s">
        <v>13</v>
      </c>
      <c r="AI4" s="694"/>
      <c r="AJ4" s="693" t="s">
        <v>7</v>
      </c>
      <c r="AK4" s="694"/>
      <c r="AL4" s="693" t="s">
        <v>8</v>
      </c>
      <c r="AM4" s="694"/>
      <c r="AN4" s="693" t="s">
        <v>9</v>
      </c>
      <c r="AO4" s="694"/>
      <c r="AP4" s="693" t="s">
        <v>10</v>
      </c>
      <c r="AQ4" s="694"/>
      <c r="AR4" s="693" t="s">
        <v>11</v>
      </c>
      <c r="AS4" s="694"/>
      <c r="AT4" s="693" t="s">
        <v>12</v>
      </c>
      <c r="AU4" s="694"/>
      <c r="AV4" s="693" t="s">
        <v>13</v>
      </c>
      <c r="AW4" s="694"/>
      <c r="AX4" s="693" t="s">
        <v>7</v>
      </c>
      <c r="AY4" s="694"/>
      <c r="AZ4" s="693" t="s">
        <v>8</v>
      </c>
      <c r="BA4" s="694"/>
      <c r="BB4" s="693" t="s">
        <v>9</v>
      </c>
      <c r="BC4" s="694"/>
      <c r="BD4" s="693" t="s">
        <v>10</v>
      </c>
      <c r="BE4" s="694"/>
      <c r="BF4" s="693" t="s">
        <v>11</v>
      </c>
      <c r="BG4" s="694"/>
      <c r="BH4" s="693" t="s">
        <v>12</v>
      </c>
      <c r="BI4" s="694"/>
      <c r="BJ4" s="693" t="s">
        <v>13</v>
      </c>
      <c r="BK4" s="694"/>
      <c r="BL4" s="693" t="s">
        <v>7</v>
      </c>
      <c r="BM4" s="694"/>
      <c r="BN4" s="27"/>
    </row>
    <row r="5" spans="1:67" ht="15.75" x14ac:dyDescent="0.25">
      <c r="A5" s="9" t="e">
        <f>VLOOKUP(B5,#REF!,2,FALSE)</f>
        <v>#REF!</v>
      </c>
      <c r="B5" s="10" t="s">
        <v>269</v>
      </c>
      <c r="C5" s="354">
        <v>10</v>
      </c>
      <c r="D5" s="69"/>
      <c r="E5" s="355"/>
      <c r="F5" s="69"/>
      <c r="G5" s="355"/>
      <c r="H5" s="69"/>
      <c r="I5" s="355"/>
      <c r="J5" s="69"/>
      <c r="K5" s="355"/>
      <c r="L5" s="71"/>
      <c r="M5" s="83"/>
      <c r="N5" s="71"/>
      <c r="O5" s="83"/>
      <c r="P5" s="71"/>
      <c r="Q5" s="83"/>
      <c r="R5" s="71"/>
      <c r="S5" s="83"/>
      <c r="T5" s="71"/>
      <c r="U5" s="83"/>
      <c r="V5" s="69"/>
      <c r="W5" s="355"/>
      <c r="X5" s="69"/>
      <c r="Y5" s="355"/>
      <c r="Z5" s="69"/>
      <c r="AA5" s="355"/>
      <c r="AB5" s="71"/>
      <c r="AC5" s="83"/>
      <c r="AD5" s="69"/>
      <c r="AE5" s="355"/>
      <c r="AF5" s="69">
        <v>408</v>
      </c>
      <c r="AG5" s="355"/>
      <c r="AH5" s="69"/>
      <c r="AI5" s="355"/>
      <c r="AJ5" s="69"/>
      <c r="AK5" s="355"/>
      <c r="AL5" s="69"/>
      <c r="AM5" s="355"/>
      <c r="AN5" s="69"/>
      <c r="AO5" s="355"/>
      <c r="AP5" s="71"/>
      <c r="AQ5" s="83"/>
      <c r="AR5" s="69"/>
      <c r="AS5" s="355"/>
      <c r="AT5" s="69"/>
      <c r="AU5" s="355"/>
      <c r="AV5" s="69"/>
      <c r="AW5" s="355"/>
      <c r="AX5" s="69"/>
      <c r="AY5" s="355"/>
      <c r="AZ5" s="69"/>
      <c r="BA5" s="355"/>
      <c r="BB5" s="69"/>
      <c r="BC5" s="355"/>
      <c r="BD5" s="71"/>
      <c r="BE5" s="83"/>
      <c r="BF5" s="69"/>
      <c r="BG5" s="355"/>
      <c r="BH5" s="69"/>
      <c r="BI5" s="355"/>
      <c r="BJ5" s="69"/>
      <c r="BK5" s="355"/>
      <c r="BL5" s="69"/>
      <c r="BM5" s="355"/>
      <c r="BN5" s="28">
        <f>SUM(D5:BM5)</f>
        <v>408</v>
      </c>
      <c r="BO5" s="29">
        <f>COUNT(D5:BM5)</f>
        <v>1</v>
      </c>
    </row>
    <row r="6" spans="1:67" ht="15.75" x14ac:dyDescent="0.25">
      <c r="A6" s="9" t="e">
        <f>VLOOKUP(B6,#REF!,2,FALSE)</f>
        <v>#REF!</v>
      </c>
      <c r="B6" s="10" t="s">
        <v>270</v>
      </c>
      <c r="C6" s="354">
        <v>10</v>
      </c>
      <c r="D6" s="72"/>
      <c r="E6" s="356"/>
      <c r="F6" s="72"/>
      <c r="G6" s="356"/>
      <c r="H6" s="72"/>
      <c r="I6" s="356"/>
      <c r="J6" s="72"/>
      <c r="K6" s="356"/>
      <c r="L6" s="71"/>
      <c r="M6" s="83"/>
      <c r="N6" s="71"/>
      <c r="O6" s="83"/>
      <c r="P6" s="71"/>
      <c r="Q6" s="83"/>
      <c r="R6" s="71"/>
      <c r="S6" s="83"/>
      <c r="T6" s="71"/>
      <c r="U6" s="83"/>
      <c r="V6" s="72"/>
      <c r="W6" s="356"/>
      <c r="X6" s="72"/>
      <c r="Y6" s="356"/>
      <c r="Z6" s="72"/>
      <c r="AA6" s="356"/>
      <c r="AB6" s="71"/>
      <c r="AC6" s="83"/>
      <c r="AD6" s="72"/>
      <c r="AE6" s="356"/>
      <c r="AF6" s="72">
        <v>657</v>
      </c>
      <c r="AG6" s="356"/>
      <c r="AH6" s="72">
        <v>383</v>
      </c>
      <c r="AI6" s="356"/>
      <c r="AJ6" s="12">
        <v>436</v>
      </c>
      <c r="AK6" s="14"/>
      <c r="AL6" s="14">
        <v>436</v>
      </c>
      <c r="AM6" s="356"/>
      <c r="AN6" s="72"/>
      <c r="AO6" s="356"/>
      <c r="AP6" s="71"/>
      <c r="AQ6" s="83"/>
      <c r="AR6" s="72"/>
      <c r="AS6" s="356"/>
      <c r="AT6" s="72"/>
      <c r="AU6" s="356"/>
      <c r="AV6" s="72"/>
      <c r="AW6" s="356"/>
      <c r="AX6" s="72"/>
      <c r="AY6" s="356"/>
      <c r="AZ6" s="72"/>
      <c r="BA6" s="356"/>
      <c r="BB6" s="72"/>
      <c r="BC6" s="356"/>
      <c r="BD6" s="71"/>
      <c r="BE6" s="83"/>
      <c r="BF6" s="72"/>
      <c r="BG6" s="356"/>
      <c r="BH6" s="72"/>
      <c r="BI6" s="356"/>
      <c r="BJ6" s="72"/>
      <c r="BK6" s="356"/>
      <c r="BL6" s="72"/>
      <c r="BM6" s="356"/>
      <c r="BN6" s="28">
        <f t="shared" ref="BN6:BN69" si="1">SUM(D6:BM6)</f>
        <v>1912</v>
      </c>
      <c r="BO6" s="29">
        <f t="shared" ref="BO6:BO69" si="2">COUNT(D6:BM6)</f>
        <v>4</v>
      </c>
    </row>
    <row r="7" spans="1:67" ht="15.75" x14ac:dyDescent="0.25">
      <c r="A7" s="9" t="e">
        <f>VLOOKUP(B7,#REF!,2,FALSE)</f>
        <v>#REF!</v>
      </c>
      <c r="B7" s="10"/>
      <c r="C7" s="354">
        <v>1</v>
      </c>
      <c r="D7" s="72"/>
      <c r="E7" s="356"/>
      <c r="F7" s="72"/>
      <c r="G7" s="356"/>
      <c r="H7" s="72"/>
      <c r="I7" s="356"/>
      <c r="J7" s="72"/>
      <c r="K7" s="356"/>
      <c r="L7" s="71"/>
      <c r="M7" s="83"/>
      <c r="N7" s="71"/>
      <c r="O7" s="83"/>
      <c r="P7" s="71"/>
      <c r="Q7" s="83"/>
      <c r="R7" s="71"/>
      <c r="S7" s="83"/>
      <c r="T7" s="71"/>
      <c r="U7" s="83"/>
      <c r="V7" s="72"/>
      <c r="W7" s="356"/>
      <c r="X7" s="72"/>
      <c r="Y7" s="356"/>
      <c r="Z7" s="72"/>
      <c r="AA7" s="356"/>
      <c r="AB7" s="71"/>
      <c r="AC7" s="83"/>
      <c r="AD7" s="72"/>
      <c r="AE7" s="356"/>
      <c r="AF7" s="72"/>
      <c r="AG7" s="356"/>
      <c r="AH7" s="72"/>
      <c r="AI7" s="356"/>
      <c r="AJ7" s="72"/>
      <c r="AK7" s="356"/>
      <c r="AL7" s="72"/>
      <c r="AM7" s="356"/>
      <c r="AN7" s="72"/>
      <c r="AO7" s="356"/>
      <c r="AP7" s="71"/>
      <c r="AQ7" s="83"/>
      <c r="AR7" s="72"/>
      <c r="AS7" s="356"/>
      <c r="AT7" s="72"/>
      <c r="AU7" s="356"/>
      <c r="AV7" s="72"/>
      <c r="AW7" s="356"/>
      <c r="AX7" s="72"/>
      <c r="AY7" s="356"/>
      <c r="AZ7" s="72"/>
      <c r="BA7" s="356"/>
      <c r="BB7" s="72"/>
      <c r="BC7" s="356"/>
      <c r="BD7" s="71"/>
      <c r="BE7" s="83"/>
      <c r="BF7" s="72"/>
      <c r="BG7" s="356"/>
      <c r="BH7" s="72"/>
      <c r="BI7" s="356"/>
      <c r="BJ7" s="72"/>
      <c r="BK7" s="356"/>
      <c r="BL7" s="72"/>
      <c r="BM7" s="356"/>
      <c r="BN7" s="28">
        <f t="shared" si="1"/>
        <v>0</v>
      </c>
      <c r="BO7" s="29">
        <f t="shared" si="2"/>
        <v>0</v>
      </c>
    </row>
    <row r="8" spans="1:67" ht="15.75" x14ac:dyDescent="0.25">
      <c r="A8" s="9" t="e">
        <f>VLOOKUP(B8,#REF!,2,FALSE)</f>
        <v>#REF!</v>
      </c>
      <c r="B8" s="10"/>
      <c r="C8" s="354">
        <v>1</v>
      </c>
      <c r="D8" s="72"/>
      <c r="E8" s="356"/>
      <c r="F8" s="72"/>
      <c r="G8" s="356"/>
      <c r="H8" s="72"/>
      <c r="I8" s="356"/>
      <c r="J8" s="72"/>
      <c r="K8" s="356"/>
      <c r="L8" s="71"/>
      <c r="M8" s="83"/>
      <c r="N8" s="71"/>
      <c r="O8" s="83"/>
      <c r="P8" s="71"/>
      <c r="Q8" s="83"/>
      <c r="R8" s="71"/>
      <c r="S8" s="83"/>
      <c r="T8" s="71"/>
      <c r="U8" s="83"/>
      <c r="V8" s="72"/>
      <c r="W8" s="356"/>
      <c r="X8" s="72"/>
      <c r="Y8" s="356"/>
      <c r="Z8" s="72"/>
      <c r="AA8" s="356"/>
      <c r="AB8" s="71"/>
      <c r="AC8" s="83"/>
      <c r="AD8" s="72"/>
      <c r="AE8" s="356"/>
      <c r="AF8" s="72"/>
      <c r="AG8" s="356"/>
      <c r="AH8" s="72"/>
      <c r="AI8" s="356"/>
      <c r="AJ8" s="72"/>
      <c r="AK8" s="356"/>
      <c r="AL8" s="72"/>
      <c r="AM8" s="356"/>
      <c r="AN8" s="72"/>
      <c r="AO8" s="356"/>
      <c r="AP8" s="71"/>
      <c r="AQ8" s="83"/>
      <c r="AR8" s="72"/>
      <c r="AS8" s="356"/>
      <c r="AT8" s="72"/>
      <c r="AU8" s="356"/>
      <c r="AV8" s="72"/>
      <c r="AW8" s="356"/>
      <c r="AX8" s="72"/>
      <c r="AY8" s="356"/>
      <c r="AZ8" s="72"/>
      <c r="BA8" s="356"/>
      <c r="BB8" s="72"/>
      <c r="BC8" s="356"/>
      <c r="BD8" s="71"/>
      <c r="BE8" s="83"/>
      <c r="BF8" s="72"/>
      <c r="BG8" s="356"/>
      <c r="BH8" s="72"/>
      <c r="BI8" s="356"/>
      <c r="BJ8" s="72"/>
      <c r="BK8" s="356"/>
      <c r="BL8" s="72"/>
      <c r="BM8" s="356"/>
      <c r="BN8" s="28">
        <f t="shared" si="1"/>
        <v>0</v>
      </c>
      <c r="BO8" s="29">
        <f t="shared" si="2"/>
        <v>0</v>
      </c>
    </row>
    <row r="9" spans="1:67" ht="15.75" x14ac:dyDescent="0.25">
      <c r="A9" s="9" t="e">
        <f>VLOOKUP(B9,#REF!,2,FALSE)</f>
        <v>#REF!</v>
      </c>
      <c r="B9" s="10"/>
      <c r="C9" s="354">
        <v>1</v>
      </c>
      <c r="D9" s="72"/>
      <c r="E9" s="356"/>
      <c r="F9" s="72"/>
      <c r="G9" s="356"/>
      <c r="H9" s="72"/>
      <c r="I9" s="356"/>
      <c r="J9" s="72"/>
      <c r="K9" s="356"/>
      <c r="L9" s="71"/>
      <c r="M9" s="83"/>
      <c r="N9" s="71"/>
      <c r="O9" s="83"/>
      <c r="P9" s="71"/>
      <c r="Q9" s="83"/>
      <c r="R9" s="71"/>
      <c r="S9" s="83"/>
      <c r="T9" s="71"/>
      <c r="U9" s="83"/>
      <c r="V9" s="72"/>
      <c r="W9" s="356"/>
      <c r="X9" s="72"/>
      <c r="Y9" s="356"/>
      <c r="Z9" s="72"/>
      <c r="AA9" s="356"/>
      <c r="AB9" s="71"/>
      <c r="AC9" s="83"/>
      <c r="AD9" s="72"/>
      <c r="AE9" s="356"/>
      <c r="AF9" s="72"/>
      <c r="AG9" s="356"/>
      <c r="AH9" s="72"/>
      <c r="AI9" s="356"/>
      <c r="AJ9" s="72"/>
      <c r="AK9" s="356"/>
      <c r="AL9" s="72"/>
      <c r="AM9" s="356"/>
      <c r="AN9" s="72"/>
      <c r="AO9" s="356"/>
      <c r="AP9" s="71"/>
      <c r="AQ9" s="83"/>
      <c r="AR9" s="72"/>
      <c r="AS9" s="356"/>
      <c r="AT9" s="72"/>
      <c r="AU9" s="356"/>
      <c r="AV9" s="72"/>
      <c r="AW9" s="356"/>
      <c r="AX9" s="72"/>
      <c r="AY9" s="356"/>
      <c r="AZ9" s="72"/>
      <c r="BA9" s="356"/>
      <c r="BB9" s="72"/>
      <c r="BC9" s="356"/>
      <c r="BD9" s="71"/>
      <c r="BE9" s="83"/>
      <c r="BF9" s="72"/>
      <c r="BG9" s="356"/>
      <c r="BH9" s="72"/>
      <c r="BI9" s="356"/>
      <c r="BJ9" s="72"/>
      <c r="BK9" s="356"/>
      <c r="BL9" s="72"/>
      <c r="BM9" s="356"/>
      <c r="BN9" s="28">
        <f t="shared" si="1"/>
        <v>0</v>
      </c>
      <c r="BO9" s="29">
        <f t="shared" si="2"/>
        <v>0</v>
      </c>
    </row>
    <row r="10" spans="1:67" ht="15.75" customHeight="1" x14ac:dyDescent="0.25">
      <c r="A10" s="9" t="e">
        <f>VLOOKUP(B10,#REF!,2,FALSE)</f>
        <v>#REF!</v>
      </c>
      <c r="B10" s="10"/>
      <c r="C10" s="354">
        <v>1</v>
      </c>
      <c r="D10" s="72"/>
      <c r="E10" s="356"/>
      <c r="F10" s="72"/>
      <c r="G10" s="356"/>
      <c r="H10" s="72"/>
      <c r="I10" s="356"/>
      <c r="J10" s="72"/>
      <c r="K10" s="356"/>
      <c r="L10" s="71"/>
      <c r="M10" s="83"/>
      <c r="N10" s="71"/>
      <c r="O10" s="83"/>
      <c r="P10" s="71"/>
      <c r="Q10" s="83"/>
      <c r="R10" s="71"/>
      <c r="S10" s="83"/>
      <c r="T10" s="71"/>
      <c r="U10" s="83"/>
      <c r="V10" s="72"/>
      <c r="W10" s="356"/>
      <c r="X10" s="72"/>
      <c r="Y10" s="356"/>
      <c r="Z10" s="72"/>
      <c r="AA10" s="356"/>
      <c r="AB10" s="71"/>
      <c r="AC10" s="83"/>
      <c r="AD10" s="72"/>
      <c r="AE10" s="356"/>
      <c r="AF10" s="72"/>
      <c r="AG10" s="356"/>
      <c r="AH10" s="72"/>
      <c r="AI10" s="356"/>
      <c r="AJ10" s="72"/>
      <c r="AK10" s="356"/>
      <c r="AL10" s="72"/>
      <c r="AM10" s="356"/>
      <c r="AN10" s="72"/>
      <c r="AO10" s="356"/>
      <c r="AP10" s="71"/>
      <c r="AQ10" s="83"/>
      <c r="AR10" s="72"/>
      <c r="AS10" s="356"/>
      <c r="AT10" s="72"/>
      <c r="AU10" s="356"/>
      <c r="AV10" s="72"/>
      <c r="AW10" s="356"/>
      <c r="AX10" s="72"/>
      <c r="AY10" s="356"/>
      <c r="AZ10" s="72"/>
      <c r="BA10" s="356"/>
      <c r="BB10" s="72"/>
      <c r="BC10" s="356"/>
      <c r="BD10" s="71"/>
      <c r="BE10" s="83"/>
      <c r="BF10" s="72"/>
      <c r="BG10" s="356"/>
      <c r="BH10" s="72"/>
      <c r="BI10" s="356"/>
      <c r="BJ10" s="72"/>
      <c r="BK10" s="356"/>
      <c r="BL10" s="72"/>
      <c r="BM10" s="356"/>
      <c r="BN10" s="28">
        <f t="shared" si="1"/>
        <v>0</v>
      </c>
      <c r="BO10" s="29">
        <f t="shared" si="2"/>
        <v>0</v>
      </c>
    </row>
    <row r="11" spans="1:67" ht="15.75" customHeight="1" x14ac:dyDescent="0.25">
      <c r="A11" s="9" t="e">
        <f>VLOOKUP(B11,#REF!,2,FALSE)</f>
        <v>#REF!</v>
      </c>
      <c r="B11" s="10"/>
      <c r="C11" s="354">
        <v>1</v>
      </c>
      <c r="D11" s="72"/>
      <c r="E11" s="356"/>
      <c r="F11" s="72"/>
      <c r="G11" s="356"/>
      <c r="H11" s="72"/>
      <c r="I11" s="356"/>
      <c r="J11" s="72"/>
      <c r="K11" s="356"/>
      <c r="L11" s="71"/>
      <c r="M11" s="83"/>
      <c r="N11" s="71"/>
      <c r="O11" s="83"/>
      <c r="P11" s="71"/>
      <c r="Q11" s="83"/>
      <c r="R11" s="71"/>
      <c r="S11" s="83"/>
      <c r="T11" s="71"/>
      <c r="U11" s="83"/>
      <c r="V11" s="72"/>
      <c r="W11" s="356"/>
      <c r="X11" s="72"/>
      <c r="Y11" s="356"/>
      <c r="Z11" s="72"/>
      <c r="AA11" s="356"/>
      <c r="AB11" s="71"/>
      <c r="AC11" s="83"/>
      <c r="AD11" s="72"/>
      <c r="AE11" s="356"/>
      <c r="AF11" s="72"/>
      <c r="AG11" s="356"/>
      <c r="AH11" s="72"/>
      <c r="AI11" s="356"/>
      <c r="AJ11" s="72"/>
      <c r="AK11" s="356"/>
      <c r="AL11" s="72"/>
      <c r="AM11" s="356"/>
      <c r="AN11" s="72"/>
      <c r="AO11" s="356"/>
      <c r="AP11" s="71"/>
      <c r="AQ11" s="83"/>
      <c r="AR11" s="72"/>
      <c r="AS11" s="356"/>
      <c r="AT11" s="72"/>
      <c r="AU11" s="356"/>
      <c r="AV11" s="72"/>
      <c r="AW11" s="356"/>
      <c r="AX11" s="72"/>
      <c r="AY11" s="356"/>
      <c r="AZ11" s="72"/>
      <c r="BA11" s="356"/>
      <c r="BB11" s="72"/>
      <c r="BC11" s="356"/>
      <c r="BD11" s="71"/>
      <c r="BE11" s="83"/>
      <c r="BF11" s="72"/>
      <c r="BG11" s="356"/>
      <c r="BH11" s="72"/>
      <c r="BI11" s="356"/>
      <c r="BJ11" s="72"/>
      <c r="BK11" s="356"/>
      <c r="BL11" s="72"/>
      <c r="BM11" s="356"/>
      <c r="BN11" s="28">
        <f t="shared" si="1"/>
        <v>0</v>
      </c>
      <c r="BO11" s="29">
        <f t="shared" si="2"/>
        <v>0</v>
      </c>
    </row>
    <row r="12" spans="1:67" ht="15.75" customHeight="1" x14ac:dyDescent="0.25">
      <c r="A12" s="9" t="e">
        <f>VLOOKUP(B12,#REF!,2,FALSE)</f>
        <v>#REF!</v>
      </c>
      <c r="B12" s="10"/>
      <c r="C12" s="354">
        <v>1</v>
      </c>
      <c r="D12" s="72"/>
      <c r="E12" s="356"/>
      <c r="F12" s="72"/>
      <c r="G12" s="356"/>
      <c r="H12" s="72"/>
      <c r="I12" s="356"/>
      <c r="J12" s="72"/>
      <c r="K12" s="356"/>
      <c r="L12" s="71"/>
      <c r="M12" s="83"/>
      <c r="N12" s="71"/>
      <c r="O12" s="83"/>
      <c r="P12" s="71"/>
      <c r="Q12" s="83"/>
      <c r="R12" s="71"/>
      <c r="S12" s="83"/>
      <c r="T12" s="71"/>
      <c r="U12" s="83"/>
      <c r="V12" s="72"/>
      <c r="W12" s="356"/>
      <c r="X12" s="72"/>
      <c r="Y12" s="356"/>
      <c r="Z12" s="72"/>
      <c r="AA12" s="356"/>
      <c r="AB12" s="71"/>
      <c r="AC12" s="83"/>
      <c r="AD12" s="72"/>
      <c r="AE12" s="356"/>
      <c r="AF12" s="72"/>
      <c r="AG12" s="356"/>
      <c r="AH12" s="72"/>
      <c r="AI12" s="356"/>
      <c r="AJ12" s="72"/>
      <c r="AK12" s="356"/>
      <c r="AL12" s="72"/>
      <c r="AM12" s="356"/>
      <c r="AN12" s="72"/>
      <c r="AO12" s="356"/>
      <c r="AP12" s="71"/>
      <c r="AQ12" s="83"/>
      <c r="AR12" s="72"/>
      <c r="AS12" s="356"/>
      <c r="AT12" s="72"/>
      <c r="AU12" s="356"/>
      <c r="AV12" s="72"/>
      <c r="AW12" s="356"/>
      <c r="AX12" s="72"/>
      <c r="AY12" s="356"/>
      <c r="AZ12" s="72"/>
      <c r="BA12" s="356"/>
      <c r="BB12" s="72"/>
      <c r="BC12" s="356"/>
      <c r="BD12" s="71"/>
      <c r="BE12" s="83"/>
      <c r="BF12" s="72"/>
      <c r="BG12" s="356"/>
      <c r="BH12" s="72"/>
      <c r="BI12" s="356"/>
      <c r="BJ12" s="72"/>
      <c r="BK12" s="356"/>
      <c r="BL12" s="72"/>
      <c r="BM12" s="356"/>
      <c r="BN12" s="28">
        <f t="shared" si="1"/>
        <v>0</v>
      </c>
      <c r="BO12" s="29">
        <f t="shared" si="2"/>
        <v>0</v>
      </c>
    </row>
    <row r="13" spans="1:67" ht="15.75" customHeight="1" x14ac:dyDescent="0.25">
      <c r="A13" s="9" t="e">
        <f>VLOOKUP(B13,#REF!,2,FALSE)</f>
        <v>#REF!</v>
      </c>
      <c r="B13" s="14"/>
      <c r="C13" s="354">
        <v>1</v>
      </c>
      <c r="D13" s="72"/>
      <c r="E13" s="356"/>
      <c r="F13" s="72"/>
      <c r="G13" s="356"/>
      <c r="H13" s="72"/>
      <c r="I13" s="356"/>
      <c r="J13" s="72"/>
      <c r="K13" s="356"/>
      <c r="L13" s="71"/>
      <c r="M13" s="83"/>
      <c r="N13" s="71"/>
      <c r="O13" s="83"/>
      <c r="P13" s="71"/>
      <c r="Q13" s="83"/>
      <c r="R13" s="71"/>
      <c r="S13" s="83"/>
      <c r="T13" s="71"/>
      <c r="U13" s="83"/>
      <c r="V13" s="72"/>
      <c r="W13" s="356"/>
      <c r="X13" s="72"/>
      <c r="Y13" s="356"/>
      <c r="Z13" s="72"/>
      <c r="AA13" s="356"/>
      <c r="AB13" s="71"/>
      <c r="AC13" s="83"/>
      <c r="AD13" s="72"/>
      <c r="AE13" s="356"/>
      <c r="AF13" s="72"/>
      <c r="AG13" s="356"/>
      <c r="AH13" s="72"/>
      <c r="AI13" s="356"/>
      <c r="AJ13" s="72"/>
      <c r="AK13" s="356"/>
      <c r="AL13" s="72"/>
      <c r="AM13" s="356"/>
      <c r="AN13" s="72"/>
      <c r="AO13" s="356"/>
      <c r="AP13" s="71"/>
      <c r="AQ13" s="83"/>
      <c r="AR13" s="72"/>
      <c r="AS13" s="356"/>
      <c r="AT13" s="72"/>
      <c r="AU13" s="356"/>
      <c r="AV13" s="72"/>
      <c r="AW13" s="356"/>
      <c r="AX13" s="72"/>
      <c r="AY13" s="356"/>
      <c r="AZ13" s="72"/>
      <c r="BA13" s="356"/>
      <c r="BB13" s="72"/>
      <c r="BC13" s="356"/>
      <c r="BD13" s="71"/>
      <c r="BE13" s="83"/>
      <c r="BF13" s="72"/>
      <c r="BG13" s="356"/>
      <c r="BH13" s="72"/>
      <c r="BI13" s="356"/>
      <c r="BJ13" s="72"/>
      <c r="BK13" s="356"/>
      <c r="BL13" s="72"/>
      <c r="BM13" s="356"/>
      <c r="BN13" s="28">
        <f t="shared" si="1"/>
        <v>0</v>
      </c>
      <c r="BO13" s="29">
        <f t="shared" si="2"/>
        <v>0</v>
      </c>
    </row>
    <row r="14" spans="1:67" ht="15.75" customHeight="1" x14ac:dyDescent="0.25">
      <c r="A14" s="9" t="e">
        <f>VLOOKUP(B14,#REF!,2,FALSE)</f>
        <v>#REF!</v>
      </c>
      <c r="B14" s="14"/>
      <c r="C14" s="354">
        <v>1</v>
      </c>
      <c r="D14" s="72"/>
      <c r="E14" s="356"/>
      <c r="F14" s="72"/>
      <c r="G14" s="356"/>
      <c r="H14" s="72"/>
      <c r="I14" s="356"/>
      <c r="J14" s="72"/>
      <c r="K14" s="356"/>
      <c r="L14" s="71"/>
      <c r="M14" s="83"/>
      <c r="N14" s="71"/>
      <c r="O14" s="83"/>
      <c r="P14" s="71"/>
      <c r="Q14" s="83"/>
      <c r="R14" s="71"/>
      <c r="S14" s="83"/>
      <c r="T14" s="71"/>
      <c r="U14" s="83"/>
      <c r="V14" s="72"/>
      <c r="W14" s="356"/>
      <c r="X14" s="72"/>
      <c r="Y14" s="356"/>
      <c r="Z14" s="72"/>
      <c r="AA14" s="356"/>
      <c r="AB14" s="71"/>
      <c r="AC14" s="83"/>
      <c r="AD14" s="72"/>
      <c r="AE14" s="356"/>
      <c r="AF14" s="72"/>
      <c r="AG14" s="356"/>
      <c r="AH14" s="72"/>
      <c r="AI14" s="356"/>
      <c r="AJ14" s="72"/>
      <c r="AK14" s="356"/>
      <c r="AL14" s="72"/>
      <c r="AM14" s="356"/>
      <c r="AN14" s="72"/>
      <c r="AO14" s="356"/>
      <c r="AP14" s="71"/>
      <c r="AQ14" s="83"/>
      <c r="AR14" s="72"/>
      <c r="AS14" s="356"/>
      <c r="AT14" s="72"/>
      <c r="AU14" s="356"/>
      <c r="AV14" s="72"/>
      <c r="AW14" s="356"/>
      <c r="AX14" s="72"/>
      <c r="AY14" s="356"/>
      <c r="AZ14" s="72"/>
      <c r="BA14" s="356"/>
      <c r="BB14" s="72"/>
      <c r="BC14" s="356"/>
      <c r="BD14" s="71"/>
      <c r="BE14" s="83"/>
      <c r="BF14" s="72"/>
      <c r="BG14" s="356"/>
      <c r="BH14" s="72"/>
      <c r="BI14" s="356"/>
      <c r="BJ14" s="72"/>
      <c r="BK14" s="356"/>
      <c r="BL14" s="72"/>
      <c r="BM14" s="356"/>
      <c r="BN14" s="28">
        <f t="shared" si="1"/>
        <v>0</v>
      </c>
      <c r="BO14" s="29">
        <f t="shared" si="2"/>
        <v>0</v>
      </c>
    </row>
    <row r="15" spans="1:67" ht="15.75" customHeight="1" x14ac:dyDescent="0.25">
      <c r="A15" s="9" t="e">
        <f>VLOOKUP(B15,#REF!,2,FALSE)</f>
        <v>#REF!</v>
      </c>
      <c r="B15" s="14"/>
      <c r="C15" s="14">
        <v>1</v>
      </c>
      <c r="D15" s="72"/>
      <c r="E15" s="356"/>
      <c r="F15" s="72"/>
      <c r="G15" s="356"/>
      <c r="H15" s="72"/>
      <c r="I15" s="356"/>
      <c r="J15" s="72"/>
      <c r="K15" s="356"/>
      <c r="L15" s="71"/>
      <c r="M15" s="83"/>
      <c r="N15" s="71"/>
      <c r="O15" s="83"/>
      <c r="P15" s="71"/>
      <c r="Q15" s="83"/>
      <c r="R15" s="71"/>
      <c r="S15" s="83"/>
      <c r="T15" s="71"/>
      <c r="U15" s="83"/>
      <c r="V15" s="72"/>
      <c r="W15" s="356"/>
      <c r="X15" s="72"/>
      <c r="Y15" s="356"/>
      <c r="Z15" s="72"/>
      <c r="AA15" s="356"/>
      <c r="AB15" s="71"/>
      <c r="AC15" s="83"/>
      <c r="AD15" s="72"/>
      <c r="AE15" s="356"/>
      <c r="AF15" s="72"/>
      <c r="AG15" s="356"/>
      <c r="AH15" s="72"/>
      <c r="AI15" s="356"/>
      <c r="AJ15" s="72"/>
      <c r="AK15" s="356"/>
      <c r="AL15" s="72"/>
      <c r="AM15" s="356"/>
      <c r="AN15" s="72"/>
      <c r="AO15" s="356"/>
      <c r="AP15" s="71"/>
      <c r="AQ15" s="83"/>
      <c r="AR15" s="72"/>
      <c r="AS15" s="356"/>
      <c r="AT15" s="72"/>
      <c r="AU15" s="356"/>
      <c r="AV15" s="72"/>
      <c r="AW15" s="356"/>
      <c r="AX15" s="72"/>
      <c r="AY15" s="356"/>
      <c r="AZ15" s="72"/>
      <c r="BA15" s="356"/>
      <c r="BB15" s="72"/>
      <c r="BC15" s="356"/>
      <c r="BD15" s="71"/>
      <c r="BE15" s="83"/>
      <c r="BF15" s="72"/>
      <c r="BG15" s="356"/>
      <c r="BH15" s="72"/>
      <c r="BI15" s="356"/>
      <c r="BJ15" s="72"/>
      <c r="BK15" s="356"/>
      <c r="BL15" s="72"/>
      <c r="BM15" s="356"/>
      <c r="BN15" s="28">
        <f t="shared" si="1"/>
        <v>0</v>
      </c>
      <c r="BO15" s="29">
        <f t="shared" si="2"/>
        <v>0</v>
      </c>
    </row>
    <row r="16" spans="1:67" ht="15.75" customHeight="1" x14ac:dyDescent="0.25">
      <c r="A16" s="9" t="e">
        <f>VLOOKUP(B16,#REF!,2,FALSE)</f>
        <v>#REF!</v>
      </c>
      <c r="B16" s="14"/>
      <c r="C16" s="14">
        <v>1</v>
      </c>
      <c r="D16" s="72"/>
      <c r="E16" s="356"/>
      <c r="F16" s="72"/>
      <c r="G16" s="356"/>
      <c r="H16" s="72"/>
      <c r="I16" s="356"/>
      <c r="J16" s="72"/>
      <c r="K16" s="356"/>
      <c r="L16" s="71"/>
      <c r="M16" s="83"/>
      <c r="N16" s="71"/>
      <c r="O16" s="83"/>
      <c r="P16" s="71"/>
      <c r="Q16" s="83"/>
      <c r="R16" s="71"/>
      <c r="S16" s="83"/>
      <c r="T16" s="71"/>
      <c r="U16" s="83"/>
      <c r="V16" s="72"/>
      <c r="W16" s="356"/>
      <c r="X16" s="72"/>
      <c r="Y16" s="356"/>
      <c r="Z16" s="72"/>
      <c r="AA16" s="356"/>
      <c r="AB16" s="71"/>
      <c r="AC16" s="83"/>
      <c r="AD16" s="72"/>
      <c r="AE16" s="356"/>
      <c r="AF16" s="72"/>
      <c r="AG16" s="356"/>
      <c r="AH16" s="72"/>
      <c r="AI16" s="356"/>
      <c r="AJ16" s="72"/>
      <c r="AK16" s="356"/>
      <c r="AL16" s="72"/>
      <c r="AM16" s="356"/>
      <c r="AN16" s="72"/>
      <c r="AO16" s="356"/>
      <c r="AP16" s="71"/>
      <c r="AQ16" s="83"/>
      <c r="AR16" s="72"/>
      <c r="AS16" s="356"/>
      <c r="AT16" s="72"/>
      <c r="AU16" s="356"/>
      <c r="AV16" s="72"/>
      <c r="AW16" s="356"/>
      <c r="AX16" s="72"/>
      <c r="AY16" s="356"/>
      <c r="AZ16" s="72"/>
      <c r="BA16" s="356"/>
      <c r="BB16" s="72"/>
      <c r="BC16" s="356"/>
      <c r="BD16" s="71"/>
      <c r="BE16" s="83"/>
      <c r="BF16" s="72"/>
      <c r="BG16" s="356"/>
      <c r="BH16" s="72"/>
      <c r="BI16" s="356"/>
      <c r="BJ16" s="72"/>
      <c r="BK16" s="356"/>
      <c r="BL16" s="72"/>
      <c r="BM16" s="356"/>
      <c r="BN16" s="28">
        <f t="shared" si="1"/>
        <v>0</v>
      </c>
      <c r="BO16" s="29">
        <f t="shared" si="2"/>
        <v>0</v>
      </c>
    </row>
    <row r="17" spans="1:67" ht="15.75" customHeight="1" x14ac:dyDescent="0.25">
      <c r="A17" s="9" t="e">
        <f>VLOOKUP(B17,#REF!,2,FALSE)</f>
        <v>#REF!</v>
      </c>
      <c r="B17" s="14"/>
      <c r="C17" s="14">
        <v>1</v>
      </c>
      <c r="D17" s="72"/>
      <c r="E17" s="356"/>
      <c r="F17" s="72"/>
      <c r="G17" s="356"/>
      <c r="H17" s="72"/>
      <c r="I17" s="356"/>
      <c r="J17" s="72"/>
      <c r="K17" s="356"/>
      <c r="L17" s="71"/>
      <c r="M17" s="83"/>
      <c r="N17" s="71"/>
      <c r="O17" s="83"/>
      <c r="P17" s="71"/>
      <c r="Q17" s="83"/>
      <c r="R17" s="71"/>
      <c r="S17" s="83"/>
      <c r="T17" s="71"/>
      <c r="U17" s="83"/>
      <c r="V17" s="72"/>
      <c r="W17" s="356"/>
      <c r="X17" s="72"/>
      <c r="Y17" s="356"/>
      <c r="Z17" s="72"/>
      <c r="AA17" s="356"/>
      <c r="AB17" s="71"/>
      <c r="AC17" s="83"/>
      <c r="AD17" s="72"/>
      <c r="AE17" s="356"/>
      <c r="AF17" s="72"/>
      <c r="AG17" s="356"/>
      <c r="AH17" s="72"/>
      <c r="AI17" s="356"/>
      <c r="AJ17" s="72"/>
      <c r="AK17" s="356"/>
      <c r="AL17" s="72"/>
      <c r="AM17" s="356"/>
      <c r="AN17" s="72"/>
      <c r="AO17" s="356"/>
      <c r="AP17" s="71"/>
      <c r="AQ17" s="83"/>
      <c r="AR17" s="72"/>
      <c r="AS17" s="356"/>
      <c r="AT17" s="72"/>
      <c r="AU17" s="356"/>
      <c r="AV17" s="72"/>
      <c r="AW17" s="356"/>
      <c r="AX17" s="72"/>
      <c r="AY17" s="356"/>
      <c r="AZ17" s="72"/>
      <c r="BA17" s="356"/>
      <c r="BB17" s="72"/>
      <c r="BC17" s="356"/>
      <c r="BD17" s="71"/>
      <c r="BE17" s="83"/>
      <c r="BF17" s="72"/>
      <c r="BG17" s="356"/>
      <c r="BH17" s="72"/>
      <c r="BI17" s="356"/>
      <c r="BJ17" s="72"/>
      <c r="BK17" s="356"/>
      <c r="BL17" s="72"/>
      <c r="BM17" s="356"/>
      <c r="BN17" s="28">
        <f t="shared" si="1"/>
        <v>0</v>
      </c>
      <c r="BO17" s="29">
        <f t="shared" si="2"/>
        <v>0</v>
      </c>
    </row>
    <row r="18" spans="1:67" ht="15.75" customHeight="1" x14ac:dyDescent="0.25">
      <c r="A18" s="9" t="e">
        <f>VLOOKUP(B18,#REF!,2,FALSE)</f>
        <v>#REF!</v>
      </c>
      <c r="B18" s="14"/>
      <c r="C18" s="14">
        <v>1</v>
      </c>
      <c r="D18" s="72"/>
      <c r="E18" s="356"/>
      <c r="F18" s="72"/>
      <c r="G18" s="356"/>
      <c r="H18" s="72"/>
      <c r="I18" s="356"/>
      <c r="J18" s="72"/>
      <c r="K18" s="356"/>
      <c r="L18" s="71"/>
      <c r="M18" s="83"/>
      <c r="N18" s="71"/>
      <c r="O18" s="83"/>
      <c r="P18" s="71"/>
      <c r="Q18" s="83"/>
      <c r="R18" s="71"/>
      <c r="S18" s="83"/>
      <c r="T18" s="71"/>
      <c r="U18" s="83"/>
      <c r="V18" s="72"/>
      <c r="W18" s="356"/>
      <c r="X18" s="72"/>
      <c r="Y18" s="356"/>
      <c r="Z18" s="72"/>
      <c r="AA18" s="356"/>
      <c r="AB18" s="71"/>
      <c r="AC18" s="83"/>
      <c r="AD18" s="72"/>
      <c r="AE18" s="356"/>
      <c r="AF18" s="72"/>
      <c r="AG18" s="356"/>
      <c r="AH18" s="72"/>
      <c r="AI18" s="356"/>
      <c r="AJ18" s="72"/>
      <c r="AK18" s="356"/>
      <c r="AL18" s="72"/>
      <c r="AM18" s="356"/>
      <c r="AN18" s="72"/>
      <c r="AO18" s="356"/>
      <c r="AP18" s="71"/>
      <c r="AQ18" s="83"/>
      <c r="AR18" s="72"/>
      <c r="AS18" s="356"/>
      <c r="AT18" s="72"/>
      <c r="AU18" s="356"/>
      <c r="AV18" s="72"/>
      <c r="AW18" s="356"/>
      <c r="AX18" s="72"/>
      <c r="AY18" s="356"/>
      <c r="AZ18" s="72"/>
      <c r="BA18" s="356"/>
      <c r="BB18" s="72"/>
      <c r="BC18" s="356"/>
      <c r="BD18" s="71"/>
      <c r="BE18" s="83"/>
      <c r="BF18" s="72"/>
      <c r="BG18" s="356"/>
      <c r="BH18" s="72"/>
      <c r="BI18" s="356"/>
      <c r="BJ18" s="72"/>
      <c r="BK18" s="356"/>
      <c r="BL18" s="72"/>
      <c r="BM18" s="356"/>
      <c r="BN18" s="28">
        <f t="shared" si="1"/>
        <v>0</v>
      </c>
      <c r="BO18" s="29">
        <f t="shared" si="2"/>
        <v>0</v>
      </c>
    </row>
    <row r="19" spans="1:67" ht="15.75" customHeight="1" x14ac:dyDescent="0.25">
      <c r="A19" s="9" t="e">
        <f>VLOOKUP(B19,#REF!,2,FALSE)</f>
        <v>#REF!</v>
      </c>
      <c r="B19" s="14"/>
      <c r="C19" s="14">
        <v>1</v>
      </c>
      <c r="D19" s="72"/>
      <c r="E19" s="356"/>
      <c r="F19" s="72"/>
      <c r="G19" s="356"/>
      <c r="H19" s="72"/>
      <c r="I19" s="356"/>
      <c r="J19" s="72"/>
      <c r="K19" s="356"/>
      <c r="L19" s="71"/>
      <c r="M19" s="83"/>
      <c r="N19" s="71"/>
      <c r="O19" s="83"/>
      <c r="P19" s="71"/>
      <c r="Q19" s="83"/>
      <c r="R19" s="71"/>
      <c r="S19" s="83"/>
      <c r="T19" s="71"/>
      <c r="U19" s="83"/>
      <c r="V19" s="72"/>
      <c r="W19" s="356"/>
      <c r="X19" s="72"/>
      <c r="Y19" s="356"/>
      <c r="Z19" s="72"/>
      <c r="AA19" s="356"/>
      <c r="AB19" s="71"/>
      <c r="AC19" s="83"/>
      <c r="AD19" s="72"/>
      <c r="AE19" s="356"/>
      <c r="AF19" s="72"/>
      <c r="AG19" s="356"/>
      <c r="AH19" s="72"/>
      <c r="AI19" s="356"/>
      <c r="AJ19" s="72"/>
      <c r="AK19" s="356"/>
      <c r="AL19" s="72"/>
      <c r="AM19" s="356"/>
      <c r="AN19" s="72"/>
      <c r="AO19" s="356"/>
      <c r="AP19" s="71"/>
      <c r="AQ19" s="83"/>
      <c r="AR19" s="72"/>
      <c r="AS19" s="356"/>
      <c r="AT19" s="72"/>
      <c r="AU19" s="356"/>
      <c r="AV19" s="72"/>
      <c r="AW19" s="356"/>
      <c r="AX19" s="72"/>
      <c r="AY19" s="356"/>
      <c r="AZ19" s="72"/>
      <c r="BA19" s="356"/>
      <c r="BB19" s="72"/>
      <c r="BC19" s="356"/>
      <c r="BD19" s="71"/>
      <c r="BE19" s="83"/>
      <c r="BF19" s="72"/>
      <c r="BG19" s="356"/>
      <c r="BH19" s="72"/>
      <c r="BI19" s="356"/>
      <c r="BJ19" s="72"/>
      <c r="BK19" s="356"/>
      <c r="BL19" s="72"/>
      <c r="BM19" s="356"/>
      <c r="BN19" s="28">
        <f t="shared" si="1"/>
        <v>0</v>
      </c>
      <c r="BO19" s="29">
        <f t="shared" si="2"/>
        <v>0</v>
      </c>
    </row>
    <row r="20" spans="1:67" ht="15.75" customHeight="1" x14ac:dyDescent="0.25">
      <c r="A20" s="9" t="e">
        <f>VLOOKUP(B20,#REF!,2,FALSE)</f>
        <v>#REF!</v>
      </c>
      <c r="B20" s="14"/>
      <c r="C20" s="14">
        <v>1</v>
      </c>
      <c r="D20" s="72"/>
      <c r="E20" s="356"/>
      <c r="F20" s="72"/>
      <c r="G20" s="356"/>
      <c r="H20" s="72"/>
      <c r="I20" s="356"/>
      <c r="J20" s="72"/>
      <c r="K20" s="356"/>
      <c r="L20" s="71"/>
      <c r="M20" s="83"/>
      <c r="N20" s="71"/>
      <c r="O20" s="83"/>
      <c r="P20" s="71"/>
      <c r="Q20" s="83"/>
      <c r="R20" s="71"/>
      <c r="S20" s="83"/>
      <c r="T20" s="71"/>
      <c r="U20" s="83"/>
      <c r="V20" s="72"/>
      <c r="W20" s="356"/>
      <c r="X20" s="72"/>
      <c r="Y20" s="356"/>
      <c r="Z20" s="72"/>
      <c r="AA20" s="356"/>
      <c r="AB20" s="71"/>
      <c r="AC20" s="83"/>
      <c r="AD20" s="72"/>
      <c r="AE20" s="356"/>
      <c r="AF20" s="72"/>
      <c r="AG20" s="356"/>
      <c r="AH20" s="72"/>
      <c r="AI20" s="356"/>
      <c r="AJ20" s="72"/>
      <c r="AK20" s="356"/>
      <c r="AL20" s="72"/>
      <c r="AM20" s="356"/>
      <c r="AN20" s="72"/>
      <c r="AO20" s="356"/>
      <c r="AP20" s="71"/>
      <c r="AQ20" s="83"/>
      <c r="AR20" s="72"/>
      <c r="AS20" s="356"/>
      <c r="AT20" s="72"/>
      <c r="AU20" s="356"/>
      <c r="AV20" s="72"/>
      <c r="AW20" s="356"/>
      <c r="AX20" s="72"/>
      <c r="AY20" s="356"/>
      <c r="AZ20" s="72"/>
      <c r="BA20" s="356"/>
      <c r="BB20" s="72"/>
      <c r="BC20" s="356"/>
      <c r="BD20" s="71"/>
      <c r="BE20" s="83"/>
      <c r="BF20" s="72"/>
      <c r="BG20" s="356"/>
      <c r="BH20" s="72"/>
      <c r="BI20" s="356"/>
      <c r="BJ20" s="72"/>
      <c r="BK20" s="356"/>
      <c r="BL20" s="72"/>
      <c r="BM20" s="356"/>
      <c r="BN20" s="28">
        <f t="shared" si="1"/>
        <v>0</v>
      </c>
      <c r="BO20" s="29">
        <f t="shared" si="2"/>
        <v>0</v>
      </c>
    </row>
    <row r="21" spans="1:67" ht="15.75" customHeight="1" x14ac:dyDescent="0.25">
      <c r="A21" s="9" t="e">
        <f>VLOOKUP(B21,#REF!,2,FALSE)</f>
        <v>#REF!</v>
      </c>
      <c r="B21" s="14"/>
      <c r="C21" s="14">
        <v>1</v>
      </c>
      <c r="D21" s="72"/>
      <c r="E21" s="356"/>
      <c r="F21" s="72"/>
      <c r="G21" s="356"/>
      <c r="H21" s="72"/>
      <c r="I21" s="356"/>
      <c r="J21" s="72"/>
      <c r="K21" s="356"/>
      <c r="L21" s="71"/>
      <c r="M21" s="83"/>
      <c r="N21" s="71"/>
      <c r="O21" s="83"/>
      <c r="P21" s="71"/>
      <c r="Q21" s="83"/>
      <c r="R21" s="71"/>
      <c r="S21" s="83"/>
      <c r="T21" s="71"/>
      <c r="U21" s="83"/>
      <c r="V21" s="72"/>
      <c r="W21" s="356"/>
      <c r="X21" s="72"/>
      <c r="Y21" s="356"/>
      <c r="Z21" s="72"/>
      <c r="AA21" s="356"/>
      <c r="AB21" s="71"/>
      <c r="AC21" s="83"/>
      <c r="AD21" s="72"/>
      <c r="AE21" s="356"/>
      <c r="AF21" s="72"/>
      <c r="AG21" s="356"/>
      <c r="AH21" s="72"/>
      <c r="AI21" s="356"/>
      <c r="AJ21" s="72"/>
      <c r="AK21" s="356"/>
      <c r="AL21" s="72"/>
      <c r="AM21" s="356"/>
      <c r="AN21" s="72"/>
      <c r="AO21" s="356"/>
      <c r="AP21" s="71"/>
      <c r="AQ21" s="83"/>
      <c r="AR21" s="72"/>
      <c r="AS21" s="356"/>
      <c r="AT21" s="72"/>
      <c r="AU21" s="356"/>
      <c r="AV21" s="72"/>
      <c r="AW21" s="356"/>
      <c r="AX21" s="72"/>
      <c r="AY21" s="356"/>
      <c r="AZ21" s="72"/>
      <c r="BA21" s="356"/>
      <c r="BB21" s="72"/>
      <c r="BC21" s="356"/>
      <c r="BD21" s="71"/>
      <c r="BE21" s="83"/>
      <c r="BF21" s="72"/>
      <c r="BG21" s="356"/>
      <c r="BH21" s="72"/>
      <c r="BI21" s="356"/>
      <c r="BJ21" s="72"/>
      <c r="BK21" s="356"/>
      <c r="BL21" s="72"/>
      <c r="BM21" s="356"/>
      <c r="BN21" s="28">
        <f t="shared" si="1"/>
        <v>0</v>
      </c>
      <c r="BO21" s="29">
        <f t="shared" si="2"/>
        <v>0</v>
      </c>
    </row>
    <row r="22" spans="1:67" ht="30" customHeight="1" x14ac:dyDescent="0.25">
      <c r="A22" s="9"/>
      <c r="B22" s="695" t="s">
        <v>18</v>
      </c>
      <c r="C22" s="696"/>
      <c r="D22" s="75">
        <f>SUM(D23:D31)</f>
        <v>0</v>
      </c>
      <c r="E22" s="84">
        <f t="shared" ref="E22:BM22" si="3">SUM(E23:E31)</f>
        <v>0</v>
      </c>
      <c r="F22" s="75">
        <f t="shared" si="3"/>
        <v>0</v>
      </c>
      <c r="G22" s="84">
        <f t="shared" si="3"/>
        <v>0</v>
      </c>
      <c r="H22" s="75">
        <f t="shared" si="3"/>
        <v>0</v>
      </c>
      <c r="I22" s="84">
        <f t="shared" si="3"/>
        <v>0</v>
      </c>
      <c r="J22" s="75">
        <f t="shared" si="3"/>
        <v>0</v>
      </c>
      <c r="K22" s="84">
        <f t="shared" si="3"/>
        <v>0</v>
      </c>
      <c r="L22" s="75">
        <f t="shared" si="3"/>
        <v>0</v>
      </c>
      <c r="M22" s="84">
        <f t="shared" si="3"/>
        <v>0</v>
      </c>
      <c r="N22" s="75">
        <f t="shared" si="3"/>
        <v>0</v>
      </c>
      <c r="O22" s="84">
        <f t="shared" si="3"/>
        <v>0</v>
      </c>
      <c r="P22" s="75">
        <f t="shared" si="3"/>
        <v>0</v>
      </c>
      <c r="Q22" s="84">
        <f t="shared" si="3"/>
        <v>0</v>
      </c>
      <c r="R22" s="75">
        <f t="shared" si="3"/>
        <v>0</v>
      </c>
      <c r="S22" s="84">
        <f t="shared" si="3"/>
        <v>0</v>
      </c>
      <c r="T22" s="75">
        <f t="shared" si="3"/>
        <v>0</v>
      </c>
      <c r="U22" s="84">
        <f t="shared" si="3"/>
        <v>0</v>
      </c>
      <c r="V22" s="75">
        <f t="shared" si="3"/>
        <v>0</v>
      </c>
      <c r="W22" s="84">
        <f t="shared" si="3"/>
        <v>0</v>
      </c>
      <c r="X22" s="75">
        <f t="shared" si="3"/>
        <v>0</v>
      </c>
      <c r="Y22" s="84">
        <f t="shared" si="3"/>
        <v>0</v>
      </c>
      <c r="Z22" s="75">
        <f t="shared" si="3"/>
        <v>0</v>
      </c>
      <c r="AA22" s="84">
        <f t="shared" si="3"/>
        <v>0</v>
      </c>
      <c r="AB22" s="75">
        <f t="shared" si="3"/>
        <v>0</v>
      </c>
      <c r="AC22" s="84">
        <f t="shared" si="3"/>
        <v>0</v>
      </c>
      <c r="AD22" s="75">
        <f t="shared" si="3"/>
        <v>0</v>
      </c>
      <c r="AE22" s="84">
        <f t="shared" si="3"/>
        <v>0</v>
      </c>
      <c r="AF22" s="75">
        <f t="shared" si="3"/>
        <v>0</v>
      </c>
      <c r="AG22" s="84">
        <f t="shared" si="3"/>
        <v>0</v>
      </c>
      <c r="AH22" s="75">
        <f t="shared" si="3"/>
        <v>0</v>
      </c>
      <c r="AI22" s="84">
        <f t="shared" si="3"/>
        <v>0</v>
      </c>
      <c r="AJ22" s="75">
        <f t="shared" si="3"/>
        <v>0</v>
      </c>
      <c r="AK22" s="84">
        <f t="shared" si="3"/>
        <v>0</v>
      </c>
      <c r="AL22" s="75">
        <f t="shared" si="3"/>
        <v>0</v>
      </c>
      <c r="AM22" s="84">
        <f t="shared" si="3"/>
        <v>0</v>
      </c>
      <c r="AN22" s="75">
        <f t="shared" si="3"/>
        <v>0</v>
      </c>
      <c r="AO22" s="84">
        <f t="shared" si="3"/>
        <v>0</v>
      </c>
      <c r="AP22" s="75">
        <f t="shared" si="3"/>
        <v>0</v>
      </c>
      <c r="AQ22" s="84">
        <f t="shared" si="3"/>
        <v>0</v>
      </c>
      <c r="AR22" s="75">
        <f t="shared" si="3"/>
        <v>0</v>
      </c>
      <c r="AS22" s="84">
        <f t="shared" si="3"/>
        <v>0</v>
      </c>
      <c r="AT22" s="75">
        <f t="shared" si="3"/>
        <v>0</v>
      </c>
      <c r="AU22" s="84">
        <f t="shared" si="3"/>
        <v>0</v>
      </c>
      <c r="AV22" s="75">
        <f t="shared" si="3"/>
        <v>0</v>
      </c>
      <c r="AW22" s="84">
        <f t="shared" si="3"/>
        <v>0</v>
      </c>
      <c r="AX22" s="75">
        <f t="shared" si="3"/>
        <v>0</v>
      </c>
      <c r="AY22" s="84">
        <f t="shared" si="3"/>
        <v>0</v>
      </c>
      <c r="AZ22" s="75">
        <f t="shared" si="3"/>
        <v>0</v>
      </c>
      <c r="BA22" s="84">
        <f t="shared" si="3"/>
        <v>0</v>
      </c>
      <c r="BB22" s="75">
        <f t="shared" si="3"/>
        <v>0</v>
      </c>
      <c r="BC22" s="84">
        <f t="shared" si="3"/>
        <v>0</v>
      </c>
      <c r="BD22" s="75">
        <f t="shared" si="3"/>
        <v>0</v>
      </c>
      <c r="BE22" s="84">
        <f t="shared" si="3"/>
        <v>0</v>
      </c>
      <c r="BF22" s="75">
        <f t="shared" si="3"/>
        <v>0</v>
      </c>
      <c r="BG22" s="84">
        <f t="shared" si="3"/>
        <v>0</v>
      </c>
      <c r="BH22" s="75">
        <f t="shared" si="3"/>
        <v>0</v>
      </c>
      <c r="BI22" s="84">
        <f t="shared" si="3"/>
        <v>0</v>
      </c>
      <c r="BJ22" s="75">
        <f t="shared" si="3"/>
        <v>0</v>
      </c>
      <c r="BK22" s="84">
        <f t="shared" si="3"/>
        <v>0</v>
      </c>
      <c r="BL22" s="75">
        <f t="shared" si="3"/>
        <v>0</v>
      </c>
      <c r="BM22" s="84">
        <f t="shared" si="3"/>
        <v>0</v>
      </c>
      <c r="BN22" s="28">
        <f t="shared" si="1"/>
        <v>0</v>
      </c>
      <c r="BO22" s="29">
        <f t="shared" si="2"/>
        <v>62</v>
      </c>
    </row>
    <row r="23" spans="1:67" ht="15.75" x14ac:dyDescent="0.25">
      <c r="A23" s="18"/>
      <c r="B23" s="687" t="s">
        <v>19</v>
      </c>
      <c r="C23" s="688"/>
      <c r="D23" s="72"/>
      <c r="E23" s="356"/>
      <c r="F23" s="72"/>
      <c r="G23" s="356"/>
      <c r="H23" s="72"/>
      <c r="I23" s="356"/>
      <c r="J23" s="72"/>
      <c r="K23" s="356"/>
      <c r="L23" s="71"/>
      <c r="M23" s="83"/>
      <c r="N23" s="71"/>
      <c r="O23" s="83"/>
      <c r="P23" s="71"/>
      <c r="Q23" s="83"/>
      <c r="R23" s="71"/>
      <c r="S23" s="83"/>
      <c r="T23" s="71"/>
      <c r="U23" s="83"/>
      <c r="V23" s="72"/>
      <c r="W23" s="356"/>
      <c r="X23" s="72"/>
      <c r="Y23" s="356"/>
      <c r="Z23" s="72"/>
      <c r="AA23" s="356"/>
      <c r="AB23" s="71"/>
      <c r="AC23" s="83"/>
      <c r="AD23" s="72"/>
      <c r="AE23" s="356"/>
      <c r="AF23" s="72"/>
      <c r="AG23" s="356"/>
      <c r="AH23" s="72"/>
      <c r="AI23" s="356"/>
      <c r="AJ23" s="72"/>
      <c r="AK23" s="356"/>
      <c r="AL23" s="72"/>
      <c r="AM23" s="356"/>
      <c r="AN23" s="72"/>
      <c r="AO23" s="356"/>
      <c r="AP23" s="71"/>
      <c r="AQ23" s="83"/>
      <c r="AR23" s="72"/>
      <c r="AS23" s="356"/>
      <c r="AT23" s="72"/>
      <c r="AU23" s="356"/>
      <c r="AV23" s="72"/>
      <c r="AW23" s="356"/>
      <c r="AX23" s="72"/>
      <c r="AY23" s="356"/>
      <c r="AZ23" s="72"/>
      <c r="BA23" s="356"/>
      <c r="BB23" s="72"/>
      <c r="BC23" s="356"/>
      <c r="BD23" s="71"/>
      <c r="BE23" s="83"/>
      <c r="BF23" s="72"/>
      <c r="BG23" s="356"/>
      <c r="BH23" s="72"/>
      <c r="BI23" s="356"/>
      <c r="BJ23" s="72"/>
      <c r="BK23" s="356"/>
      <c r="BL23" s="72"/>
      <c r="BM23" s="356"/>
      <c r="BN23" s="28">
        <f t="shared" si="1"/>
        <v>0</v>
      </c>
      <c r="BO23" s="29">
        <f t="shared" si="2"/>
        <v>0</v>
      </c>
    </row>
    <row r="24" spans="1:67" ht="15.75" x14ac:dyDescent="0.25">
      <c r="A24" s="18"/>
      <c r="B24" s="689" t="s">
        <v>20</v>
      </c>
      <c r="C24" s="690"/>
      <c r="D24" s="72"/>
      <c r="E24" s="356"/>
      <c r="F24" s="72"/>
      <c r="G24" s="356"/>
      <c r="H24" s="72"/>
      <c r="I24" s="356"/>
      <c r="J24" s="72"/>
      <c r="K24" s="356"/>
      <c r="L24" s="71"/>
      <c r="M24" s="83"/>
      <c r="N24" s="71"/>
      <c r="O24" s="83"/>
      <c r="P24" s="71"/>
      <c r="Q24" s="83"/>
      <c r="R24" s="71"/>
      <c r="S24" s="83"/>
      <c r="T24" s="71"/>
      <c r="U24" s="83"/>
      <c r="V24" s="72"/>
      <c r="W24" s="356"/>
      <c r="X24" s="72"/>
      <c r="Y24" s="356"/>
      <c r="Z24" s="72"/>
      <c r="AA24" s="356"/>
      <c r="AB24" s="71"/>
      <c r="AC24" s="83"/>
      <c r="AD24" s="72"/>
      <c r="AE24" s="356"/>
      <c r="AF24" s="72"/>
      <c r="AG24" s="356"/>
      <c r="AH24" s="72"/>
      <c r="AI24" s="356"/>
      <c r="AJ24" s="72"/>
      <c r="AK24" s="356"/>
      <c r="AL24" s="72"/>
      <c r="AM24" s="356"/>
      <c r="AN24" s="72"/>
      <c r="AO24" s="356"/>
      <c r="AP24" s="71"/>
      <c r="AQ24" s="83"/>
      <c r="AR24" s="72"/>
      <c r="AS24" s="356"/>
      <c r="AT24" s="72"/>
      <c r="AU24" s="356"/>
      <c r="AV24" s="72"/>
      <c r="AW24" s="356"/>
      <c r="AX24" s="72"/>
      <c r="AY24" s="356"/>
      <c r="AZ24" s="72"/>
      <c r="BA24" s="356"/>
      <c r="BB24" s="72"/>
      <c r="BC24" s="356"/>
      <c r="BD24" s="71"/>
      <c r="BE24" s="83"/>
      <c r="BF24" s="72"/>
      <c r="BG24" s="356"/>
      <c r="BH24" s="72"/>
      <c r="BI24" s="356"/>
      <c r="BJ24" s="72"/>
      <c r="BK24" s="356"/>
      <c r="BL24" s="72"/>
      <c r="BM24" s="356"/>
      <c r="BN24" s="28">
        <f t="shared" si="1"/>
        <v>0</v>
      </c>
      <c r="BO24" s="29">
        <f t="shared" si="2"/>
        <v>0</v>
      </c>
    </row>
    <row r="25" spans="1:67" ht="15.75" x14ac:dyDescent="0.25">
      <c r="A25" s="18"/>
      <c r="B25" s="689" t="s">
        <v>21</v>
      </c>
      <c r="C25" s="690"/>
      <c r="D25" s="72"/>
      <c r="E25" s="356"/>
      <c r="F25" s="72"/>
      <c r="G25" s="356"/>
      <c r="H25" s="72"/>
      <c r="I25" s="356"/>
      <c r="J25" s="72"/>
      <c r="K25" s="356"/>
      <c r="L25" s="71"/>
      <c r="M25" s="83"/>
      <c r="N25" s="71"/>
      <c r="O25" s="83"/>
      <c r="P25" s="71"/>
      <c r="Q25" s="83"/>
      <c r="R25" s="71"/>
      <c r="S25" s="83"/>
      <c r="T25" s="71"/>
      <c r="U25" s="83"/>
      <c r="V25" s="72"/>
      <c r="W25" s="356"/>
      <c r="X25" s="72"/>
      <c r="Y25" s="356"/>
      <c r="Z25" s="72"/>
      <c r="AA25" s="356"/>
      <c r="AB25" s="71"/>
      <c r="AC25" s="83"/>
      <c r="AD25" s="72"/>
      <c r="AE25" s="356"/>
      <c r="AF25" s="72"/>
      <c r="AG25" s="356"/>
      <c r="AH25" s="72"/>
      <c r="AI25" s="356"/>
      <c r="AJ25" s="72"/>
      <c r="AK25" s="356"/>
      <c r="AL25" s="72"/>
      <c r="AM25" s="356"/>
      <c r="AN25" s="72"/>
      <c r="AO25" s="356"/>
      <c r="AP25" s="71"/>
      <c r="AQ25" s="83"/>
      <c r="AR25" s="72"/>
      <c r="AS25" s="356"/>
      <c r="AT25" s="72"/>
      <c r="AU25" s="356"/>
      <c r="AV25" s="72"/>
      <c r="AW25" s="356"/>
      <c r="AX25" s="72"/>
      <c r="AY25" s="356"/>
      <c r="AZ25" s="72"/>
      <c r="BA25" s="356"/>
      <c r="BB25" s="72"/>
      <c r="BC25" s="356"/>
      <c r="BD25" s="71"/>
      <c r="BE25" s="83"/>
      <c r="BF25" s="72"/>
      <c r="BG25" s="356"/>
      <c r="BH25" s="72"/>
      <c r="BI25" s="356"/>
      <c r="BJ25" s="72"/>
      <c r="BK25" s="356"/>
      <c r="BL25" s="72"/>
      <c r="BM25" s="356"/>
      <c r="BN25" s="28">
        <f t="shared" si="1"/>
        <v>0</v>
      </c>
      <c r="BO25" s="29">
        <f t="shared" si="2"/>
        <v>0</v>
      </c>
    </row>
    <row r="26" spans="1:67" ht="15.75" x14ac:dyDescent="0.25">
      <c r="A26" s="18"/>
      <c r="B26" s="689"/>
      <c r="C26" s="690"/>
      <c r="D26" s="72"/>
      <c r="E26" s="356"/>
      <c r="F26" s="72"/>
      <c r="G26" s="356"/>
      <c r="H26" s="72"/>
      <c r="I26" s="356"/>
      <c r="J26" s="72"/>
      <c r="K26" s="356"/>
      <c r="L26" s="71"/>
      <c r="M26" s="83"/>
      <c r="N26" s="71"/>
      <c r="O26" s="83"/>
      <c r="P26" s="71"/>
      <c r="Q26" s="83"/>
      <c r="R26" s="71"/>
      <c r="S26" s="83"/>
      <c r="T26" s="71"/>
      <c r="U26" s="83"/>
      <c r="V26" s="72"/>
      <c r="W26" s="356"/>
      <c r="X26" s="72"/>
      <c r="Y26" s="356"/>
      <c r="Z26" s="72"/>
      <c r="AA26" s="356"/>
      <c r="AB26" s="71"/>
      <c r="AC26" s="83"/>
      <c r="AD26" s="72"/>
      <c r="AE26" s="356"/>
      <c r="AF26" s="72"/>
      <c r="AG26" s="356"/>
      <c r="AH26" s="72"/>
      <c r="AI26" s="356"/>
      <c r="AJ26" s="72"/>
      <c r="AK26" s="356"/>
      <c r="AL26" s="72"/>
      <c r="AM26" s="356"/>
      <c r="AN26" s="72"/>
      <c r="AO26" s="356"/>
      <c r="AP26" s="71"/>
      <c r="AQ26" s="83"/>
      <c r="AR26" s="72"/>
      <c r="AS26" s="356"/>
      <c r="AT26" s="72"/>
      <c r="AU26" s="356"/>
      <c r="AV26" s="72"/>
      <c r="AW26" s="356"/>
      <c r="AX26" s="72"/>
      <c r="AY26" s="356"/>
      <c r="AZ26" s="72"/>
      <c r="BA26" s="356"/>
      <c r="BB26" s="72"/>
      <c r="BC26" s="356"/>
      <c r="BD26" s="71"/>
      <c r="BE26" s="83"/>
      <c r="BF26" s="72"/>
      <c r="BG26" s="356"/>
      <c r="BH26" s="72"/>
      <c r="BI26" s="356"/>
      <c r="BJ26" s="72"/>
      <c r="BK26" s="356"/>
      <c r="BL26" s="72"/>
      <c r="BM26" s="356"/>
      <c r="BN26" s="28">
        <f t="shared" si="1"/>
        <v>0</v>
      </c>
      <c r="BO26" s="29">
        <f t="shared" si="2"/>
        <v>0</v>
      </c>
    </row>
    <row r="27" spans="1:67" ht="15.75" x14ac:dyDescent="0.25">
      <c r="A27" s="18"/>
      <c r="B27" s="687" t="s">
        <v>22</v>
      </c>
      <c r="C27" s="688"/>
      <c r="D27" s="72"/>
      <c r="E27" s="356"/>
      <c r="F27" s="72"/>
      <c r="G27" s="356"/>
      <c r="H27" s="72"/>
      <c r="I27" s="356"/>
      <c r="J27" s="72"/>
      <c r="K27" s="356"/>
      <c r="L27" s="71"/>
      <c r="M27" s="83"/>
      <c r="N27" s="71"/>
      <c r="O27" s="83"/>
      <c r="P27" s="71"/>
      <c r="Q27" s="83"/>
      <c r="R27" s="71"/>
      <c r="S27" s="83"/>
      <c r="T27" s="71"/>
      <c r="U27" s="83"/>
      <c r="V27" s="72"/>
      <c r="W27" s="356"/>
      <c r="X27" s="72"/>
      <c r="Y27" s="356"/>
      <c r="Z27" s="72"/>
      <c r="AA27" s="356"/>
      <c r="AB27" s="71"/>
      <c r="AC27" s="83"/>
      <c r="AD27" s="72"/>
      <c r="AE27" s="356"/>
      <c r="AF27" s="72"/>
      <c r="AG27" s="356"/>
      <c r="AH27" s="72"/>
      <c r="AI27" s="356"/>
      <c r="AJ27" s="72"/>
      <c r="AK27" s="356"/>
      <c r="AL27" s="72"/>
      <c r="AM27" s="356"/>
      <c r="AN27" s="72"/>
      <c r="AO27" s="356"/>
      <c r="AP27" s="71"/>
      <c r="AQ27" s="83"/>
      <c r="AR27" s="72"/>
      <c r="AS27" s="356"/>
      <c r="AT27" s="72"/>
      <c r="AU27" s="356"/>
      <c r="AV27" s="72"/>
      <c r="AW27" s="356"/>
      <c r="AX27" s="72"/>
      <c r="AY27" s="356"/>
      <c r="AZ27" s="72"/>
      <c r="BA27" s="356"/>
      <c r="BB27" s="72"/>
      <c r="BC27" s="356"/>
      <c r="BD27" s="71"/>
      <c r="BE27" s="83"/>
      <c r="BF27" s="72"/>
      <c r="BG27" s="356"/>
      <c r="BH27" s="72"/>
      <c r="BI27" s="356"/>
      <c r="BJ27" s="72"/>
      <c r="BK27" s="356"/>
      <c r="BL27" s="72"/>
      <c r="BM27" s="356"/>
      <c r="BN27" s="28">
        <f t="shared" si="1"/>
        <v>0</v>
      </c>
      <c r="BO27" s="29">
        <f t="shared" si="2"/>
        <v>0</v>
      </c>
    </row>
    <row r="28" spans="1:67" ht="15.75" x14ac:dyDescent="0.25">
      <c r="A28" s="18"/>
      <c r="B28" s="689" t="s">
        <v>20</v>
      </c>
      <c r="C28" s="690"/>
      <c r="D28" s="72"/>
      <c r="E28" s="356"/>
      <c r="F28" s="72"/>
      <c r="G28" s="356"/>
      <c r="H28" s="72"/>
      <c r="I28" s="356"/>
      <c r="J28" s="72"/>
      <c r="K28" s="356"/>
      <c r="L28" s="71"/>
      <c r="M28" s="83"/>
      <c r="N28" s="71"/>
      <c r="O28" s="83"/>
      <c r="P28" s="71"/>
      <c r="Q28" s="83"/>
      <c r="R28" s="71"/>
      <c r="S28" s="83"/>
      <c r="T28" s="71"/>
      <c r="U28" s="83"/>
      <c r="V28" s="72"/>
      <c r="W28" s="356"/>
      <c r="X28" s="72"/>
      <c r="Y28" s="356"/>
      <c r="Z28" s="72"/>
      <c r="AA28" s="356"/>
      <c r="AB28" s="71"/>
      <c r="AC28" s="83"/>
      <c r="AD28" s="72"/>
      <c r="AE28" s="356"/>
      <c r="AF28" s="72"/>
      <c r="AG28" s="356"/>
      <c r="AH28" s="72"/>
      <c r="AI28" s="356"/>
      <c r="AJ28" s="72"/>
      <c r="AK28" s="356"/>
      <c r="AL28" s="72"/>
      <c r="AM28" s="356"/>
      <c r="AN28" s="72"/>
      <c r="AO28" s="356"/>
      <c r="AP28" s="71"/>
      <c r="AQ28" s="83"/>
      <c r="AR28" s="72"/>
      <c r="AS28" s="356"/>
      <c r="AT28" s="72"/>
      <c r="AU28" s="356"/>
      <c r="AV28" s="72"/>
      <c r="AW28" s="356"/>
      <c r="AX28" s="72"/>
      <c r="AY28" s="356"/>
      <c r="AZ28" s="72"/>
      <c r="BA28" s="356"/>
      <c r="BB28" s="72"/>
      <c r="BC28" s="356"/>
      <c r="BD28" s="71"/>
      <c r="BE28" s="83"/>
      <c r="BF28" s="72"/>
      <c r="BG28" s="356"/>
      <c r="BH28" s="72"/>
      <c r="BI28" s="356"/>
      <c r="BJ28" s="72"/>
      <c r="BK28" s="356"/>
      <c r="BL28" s="72"/>
      <c r="BM28" s="356"/>
      <c r="BN28" s="28">
        <f t="shared" si="1"/>
        <v>0</v>
      </c>
      <c r="BO28" s="29">
        <f t="shared" si="2"/>
        <v>0</v>
      </c>
    </row>
    <row r="29" spans="1:67" ht="15.75" x14ac:dyDescent="0.25">
      <c r="A29" s="18"/>
      <c r="B29" s="689" t="s">
        <v>21</v>
      </c>
      <c r="C29" s="690"/>
      <c r="D29" s="72"/>
      <c r="E29" s="356"/>
      <c r="F29" s="72"/>
      <c r="G29" s="356"/>
      <c r="H29" s="72"/>
      <c r="I29" s="356"/>
      <c r="J29" s="72"/>
      <c r="K29" s="356"/>
      <c r="L29" s="71"/>
      <c r="M29" s="83"/>
      <c r="N29" s="71"/>
      <c r="O29" s="83"/>
      <c r="P29" s="71"/>
      <c r="Q29" s="83"/>
      <c r="R29" s="71"/>
      <c r="S29" s="83"/>
      <c r="T29" s="71"/>
      <c r="U29" s="83"/>
      <c r="V29" s="72"/>
      <c r="W29" s="356"/>
      <c r="X29" s="72"/>
      <c r="Y29" s="356"/>
      <c r="Z29" s="72"/>
      <c r="AA29" s="356"/>
      <c r="AB29" s="71"/>
      <c r="AC29" s="83"/>
      <c r="AD29" s="72"/>
      <c r="AE29" s="356"/>
      <c r="AF29" s="72"/>
      <c r="AG29" s="356"/>
      <c r="AH29" s="72"/>
      <c r="AI29" s="356"/>
      <c r="AJ29" s="72"/>
      <c r="AK29" s="356"/>
      <c r="AL29" s="72"/>
      <c r="AM29" s="356"/>
      <c r="AN29" s="72"/>
      <c r="AO29" s="356"/>
      <c r="AP29" s="71"/>
      <c r="AQ29" s="83"/>
      <c r="AR29" s="72"/>
      <c r="AS29" s="356"/>
      <c r="AT29" s="72"/>
      <c r="AU29" s="356"/>
      <c r="AV29" s="72"/>
      <c r="AW29" s="356"/>
      <c r="AX29" s="72"/>
      <c r="AY29" s="356"/>
      <c r="AZ29" s="72"/>
      <c r="BA29" s="356"/>
      <c r="BB29" s="72"/>
      <c r="BC29" s="356"/>
      <c r="BD29" s="71"/>
      <c r="BE29" s="83"/>
      <c r="BF29" s="72"/>
      <c r="BG29" s="356"/>
      <c r="BH29" s="72"/>
      <c r="BI29" s="356"/>
      <c r="BJ29" s="72"/>
      <c r="BK29" s="356"/>
      <c r="BL29" s="72"/>
      <c r="BM29" s="356"/>
      <c r="BN29" s="28">
        <f t="shared" si="1"/>
        <v>0</v>
      </c>
      <c r="BO29" s="29">
        <f t="shared" si="2"/>
        <v>0</v>
      </c>
    </row>
    <row r="30" spans="1:67" ht="15.75" x14ac:dyDescent="0.25">
      <c r="A30" s="18"/>
      <c r="B30" s="689" t="s">
        <v>23</v>
      </c>
      <c r="C30" s="690"/>
      <c r="D30" s="72"/>
      <c r="E30" s="356"/>
      <c r="F30" s="72"/>
      <c r="G30" s="356"/>
      <c r="H30" s="72"/>
      <c r="I30" s="356"/>
      <c r="J30" s="72"/>
      <c r="K30" s="356"/>
      <c r="L30" s="71"/>
      <c r="M30" s="83"/>
      <c r="N30" s="71"/>
      <c r="O30" s="83"/>
      <c r="P30" s="71"/>
      <c r="Q30" s="83"/>
      <c r="R30" s="71"/>
      <c r="S30" s="83"/>
      <c r="T30" s="71"/>
      <c r="U30" s="83"/>
      <c r="V30" s="72"/>
      <c r="W30" s="356"/>
      <c r="X30" s="72"/>
      <c r="Y30" s="356"/>
      <c r="Z30" s="72"/>
      <c r="AA30" s="356"/>
      <c r="AB30" s="71"/>
      <c r="AC30" s="83"/>
      <c r="AD30" s="72"/>
      <c r="AE30" s="356"/>
      <c r="AF30" s="72"/>
      <c r="AG30" s="356"/>
      <c r="AH30" s="72"/>
      <c r="AI30" s="356"/>
      <c r="AJ30" s="72"/>
      <c r="AK30" s="356"/>
      <c r="AL30" s="72"/>
      <c r="AM30" s="356"/>
      <c r="AN30" s="72"/>
      <c r="AO30" s="356"/>
      <c r="AP30" s="71"/>
      <c r="AQ30" s="83"/>
      <c r="AR30" s="72"/>
      <c r="AS30" s="356"/>
      <c r="AT30" s="72"/>
      <c r="AU30" s="356"/>
      <c r="AV30" s="72"/>
      <c r="AW30" s="356"/>
      <c r="AX30" s="72"/>
      <c r="AY30" s="356"/>
      <c r="AZ30" s="72"/>
      <c r="BA30" s="356"/>
      <c r="BB30" s="72"/>
      <c r="BC30" s="356"/>
      <c r="BD30" s="71"/>
      <c r="BE30" s="83"/>
      <c r="BF30" s="72"/>
      <c r="BG30" s="356"/>
      <c r="BH30" s="72"/>
      <c r="BI30" s="356"/>
      <c r="BJ30" s="72"/>
      <c r="BK30" s="356"/>
      <c r="BL30" s="72"/>
      <c r="BM30" s="356"/>
      <c r="BN30" s="28">
        <f t="shared" si="1"/>
        <v>0</v>
      </c>
      <c r="BO30" s="29">
        <f t="shared" si="2"/>
        <v>0</v>
      </c>
    </row>
    <row r="31" spans="1:67" ht="15.75" x14ac:dyDescent="0.25">
      <c r="A31" s="18"/>
      <c r="B31" s="689"/>
      <c r="C31" s="690"/>
      <c r="D31" s="72"/>
      <c r="E31" s="356"/>
      <c r="F31" s="72"/>
      <c r="G31" s="356"/>
      <c r="H31" s="72"/>
      <c r="I31" s="356"/>
      <c r="J31" s="72"/>
      <c r="K31" s="356"/>
      <c r="L31" s="71"/>
      <c r="M31" s="83"/>
      <c r="N31" s="71"/>
      <c r="O31" s="83"/>
      <c r="P31" s="71"/>
      <c r="Q31" s="83"/>
      <c r="R31" s="71"/>
      <c r="S31" s="83"/>
      <c r="T31" s="71"/>
      <c r="U31" s="83"/>
      <c r="V31" s="72"/>
      <c r="W31" s="356"/>
      <c r="X31" s="72"/>
      <c r="Y31" s="356"/>
      <c r="Z31" s="72"/>
      <c r="AA31" s="356"/>
      <c r="AB31" s="71"/>
      <c r="AC31" s="83"/>
      <c r="AD31" s="72"/>
      <c r="AE31" s="356"/>
      <c r="AF31" s="72"/>
      <c r="AG31" s="356"/>
      <c r="AH31" s="72"/>
      <c r="AI31" s="356"/>
      <c r="AJ31" s="72"/>
      <c r="AK31" s="356"/>
      <c r="AL31" s="72"/>
      <c r="AM31" s="356"/>
      <c r="AN31" s="72"/>
      <c r="AO31" s="356"/>
      <c r="AP31" s="71"/>
      <c r="AQ31" s="83"/>
      <c r="AR31" s="72"/>
      <c r="AS31" s="356"/>
      <c r="AT31" s="72"/>
      <c r="AU31" s="356"/>
      <c r="AV31" s="72"/>
      <c r="AW31" s="356"/>
      <c r="AX31" s="72"/>
      <c r="AY31" s="356"/>
      <c r="AZ31" s="72"/>
      <c r="BA31" s="356"/>
      <c r="BB31" s="72"/>
      <c r="BC31" s="356"/>
      <c r="BD31" s="71"/>
      <c r="BE31" s="83"/>
      <c r="BF31" s="72"/>
      <c r="BG31" s="356"/>
      <c r="BH31" s="72"/>
      <c r="BI31" s="356"/>
      <c r="BJ31" s="72"/>
      <c r="BK31" s="356"/>
      <c r="BL31" s="72"/>
      <c r="BM31" s="356"/>
      <c r="BN31" s="28">
        <f t="shared" si="1"/>
        <v>0</v>
      </c>
      <c r="BO31" s="29">
        <f t="shared" si="2"/>
        <v>0</v>
      </c>
    </row>
    <row r="32" spans="1:67" ht="30.75" customHeight="1" x14ac:dyDescent="0.25">
      <c r="A32" s="18"/>
      <c r="B32" s="691" t="s">
        <v>24</v>
      </c>
      <c r="C32" s="692"/>
      <c r="D32" s="71">
        <f>SUM(D33:D116)</f>
        <v>0</v>
      </c>
      <c r="E32" s="83">
        <f>SUM(E33:E116)</f>
        <v>0</v>
      </c>
      <c r="F32" s="71">
        <f t="shared" ref="F32:BM32" si="4">SUM(F33:F116)</f>
        <v>0</v>
      </c>
      <c r="G32" s="83">
        <f t="shared" si="4"/>
        <v>0</v>
      </c>
      <c r="H32" s="71">
        <f t="shared" si="4"/>
        <v>0</v>
      </c>
      <c r="I32" s="83">
        <f t="shared" si="4"/>
        <v>0</v>
      </c>
      <c r="J32" s="71">
        <f t="shared" si="4"/>
        <v>0</v>
      </c>
      <c r="K32" s="83">
        <f t="shared" si="4"/>
        <v>0</v>
      </c>
      <c r="L32" s="71">
        <f t="shared" si="4"/>
        <v>0</v>
      </c>
      <c r="M32" s="83">
        <f t="shared" si="4"/>
        <v>0</v>
      </c>
      <c r="N32" s="71">
        <f t="shared" si="4"/>
        <v>0</v>
      </c>
      <c r="O32" s="83">
        <f t="shared" si="4"/>
        <v>0</v>
      </c>
      <c r="P32" s="71">
        <f t="shared" si="4"/>
        <v>0</v>
      </c>
      <c r="Q32" s="83">
        <f t="shared" si="4"/>
        <v>0</v>
      </c>
      <c r="R32" s="71">
        <f t="shared" si="4"/>
        <v>0</v>
      </c>
      <c r="S32" s="83">
        <f t="shared" si="4"/>
        <v>0</v>
      </c>
      <c r="T32" s="71">
        <f t="shared" si="4"/>
        <v>0</v>
      </c>
      <c r="U32" s="83">
        <f t="shared" si="4"/>
        <v>0</v>
      </c>
      <c r="V32" s="71">
        <f t="shared" si="4"/>
        <v>0</v>
      </c>
      <c r="W32" s="83">
        <f t="shared" si="4"/>
        <v>0</v>
      </c>
      <c r="X32" s="71">
        <f t="shared" si="4"/>
        <v>0</v>
      </c>
      <c r="Y32" s="83">
        <f t="shared" si="4"/>
        <v>0</v>
      </c>
      <c r="Z32" s="71">
        <f t="shared" si="4"/>
        <v>0</v>
      </c>
      <c r="AA32" s="83">
        <f t="shared" si="4"/>
        <v>0</v>
      </c>
      <c r="AB32" s="71">
        <f t="shared" si="4"/>
        <v>0</v>
      </c>
      <c r="AC32" s="83">
        <f t="shared" si="4"/>
        <v>0</v>
      </c>
      <c r="AD32" s="71">
        <f t="shared" si="4"/>
        <v>0</v>
      </c>
      <c r="AE32" s="83">
        <f t="shared" si="4"/>
        <v>0</v>
      </c>
      <c r="AF32" s="71">
        <f t="shared" si="4"/>
        <v>0</v>
      </c>
      <c r="AG32" s="83">
        <f t="shared" si="4"/>
        <v>0</v>
      </c>
      <c r="AH32" s="71">
        <f t="shared" si="4"/>
        <v>0</v>
      </c>
      <c r="AI32" s="83">
        <f t="shared" si="4"/>
        <v>0</v>
      </c>
      <c r="AJ32" s="71">
        <f t="shared" si="4"/>
        <v>0</v>
      </c>
      <c r="AK32" s="83">
        <f t="shared" si="4"/>
        <v>0</v>
      </c>
      <c r="AL32" s="71">
        <f t="shared" si="4"/>
        <v>0</v>
      </c>
      <c r="AM32" s="83">
        <f t="shared" si="4"/>
        <v>0</v>
      </c>
      <c r="AN32" s="71">
        <f t="shared" si="4"/>
        <v>0</v>
      </c>
      <c r="AO32" s="83">
        <f t="shared" si="4"/>
        <v>0</v>
      </c>
      <c r="AP32" s="71">
        <f t="shared" si="4"/>
        <v>0</v>
      </c>
      <c r="AQ32" s="83">
        <f t="shared" si="4"/>
        <v>0</v>
      </c>
      <c r="AR32" s="71">
        <f t="shared" si="4"/>
        <v>0</v>
      </c>
      <c r="AS32" s="83">
        <f t="shared" si="4"/>
        <v>0</v>
      </c>
      <c r="AT32" s="71">
        <f t="shared" si="4"/>
        <v>0</v>
      </c>
      <c r="AU32" s="83">
        <f t="shared" si="4"/>
        <v>0</v>
      </c>
      <c r="AV32" s="71">
        <f t="shared" si="4"/>
        <v>0</v>
      </c>
      <c r="AW32" s="83">
        <f t="shared" si="4"/>
        <v>0</v>
      </c>
      <c r="AX32" s="71">
        <f t="shared" si="4"/>
        <v>0</v>
      </c>
      <c r="AY32" s="83">
        <f t="shared" si="4"/>
        <v>0</v>
      </c>
      <c r="AZ32" s="71">
        <f t="shared" si="4"/>
        <v>0</v>
      </c>
      <c r="BA32" s="83">
        <f t="shared" si="4"/>
        <v>0</v>
      </c>
      <c r="BB32" s="71">
        <f t="shared" si="4"/>
        <v>0</v>
      </c>
      <c r="BC32" s="83">
        <f t="shared" si="4"/>
        <v>0</v>
      </c>
      <c r="BD32" s="71">
        <f t="shared" si="4"/>
        <v>0</v>
      </c>
      <c r="BE32" s="83">
        <f t="shared" si="4"/>
        <v>0</v>
      </c>
      <c r="BF32" s="71">
        <f t="shared" si="4"/>
        <v>0</v>
      </c>
      <c r="BG32" s="83">
        <f t="shared" si="4"/>
        <v>0</v>
      </c>
      <c r="BH32" s="71">
        <f t="shared" si="4"/>
        <v>0</v>
      </c>
      <c r="BI32" s="83">
        <f t="shared" si="4"/>
        <v>0</v>
      </c>
      <c r="BJ32" s="71">
        <f t="shared" si="4"/>
        <v>0</v>
      </c>
      <c r="BK32" s="83">
        <f t="shared" si="4"/>
        <v>0</v>
      </c>
      <c r="BL32" s="71">
        <f t="shared" si="4"/>
        <v>0</v>
      </c>
      <c r="BM32" s="83">
        <f t="shared" si="4"/>
        <v>0</v>
      </c>
      <c r="BN32" s="28">
        <f t="shared" si="1"/>
        <v>0</v>
      </c>
      <c r="BO32" s="29">
        <f t="shared" si="2"/>
        <v>62</v>
      </c>
    </row>
    <row r="33" spans="1:67" ht="16.5" customHeight="1" x14ac:dyDescent="0.35">
      <c r="A33" s="20">
        <f>SUM(BN34:BN52)</f>
        <v>0</v>
      </c>
      <c r="B33" s="685" t="s">
        <v>25</v>
      </c>
      <c r="C33" s="686"/>
      <c r="D33" s="79"/>
      <c r="E33" s="357"/>
      <c r="F33" s="79"/>
      <c r="G33" s="357"/>
      <c r="H33" s="79"/>
      <c r="I33" s="357"/>
      <c r="J33" s="79"/>
      <c r="K33" s="357"/>
      <c r="L33" s="71"/>
      <c r="M33" s="83"/>
      <c r="N33" s="71"/>
      <c r="O33" s="83"/>
      <c r="P33" s="71"/>
      <c r="Q33" s="83"/>
      <c r="R33" s="71"/>
      <c r="S33" s="83"/>
      <c r="T33" s="71"/>
      <c r="U33" s="83"/>
      <c r="V33" s="79"/>
      <c r="W33" s="357"/>
      <c r="X33" s="79"/>
      <c r="Y33" s="357"/>
      <c r="Z33" s="79"/>
      <c r="AA33" s="357"/>
      <c r="AB33" s="71"/>
      <c r="AC33" s="83"/>
      <c r="AD33" s="79"/>
      <c r="AE33" s="357"/>
      <c r="AF33" s="79"/>
      <c r="AG33" s="357"/>
      <c r="AH33" s="79"/>
      <c r="AI33" s="357"/>
      <c r="AJ33" s="79"/>
      <c r="AK33" s="357"/>
      <c r="AL33" s="79"/>
      <c r="AM33" s="357"/>
      <c r="AN33" s="79"/>
      <c r="AO33" s="357"/>
      <c r="AP33" s="71"/>
      <c r="AQ33" s="83"/>
      <c r="AR33" s="79"/>
      <c r="AS33" s="357"/>
      <c r="AT33" s="79"/>
      <c r="AU33" s="357"/>
      <c r="AV33" s="79"/>
      <c r="AW33" s="357"/>
      <c r="AX33" s="79"/>
      <c r="AY33" s="357"/>
      <c r="AZ33" s="79"/>
      <c r="BA33" s="357"/>
      <c r="BB33" s="79"/>
      <c r="BC33" s="357"/>
      <c r="BD33" s="71"/>
      <c r="BE33" s="83"/>
      <c r="BF33" s="79"/>
      <c r="BG33" s="357"/>
      <c r="BH33" s="79"/>
      <c r="BI33" s="357"/>
      <c r="BJ33" s="79"/>
      <c r="BK33" s="357"/>
      <c r="BL33" s="79"/>
      <c r="BM33" s="357"/>
      <c r="BN33" s="28">
        <f t="shared" si="1"/>
        <v>0</v>
      </c>
      <c r="BO33" s="29">
        <f t="shared" si="2"/>
        <v>0</v>
      </c>
    </row>
    <row r="34" spans="1:67" ht="16.5" customHeight="1" x14ac:dyDescent="0.35">
      <c r="A34" s="20"/>
      <c r="B34" s="683" t="s">
        <v>28</v>
      </c>
      <c r="C34" s="684"/>
      <c r="D34" s="79"/>
      <c r="E34" s="357"/>
      <c r="F34" s="79"/>
      <c r="G34" s="357"/>
      <c r="H34" s="79"/>
      <c r="I34" s="357"/>
      <c r="J34" s="79"/>
      <c r="K34" s="357"/>
      <c r="L34" s="71"/>
      <c r="M34" s="83"/>
      <c r="N34" s="71"/>
      <c r="O34" s="83"/>
      <c r="P34" s="71"/>
      <c r="Q34" s="83"/>
      <c r="R34" s="71"/>
      <c r="S34" s="83"/>
      <c r="T34" s="71"/>
      <c r="U34" s="83"/>
      <c r="V34" s="79"/>
      <c r="W34" s="357"/>
      <c r="X34" s="79"/>
      <c r="Y34" s="357"/>
      <c r="Z34" s="79"/>
      <c r="AA34" s="357"/>
      <c r="AB34" s="71"/>
      <c r="AC34" s="83"/>
      <c r="AD34" s="79"/>
      <c r="AE34" s="357"/>
      <c r="AF34" s="79"/>
      <c r="AG34" s="357"/>
      <c r="AH34" s="79"/>
      <c r="AI34" s="357"/>
      <c r="AJ34" s="79"/>
      <c r="AK34" s="357"/>
      <c r="AL34" s="79"/>
      <c r="AM34" s="357"/>
      <c r="AN34" s="79"/>
      <c r="AO34" s="357"/>
      <c r="AP34" s="71"/>
      <c r="AQ34" s="83"/>
      <c r="AR34" s="79"/>
      <c r="AS34" s="357"/>
      <c r="AT34" s="79"/>
      <c r="AU34" s="357"/>
      <c r="AV34" s="79"/>
      <c r="AW34" s="357"/>
      <c r="AX34" s="79"/>
      <c r="AY34" s="357"/>
      <c r="AZ34" s="79"/>
      <c r="BA34" s="357"/>
      <c r="BB34" s="79"/>
      <c r="BC34" s="357"/>
      <c r="BD34" s="71"/>
      <c r="BE34" s="83"/>
      <c r="BF34" s="79"/>
      <c r="BG34" s="357"/>
      <c r="BH34" s="79"/>
      <c r="BI34" s="357"/>
      <c r="BJ34" s="79"/>
      <c r="BK34" s="357"/>
      <c r="BL34" s="79"/>
      <c r="BM34" s="357"/>
      <c r="BN34" s="28">
        <f t="shared" si="1"/>
        <v>0</v>
      </c>
      <c r="BO34" s="29">
        <f t="shared" si="2"/>
        <v>0</v>
      </c>
    </row>
    <row r="35" spans="1:67" ht="15" customHeight="1" x14ac:dyDescent="0.35">
      <c r="A35" s="24"/>
      <c r="B35" s="683" t="s">
        <v>271</v>
      </c>
      <c r="C35" s="684"/>
      <c r="D35" s="79"/>
      <c r="E35" s="357"/>
      <c r="F35" s="79"/>
      <c r="G35" s="357"/>
      <c r="H35" s="79"/>
      <c r="I35" s="357"/>
      <c r="J35" s="79"/>
      <c r="K35" s="357"/>
      <c r="L35" s="71"/>
      <c r="M35" s="83"/>
      <c r="N35" s="71"/>
      <c r="O35" s="83"/>
      <c r="P35" s="71"/>
      <c r="Q35" s="83"/>
      <c r="R35" s="71"/>
      <c r="S35" s="83"/>
      <c r="T35" s="71"/>
      <c r="U35" s="83"/>
      <c r="V35" s="79"/>
      <c r="W35" s="357"/>
      <c r="X35" s="79"/>
      <c r="Y35" s="357"/>
      <c r="Z35" s="79"/>
      <c r="AA35" s="357"/>
      <c r="AB35" s="71"/>
      <c r="AC35" s="83"/>
      <c r="AD35" s="79"/>
      <c r="AE35" s="357"/>
      <c r="AF35" s="79"/>
      <c r="AG35" s="357"/>
      <c r="AH35" s="79"/>
      <c r="AI35" s="357"/>
      <c r="AJ35" s="79"/>
      <c r="AK35" s="357"/>
      <c r="AL35" s="79"/>
      <c r="AM35" s="357"/>
      <c r="AN35" s="79"/>
      <c r="AO35" s="357"/>
      <c r="AP35" s="71"/>
      <c r="AQ35" s="83"/>
      <c r="AR35" s="79"/>
      <c r="AS35" s="357"/>
      <c r="AT35" s="79"/>
      <c r="AU35" s="357"/>
      <c r="AV35" s="79"/>
      <c r="AW35" s="357"/>
      <c r="AX35" s="79"/>
      <c r="AY35" s="357"/>
      <c r="AZ35" s="79"/>
      <c r="BA35" s="357"/>
      <c r="BB35" s="79"/>
      <c r="BC35" s="357"/>
      <c r="BD35" s="71"/>
      <c r="BE35" s="83"/>
      <c r="BF35" s="79"/>
      <c r="BG35" s="357"/>
      <c r="BH35" s="79"/>
      <c r="BI35" s="357"/>
      <c r="BJ35" s="79"/>
      <c r="BK35" s="357"/>
      <c r="BL35" s="79"/>
      <c r="BM35" s="357"/>
      <c r="BN35" s="28">
        <f t="shared" si="1"/>
        <v>0</v>
      </c>
      <c r="BO35" s="29">
        <f t="shared" si="2"/>
        <v>0</v>
      </c>
    </row>
    <row r="36" spans="1:67" ht="15" customHeight="1" x14ac:dyDescent="0.35">
      <c r="A36" s="24"/>
      <c r="B36" s="683" t="s">
        <v>31</v>
      </c>
      <c r="C36" s="684"/>
      <c r="D36" s="79"/>
      <c r="E36" s="357"/>
      <c r="F36" s="79"/>
      <c r="G36" s="357"/>
      <c r="H36" s="79"/>
      <c r="I36" s="357"/>
      <c r="J36" s="79"/>
      <c r="K36" s="357"/>
      <c r="L36" s="71"/>
      <c r="M36" s="83"/>
      <c r="N36" s="71"/>
      <c r="O36" s="83"/>
      <c r="P36" s="71"/>
      <c r="Q36" s="83"/>
      <c r="R36" s="71"/>
      <c r="S36" s="83"/>
      <c r="T36" s="71"/>
      <c r="U36" s="83"/>
      <c r="V36" s="79"/>
      <c r="W36" s="357"/>
      <c r="X36" s="79"/>
      <c r="Y36" s="357"/>
      <c r="Z36" s="79"/>
      <c r="AA36" s="357"/>
      <c r="AB36" s="71"/>
      <c r="AC36" s="83"/>
      <c r="AD36" s="79"/>
      <c r="AE36" s="357"/>
      <c r="AF36" s="79"/>
      <c r="AG36" s="357"/>
      <c r="AH36" s="79"/>
      <c r="AI36" s="357"/>
      <c r="AJ36" s="79"/>
      <c r="AK36" s="357"/>
      <c r="AL36" s="79"/>
      <c r="AM36" s="357"/>
      <c r="AN36" s="79"/>
      <c r="AO36" s="357"/>
      <c r="AP36" s="71"/>
      <c r="AQ36" s="83"/>
      <c r="AR36" s="79"/>
      <c r="AS36" s="357"/>
      <c r="AT36" s="79"/>
      <c r="AU36" s="357"/>
      <c r="AV36" s="79"/>
      <c r="AW36" s="357"/>
      <c r="AX36" s="79"/>
      <c r="AY36" s="357"/>
      <c r="AZ36" s="79"/>
      <c r="BA36" s="357"/>
      <c r="BB36" s="79"/>
      <c r="BC36" s="357"/>
      <c r="BD36" s="71"/>
      <c r="BE36" s="83"/>
      <c r="BF36" s="79"/>
      <c r="BG36" s="357"/>
      <c r="BH36" s="79"/>
      <c r="BI36" s="357"/>
      <c r="BJ36" s="79"/>
      <c r="BK36" s="357"/>
      <c r="BL36" s="79"/>
      <c r="BM36" s="357"/>
      <c r="BN36" s="28">
        <f t="shared" si="1"/>
        <v>0</v>
      </c>
      <c r="BO36" s="29">
        <f t="shared" si="2"/>
        <v>0</v>
      </c>
    </row>
    <row r="37" spans="1:67" ht="15" customHeight="1" x14ac:dyDescent="0.35">
      <c r="A37" s="24"/>
      <c r="B37" s="683" t="s">
        <v>35</v>
      </c>
      <c r="C37" s="684"/>
      <c r="D37" s="79"/>
      <c r="E37" s="357"/>
      <c r="F37" s="79"/>
      <c r="G37" s="357"/>
      <c r="H37" s="79"/>
      <c r="I37" s="357"/>
      <c r="J37" s="79"/>
      <c r="K37" s="357"/>
      <c r="L37" s="71"/>
      <c r="M37" s="83"/>
      <c r="N37" s="71"/>
      <c r="O37" s="83"/>
      <c r="P37" s="71"/>
      <c r="Q37" s="83"/>
      <c r="R37" s="71"/>
      <c r="S37" s="83"/>
      <c r="T37" s="71"/>
      <c r="U37" s="83"/>
      <c r="V37" s="79"/>
      <c r="W37" s="357"/>
      <c r="X37" s="79"/>
      <c r="Y37" s="357"/>
      <c r="Z37" s="79"/>
      <c r="AA37" s="357"/>
      <c r="AB37" s="71"/>
      <c r="AC37" s="83"/>
      <c r="AD37" s="79"/>
      <c r="AE37" s="357"/>
      <c r="AF37" s="79"/>
      <c r="AG37" s="357"/>
      <c r="AH37" s="79"/>
      <c r="AI37" s="357"/>
      <c r="AJ37" s="79"/>
      <c r="AK37" s="357"/>
      <c r="AL37" s="79"/>
      <c r="AM37" s="357"/>
      <c r="AN37" s="79"/>
      <c r="AO37" s="357"/>
      <c r="AP37" s="71"/>
      <c r="AQ37" s="83"/>
      <c r="AR37" s="79"/>
      <c r="AS37" s="357"/>
      <c r="AT37" s="79"/>
      <c r="AU37" s="357"/>
      <c r="AV37" s="79"/>
      <c r="AW37" s="357"/>
      <c r="AX37" s="79"/>
      <c r="AY37" s="357"/>
      <c r="AZ37" s="79"/>
      <c r="BA37" s="357"/>
      <c r="BB37" s="79"/>
      <c r="BC37" s="357"/>
      <c r="BD37" s="71"/>
      <c r="BE37" s="83"/>
      <c r="BF37" s="79"/>
      <c r="BG37" s="357"/>
      <c r="BH37" s="79"/>
      <c r="BI37" s="357"/>
      <c r="BJ37" s="79"/>
      <c r="BK37" s="357"/>
      <c r="BL37" s="79"/>
      <c r="BM37" s="357"/>
      <c r="BN37" s="28">
        <f t="shared" si="1"/>
        <v>0</v>
      </c>
      <c r="BO37" s="29">
        <f t="shared" si="2"/>
        <v>0</v>
      </c>
    </row>
    <row r="38" spans="1:67" ht="15" customHeight="1" x14ac:dyDescent="0.35">
      <c r="A38" s="24"/>
      <c r="B38" s="683" t="s">
        <v>37</v>
      </c>
      <c r="C38" s="684"/>
      <c r="D38" s="79"/>
      <c r="E38" s="357"/>
      <c r="F38" s="79"/>
      <c r="G38" s="357"/>
      <c r="H38" s="79"/>
      <c r="I38" s="357"/>
      <c r="J38" s="79"/>
      <c r="K38" s="357"/>
      <c r="L38" s="71"/>
      <c r="M38" s="83"/>
      <c r="N38" s="71"/>
      <c r="O38" s="83"/>
      <c r="P38" s="71"/>
      <c r="Q38" s="83"/>
      <c r="R38" s="71"/>
      <c r="S38" s="83"/>
      <c r="T38" s="71"/>
      <c r="U38" s="83"/>
      <c r="V38" s="79"/>
      <c r="W38" s="357"/>
      <c r="X38" s="79"/>
      <c r="Y38" s="357"/>
      <c r="Z38" s="79"/>
      <c r="AA38" s="357"/>
      <c r="AB38" s="71"/>
      <c r="AC38" s="83"/>
      <c r="AD38" s="79"/>
      <c r="AE38" s="357"/>
      <c r="AF38" s="79"/>
      <c r="AG38" s="357"/>
      <c r="AH38" s="79"/>
      <c r="AI38" s="357"/>
      <c r="AJ38" s="79"/>
      <c r="AK38" s="357"/>
      <c r="AL38" s="79"/>
      <c r="AM38" s="357"/>
      <c r="AN38" s="79"/>
      <c r="AO38" s="357"/>
      <c r="AP38" s="71"/>
      <c r="AQ38" s="83"/>
      <c r="AR38" s="79"/>
      <c r="AS38" s="357"/>
      <c r="AT38" s="79"/>
      <c r="AU38" s="357"/>
      <c r="AV38" s="79"/>
      <c r="AW38" s="357"/>
      <c r="AX38" s="79"/>
      <c r="AY38" s="357"/>
      <c r="AZ38" s="79"/>
      <c r="BA38" s="357"/>
      <c r="BB38" s="79"/>
      <c r="BC38" s="357"/>
      <c r="BD38" s="71"/>
      <c r="BE38" s="83"/>
      <c r="BF38" s="79"/>
      <c r="BG38" s="357"/>
      <c r="BH38" s="79"/>
      <c r="BI38" s="357"/>
      <c r="BJ38" s="79"/>
      <c r="BK38" s="357"/>
      <c r="BL38" s="79"/>
      <c r="BM38" s="357"/>
      <c r="BN38" s="28">
        <f t="shared" si="1"/>
        <v>0</v>
      </c>
      <c r="BO38" s="29">
        <f t="shared" si="2"/>
        <v>0</v>
      </c>
    </row>
    <row r="39" spans="1:67" ht="15" customHeight="1" x14ac:dyDescent="0.35">
      <c r="A39" s="24"/>
      <c r="B39" s="683" t="s">
        <v>39</v>
      </c>
      <c r="C39" s="684"/>
      <c r="D39" s="79"/>
      <c r="E39" s="357"/>
      <c r="F39" s="79"/>
      <c r="G39" s="357"/>
      <c r="H39" s="79"/>
      <c r="I39" s="357"/>
      <c r="J39" s="79"/>
      <c r="K39" s="357"/>
      <c r="L39" s="71"/>
      <c r="M39" s="83"/>
      <c r="N39" s="71"/>
      <c r="O39" s="83"/>
      <c r="P39" s="71"/>
      <c r="Q39" s="83"/>
      <c r="R39" s="71"/>
      <c r="S39" s="83"/>
      <c r="T39" s="71"/>
      <c r="U39" s="83"/>
      <c r="V39" s="79"/>
      <c r="W39" s="357"/>
      <c r="X39" s="79"/>
      <c r="Y39" s="357"/>
      <c r="Z39" s="79"/>
      <c r="AA39" s="357"/>
      <c r="AB39" s="71"/>
      <c r="AC39" s="83"/>
      <c r="AD39" s="79"/>
      <c r="AE39" s="357"/>
      <c r="AF39" s="79"/>
      <c r="AG39" s="357"/>
      <c r="AH39" s="79"/>
      <c r="AI39" s="357"/>
      <c r="AJ39" s="79"/>
      <c r="AK39" s="357"/>
      <c r="AL39" s="79"/>
      <c r="AM39" s="357"/>
      <c r="AN39" s="79"/>
      <c r="AO39" s="357"/>
      <c r="AP39" s="71"/>
      <c r="AQ39" s="83"/>
      <c r="AR39" s="79"/>
      <c r="AS39" s="357"/>
      <c r="AT39" s="79"/>
      <c r="AU39" s="357"/>
      <c r="AV39" s="79"/>
      <c r="AW39" s="357"/>
      <c r="AX39" s="79"/>
      <c r="AY39" s="357"/>
      <c r="AZ39" s="79"/>
      <c r="BA39" s="357"/>
      <c r="BB39" s="79"/>
      <c r="BC39" s="357"/>
      <c r="BD39" s="71"/>
      <c r="BE39" s="83"/>
      <c r="BF39" s="79"/>
      <c r="BG39" s="357"/>
      <c r="BH39" s="79"/>
      <c r="BI39" s="357"/>
      <c r="BJ39" s="79"/>
      <c r="BK39" s="357"/>
      <c r="BL39" s="79"/>
      <c r="BM39" s="357"/>
      <c r="BN39" s="28">
        <f t="shared" si="1"/>
        <v>0</v>
      </c>
      <c r="BO39" s="29">
        <f t="shared" si="2"/>
        <v>0</v>
      </c>
    </row>
    <row r="40" spans="1:67" ht="15" customHeight="1" x14ac:dyDescent="0.35">
      <c r="A40" s="24"/>
      <c r="B40" s="683" t="s">
        <v>41</v>
      </c>
      <c r="C40" s="684"/>
      <c r="D40" s="79"/>
      <c r="E40" s="357"/>
      <c r="F40" s="79"/>
      <c r="G40" s="357"/>
      <c r="H40" s="79"/>
      <c r="I40" s="357"/>
      <c r="J40" s="79"/>
      <c r="K40" s="357"/>
      <c r="L40" s="71"/>
      <c r="M40" s="83"/>
      <c r="N40" s="71"/>
      <c r="O40" s="83"/>
      <c r="P40" s="71"/>
      <c r="Q40" s="83"/>
      <c r="R40" s="71"/>
      <c r="S40" s="83"/>
      <c r="T40" s="71"/>
      <c r="U40" s="83"/>
      <c r="V40" s="79"/>
      <c r="W40" s="357"/>
      <c r="X40" s="79"/>
      <c r="Y40" s="357"/>
      <c r="Z40" s="79"/>
      <c r="AA40" s="357"/>
      <c r="AB40" s="71"/>
      <c r="AC40" s="83"/>
      <c r="AD40" s="79"/>
      <c r="AE40" s="357"/>
      <c r="AF40" s="79"/>
      <c r="AG40" s="357"/>
      <c r="AH40" s="79"/>
      <c r="AI40" s="357"/>
      <c r="AJ40" s="79"/>
      <c r="AK40" s="357"/>
      <c r="AL40" s="79"/>
      <c r="AM40" s="357"/>
      <c r="AN40" s="79"/>
      <c r="AO40" s="357"/>
      <c r="AP40" s="71"/>
      <c r="AQ40" s="83"/>
      <c r="AR40" s="79"/>
      <c r="AS40" s="357"/>
      <c r="AT40" s="79"/>
      <c r="AU40" s="357"/>
      <c r="AV40" s="79"/>
      <c r="AW40" s="357"/>
      <c r="AX40" s="79"/>
      <c r="AY40" s="357"/>
      <c r="AZ40" s="79"/>
      <c r="BA40" s="357"/>
      <c r="BB40" s="79"/>
      <c r="BC40" s="357"/>
      <c r="BD40" s="71"/>
      <c r="BE40" s="83"/>
      <c r="BF40" s="79"/>
      <c r="BG40" s="357"/>
      <c r="BH40" s="79"/>
      <c r="BI40" s="357"/>
      <c r="BJ40" s="79"/>
      <c r="BK40" s="357"/>
      <c r="BL40" s="79"/>
      <c r="BM40" s="357"/>
      <c r="BN40" s="28">
        <f t="shared" si="1"/>
        <v>0</v>
      </c>
      <c r="BO40" s="29">
        <f t="shared" si="2"/>
        <v>0</v>
      </c>
    </row>
    <row r="41" spans="1:67" ht="15" customHeight="1" x14ac:dyDescent="0.35">
      <c r="A41" s="24"/>
      <c r="B41" s="683" t="s">
        <v>43</v>
      </c>
      <c r="C41" s="684"/>
      <c r="D41" s="79"/>
      <c r="E41" s="357"/>
      <c r="F41" s="79"/>
      <c r="G41" s="357"/>
      <c r="H41" s="79"/>
      <c r="I41" s="357"/>
      <c r="J41" s="79"/>
      <c r="K41" s="357"/>
      <c r="L41" s="71"/>
      <c r="M41" s="83"/>
      <c r="N41" s="71"/>
      <c r="O41" s="83"/>
      <c r="P41" s="71"/>
      <c r="Q41" s="83"/>
      <c r="R41" s="71"/>
      <c r="S41" s="83"/>
      <c r="T41" s="71"/>
      <c r="U41" s="83"/>
      <c r="V41" s="79"/>
      <c r="W41" s="357"/>
      <c r="X41" s="79"/>
      <c r="Y41" s="357"/>
      <c r="Z41" s="79"/>
      <c r="AA41" s="357"/>
      <c r="AB41" s="71"/>
      <c r="AC41" s="83"/>
      <c r="AD41" s="79"/>
      <c r="AE41" s="357"/>
      <c r="AF41" s="79"/>
      <c r="AG41" s="357"/>
      <c r="AH41" s="79"/>
      <c r="AI41" s="357"/>
      <c r="AJ41" s="79"/>
      <c r="AK41" s="357"/>
      <c r="AL41" s="79"/>
      <c r="AM41" s="357"/>
      <c r="AN41" s="79"/>
      <c r="AO41" s="357"/>
      <c r="AP41" s="71"/>
      <c r="AQ41" s="83"/>
      <c r="AR41" s="79"/>
      <c r="AS41" s="357"/>
      <c r="AT41" s="79"/>
      <c r="AU41" s="357"/>
      <c r="AV41" s="79"/>
      <c r="AW41" s="357"/>
      <c r="AX41" s="79"/>
      <c r="AY41" s="357"/>
      <c r="AZ41" s="79"/>
      <c r="BA41" s="357"/>
      <c r="BB41" s="79"/>
      <c r="BC41" s="357"/>
      <c r="BD41" s="71"/>
      <c r="BE41" s="83"/>
      <c r="BF41" s="79"/>
      <c r="BG41" s="357"/>
      <c r="BH41" s="79"/>
      <c r="BI41" s="357"/>
      <c r="BJ41" s="79"/>
      <c r="BK41" s="357"/>
      <c r="BL41" s="79"/>
      <c r="BM41" s="357"/>
      <c r="BN41" s="28">
        <f t="shared" si="1"/>
        <v>0</v>
      </c>
      <c r="BO41" s="29">
        <f t="shared" si="2"/>
        <v>0</v>
      </c>
    </row>
    <row r="42" spans="1:67" ht="15" customHeight="1" x14ac:dyDescent="0.35">
      <c r="A42" s="24"/>
      <c r="B42" s="683" t="s">
        <v>111</v>
      </c>
      <c r="C42" s="684"/>
      <c r="D42" s="79"/>
      <c r="E42" s="357"/>
      <c r="F42" s="79"/>
      <c r="G42" s="357"/>
      <c r="H42" s="79"/>
      <c r="I42" s="357"/>
      <c r="J42" s="79"/>
      <c r="K42" s="357"/>
      <c r="L42" s="71"/>
      <c r="M42" s="83"/>
      <c r="N42" s="71"/>
      <c r="O42" s="83"/>
      <c r="P42" s="71"/>
      <c r="Q42" s="83"/>
      <c r="R42" s="71"/>
      <c r="S42" s="83"/>
      <c r="T42" s="71"/>
      <c r="U42" s="83"/>
      <c r="V42" s="79"/>
      <c r="W42" s="357"/>
      <c r="X42" s="79"/>
      <c r="Y42" s="357"/>
      <c r="Z42" s="79"/>
      <c r="AA42" s="357"/>
      <c r="AB42" s="71"/>
      <c r="AC42" s="83"/>
      <c r="AD42" s="79"/>
      <c r="AE42" s="357"/>
      <c r="AF42" s="79"/>
      <c r="AG42" s="357"/>
      <c r="AH42" s="79"/>
      <c r="AI42" s="357"/>
      <c r="AJ42" s="79"/>
      <c r="AK42" s="357"/>
      <c r="AL42" s="79"/>
      <c r="AM42" s="357"/>
      <c r="AN42" s="79"/>
      <c r="AO42" s="357"/>
      <c r="AP42" s="71"/>
      <c r="AQ42" s="83"/>
      <c r="AR42" s="79"/>
      <c r="AS42" s="357"/>
      <c r="AT42" s="79"/>
      <c r="AU42" s="357"/>
      <c r="AV42" s="79"/>
      <c r="AW42" s="357"/>
      <c r="AX42" s="79"/>
      <c r="AY42" s="357"/>
      <c r="AZ42" s="79"/>
      <c r="BA42" s="357"/>
      <c r="BB42" s="79"/>
      <c r="BC42" s="357"/>
      <c r="BD42" s="71"/>
      <c r="BE42" s="83"/>
      <c r="BF42" s="79"/>
      <c r="BG42" s="357"/>
      <c r="BH42" s="79"/>
      <c r="BI42" s="357"/>
      <c r="BJ42" s="79"/>
      <c r="BK42" s="357"/>
      <c r="BL42" s="79"/>
      <c r="BM42" s="357"/>
      <c r="BN42" s="28">
        <f t="shared" si="1"/>
        <v>0</v>
      </c>
      <c r="BO42" s="29">
        <f t="shared" si="2"/>
        <v>0</v>
      </c>
    </row>
    <row r="43" spans="1:67" ht="15" customHeight="1" x14ac:dyDescent="0.35">
      <c r="A43" s="24"/>
      <c r="B43" s="683" t="s">
        <v>272</v>
      </c>
      <c r="C43" s="684"/>
      <c r="D43" s="79"/>
      <c r="E43" s="357"/>
      <c r="F43" s="79"/>
      <c r="G43" s="357"/>
      <c r="H43" s="79"/>
      <c r="I43" s="357"/>
      <c r="J43" s="79"/>
      <c r="K43" s="357"/>
      <c r="L43" s="71"/>
      <c r="M43" s="83"/>
      <c r="N43" s="71"/>
      <c r="O43" s="83"/>
      <c r="P43" s="71"/>
      <c r="Q43" s="83"/>
      <c r="R43" s="71"/>
      <c r="S43" s="83"/>
      <c r="T43" s="71"/>
      <c r="U43" s="83"/>
      <c r="V43" s="79"/>
      <c r="W43" s="357"/>
      <c r="X43" s="79"/>
      <c r="Y43" s="357"/>
      <c r="Z43" s="79"/>
      <c r="AA43" s="357"/>
      <c r="AB43" s="71"/>
      <c r="AC43" s="83"/>
      <c r="AD43" s="79"/>
      <c r="AE43" s="357"/>
      <c r="AF43" s="79"/>
      <c r="AG43" s="357"/>
      <c r="AH43" s="79"/>
      <c r="AI43" s="357"/>
      <c r="AJ43" s="79"/>
      <c r="AK43" s="357"/>
      <c r="AL43" s="79"/>
      <c r="AM43" s="357"/>
      <c r="AN43" s="79"/>
      <c r="AO43" s="357"/>
      <c r="AP43" s="71"/>
      <c r="AQ43" s="83"/>
      <c r="AR43" s="79"/>
      <c r="AS43" s="357"/>
      <c r="AT43" s="79"/>
      <c r="AU43" s="357"/>
      <c r="AV43" s="79"/>
      <c r="AW43" s="357"/>
      <c r="AX43" s="79"/>
      <c r="AY43" s="357"/>
      <c r="AZ43" s="79"/>
      <c r="BA43" s="357"/>
      <c r="BB43" s="79"/>
      <c r="BC43" s="357"/>
      <c r="BD43" s="71"/>
      <c r="BE43" s="83"/>
      <c r="BF43" s="79"/>
      <c r="BG43" s="357"/>
      <c r="BH43" s="79"/>
      <c r="BI43" s="357"/>
      <c r="BJ43" s="79"/>
      <c r="BK43" s="357"/>
      <c r="BL43" s="79"/>
      <c r="BM43" s="357"/>
      <c r="BN43" s="28">
        <f t="shared" si="1"/>
        <v>0</v>
      </c>
      <c r="BO43" s="29">
        <f t="shared" si="2"/>
        <v>0</v>
      </c>
    </row>
    <row r="44" spans="1:67" ht="15" customHeight="1" x14ac:dyDescent="0.35">
      <c r="A44" s="24"/>
      <c r="B44" s="683" t="s">
        <v>273</v>
      </c>
      <c r="C44" s="684"/>
      <c r="D44" s="79"/>
      <c r="E44" s="357"/>
      <c r="F44" s="79"/>
      <c r="G44" s="357"/>
      <c r="H44" s="79"/>
      <c r="I44" s="357"/>
      <c r="J44" s="79"/>
      <c r="K44" s="357"/>
      <c r="L44" s="71"/>
      <c r="M44" s="83"/>
      <c r="N44" s="71"/>
      <c r="O44" s="83"/>
      <c r="P44" s="71"/>
      <c r="Q44" s="83"/>
      <c r="R44" s="71"/>
      <c r="S44" s="83"/>
      <c r="T44" s="71"/>
      <c r="U44" s="83"/>
      <c r="V44" s="79"/>
      <c r="W44" s="357"/>
      <c r="X44" s="79"/>
      <c r="Y44" s="357"/>
      <c r="Z44" s="79"/>
      <c r="AA44" s="357"/>
      <c r="AB44" s="71"/>
      <c r="AC44" s="83"/>
      <c r="AD44" s="79"/>
      <c r="AE44" s="357"/>
      <c r="AF44" s="79"/>
      <c r="AG44" s="357"/>
      <c r="AH44" s="79"/>
      <c r="AI44" s="357"/>
      <c r="AJ44" s="79"/>
      <c r="AK44" s="357"/>
      <c r="AL44" s="79"/>
      <c r="AM44" s="357"/>
      <c r="AN44" s="79"/>
      <c r="AO44" s="357"/>
      <c r="AP44" s="71"/>
      <c r="AQ44" s="83"/>
      <c r="AR44" s="79"/>
      <c r="AS44" s="357"/>
      <c r="AT44" s="79"/>
      <c r="AU44" s="357"/>
      <c r="AV44" s="79"/>
      <c r="AW44" s="357"/>
      <c r="AX44" s="79"/>
      <c r="AY44" s="357"/>
      <c r="AZ44" s="79"/>
      <c r="BA44" s="357"/>
      <c r="BB44" s="79"/>
      <c r="BC44" s="357"/>
      <c r="BD44" s="71"/>
      <c r="BE44" s="83"/>
      <c r="BF44" s="79"/>
      <c r="BG44" s="357"/>
      <c r="BH44" s="79"/>
      <c r="BI44" s="357"/>
      <c r="BJ44" s="79"/>
      <c r="BK44" s="357"/>
      <c r="BL44" s="79"/>
      <c r="BM44" s="357"/>
      <c r="BN44" s="28">
        <f t="shared" si="1"/>
        <v>0</v>
      </c>
      <c r="BO44" s="29">
        <f t="shared" si="2"/>
        <v>0</v>
      </c>
    </row>
    <row r="45" spans="1:67" ht="15" customHeight="1" x14ac:dyDescent="0.35">
      <c r="A45" s="24"/>
      <c r="B45" s="683" t="s">
        <v>52</v>
      </c>
      <c r="C45" s="684"/>
      <c r="D45" s="79"/>
      <c r="E45" s="357"/>
      <c r="F45" s="79"/>
      <c r="G45" s="357"/>
      <c r="H45" s="79"/>
      <c r="I45" s="357"/>
      <c r="J45" s="79"/>
      <c r="K45" s="357"/>
      <c r="L45" s="71"/>
      <c r="M45" s="83"/>
      <c r="N45" s="71"/>
      <c r="O45" s="83"/>
      <c r="P45" s="71"/>
      <c r="Q45" s="83"/>
      <c r="R45" s="71"/>
      <c r="S45" s="83"/>
      <c r="T45" s="71"/>
      <c r="U45" s="83"/>
      <c r="V45" s="79"/>
      <c r="W45" s="357"/>
      <c r="X45" s="79"/>
      <c r="Y45" s="357"/>
      <c r="Z45" s="79"/>
      <c r="AA45" s="357"/>
      <c r="AB45" s="71"/>
      <c r="AC45" s="83"/>
      <c r="AD45" s="79"/>
      <c r="AE45" s="357"/>
      <c r="AF45" s="79"/>
      <c r="AG45" s="357"/>
      <c r="AH45" s="79"/>
      <c r="AI45" s="357"/>
      <c r="AJ45" s="79"/>
      <c r="AK45" s="357"/>
      <c r="AL45" s="79"/>
      <c r="AM45" s="357"/>
      <c r="AN45" s="79"/>
      <c r="AO45" s="357"/>
      <c r="AP45" s="71"/>
      <c r="AQ45" s="83"/>
      <c r="AR45" s="79"/>
      <c r="AS45" s="357"/>
      <c r="AT45" s="79"/>
      <c r="AU45" s="357"/>
      <c r="AV45" s="79"/>
      <c r="AW45" s="357"/>
      <c r="AX45" s="79"/>
      <c r="AY45" s="357"/>
      <c r="AZ45" s="79"/>
      <c r="BA45" s="357"/>
      <c r="BB45" s="79"/>
      <c r="BC45" s="357"/>
      <c r="BD45" s="71"/>
      <c r="BE45" s="83"/>
      <c r="BF45" s="79"/>
      <c r="BG45" s="357"/>
      <c r="BH45" s="79"/>
      <c r="BI45" s="357"/>
      <c r="BJ45" s="79"/>
      <c r="BK45" s="357"/>
      <c r="BL45" s="79"/>
      <c r="BM45" s="357"/>
      <c r="BN45" s="28">
        <f t="shared" si="1"/>
        <v>0</v>
      </c>
      <c r="BO45" s="29">
        <f t="shared" si="2"/>
        <v>0</v>
      </c>
    </row>
    <row r="46" spans="1:67" ht="15" customHeight="1" x14ac:dyDescent="0.35">
      <c r="A46" s="24"/>
      <c r="B46" s="683" t="s">
        <v>54</v>
      </c>
      <c r="C46" s="684"/>
      <c r="D46" s="79"/>
      <c r="E46" s="357"/>
      <c r="F46" s="79"/>
      <c r="G46" s="357"/>
      <c r="H46" s="79"/>
      <c r="I46" s="357"/>
      <c r="J46" s="79"/>
      <c r="K46" s="357"/>
      <c r="L46" s="71"/>
      <c r="M46" s="83"/>
      <c r="N46" s="71"/>
      <c r="O46" s="83"/>
      <c r="P46" s="71"/>
      <c r="Q46" s="83"/>
      <c r="R46" s="71"/>
      <c r="S46" s="83"/>
      <c r="T46" s="71"/>
      <c r="U46" s="83"/>
      <c r="V46" s="79"/>
      <c r="W46" s="357"/>
      <c r="X46" s="79"/>
      <c r="Y46" s="357"/>
      <c r="Z46" s="79"/>
      <c r="AA46" s="357"/>
      <c r="AB46" s="71"/>
      <c r="AC46" s="83"/>
      <c r="AD46" s="79"/>
      <c r="AE46" s="357"/>
      <c r="AF46" s="79"/>
      <c r="AG46" s="357"/>
      <c r="AH46" s="79"/>
      <c r="AI46" s="357"/>
      <c r="AJ46" s="79"/>
      <c r="AK46" s="357"/>
      <c r="AL46" s="79"/>
      <c r="AM46" s="357"/>
      <c r="AN46" s="79"/>
      <c r="AO46" s="357"/>
      <c r="AP46" s="71"/>
      <c r="AQ46" s="83"/>
      <c r="AR46" s="79"/>
      <c r="AS46" s="357"/>
      <c r="AT46" s="79"/>
      <c r="AU46" s="357"/>
      <c r="AV46" s="79"/>
      <c r="AW46" s="357"/>
      <c r="AX46" s="79"/>
      <c r="AY46" s="357"/>
      <c r="AZ46" s="79"/>
      <c r="BA46" s="357"/>
      <c r="BB46" s="79"/>
      <c r="BC46" s="357"/>
      <c r="BD46" s="71"/>
      <c r="BE46" s="83"/>
      <c r="BF46" s="79"/>
      <c r="BG46" s="357"/>
      <c r="BH46" s="79"/>
      <c r="BI46" s="357"/>
      <c r="BJ46" s="79"/>
      <c r="BK46" s="357"/>
      <c r="BL46" s="79"/>
      <c r="BM46" s="357"/>
      <c r="BN46" s="28">
        <f t="shared" si="1"/>
        <v>0</v>
      </c>
      <c r="BO46" s="29">
        <f t="shared" si="2"/>
        <v>0</v>
      </c>
    </row>
    <row r="47" spans="1:67" ht="15" customHeight="1" x14ac:dyDescent="0.35">
      <c r="A47" s="24"/>
      <c r="B47" s="683" t="s">
        <v>56</v>
      </c>
      <c r="C47" s="684"/>
      <c r="D47" s="79"/>
      <c r="E47" s="357"/>
      <c r="F47" s="79"/>
      <c r="G47" s="357"/>
      <c r="H47" s="79"/>
      <c r="I47" s="357"/>
      <c r="J47" s="79"/>
      <c r="K47" s="357"/>
      <c r="L47" s="71"/>
      <c r="M47" s="83"/>
      <c r="N47" s="71"/>
      <c r="O47" s="83"/>
      <c r="P47" s="71"/>
      <c r="Q47" s="83"/>
      <c r="R47" s="71"/>
      <c r="S47" s="83"/>
      <c r="T47" s="71"/>
      <c r="U47" s="83"/>
      <c r="V47" s="79"/>
      <c r="W47" s="357"/>
      <c r="X47" s="79"/>
      <c r="Y47" s="357"/>
      <c r="Z47" s="79"/>
      <c r="AA47" s="357"/>
      <c r="AB47" s="71"/>
      <c r="AC47" s="83"/>
      <c r="AD47" s="79"/>
      <c r="AE47" s="357"/>
      <c r="AF47" s="79"/>
      <c r="AG47" s="357"/>
      <c r="AH47" s="79"/>
      <c r="AI47" s="357"/>
      <c r="AJ47" s="79"/>
      <c r="AK47" s="357"/>
      <c r="AL47" s="79"/>
      <c r="AM47" s="357"/>
      <c r="AN47" s="79"/>
      <c r="AO47" s="357"/>
      <c r="AP47" s="71"/>
      <c r="AQ47" s="83"/>
      <c r="AR47" s="79"/>
      <c r="AS47" s="357"/>
      <c r="AT47" s="79"/>
      <c r="AU47" s="357"/>
      <c r="AV47" s="79"/>
      <c r="AW47" s="357"/>
      <c r="AX47" s="79"/>
      <c r="AY47" s="357"/>
      <c r="AZ47" s="79"/>
      <c r="BA47" s="357"/>
      <c r="BB47" s="79"/>
      <c r="BC47" s="357"/>
      <c r="BD47" s="71"/>
      <c r="BE47" s="83"/>
      <c r="BF47" s="79"/>
      <c r="BG47" s="357"/>
      <c r="BH47" s="79"/>
      <c r="BI47" s="357"/>
      <c r="BJ47" s="79"/>
      <c r="BK47" s="357"/>
      <c r="BL47" s="79"/>
      <c r="BM47" s="357"/>
      <c r="BN47" s="28">
        <f t="shared" si="1"/>
        <v>0</v>
      </c>
      <c r="BO47" s="29">
        <f t="shared" si="2"/>
        <v>0</v>
      </c>
    </row>
    <row r="48" spans="1:67" ht="15" customHeight="1" x14ac:dyDescent="0.35">
      <c r="A48" s="24"/>
      <c r="B48" s="683" t="s">
        <v>58</v>
      </c>
      <c r="C48" s="684"/>
      <c r="D48" s="79"/>
      <c r="E48" s="357"/>
      <c r="F48" s="79"/>
      <c r="G48" s="357"/>
      <c r="H48" s="79"/>
      <c r="I48" s="357"/>
      <c r="J48" s="79"/>
      <c r="K48" s="357"/>
      <c r="L48" s="71"/>
      <c r="M48" s="83"/>
      <c r="N48" s="71"/>
      <c r="O48" s="83"/>
      <c r="P48" s="71"/>
      <c r="Q48" s="83"/>
      <c r="R48" s="71"/>
      <c r="S48" s="83"/>
      <c r="T48" s="71"/>
      <c r="U48" s="83"/>
      <c r="V48" s="79"/>
      <c r="W48" s="357"/>
      <c r="X48" s="79"/>
      <c r="Y48" s="357"/>
      <c r="Z48" s="79"/>
      <c r="AA48" s="357"/>
      <c r="AB48" s="71"/>
      <c r="AC48" s="83"/>
      <c r="AD48" s="79"/>
      <c r="AE48" s="357"/>
      <c r="AF48" s="79"/>
      <c r="AG48" s="357"/>
      <c r="AH48" s="79"/>
      <c r="AI48" s="357"/>
      <c r="AJ48" s="79"/>
      <c r="AK48" s="357"/>
      <c r="AL48" s="79"/>
      <c r="AM48" s="357"/>
      <c r="AN48" s="79"/>
      <c r="AO48" s="357"/>
      <c r="AP48" s="71"/>
      <c r="AQ48" s="83"/>
      <c r="AR48" s="79"/>
      <c r="AS48" s="357"/>
      <c r="AT48" s="79"/>
      <c r="AU48" s="357"/>
      <c r="AV48" s="79"/>
      <c r="AW48" s="357"/>
      <c r="AX48" s="79"/>
      <c r="AY48" s="357"/>
      <c r="AZ48" s="79"/>
      <c r="BA48" s="357"/>
      <c r="BB48" s="79"/>
      <c r="BC48" s="357"/>
      <c r="BD48" s="71"/>
      <c r="BE48" s="83"/>
      <c r="BF48" s="79"/>
      <c r="BG48" s="357"/>
      <c r="BH48" s="79"/>
      <c r="BI48" s="357"/>
      <c r="BJ48" s="79"/>
      <c r="BK48" s="357"/>
      <c r="BL48" s="79"/>
      <c r="BM48" s="357"/>
      <c r="BN48" s="28">
        <f t="shared" si="1"/>
        <v>0</v>
      </c>
      <c r="BO48" s="29">
        <f t="shared" si="2"/>
        <v>0</v>
      </c>
    </row>
    <row r="49" spans="1:67" ht="15" customHeight="1" x14ac:dyDescent="0.35">
      <c r="A49" s="24"/>
      <c r="B49" s="683" t="s">
        <v>60</v>
      </c>
      <c r="C49" s="684"/>
      <c r="D49" s="79"/>
      <c r="E49" s="357"/>
      <c r="F49" s="79"/>
      <c r="G49" s="357"/>
      <c r="H49" s="79"/>
      <c r="I49" s="357"/>
      <c r="J49" s="79"/>
      <c r="K49" s="357"/>
      <c r="L49" s="71"/>
      <c r="M49" s="83"/>
      <c r="N49" s="71"/>
      <c r="O49" s="83"/>
      <c r="P49" s="71"/>
      <c r="Q49" s="83"/>
      <c r="R49" s="71"/>
      <c r="S49" s="83"/>
      <c r="T49" s="71"/>
      <c r="U49" s="83"/>
      <c r="V49" s="79"/>
      <c r="W49" s="357"/>
      <c r="X49" s="79"/>
      <c r="Y49" s="357"/>
      <c r="Z49" s="79"/>
      <c r="AA49" s="357"/>
      <c r="AB49" s="71"/>
      <c r="AC49" s="83"/>
      <c r="AD49" s="79"/>
      <c r="AE49" s="357"/>
      <c r="AF49" s="79"/>
      <c r="AG49" s="357"/>
      <c r="AH49" s="79"/>
      <c r="AI49" s="357"/>
      <c r="AJ49" s="79"/>
      <c r="AK49" s="357"/>
      <c r="AL49" s="79"/>
      <c r="AM49" s="357"/>
      <c r="AN49" s="79"/>
      <c r="AO49" s="357"/>
      <c r="AP49" s="71"/>
      <c r="AQ49" s="83"/>
      <c r="AR49" s="79"/>
      <c r="AS49" s="357"/>
      <c r="AT49" s="79"/>
      <c r="AU49" s="357"/>
      <c r="AV49" s="79"/>
      <c r="AW49" s="357"/>
      <c r="AX49" s="79"/>
      <c r="AY49" s="357"/>
      <c r="AZ49" s="79"/>
      <c r="BA49" s="357"/>
      <c r="BB49" s="79"/>
      <c r="BC49" s="357"/>
      <c r="BD49" s="71"/>
      <c r="BE49" s="83"/>
      <c r="BF49" s="79"/>
      <c r="BG49" s="357"/>
      <c r="BH49" s="79"/>
      <c r="BI49" s="357"/>
      <c r="BJ49" s="79"/>
      <c r="BK49" s="357"/>
      <c r="BL49" s="79"/>
      <c r="BM49" s="357"/>
      <c r="BN49" s="28">
        <f t="shared" si="1"/>
        <v>0</v>
      </c>
      <c r="BO49" s="29">
        <f t="shared" si="2"/>
        <v>0</v>
      </c>
    </row>
    <row r="50" spans="1:67" ht="15" customHeight="1" x14ac:dyDescent="0.35">
      <c r="A50" s="24"/>
      <c r="B50" s="683" t="s">
        <v>62</v>
      </c>
      <c r="C50" s="684"/>
      <c r="D50" s="79"/>
      <c r="E50" s="357"/>
      <c r="F50" s="79"/>
      <c r="G50" s="357"/>
      <c r="H50" s="79"/>
      <c r="I50" s="357"/>
      <c r="J50" s="79"/>
      <c r="K50" s="357"/>
      <c r="L50" s="71"/>
      <c r="M50" s="83"/>
      <c r="N50" s="71"/>
      <c r="O50" s="83"/>
      <c r="P50" s="71"/>
      <c r="Q50" s="83"/>
      <c r="R50" s="71"/>
      <c r="S50" s="83"/>
      <c r="T50" s="71"/>
      <c r="U50" s="83"/>
      <c r="V50" s="79"/>
      <c r="W50" s="357"/>
      <c r="X50" s="79"/>
      <c r="Y50" s="357"/>
      <c r="Z50" s="79"/>
      <c r="AA50" s="357"/>
      <c r="AB50" s="71"/>
      <c r="AC50" s="83"/>
      <c r="AD50" s="79"/>
      <c r="AE50" s="357"/>
      <c r="AF50" s="79"/>
      <c r="AG50" s="357"/>
      <c r="AH50" s="79"/>
      <c r="AI50" s="357"/>
      <c r="AJ50" s="79"/>
      <c r="AK50" s="357"/>
      <c r="AL50" s="79"/>
      <c r="AM50" s="357"/>
      <c r="AN50" s="79"/>
      <c r="AO50" s="357"/>
      <c r="AP50" s="71"/>
      <c r="AQ50" s="83"/>
      <c r="AR50" s="79"/>
      <c r="AS50" s="357"/>
      <c r="AT50" s="79"/>
      <c r="AU50" s="357"/>
      <c r="AV50" s="79"/>
      <c r="AW50" s="357"/>
      <c r="AX50" s="79"/>
      <c r="AY50" s="357"/>
      <c r="AZ50" s="79"/>
      <c r="BA50" s="357"/>
      <c r="BB50" s="79"/>
      <c r="BC50" s="357"/>
      <c r="BD50" s="71"/>
      <c r="BE50" s="83"/>
      <c r="BF50" s="79"/>
      <c r="BG50" s="357"/>
      <c r="BH50" s="79"/>
      <c r="BI50" s="357"/>
      <c r="BJ50" s="79"/>
      <c r="BK50" s="357"/>
      <c r="BL50" s="79"/>
      <c r="BM50" s="357"/>
      <c r="BN50" s="28">
        <f t="shared" si="1"/>
        <v>0</v>
      </c>
      <c r="BO50" s="29">
        <f t="shared" si="2"/>
        <v>0</v>
      </c>
    </row>
    <row r="51" spans="1:67" ht="15" customHeight="1" x14ac:dyDescent="0.35">
      <c r="A51" s="24"/>
      <c r="B51" s="683" t="s">
        <v>274</v>
      </c>
      <c r="C51" s="684"/>
      <c r="D51" s="79"/>
      <c r="E51" s="357"/>
      <c r="F51" s="79"/>
      <c r="G51" s="357"/>
      <c r="H51" s="79"/>
      <c r="I51" s="357"/>
      <c r="J51" s="79"/>
      <c r="K51" s="357"/>
      <c r="L51" s="71"/>
      <c r="M51" s="83"/>
      <c r="N51" s="71"/>
      <c r="O51" s="83"/>
      <c r="P51" s="71"/>
      <c r="Q51" s="83"/>
      <c r="R51" s="71"/>
      <c r="S51" s="83"/>
      <c r="T51" s="71"/>
      <c r="U51" s="83"/>
      <c r="V51" s="79"/>
      <c r="W51" s="357"/>
      <c r="X51" s="79"/>
      <c r="Y51" s="357"/>
      <c r="Z51" s="79"/>
      <c r="AA51" s="357"/>
      <c r="AB51" s="71"/>
      <c r="AC51" s="83"/>
      <c r="AD51" s="79"/>
      <c r="AE51" s="357"/>
      <c r="AF51" s="79"/>
      <c r="AG51" s="357"/>
      <c r="AH51" s="79"/>
      <c r="AI51" s="357"/>
      <c r="AJ51" s="79"/>
      <c r="AK51" s="357"/>
      <c r="AL51" s="79"/>
      <c r="AM51" s="357"/>
      <c r="AN51" s="79"/>
      <c r="AO51" s="357"/>
      <c r="AP51" s="71"/>
      <c r="AQ51" s="83"/>
      <c r="AR51" s="79"/>
      <c r="AS51" s="357"/>
      <c r="AT51" s="79"/>
      <c r="AU51" s="357"/>
      <c r="AV51" s="79"/>
      <c r="AW51" s="357"/>
      <c r="AX51" s="79"/>
      <c r="AY51" s="357"/>
      <c r="AZ51" s="79"/>
      <c r="BA51" s="357"/>
      <c r="BB51" s="79"/>
      <c r="BC51" s="357"/>
      <c r="BD51" s="71"/>
      <c r="BE51" s="83"/>
      <c r="BF51" s="79"/>
      <c r="BG51" s="357"/>
      <c r="BH51" s="79"/>
      <c r="BI51" s="357"/>
      <c r="BJ51" s="79"/>
      <c r="BK51" s="357"/>
      <c r="BL51" s="79"/>
      <c r="BM51" s="357"/>
      <c r="BN51" s="28">
        <f t="shared" si="1"/>
        <v>0</v>
      </c>
      <c r="BO51" s="29">
        <f t="shared" si="2"/>
        <v>0</v>
      </c>
    </row>
    <row r="52" spans="1:67" ht="15" customHeight="1" x14ac:dyDescent="0.35">
      <c r="A52" s="24"/>
      <c r="B52" s="683" t="s">
        <v>68</v>
      </c>
      <c r="C52" s="684"/>
      <c r="D52" s="79"/>
      <c r="E52" s="357"/>
      <c r="F52" s="79"/>
      <c r="G52" s="357"/>
      <c r="H52" s="79"/>
      <c r="I52" s="357"/>
      <c r="J52" s="79"/>
      <c r="K52" s="357"/>
      <c r="L52" s="71"/>
      <c r="M52" s="83"/>
      <c r="N52" s="71"/>
      <c r="O52" s="83"/>
      <c r="P52" s="71"/>
      <c r="Q52" s="83"/>
      <c r="R52" s="71"/>
      <c r="S52" s="83"/>
      <c r="T52" s="71"/>
      <c r="U52" s="83"/>
      <c r="V52" s="79"/>
      <c r="W52" s="357"/>
      <c r="X52" s="79"/>
      <c r="Y52" s="357"/>
      <c r="Z52" s="79"/>
      <c r="AA52" s="357"/>
      <c r="AB52" s="71"/>
      <c r="AC52" s="83"/>
      <c r="AD52" s="79"/>
      <c r="AE52" s="357"/>
      <c r="AF52" s="79"/>
      <c r="AG52" s="357"/>
      <c r="AH52" s="79"/>
      <c r="AI52" s="357"/>
      <c r="AJ52" s="79"/>
      <c r="AK52" s="357"/>
      <c r="AL52" s="79"/>
      <c r="AM52" s="357"/>
      <c r="AN52" s="79"/>
      <c r="AO52" s="357"/>
      <c r="AP52" s="71"/>
      <c r="AQ52" s="83"/>
      <c r="AR52" s="79"/>
      <c r="AS52" s="357"/>
      <c r="AT52" s="79"/>
      <c r="AU52" s="357"/>
      <c r="AV52" s="79"/>
      <c r="AW52" s="357"/>
      <c r="AX52" s="79"/>
      <c r="AY52" s="357"/>
      <c r="AZ52" s="79"/>
      <c r="BA52" s="357"/>
      <c r="BB52" s="79"/>
      <c r="BC52" s="357"/>
      <c r="BD52" s="71"/>
      <c r="BE52" s="83"/>
      <c r="BF52" s="79"/>
      <c r="BG52" s="357"/>
      <c r="BH52" s="79"/>
      <c r="BI52" s="357"/>
      <c r="BJ52" s="79"/>
      <c r="BK52" s="357"/>
      <c r="BL52" s="79"/>
      <c r="BM52" s="357"/>
      <c r="BN52" s="28">
        <f t="shared" si="1"/>
        <v>0</v>
      </c>
      <c r="BO52" s="29">
        <f t="shared" si="2"/>
        <v>0</v>
      </c>
    </row>
    <row r="53" spans="1:67" ht="15" customHeight="1" x14ac:dyDescent="0.35">
      <c r="A53" s="24"/>
      <c r="B53" s="683" t="s">
        <v>70</v>
      </c>
      <c r="C53" s="684"/>
      <c r="D53" s="79"/>
      <c r="E53" s="357"/>
      <c r="F53" s="79"/>
      <c r="G53" s="357"/>
      <c r="H53" s="79"/>
      <c r="I53" s="357"/>
      <c r="J53" s="79"/>
      <c r="K53" s="357"/>
      <c r="L53" s="71"/>
      <c r="M53" s="83"/>
      <c r="N53" s="71"/>
      <c r="O53" s="83"/>
      <c r="P53" s="71"/>
      <c r="Q53" s="83"/>
      <c r="R53" s="71"/>
      <c r="S53" s="83"/>
      <c r="T53" s="71"/>
      <c r="U53" s="83"/>
      <c r="V53" s="79"/>
      <c r="W53" s="357"/>
      <c r="X53" s="79"/>
      <c r="Y53" s="357"/>
      <c r="Z53" s="79"/>
      <c r="AA53" s="357"/>
      <c r="AB53" s="71"/>
      <c r="AC53" s="83"/>
      <c r="AD53" s="79"/>
      <c r="AE53" s="357"/>
      <c r="AF53" s="79"/>
      <c r="AG53" s="357"/>
      <c r="AH53" s="79"/>
      <c r="AI53" s="357"/>
      <c r="AJ53" s="79"/>
      <c r="AK53" s="357"/>
      <c r="AL53" s="79"/>
      <c r="AM53" s="357"/>
      <c r="AN53" s="79"/>
      <c r="AO53" s="357"/>
      <c r="AP53" s="71"/>
      <c r="AQ53" s="83"/>
      <c r="AR53" s="79"/>
      <c r="AS53" s="357"/>
      <c r="AT53" s="79"/>
      <c r="AU53" s="357"/>
      <c r="AV53" s="79"/>
      <c r="AW53" s="357"/>
      <c r="AX53" s="79"/>
      <c r="AY53" s="357"/>
      <c r="AZ53" s="79"/>
      <c r="BA53" s="357"/>
      <c r="BB53" s="79"/>
      <c r="BC53" s="357"/>
      <c r="BD53" s="71"/>
      <c r="BE53" s="83"/>
      <c r="BF53" s="79"/>
      <c r="BG53" s="357"/>
      <c r="BH53" s="79"/>
      <c r="BI53" s="357"/>
      <c r="BJ53" s="79"/>
      <c r="BK53" s="357"/>
      <c r="BL53" s="79"/>
      <c r="BM53" s="357"/>
      <c r="BN53" s="28">
        <f t="shared" si="1"/>
        <v>0</v>
      </c>
      <c r="BO53" s="29">
        <f t="shared" si="2"/>
        <v>0</v>
      </c>
    </row>
    <row r="54" spans="1:67" ht="15" customHeight="1" x14ac:dyDescent="0.35">
      <c r="A54" s="24"/>
      <c r="B54" s="683" t="s">
        <v>72</v>
      </c>
      <c r="C54" s="684"/>
      <c r="D54" s="79"/>
      <c r="E54" s="357"/>
      <c r="F54" s="79"/>
      <c r="G54" s="357"/>
      <c r="H54" s="79"/>
      <c r="I54" s="357"/>
      <c r="J54" s="79"/>
      <c r="K54" s="357"/>
      <c r="L54" s="71"/>
      <c r="M54" s="83"/>
      <c r="N54" s="71"/>
      <c r="O54" s="83"/>
      <c r="P54" s="71"/>
      <c r="Q54" s="83"/>
      <c r="R54" s="71"/>
      <c r="S54" s="83"/>
      <c r="T54" s="71"/>
      <c r="U54" s="83"/>
      <c r="V54" s="79"/>
      <c r="W54" s="357"/>
      <c r="X54" s="79"/>
      <c r="Y54" s="357"/>
      <c r="Z54" s="79"/>
      <c r="AA54" s="357"/>
      <c r="AB54" s="71"/>
      <c r="AC54" s="83"/>
      <c r="AD54" s="79"/>
      <c r="AE54" s="357"/>
      <c r="AF54" s="79"/>
      <c r="AG54" s="357"/>
      <c r="AH54" s="79"/>
      <c r="AI54" s="357"/>
      <c r="AJ54" s="79"/>
      <c r="AK54" s="357"/>
      <c r="AL54" s="79"/>
      <c r="AM54" s="357"/>
      <c r="AN54" s="79"/>
      <c r="AO54" s="357"/>
      <c r="AP54" s="71"/>
      <c r="AQ54" s="83"/>
      <c r="AR54" s="79"/>
      <c r="AS54" s="357"/>
      <c r="AT54" s="79"/>
      <c r="AU54" s="357"/>
      <c r="AV54" s="79"/>
      <c r="AW54" s="357"/>
      <c r="AX54" s="79"/>
      <c r="AY54" s="357"/>
      <c r="AZ54" s="79"/>
      <c r="BA54" s="357"/>
      <c r="BB54" s="79"/>
      <c r="BC54" s="357"/>
      <c r="BD54" s="71"/>
      <c r="BE54" s="83"/>
      <c r="BF54" s="79"/>
      <c r="BG54" s="357"/>
      <c r="BH54" s="79"/>
      <c r="BI54" s="357"/>
      <c r="BJ54" s="79"/>
      <c r="BK54" s="357"/>
      <c r="BL54" s="79"/>
      <c r="BM54" s="357"/>
      <c r="BN54" s="28">
        <f t="shared" si="1"/>
        <v>0</v>
      </c>
      <c r="BO54" s="29">
        <f t="shared" si="2"/>
        <v>0</v>
      </c>
    </row>
    <row r="55" spans="1:67" ht="15" customHeight="1" x14ac:dyDescent="0.35">
      <c r="A55" s="24"/>
      <c r="B55" s="683" t="s">
        <v>74</v>
      </c>
      <c r="C55" s="684"/>
      <c r="D55" s="79"/>
      <c r="E55" s="357"/>
      <c r="F55" s="79"/>
      <c r="G55" s="357"/>
      <c r="H55" s="79"/>
      <c r="I55" s="357"/>
      <c r="J55" s="79"/>
      <c r="K55" s="357"/>
      <c r="L55" s="71"/>
      <c r="M55" s="83"/>
      <c r="N55" s="71"/>
      <c r="O55" s="83"/>
      <c r="P55" s="71"/>
      <c r="Q55" s="83"/>
      <c r="R55" s="71"/>
      <c r="S55" s="83"/>
      <c r="T55" s="71"/>
      <c r="U55" s="83"/>
      <c r="V55" s="79"/>
      <c r="W55" s="357"/>
      <c r="X55" s="79"/>
      <c r="Y55" s="357"/>
      <c r="Z55" s="79"/>
      <c r="AA55" s="357"/>
      <c r="AB55" s="71"/>
      <c r="AC55" s="83"/>
      <c r="AD55" s="79"/>
      <c r="AE55" s="357"/>
      <c r="AF55" s="79"/>
      <c r="AG55" s="357"/>
      <c r="AH55" s="79"/>
      <c r="AI55" s="357"/>
      <c r="AJ55" s="79"/>
      <c r="AK55" s="357"/>
      <c r="AL55" s="79"/>
      <c r="AM55" s="357"/>
      <c r="AN55" s="79"/>
      <c r="AO55" s="357"/>
      <c r="AP55" s="71"/>
      <c r="AQ55" s="83"/>
      <c r="AR55" s="79"/>
      <c r="AS55" s="357"/>
      <c r="AT55" s="79"/>
      <c r="AU55" s="357"/>
      <c r="AV55" s="79"/>
      <c r="AW55" s="357"/>
      <c r="AX55" s="79"/>
      <c r="AY55" s="357"/>
      <c r="AZ55" s="79"/>
      <c r="BA55" s="357"/>
      <c r="BB55" s="79"/>
      <c r="BC55" s="357"/>
      <c r="BD55" s="71"/>
      <c r="BE55" s="83"/>
      <c r="BF55" s="79"/>
      <c r="BG55" s="357"/>
      <c r="BH55" s="79"/>
      <c r="BI55" s="357"/>
      <c r="BJ55" s="79"/>
      <c r="BK55" s="357"/>
      <c r="BL55" s="79"/>
      <c r="BM55" s="357"/>
      <c r="BN55" s="28">
        <f t="shared" si="1"/>
        <v>0</v>
      </c>
      <c r="BO55" s="29">
        <f t="shared" si="2"/>
        <v>0</v>
      </c>
    </row>
    <row r="56" spans="1:67" ht="15" customHeight="1" x14ac:dyDescent="0.35">
      <c r="A56" s="24"/>
      <c r="B56" s="683" t="s">
        <v>76</v>
      </c>
      <c r="C56" s="684"/>
      <c r="D56" s="79"/>
      <c r="E56" s="357"/>
      <c r="F56" s="79"/>
      <c r="G56" s="357"/>
      <c r="H56" s="79"/>
      <c r="I56" s="357"/>
      <c r="J56" s="79"/>
      <c r="K56" s="357"/>
      <c r="L56" s="71"/>
      <c r="M56" s="83"/>
      <c r="N56" s="71"/>
      <c r="O56" s="83"/>
      <c r="P56" s="71"/>
      <c r="Q56" s="83"/>
      <c r="R56" s="71"/>
      <c r="S56" s="83"/>
      <c r="T56" s="71"/>
      <c r="U56" s="83"/>
      <c r="V56" s="79"/>
      <c r="W56" s="357"/>
      <c r="X56" s="79"/>
      <c r="Y56" s="357"/>
      <c r="Z56" s="79"/>
      <c r="AA56" s="357"/>
      <c r="AB56" s="71"/>
      <c r="AC56" s="83"/>
      <c r="AD56" s="79"/>
      <c r="AE56" s="357"/>
      <c r="AF56" s="79"/>
      <c r="AG56" s="357"/>
      <c r="AH56" s="79"/>
      <c r="AI56" s="357"/>
      <c r="AJ56" s="79"/>
      <c r="AK56" s="357"/>
      <c r="AL56" s="79"/>
      <c r="AM56" s="357"/>
      <c r="AN56" s="79"/>
      <c r="AO56" s="357"/>
      <c r="AP56" s="71"/>
      <c r="AQ56" s="83"/>
      <c r="AR56" s="79"/>
      <c r="AS56" s="357"/>
      <c r="AT56" s="79"/>
      <c r="AU56" s="357"/>
      <c r="AV56" s="79"/>
      <c r="AW56" s="357"/>
      <c r="AX56" s="79"/>
      <c r="AY56" s="357"/>
      <c r="AZ56" s="79"/>
      <c r="BA56" s="357"/>
      <c r="BB56" s="79"/>
      <c r="BC56" s="357"/>
      <c r="BD56" s="71"/>
      <c r="BE56" s="83"/>
      <c r="BF56" s="79"/>
      <c r="BG56" s="357"/>
      <c r="BH56" s="79"/>
      <c r="BI56" s="357"/>
      <c r="BJ56" s="79"/>
      <c r="BK56" s="357"/>
      <c r="BL56" s="79"/>
      <c r="BM56" s="357"/>
      <c r="BN56" s="28">
        <f t="shared" si="1"/>
        <v>0</v>
      </c>
      <c r="BO56" s="29">
        <f t="shared" si="2"/>
        <v>0</v>
      </c>
    </row>
    <row r="57" spans="1:67" ht="15" customHeight="1" x14ac:dyDescent="0.35">
      <c r="A57" s="24"/>
      <c r="B57" s="683"/>
      <c r="C57" s="684"/>
      <c r="D57" s="79"/>
      <c r="E57" s="357"/>
      <c r="F57" s="79"/>
      <c r="G57" s="357"/>
      <c r="H57" s="79"/>
      <c r="I57" s="357"/>
      <c r="J57" s="79"/>
      <c r="K57" s="357"/>
      <c r="L57" s="71"/>
      <c r="M57" s="83"/>
      <c r="N57" s="71"/>
      <c r="O57" s="83"/>
      <c r="P57" s="71"/>
      <c r="Q57" s="83"/>
      <c r="R57" s="71"/>
      <c r="S57" s="83"/>
      <c r="T57" s="71"/>
      <c r="U57" s="83"/>
      <c r="V57" s="79"/>
      <c r="W57" s="357"/>
      <c r="X57" s="79"/>
      <c r="Y57" s="357"/>
      <c r="Z57" s="79"/>
      <c r="AA57" s="357"/>
      <c r="AB57" s="71"/>
      <c r="AC57" s="83"/>
      <c r="AD57" s="79"/>
      <c r="AE57" s="357"/>
      <c r="AF57" s="79"/>
      <c r="AG57" s="357"/>
      <c r="AH57" s="79"/>
      <c r="AI57" s="357"/>
      <c r="AJ57" s="79"/>
      <c r="AK57" s="357"/>
      <c r="AL57" s="79"/>
      <c r="AM57" s="357"/>
      <c r="AN57" s="79"/>
      <c r="AO57" s="357"/>
      <c r="AP57" s="71"/>
      <c r="AQ57" s="83"/>
      <c r="AR57" s="79"/>
      <c r="AS57" s="357"/>
      <c r="AT57" s="79"/>
      <c r="AU57" s="357"/>
      <c r="AV57" s="79"/>
      <c r="AW57" s="357"/>
      <c r="AX57" s="79"/>
      <c r="AY57" s="357"/>
      <c r="AZ57" s="79"/>
      <c r="BA57" s="357"/>
      <c r="BB57" s="79"/>
      <c r="BC57" s="357"/>
      <c r="BD57" s="71"/>
      <c r="BE57" s="83"/>
      <c r="BF57" s="79"/>
      <c r="BG57" s="357"/>
      <c r="BH57" s="79"/>
      <c r="BI57" s="357"/>
      <c r="BJ57" s="79"/>
      <c r="BK57" s="357"/>
      <c r="BL57" s="79"/>
      <c r="BM57" s="357"/>
      <c r="BN57" s="28">
        <f t="shared" si="1"/>
        <v>0</v>
      </c>
      <c r="BO57" s="29">
        <f t="shared" si="2"/>
        <v>0</v>
      </c>
    </row>
    <row r="58" spans="1:67" ht="15" customHeight="1" x14ac:dyDescent="0.35">
      <c r="A58" s="24"/>
      <c r="B58" s="683"/>
      <c r="C58" s="684"/>
      <c r="D58" s="79"/>
      <c r="E58" s="357"/>
      <c r="F58" s="79"/>
      <c r="G58" s="357"/>
      <c r="H58" s="79"/>
      <c r="I58" s="357"/>
      <c r="J58" s="79"/>
      <c r="K58" s="357"/>
      <c r="L58" s="71"/>
      <c r="M58" s="83"/>
      <c r="N58" s="71"/>
      <c r="O58" s="83"/>
      <c r="P58" s="71"/>
      <c r="Q58" s="83"/>
      <c r="R58" s="71"/>
      <c r="S58" s="83"/>
      <c r="T58" s="71"/>
      <c r="U58" s="83"/>
      <c r="V58" s="79"/>
      <c r="W58" s="357"/>
      <c r="X58" s="79"/>
      <c r="Y58" s="357"/>
      <c r="Z58" s="79"/>
      <c r="AA58" s="357"/>
      <c r="AB58" s="71"/>
      <c r="AC58" s="83"/>
      <c r="AD58" s="79"/>
      <c r="AE58" s="357"/>
      <c r="AF58" s="79"/>
      <c r="AG58" s="357"/>
      <c r="AH58" s="79"/>
      <c r="AI58" s="357"/>
      <c r="AJ58" s="79"/>
      <c r="AK58" s="357"/>
      <c r="AL58" s="79"/>
      <c r="AM58" s="357"/>
      <c r="AN58" s="79"/>
      <c r="AO58" s="357"/>
      <c r="AP58" s="71"/>
      <c r="AQ58" s="83"/>
      <c r="AR58" s="79"/>
      <c r="AS58" s="357"/>
      <c r="AT58" s="79"/>
      <c r="AU58" s="357"/>
      <c r="AV58" s="79"/>
      <c r="AW58" s="357"/>
      <c r="AX58" s="79"/>
      <c r="AY58" s="357"/>
      <c r="AZ58" s="79"/>
      <c r="BA58" s="357"/>
      <c r="BB58" s="79"/>
      <c r="BC58" s="357"/>
      <c r="BD58" s="71"/>
      <c r="BE58" s="83"/>
      <c r="BF58" s="79"/>
      <c r="BG58" s="357"/>
      <c r="BH58" s="79"/>
      <c r="BI58" s="357"/>
      <c r="BJ58" s="79"/>
      <c r="BK58" s="357"/>
      <c r="BL58" s="79"/>
      <c r="BM58" s="357"/>
      <c r="BN58" s="28">
        <f t="shared" si="1"/>
        <v>0</v>
      </c>
      <c r="BO58" s="29">
        <f t="shared" si="2"/>
        <v>0</v>
      </c>
    </row>
    <row r="59" spans="1:67" ht="15" customHeight="1" x14ac:dyDescent="0.35">
      <c r="A59" s="24"/>
      <c r="B59" s="683"/>
      <c r="C59" s="684"/>
      <c r="D59" s="79"/>
      <c r="E59" s="357"/>
      <c r="F59" s="79"/>
      <c r="G59" s="357"/>
      <c r="H59" s="79"/>
      <c r="I59" s="357"/>
      <c r="J59" s="79"/>
      <c r="K59" s="357"/>
      <c r="L59" s="71"/>
      <c r="M59" s="83"/>
      <c r="N59" s="71"/>
      <c r="O59" s="83"/>
      <c r="P59" s="71"/>
      <c r="Q59" s="83"/>
      <c r="R59" s="71"/>
      <c r="S59" s="83"/>
      <c r="T59" s="71"/>
      <c r="U59" s="83"/>
      <c r="V59" s="79"/>
      <c r="W59" s="357"/>
      <c r="X59" s="79"/>
      <c r="Y59" s="357"/>
      <c r="Z59" s="79"/>
      <c r="AA59" s="357"/>
      <c r="AB59" s="71"/>
      <c r="AC59" s="83"/>
      <c r="AD59" s="79"/>
      <c r="AE59" s="357"/>
      <c r="AF59" s="79"/>
      <c r="AG59" s="357"/>
      <c r="AH59" s="79"/>
      <c r="AI59" s="357"/>
      <c r="AJ59" s="79"/>
      <c r="AK59" s="357"/>
      <c r="AL59" s="79"/>
      <c r="AM59" s="357"/>
      <c r="AN59" s="79"/>
      <c r="AO59" s="357"/>
      <c r="AP59" s="71"/>
      <c r="AQ59" s="83"/>
      <c r="AR59" s="79"/>
      <c r="AS59" s="357"/>
      <c r="AT59" s="79"/>
      <c r="AU59" s="357"/>
      <c r="AV59" s="79"/>
      <c r="AW59" s="357"/>
      <c r="AX59" s="79"/>
      <c r="AY59" s="357"/>
      <c r="AZ59" s="79"/>
      <c r="BA59" s="357"/>
      <c r="BB59" s="79"/>
      <c r="BC59" s="357"/>
      <c r="BD59" s="71"/>
      <c r="BE59" s="83"/>
      <c r="BF59" s="79"/>
      <c r="BG59" s="357"/>
      <c r="BH59" s="79"/>
      <c r="BI59" s="357"/>
      <c r="BJ59" s="79"/>
      <c r="BK59" s="357"/>
      <c r="BL59" s="79"/>
      <c r="BM59" s="357"/>
      <c r="BN59" s="28">
        <f t="shared" si="1"/>
        <v>0</v>
      </c>
      <c r="BO59" s="29">
        <f t="shared" si="2"/>
        <v>0</v>
      </c>
    </row>
    <row r="60" spans="1:67" ht="15" customHeight="1" x14ac:dyDescent="0.35">
      <c r="A60" s="24"/>
      <c r="B60" s="683"/>
      <c r="C60" s="684"/>
      <c r="D60" s="79"/>
      <c r="E60" s="357"/>
      <c r="F60" s="79"/>
      <c r="G60" s="357"/>
      <c r="H60" s="79"/>
      <c r="I60" s="357"/>
      <c r="J60" s="79"/>
      <c r="K60" s="357"/>
      <c r="L60" s="71"/>
      <c r="M60" s="83"/>
      <c r="N60" s="71"/>
      <c r="O60" s="83"/>
      <c r="P60" s="71"/>
      <c r="Q60" s="83"/>
      <c r="R60" s="71"/>
      <c r="S60" s="83"/>
      <c r="T60" s="71"/>
      <c r="U60" s="83"/>
      <c r="V60" s="79"/>
      <c r="W60" s="357"/>
      <c r="X60" s="79"/>
      <c r="Y60" s="357"/>
      <c r="Z60" s="79"/>
      <c r="AA60" s="357"/>
      <c r="AB60" s="71"/>
      <c r="AC60" s="83"/>
      <c r="AD60" s="79"/>
      <c r="AE60" s="357"/>
      <c r="AF60" s="79"/>
      <c r="AG60" s="357"/>
      <c r="AH60" s="79"/>
      <c r="AI60" s="357"/>
      <c r="AJ60" s="79"/>
      <c r="AK60" s="357"/>
      <c r="AL60" s="79"/>
      <c r="AM60" s="357"/>
      <c r="AN60" s="79"/>
      <c r="AO60" s="357"/>
      <c r="AP60" s="71"/>
      <c r="AQ60" s="83"/>
      <c r="AR60" s="79"/>
      <c r="AS60" s="357"/>
      <c r="AT60" s="79"/>
      <c r="AU60" s="357"/>
      <c r="AV60" s="79"/>
      <c r="AW60" s="357"/>
      <c r="AX60" s="79"/>
      <c r="AY60" s="357"/>
      <c r="AZ60" s="79"/>
      <c r="BA60" s="357"/>
      <c r="BB60" s="79"/>
      <c r="BC60" s="357"/>
      <c r="BD60" s="71"/>
      <c r="BE60" s="83"/>
      <c r="BF60" s="79"/>
      <c r="BG60" s="357"/>
      <c r="BH60" s="79"/>
      <c r="BI60" s="357"/>
      <c r="BJ60" s="79"/>
      <c r="BK60" s="357"/>
      <c r="BL60" s="79"/>
      <c r="BM60" s="357"/>
      <c r="BN60" s="28">
        <f t="shared" si="1"/>
        <v>0</v>
      </c>
      <c r="BO60" s="29">
        <f t="shared" si="2"/>
        <v>0</v>
      </c>
    </row>
    <row r="61" spans="1:67" ht="15" customHeight="1" x14ac:dyDescent="0.35">
      <c r="A61" s="24"/>
      <c r="B61" s="683"/>
      <c r="C61" s="684"/>
      <c r="D61" s="79"/>
      <c r="E61" s="357"/>
      <c r="F61" s="79"/>
      <c r="G61" s="357"/>
      <c r="H61" s="79"/>
      <c r="I61" s="357"/>
      <c r="J61" s="79"/>
      <c r="K61" s="357"/>
      <c r="L61" s="71"/>
      <c r="M61" s="83"/>
      <c r="N61" s="71"/>
      <c r="O61" s="83"/>
      <c r="P61" s="71"/>
      <c r="Q61" s="83"/>
      <c r="R61" s="71"/>
      <c r="S61" s="83"/>
      <c r="T61" s="71"/>
      <c r="U61" s="83"/>
      <c r="V61" s="79"/>
      <c r="W61" s="357"/>
      <c r="X61" s="79"/>
      <c r="Y61" s="357"/>
      <c r="Z61" s="79"/>
      <c r="AA61" s="357"/>
      <c r="AB61" s="71"/>
      <c r="AC61" s="83"/>
      <c r="AD61" s="79"/>
      <c r="AE61" s="357"/>
      <c r="AF61" s="79"/>
      <c r="AG61" s="357"/>
      <c r="AH61" s="79"/>
      <c r="AI61" s="357"/>
      <c r="AJ61" s="79"/>
      <c r="AK61" s="357"/>
      <c r="AL61" s="79"/>
      <c r="AM61" s="357"/>
      <c r="AN61" s="79"/>
      <c r="AO61" s="357"/>
      <c r="AP61" s="71"/>
      <c r="AQ61" s="83"/>
      <c r="AR61" s="79"/>
      <c r="AS61" s="357"/>
      <c r="AT61" s="79"/>
      <c r="AU61" s="357"/>
      <c r="AV61" s="79"/>
      <c r="AW61" s="357"/>
      <c r="AX61" s="79"/>
      <c r="AY61" s="357"/>
      <c r="AZ61" s="79"/>
      <c r="BA61" s="357"/>
      <c r="BB61" s="79"/>
      <c r="BC61" s="357"/>
      <c r="BD61" s="71"/>
      <c r="BE61" s="83"/>
      <c r="BF61" s="79"/>
      <c r="BG61" s="357"/>
      <c r="BH61" s="79"/>
      <c r="BI61" s="357"/>
      <c r="BJ61" s="79"/>
      <c r="BK61" s="357"/>
      <c r="BL61" s="79"/>
      <c r="BM61" s="357"/>
      <c r="BN61" s="28">
        <f t="shared" si="1"/>
        <v>0</v>
      </c>
      <c r="BO61" s="29">
        <f t="shared" si="2"/>
        <v>0</v>
      </c>
    </row>
    <row r="62" spans="1:67" ht="16.5" customHeight="1" x14ac:dyDescent="0.35">
      <c r="A62" s="24">
        <f>SUM(BN68:BN94)</f>
        <v>0</v>
      </c>
      <c r="B62" s="685" t="s">
        <v>83</v>
      </c>
      <c r="C62" s="686"/>
      <c r="D62" s="79"/>
      <c r="E62" s="357"/>
      <c r="F62" s="79"/>
      <c r="G62" s="357"/>
      <c r="H62" s="79"/>
      <c r="I62" s="357"/>
      <c r="J62" s="79"/>
      <c r="K62" s="357"/>
      <c r="L62" s="71"/>
      <c r="M62" s="83"/>
      <c r="N62" s="71"/>
      <c r="O62" s="83"/>
      <c r="P62" s="71"/>
      <c r="Q62" s="83"/>
      <c r="R62" s="71"/>
      <c r="S62" s="83"/>
      <c r="T62" s="71"/>
      <c r="U62" s="83"/>
      <c r="V62" s="79"/>
      <c r="W62" s="357"/>
      <c r="X62" s="79"/>
      <c r="Y62" s="357"/>
      <c r="Z62" s="79"/>
      <c r="AA62" s="357"/>
      <c r="AB62" s="71"/>
      <c r="AC62" s="83"/>
      <c r="AD62" s="79"/>
      <c r="AE62" s="357"/>
      <c r="AF62" s="79"/>
      <c r="AG62" s="357"/>
      <c r="AH62" s="79"/>
      <c r="AI62" s="357"/>
      <c r="AJ62" s="79"/>
      <c r="AK62" s="357"/>
      <c r="AL62" s="79"/>
      <c r="AM62" s="357"/>
      <c r="AN62" s="79"/>
      <c r="AO62" s="357"/>
      <c r="AP62" s="71"/>
      <c r="AQ62" s="83"/>
      <c r="AR62" s="79"/>
      <c r="AS62" s="357"/>
      <c r="AT62" s="79"/>
      <c r="AU62" s="357"/>
      <c r="AV62" s="79"/>
      <c r="AW62" s="357"/>
      <c r="AX62" s="79"/>
      <c r="AY62" s="357"/>
      <c r="AZ62" s="79"/>
      <c r="BA62" s="357"/>
      <c r="BB62" s="79"/>
      <c r="BC62" s="357"/>
      <c r="BD62" s="71"/>
      <c r="BE62" s="83"/>
      <c r="BF62" s="79"/>
      <c r="BG62" s="357"/>
      <c r="BH62" s="79"/>
      <c r="BI62" s="357"/>
      <c r="BJ62" s="79"/>
      <c r="BK62" s="357"/>
      <c r="BL62" s="79"/>
      <c r="BM62" s="357"/>
      <c r="BN62" s="28">
        <f t="shared" si="1"/>
        <v>0</v>
      </c>
      <c r="BO62" s="29">
        <f t="shared" si="2"/>
        <v>0</v>
      </c>
    </row>
    <row r="63" spans="1:67" ht="16.5" customHeight="1" x14ac:dyDescent="0.35">
      <c r="A63" s="20"/>
      <c r="B63" s="683" t="s">
        <v>28</v>
      </c>
      <c r="C63" s="684"/>
      <c r="D63" s="79"/>
      <c r="E63" s="357"/>
      <c r="F63" s="79"/>
      <c r="G63" s="357"/>
      <c r="H63" s="79"/>
      <c r="I63" s="357"/>
      <c r="J63" s="79"/>
      <c r="K63" s="357"/>
      <c r="L63" s="71"/>
      <c r="M63" s="83"/>
      <c r="N63" s="71"/>
      <c r="O63" s="83"/>
      <c r="P63" s="71"/>
      <c r="Q63" s="83"/>
      <c r="R63" s="71"/>
      <c r="S63" s="83"/>
      <c r="T63" s="71"/>
      <c r="U63" s="83"/>
      <c r="V63" s="79"/>
      <c r="W63" s="357"/>
      <c r="X63" s="79"/>
      <c r="Y63" s="357"/>
      <c r="Z63" s="79"/>
      <c r="AA63" s="357"/>
      <c r="AB63" s="71"/>
      <c r="AC63" s="83"/>
      <c r="AD63" s="79"/>
      <c r="AE63" s="357"/>
      <c r="AF63" s="79"/>
      <c r="AG63" s="357"/>
      <c r="AH63" s="79"/>
      <c r="AI63" s="357"/>
      <c r="AJ63" s="79"/>
      <c r="AK63" s="357"/>
      <c r="AL63" s="79"/>
      <c r="AM63" s="357"/>
      <c r="AN63" s="79"/>
      <c r="AO63" s="357"/>
      <c r="AP63" s="71"/>
      <c r="AQ63" s="83"/>
      <c r="AR63" s="79"/>
      <c r="AS63" s="357"/>
      <c r="AT63" s="79"/>
      <c r="AU63" s="357"/>
      <c r="AV63" s="79"/>
      <c r="AW63" s="357"/>
      <c r="AX63" s="79"/>
      <c r="AY63" s="357"/>
      <c r="AZ63" s="79"/>
      <c r="BA63" s="357"/>
      <c r="BB63" s="79"/>
      <c r="BC63" s="357"/>
      <c r="BD63" s="71"/>
      <c r="BE63" s="83"/>
      <c r="BF63" s="79"/>
      <c r="BG63" s="357"/>
      <c r="BH63" s="79"/>
      <c r="BI63" s="357"/>
      <c r="BJ63" s="79"/>
      <c r="BK63" s="357"/>
      <c r="BL63" s="79"/>
      <c r="BM63" s="357"/>
      <c r="BN63" s="28">
        <f t="shared" si="1"/>
        <v>0</v>
      </c>
      <c r="BO63" s="29">
        <f t="shared" si="2"/>
        <v>0</v>
      </c>
    </row>
    <row r="64" spans="1:67" ht="15" customHeight="1" x14ac:dyDescent="0.35">
      <c r="A64" s="24"/>
      <c r="B64" s="683" t="s">
        <v>37</v>
      </c>
      <c r="C64" s="684"/>
      <c r="D64" s="79"/>
      <c r="E64" s="357"/>
      <c r="F64" s="79"/>
      <c r="G64" s="357"/>
      <c r="H64" s="79"/>
      <c r="I64" s="357"/>
      <c r="J64" s="79"/>
      <c r="K64" s="357"/>
      <c r="L64" s="71"/>
      <c r="M64" s="83"/>
      <c r="N64" s="71"/>
      <c r="O64" s="83"/>
      <c r="P64" s="71"/>
      <c r="Q64" s="83"/>
      <c r="R64" s="71"/>
      <c r="S64" s="83"/>
      <c r="T64" s="71"/>
      <c r="U64" s="83"/>
      <c r="V64" s="79"/>
      <c r="W64" s="357"/>
      <c r="X64" s="79"/>
      <c r="Y64" s="357"/>
      <c r="Z64" s="79"/>
      <c r="AA64" s="357"/>
      <c r="AB64" s="71"/>
      <c r="AC64" s="83"/>
      <c r="AD64" s="79"/>
      <c r="AE64" s="357"/>
      <c r="AF64" s="79"/>
      <c r="AG64" s="357"/>
      <c r="AH64" s="79"/>
      <c r="AI64" s="357"/>
      <c r="AJ64" s="79"/>
      <c r="AK64" s="357"/>
      <c r="AL64" s="79"/>
      <c r="AM64" s="357"/>
      <c r="AN64" s="79"/>
      <c r="AO64" s="357"/>
      <c r="AP64" s="71"/>
      <c r="AQ64" s="83"/>
      <c r="AR64" s="79"/>
      <c r="AS64" s="357"/>
      <c r="AT64" s="79"/>
      <c r="AU64" s="357"/>
      <c r="AV64" s="79"/>
      <c r="AW64" s="357"/>
      <c r="AX64" s="79"/>
      <c r="AY64" s="357"/>
      <c r="AZ64" s="79"/>
      <c r="BA64" s="357"/>
      <c r="BB64" s="79"/>
      <c r="BC64" s="357"/>
      <c r="BD64" s="71"/>
      <c r="BE64" s="83"/>
      <c r="BF64" s="79"/>
      <c r="BG64" s="357"/>
      <c r="BH64" s="79"/>
      <c r="BI64" s="357"/>
      <c r="BJ64" s="79"/>
      <c r="BK64" s="357"/>
      <c r="BL64" s="79"/>
      <c r="BM64" s="357"/>
      <c r="BN64" s="28">
        <f t="shared" si="1"/>
        <v>0</v>
      </c>
      <c r="BO64" s="29">
        <f t="shared" si="2"/>
        <v>0</v>
      </c>
    </row>
    <row r="65" spans="1:67" ht="15" customHeight="1" x14ac:dyDescent="0.35">
      <c r="A65" s="24"/>
      <c r="B65" s="683" t="s">
        <v>39</v>
      </c>
      <c r="C65" s="684"/>
      <c r="D65" s="79"/>
      <c r="E65" s="357"/>
      <c r="F65" s="79"/>
      <c r="G65" s="357"/>
      <c r="H65" s="79"/>
      <c r="I65" s="357"/>
      <c r="J65" s="79"/>
      <c r="K65" s="357"/>
      <c r="L65" s="71"/>
      <c r="M65" s="83"/>
      <c r="N65" s="71"/>
      <c r="O65" s="83"/>
      <c r="P65" s="71"/>
      <c r="Q65" s="83"/>
      <c r="R65" s="71"/>
      <c r="S65" s="83"/>
      <c r="T65" s="71"/>
      <c r="U65" s="83"/>
      <c r="V65" s="79"/>
      <c r="W65" s="357"/>
      <c r="X65" s="79"/>
      <c r="Y65" s="357"/>
      <c r="Z65" s="79"/>
      <c r="AA65" s="357"/>
      <c r="AB65" s="71"/>
      <c r="AC65" s="83"/>
      <c r="AD65" s="79"/>
      <c r="AE65" s="357"/>
      <c r="AF65" s="79"/>
      <c r="AG65" s="357"/>
      <c r="AH65" s="79"/>
      <c r="AI65" s="357"/>
      <c r="AJ65" s="79"/>
      <c r="AK65" s="357"/>
      <c r="AL65" s="79"/>
      <c r="AM65" s="357"/>
      <c r="AN65" s="79"/>
      <c r="AO65" s="357"/>
      <c r="AP65" s="71"/>
      <c r="AQ65" s="83"/>
      <c r="AR65" s="79"/>
      <c r="AS65" s="357"/>
      <c r="AT65" s="79"/>
      <c r="AU65" s="357"/>
      <c r="AV65" s="79"/>
      <c r="AW65" s="357"/>
      <c r="AX65" s="79"/>
      <c r="AY65" s="357"/>
      <c r="AZ65" s="79"/>
      <c r="BA65" s="357"/>
      <c r="BB65" s="79"/>
      <c r="BC65" s="357"/>
      <c r="BD65" s="71"/>
      <c r="BE65" s="83"/>
      <c r="BF65" s="79"/>
      <c r="BG65" s="357"/>
      <c r="BH65" s="79"/>
      <c r="BI65" s="357"/>
      <c r="BJ65" s="79"/>
      <c r="BK65" s="357"/>
      <c r="BL65" s="79"/>
      <c r="BM65" s="357"/>
      <c r="BN65" s="28">
        <f t="shared" si="1"/>
        <v>0</v>
      </c>
      <c r="BO65" s="29">
        <f t="shared" si="2"/>
        <v>0</v>
      </c>
    </row>
    <row r="66" spans="1:67" ht="15" customHeight="1" x14ac:dyDescent="0.35">
      <c r="A66" s="24"/>
      <c r="B66" s="683" t="s">
        <v>41</v>
      </c>
      <c r="C66" s="684"/>
      <c r="D66" s="79"/>
      <c r="E66" s="357"/>
      <c r="F66" s="79"/>
      <c r="G66" s="357"/>
      <c r="H66" s="79"/>
      <c r="I66" s="357"/>
      <c r="J66" s="79"/>
      <c r="K66" s="357"/>
      <c r="L66" s="71"/>
      <c r="M66" s="83"/>
      <c r="N66" s="71"/>
      <c r="O66" s="83"/>
      <c r="P66" s="71"/>
      <c r="Q66" s="83"/>
      <c r="R66" s="71"/>
      <c r="S66" s="83"/>
      <c r="T66" s="71"/>
      <c r="U66" s="83"/>
      <c r="V66" s="79"/>
      <c r="W66" s="357"/>
      <c r="X66" s="79"/>
      <c r="Y66" s="357"/>
      <c r="Z66" s="79"/>
      <c r="AA66" s="357"/>
      <c r="AB66" s="71"/>
      <c r="AC66" s="83"/>
      <c r="AD66" s="79"/>
      <c r="AE66" s="357"/>
      <c r="AF66" s="79"/>
      <c r="AG66" s="357"/>
      <c r="AH66" s="79"/>
      <c r="AI66" s="357"/>
      <c r="AJ66" s="79"/>
      <c r="AK66" s="357"/>
      <c r="AL66" s="79"/>
      <c r="AM66" s="357"/>
      <c r="AN66" s="79"/>
      <c r="AO66" s="357"/>
      <c r="AP66" s="71"/>
      <c r="AQ66" s="83"/>
      <c r="AR66" s="79"/>
      <c r="AS66" s="357"/>
      <c r="AT66" s="79"/>
      <c r="AU66" s="357"/>
      <c r="AV66" s="79"/>
      <c r="AW66" s="357"/>
      <c r="AX66" s="79"/>
      <c r="AY66" s="357"/>
      <c r="AZ66" s="79"/>
      <c r="BA66" s="357"/>
      <c r="BB66" s="79"/>
      <c r="BC66" s="357"/>
      <c r="BD66" s="71"/>
      <c r="BE66" s="83"/>
      <c r="BF66" s="79"/>
      <c r="BG66" s="357"/>
      <c r="BH66" s="79"/>
      <c r="BI66" s="357"/>
      <c r="BJ66" s="79"/>
      <c r="BK66" s="357"/>
      <c r="BL66" s="79"/>
      <c r="BM66" s="357"/>
      <c r="BN66" s="28">
        <f t="shared" si="1"/>
        <v>0</v>
      </c>
      <c r="BO66" s="29">
        <f t="shared" si="2"/>
        <v>0</v>
      </c>
    </row>
    <row r="67" spans="1:67" ht="15" customHeight="1" x14ac:dyDescent="0.35">
      <c r="A67" s="24"/>
      <c r="B67" s="683" t="s">
        <v>43</v>
      </c>
      <c r="C67" s="684"/>
      <c r="D67" s="79"/>
      <c r="E67" s="357"/>
      <c r="F67" s="79"/>
      <c r="G67" s="357"/>
      <c r="H67" s="79"/>
      <c r="I67" s="357"/>
      <c r="J67" s="79"/>
      <c r="K67" s="357"/>
      <c r="L67" s="71"/>
      <c r="M67" s="83"/>
      <c r="N67" s="71"/>
      <c r="O67" s="83"/>
      <c r="P67" s="71"/>
      <c r="Q67" s="83"/>
      <c r="R67" s="71"/>
      <c r="S67" s="83"/>
      <c r="T67" s="71"/>
      <c r="U67" s="83"/>
      <c r="V67" s="79"/>
      <c r="W67" s="357"/>
      <c r="X67" s="79"/>
      <c r="Y67" s="357"/>
      <c r="Z67" s="79"/>
      <c r="AA67" s="357"/>
      <c r="AB67" s="71"/>
      <c r="AC67" s="83"/>
      <c r="AD67" s="79"/>
      <c r="AE67" s="357"/>
      <c r="AF67" s="79"/>
      <c r="AG67" s="357"/>
      <c r="AH67" s="79"/>
      <c r="AI67" s="357"/>
      <c r="AJ67" s="79"/>
      <c r="AK67" s="357"/>
      <c r="AL67" s="79"/>
      <c r="AM67" s="357"/>
      <c r="AN67" s="79"/>
      <c r="AO67" s="357"/>
      <c r="AP67" s="71"/>
      <c r="AQ67" s="83"/>
      <c r="AR67" s="79"/>
      <c r="AS67" s="357"/>
      <c r="AT67" s="79"/>
      <c r="AU67" s="357"/>
      <c r="AV67" s="79"/>
      <c r="AW67" s="357"/>
      <c r="AX67" s="79"/>
      <c r="AY67" s="357"/>
      <c r="AZ67" s="79"/>
      <c r="BA67" s="357"/>
      <c r="BB67" s="79"/>
      <c r="BC67" s="357"/>
      <c r="BD67" s="71"/>
      <c r="BE67" s="83"/>
      <c r="BF67" s="79"/>
      <c r="BG67" s="357"/>
      <c r="BH67" s="79"/>
      <c r="BI67" s="357"/>
      <c r="BJ67" s="79"/>
      <c r="BK67" s="357"/>
      <c r="BL67" s="79"/>
      <c r="BM67" s="357"/>
      <c r="BN67" s="28">
        <f t="shared" si="1"/>
        <v>0</v>
      </c>
      <c r="BO67" s="29">
        <f t="shared" si="2"/>
        <v>0</v>
      </c>
    </row>
    <row r="68" spans="1:67" ht="15" customHeight="1" x14ac:dyDescent="0.35">
      <c r="A68" s="24"/>
      <c r="B68" s="683" t="s">
        <v>31</v>
      </c>
      <c r="C68" s="684"/>
      <c r="D68" s="79"/>
      <c r="E68" s="357"/>
      <c r="F68" s="79"/>
      <c r="G68" s="357"/>
      <c r="H68" s="79"/>
      <c r="I68" s="357"/>
      <c r="J68" s="79"/>
      <c r="K68" s="357"/>
      <c r="L68" s="71"/>
      <c r="M68" s="83"/>
      <c r="N68" s="71"/>
      <c r="O68" s="83"/>
      <c r="P68" s="71"/>
      <c r="Q68" s="83"/>
      <c r="R68" s="71"/>
      <c r="S68" s="83"/>
      <c r="T68" s="71"/>
      <c r="U68" s="83"/>
      <c r="V68" s="79"/>
      <c r="W68" s="357"/>
      <c r="X68" s="79"/>
      <c r="Y68" s="357"/>
      <c r="Z68" s="79"/>
      <c r="AA68" s="357"/>
      <c r="AB68" s="71"/>
      <c r="AC68" s="83"/>
      <c r="AD68" s="79"/>
      <c r="AE68" s="357"/>
      <c r="AF68" s="79"/>
      <c r="AG68" s="357"/>
      <c r="AH68" s="79"/>
      <c r="AI68" s="357"/>
      <c r="AJ68" s="79"/>
      <c r="AK68" s="357"/>
      <c r="AL68" s="79"/>
      <c r="AM68" s="357"/>
      <c r="AN68" s="79"/>
      <c r="AO68" s="357"/>
      <c r="AP68" s="71"/>
      <c r="AQ68" s="83"/>
      <c r="AR68" s="79"/>
      <c r="AS68" s="357"/>
      <c r="AT68" s="79"/>
      <c r="AU68" s="357"/>
      <c r="AV68" s="79"/>
      <c r="AW68" s="357"/>
      <c r="AX68" s="79"/>
      <c r="AY68" s="357"/>
      <c r="AZ68" s="79"/>
      <c r="BA68" s="357"/>
      <c r="BB68" s="79"/>
      <c r="BC68" s="357"/>
      <c r="BD68" s="71"/>
      <c r="BE68" s="83"/>
      <c r="BF68" s="79"/>
      <c r="BG68" s="357"/>
      <c r="BH68" s="79"/>
      <c r="BI68" s="357"/>
      <c r="BJ68" s="79"/>
      <c r="BK68" s="357"/>
      <c r="BL68" s="79"/>
      <c r="BM68" s="357"/>
      <c r="BN68" s="28">
        <f t="shared" si="1"/>
        <v>0</v>
      </c>
      <c r="BO68" s="29">
        <f t="shared" si="2"/>
        <v>0</v>
      </c>
    </row>
    <row r="69" spans="1:67" ht="15" customHeight="1" x14ac:dyDescent="0.35">
      <c r="A69" s="24"/>
      <c r="B69" s="683" t="s">
        <v>87</v>
      </c>
      <c r="C69" s="684"/>
      <c r="D69" s="79"/>
      <c r="E69" s="357"/>
      <c r="F69" s="79"/>
      <c r="G69" s="357"/>
      <c r="H69" s="79"/>
      <c r="I69" s="357"/>
      <c r="J69" s="79"/>
      <c r="K69" s="357"/>
      <c r="L69" s="71"/>
      <c r="M69" s="83"/>
      <c r="N69" s="71"/>
      <c r="O69" s="83"/>
      <c r="P69" s="71"/>
      <c r="Q69" s="83"/>
      <c r="R69" s="71"/>
      <c r="S69" s="83"/>
      <c r="T69" s="71"/>
      <c r="U69" s="83"/>
      <c r="V69" s="79"/>
      <c r="W69" s="357"/>
      <c r="X69" s="79"/>
      <c r="Y69" s="357"/>
      <c r="Z69" s="79"/>
      <c r="AA69" s="357"/>
      <c r="AB69" s="71"/>
      <c r="AC69" s="83"/>
      <c r="AD69" s="79"/>
      <c r="AE69" s="357"/>
      <c r="AF69" s="79"/>
      <c r="AG69" s="357"/>
      <c r="AH69" s="79"/>
      <c r="AI69" s="357"/>
      <c r="AJ69" s="79"/>
      <c r="AK69" s="357"/>
      <c r="AL69" s="79"/>
      <c r="AM69" s="357"/>
      <c r="AN69" s="79"/>
      <c r="AO69" s="357"/>
      <c r="AP69" s="71"/>
      <c r="AQ69" s="83"/>
      <c r="AR69" s="79"/>
      <c r="AS69" s="357"/>
      <c r="AT69" s="79"/>
      <c r="AU69" s="357"/>
      <c r="AV69" s="79"/>
      <c r="AW69" s="357"/>
      <c r="AX69" s="79"/>
      <c r="AY69" s="357"/>
      <c r="AZ69" s="79"/>
      <c r="BA69" s="357"/>
      <c r="BB69" s="79"/>
      <c r="BC69" s="357"/>
      <c r="BD69" s="71"/>
      <c r="BE69" s="83"/>
      <c r="BF69" s="79"/>
      <c r="BG69" s="357"/>
      <c r="BH69" s="79"/>
      <c r="BI69" s="357"/>
      <c r="BJ69" s="79"/>
      <c r="BK69" s="357"/>
      <c r="BL69" s="79"/>
      <c r="BM69" s="357"/>
      <c r="BN69" s="28">
        <f t="shared" si="1"/>
        <v>0</v>
      </c>
      <c r="BO69" s="29">
        <f t="shared" si="2"/>
        <v>0</v>
      </c>
    </row>
    <row r="70" spans="1:67" ht="15" customHeight="1" x14ac:dyDescent="0.35">
      <c r="A70" s="24"/>
      <c r="B70" s="683" t="s">
        <v>89</v>
      </c>
      <c r="C70" s="684"/>
      <c r="D70" s="79"/>
      <c r="E70" s="357"/>
      <c r="F70" s="79"/>
      <c r="G70" s="357"/>
      <c r="H70" s="79"/>
      <c r="I70" s="357"/>
      <c r="J70" s="79"/>
      <c r="K70" s="357"/>
      <c r="L70" s="71"/>
      <c r="M70" s="83"/>
      <c r="N70" s="71"/>
      <c r="O70" s="83"/>
      <c r="P70" s="71"/>
      <c r="Q70" s="83"/>
      <c r="R70" s="71"/>
      <c r="S70" s="83"/>
      <c r="T70" s="71"/>
      <c r="U70" s="83"/>
      <c r="V70" s="79"/>
      <c r="W70" s="357"/>
      <c r="X70" s="79"/>
      <c r="Y70" s="357"/>
      <c r="Z70" s="79"/>
      <c r="AA70" s="357"/>
      <c r="AB70" s="71"/>
      <c r="AC70" s="83"/>
      <c r="AD70" s="79"/>
      <c r="AE70" s="357"/>
      <c r="AF70" s="79"/>
      <c r="AG70" s="357"/>
      <c r="AH70" s="79"/>
      <c r="AI70" s="357"/>
      <c r="AJ70" s="79"/>
      <c r="AK70" s="357"/>
      <c r="AL70" s="79"/>
      <c r="AM70" s="357"/>
      <c r="AN70" s="79"/>
      <c r="AO70" s="357"/>
      <c r="AP70" s="71"/>
      <c r="AQ70" s="83"/>
      <c r="AR70" s="79"/>
      <c r="AS70" s="357"/>
      <c r="AT70" s="79"/>
      <c r="AU70" s="357"/>
      <c r="AV70" s="79"/>
      <c r="AW70" s="357"/>
      <c r="AX70" s="79"/>
      <c r="AY70" s="357"/>
      <c r="AZ70" s="79"/>
      <c r="BA70" s="357"/>
      <c r="BB70" s="79"/>
      <c r="BC70" s="357"/>
      <c r="BD70" s="71"/>
      <c r="BE70" s="83"/>
      <c r="BF70" s="79"/>
      <c r="BG70" s="357"/>
      <c r="BH70" s="79"/>
      <c r="BI70" s="357"/>
      <c r="BJ70" s="79"/>
      <c r="BK70" s="357"/>
      <c r="BL70" s="79"/>
      <c r="BM70" s="357"/>
      <c r="BN70" s="28">
        <f t="shared" ref="BN70:BN126" si="5">SUM(D70:BM70)</f>
        <v>0</v>
      </c>
      <c r="BO70" s="29">
        <f t="shared" ref="BO70:BO116" si="6">COUNT(D70:BM70)</f>
        <v>0</v>
      </c>
    </row>
    <row r="71" spans="1:67" ht="15" customHeight="1" x14ac:dyDescent="0.35">
      <c r="A71" s="24"/>
      <c r="B71" s="683" t="s">
        <v>91</v>
      </c>
      <c r="C71" s="684"/>
      <c r="D71" s="79"/>
      <c r="E71" s="357"/>
      <c r="F71" s="79"/>
      <c r="G71" s="357"/>
      <c r="H71" s="79"/>
      <c r="I71" s="357"/>
      <c r="J71" s="79"/>
      <c r="K71" s="357"/>
      <c r="L71" s="71"/>
      <c r="M71" s="83"/>
      <c r="N71" s="71"/>
      <c r="O71" s="83"/>
      <c r="P71" s="71"/>
      <c r="Q71" s="83"/>
      <c r="R71" s="71"/>
      <c r="S71" s="83"/>
      <c r="T71" s="71"/>
      <c r="U71" s="83"/>
      <c r="V71" s="79"/>
      <c r="W71" s="357"/>
      <c r="X71" s="79"/>
      <c r="Y71" s="357"/>
      <c r="Z71" s="79"/>
      <c r="AA71" s="357"/>
      <c r="AB71" s="71"/>
      <c r="AC71" s="83"/>
      <c r="AD71" s="79"/>
      <c r="AE71" s="357"/>
      <c r="AF71" s="79"/>
      <c r="AG71" s="357"/>
      <c r="AH71" s="79"/>
      <c r="AI71" s="357"/>
      <c r="AJ71" s="79"/>
      <c r="AK71" s="357"/>
      <c r="AL71" s="79"/>
      <c r="AM71" s="357"/>
      <c r="AN71" s="79"/>
      <c r="AO71" s="357"/>
      <c r="AP71" s="71"/>
      <c r="AQ71" s="83"/>
      <c r="AR71" s="79"/>
      <c r="AS71" s="357"/>
      <c r="AT71" s="79"/>
      <c r="AU71" s="357"/>
      <c r="AV71" s="79"/>
      <c r="AW71" s="357"/>
      <c r="AX71" s="79"/>
      <c r="AY71" s="357"/>
      <c r="AZ71" s="79"/>
      <c r="BA71" s="357"/>
      <c r="BB71" s="79"/>
      <c r="BC71" s="357"/>
      <c r="BD71" s="71"/>
      <c r="BE71" s="83"/>
      <c r="BF71" s="79"/>
      <c r="BG71" s="357"/>
      <c r="BH71" s="79"/>
      <c r="BI71" s="357"/>
      <c r="BJ71" s="79"/>
      <c r="BK71" s="357"/>
      <c r="BL71" s="79"/>
      <c r="BM71" s="357"/>
      <c r="BN71" s="28">
        <f t="shared" si="5"/>
        <v>0</v>
      </c>
      <c r="BO71" s="29">
        <f t="shared" si="6"/>
        <v>0</v>
      </c>
    </row>
    <row r="72" spans="1:67" ht="15" customHeight="1" x14ac:dyDescent="0.35">
      <c r="A72" s="24"/>
      <c r="B72" s="683" t="s">
        <v>93</v>
      </c>
      <c r="C72" s="684"/>
      <c r="D72" s="79"/>
      <c r="E72" s="357"/>
      <c r="F72" s="79"/>
      <c r="G72" s="357"/>
      <c r="H72" s="79"/>
      <c r="I72" s="357"/>
      <c r="J72" s="79"/>
      <c r="K72" s="357"/>
      <c r="L72" s="71"/>
      <c r="M72" s="83"/>
      <c r="N72" s="71"/>
      <c r="O72" s="83"/>
      <c r="P72" s="71"/>
      <c r="Q72" s="83"/>
      <c r="R72" s="71"/>
      <c r="S72" s="83"/>
      <c r="T72" s="71"/>
      <c r="U72" s="83"/>
      <c r="V72" s="79"/>
      <c r="W72" s="357"/>
      <c r="X72" s="79"/>
      <c r="Y72" s="357"/>
      <c r="Z72" s="79"/>
      <c r="AA72" s="357"/>
      <c r="AB72" s="71"/>
      <c r="AC72" s="83"/>
      <c r="AD72" s="79"/>
      <c r="AE72" s="357"/>
      <c r="AF72" s="79"/>
      <c r="AG72" s="357"/>
      <c r="AH72" s="79"/>
      <c r="AI72" s="357"/>
      <c r="AJ72" s="79"/>
      <c r="AK72" s="357"/>
      <c r="AL72" s="79"/>
      <c r="AM72" s="357"/>
      <c r="AN72" s="79"/>
      <c r="AO72" s="357"/>
      <c r="AP72" s="71"/>
      <c r="AQ72" s="83"/>
      <c r="AR72" s="79"/>
      <c r="AS72" s="357"/>
      <c r="AT72" s="79"/>
      <c r="AU72" s="357"/>
      <c r="AV72" s="79"/>
      <c r="AW72" s="357"/>
      <c r="AX72" s="79"/>
      <c r="AY72" s="357"/>
      <c r="AZ72" s="79"/>
      <c r="BA72" s="357"/>
      <c r="BB72" s="79"/>
      <c r="BC72" s="357"/>
      <c r="BD72" s="71"/>
      <c r="BE72" s="83"/>
      <c r="BF72" s="79"/>
      <c r="BG72" s="357"/>
      <c r="BH72" s="79"/>
      <c r="BI72" s="357"/>
      <c r="BJ72" s="79"/>
      <c r="BK72" s="357"/>
      <c r="BL72" s="79"/>
      <c r="BM72" s="357"/>
      <c r="BN72" s="28">
        <f t="shared" si="5"/>
        <v>0</v>
      </c>
      <c r="BO72" s="29">
        <f t="shared" si="6"/>
        <v>0</v>
      </c>
    </row>
    <row r="73" spans="1:67" ht="15" customHeight="1" x14ac:dyDescent="0.35">
      <c r="A73" s="24"/>
      <c r="B73" s="683" t="s">
        <v>95</v>
      </c>
      <c r="C73" s="684"/>
      <c r="D73" s="79"/>
      <c r="E73" s="357"/>
      <c r="F73" s="79"/>
      <c r="G73" s="357"/>
      <c r="H73" s="79"/>
      <c r="I73" s="357"/>
      <c r="J73" s="79"/>
      <c r="K73" s="357"/>
      <c r="L73" s="71"/>
      <c r="M73" s="83"/>
      <c r="N73" s="71"/>
      <c r="O73" s="83"/>
      <c r="P73" s="71"/>
      <c r="Q73" s="83"/>
      <c r="R73" s="71"/>
      <c r="S73" s="83"/>
      <c r="T73" s="71"/>
      <c r="U73" s="83"/>
      <c r="V73" s="79"/>
      <c r="W73" s="357"/>
      <c r="X73" s="79"/>
      <c r="Y73" s="357"/>
      <c r="Z73" s="79"/>
      <c r="AA73" s="357"/>
      <c r="AB73" s="71"/>
      <c r="AC73" s="83"/>
      <c r="AD73" s="79"/>
      <c r="AE73" s="357"/>
      <c r="AF73" s="79"/>
      <c r="AG73" s="357"/>
      <c r="AH73" s="79"/>
      <c r="AI73" s="357"/>
      <c r="AJ73" s="79"/>
      <c r="AK73" s="357"/>
      <c r="AL73" s="79"/>
      <c r="AM73" s="357"/>
      <c r="AN73" s="79"/>
      <c r="AO73" s="357"/>
      <c r="AP73" s="71"/>
      <c r="AQ73" s="83"/>
      <c r="AR73" s="79"/>
      <c r="AS73" s="357"/>
      <c r="AT73" s="79"/>
      <c r="AU73" s="357"/>
      <c r="AV73" s="79"/>
      <c r="AW73" s="357"/>
      <c r="AX73" s="79"/>
      <c r="AY73" s="357"/>
      <c r="AZ73" s="79"/>
      <c r="BA73" s="357"/>
      <c r="BB73" s="79"/>
      <c r="BC73" s="357"/>
      <c r="BD73" s="71"/>
      <c r="BE73" s="83"/>
      <c r="BF73" s="79"/>
      <c r="BG73" s="357"/>
      <c r="BH73" s="79"/>
      <c r="BI73" s="357"/>
      <c r="BJ73" s="79"/>
      <c r="BK73" s="357"/>
      <c r="BL73" s="79"/>
      <c r="BM73" s="357"/>
      <c r="BN73" s="28">
        <f t="shared" si="5"/>
        <v>0</v>
      </c>
      <c r="BO73" s="29">
        <f t="shared" si="6"/>
        <v>0</v>
      </c>
    </row>
    <row r="74" spans="1:67" ht="15" customHeight="1" x14ac:dyDescent="0.35">
      <c r="A74" s="24"/>
      <c r="B74" s="683" t="s">
        <v>97</v>
      </c>
      <c r="C74" s="684"/>
      <c r="D74" s="79"/>
      <c r="E74" s="357"/>
      <c r="F74" s="79"/>
      <c r="G74" s="357"/>
      <c r="H74" s="79"/>
      <c r="I74" s="357"/>
      <c r="J74" s="79"/>
      <c r="K74" s="357"/>
      <c r="L74" s="71"/>
      <c r="M74" s="83"/>
      <c r="N74" s="71"/>
      <c r="O74" s="83"/>
      <c r="P74" s="71"/>
      <c r="Q74" s="83"/>
      <c r="R74" s="71"/>
      <c r="S74" s="83"/>
      <c r="T74" s="71"/>
      <c r="U74" s="83"/>
      <c r="V74" s="79"/>
      <c r="W74" s="357"/>
      <c r="X74" s="79"/>
      <c r="Y74" s="357"/>
      <c r="Z74" s="79"/>
      <c r="AA74" s="357"/>
      <c r="AB74" s="71"/>
      <c r="AC74" s="83"/>
      <c r="AD74" s="79"/>
      <c r="AE74" s="357"/>
      <c r="AF74" s="79"/>
      <c r="AG74" s="357"/>
      <c r="AH74" s="79"/>
      <c r="AI74" s="357"/>
      <c r="AJ74" s="79"/>
      <c r="AK74" s="357"/>
      <c r="AL74" s="79"/>
      <c r="AM74" s="357"/>
      <c r="AN74" s="79"/>
      <c r="AO74" s="357"/>
      <c r="AP74" s="71"/>
      <c r="AQ74" s="83"/>
      <c r="AR74" s="79"/>
      <c r="AS74" s="357"/>
      <c r="AT74" s="79"/>
      <c r="AU74" s="357"/>
      <c r="AV74" s="79"/>
      <c r="AW74" s="357"/>
      <c r="AX74" s="79"/>
      <c r="AY74" s="357"/>
      <c r="AZ74" s="79"/>
      <c r="BA74" s="357"/>
      <c r="BB74" s="79"/>
      <c r="BC74" s="357"/>
      <c r="BD74" s="71"/>
      <c r="BE74" s="83"/>
      <c r="BF74" s="79"/>
      <c r="BG74" s="357"/>
      <c r="BH74" s="79"/>
      <c r="BI74" s="357"/>
      <c r="BJ74" s="79"/>
      <c r="BK74" s="357"/>
      <c r="BL74" s="79"/>
      <c r="BM74" s="357"/>
      <c r="BN74" s="28">
        <f t="shared" si="5"/>
        <v>0</v>
      </c>
      <c r="BO74" s="29">
        <f t="shared" si="6"/>
        <v>0</v>
      </c>
    </row>
    <row r="75" spans="1:67" ht="15" customHeight="1" x14ac:dyDescent="0.35">
      <c r="A75" s="24"/>
      <c r="B75" s="683" t="s">
        <v>99</v>
      </c>
      <c r="C75" s="684"/>
      <c r="D75" s="79"/>
      <c r="E75" s="357"/>
      <c r="F75" s="79"/>
      <c r="G75" s="357"/>
      <c r="H75" s="79"/>
      <c r="I75" s="357"/>
      <c r="J75" s="79"/>
      <c r="K75" s="357"/>
      <c r="L75" s="71"/>
      <c r="M75" s="83"/>
      <c r="N75" s="71"/>
      <c r="O75" s="83"/>
      <c r="P75" s="71"/>
      <c r="Q75" s="83"/>
      <c r="R75" s="71"/>
      <c r="S75" s="83"/>
      <c r="T75" s="71"/>
      <c r="U75" s="83"/>
      <c r="V75" s="79"/>
      <c r="W75" s="357"/>
      <c r="X75" s="79"/>
      <c r="Y75" s="357"/>
      <c r="Z75" s="79"/>
      <c r="AA75" s="357"/>
      <c r="AB75" s="71"/>
      <c r="AC75" s="83"/>
      <c r="AD75" s="79"/>
      <c r="AE75" s="357"/>
      <c r="AF75" s="79"/>
      <c r="AG75" s="357"/>
      <c r="AH75" s="79"/>
      <c r="AI75" s="357"/>
      <c r="AJ75" s="79"/>
      <c r="AK75" s="357"/>
      <c r="AL75" s="79"/>
      <c r="AM75" s="357"/>
      <c r="AN75" s="79"/>
      <c r="AO75" s="357"/>
      <c r="AP75" s="71"/>
      <c r="AQ75" s="83"/>
      <c r="AR75" s="79"/>
      <c r="AS75" s="357"/>
      <c r="AT75" s="79"/>
      <c r="AU75" s="357"/>
      <c r="AV75" s="79"/>
      <c r="AW75" s="357"/>
      <c r="AX75" s="79"/>
      <c r="AY75" s="357"/>
      <c r="AZ75" s="79"/>
      <c r="BA75" s="357"/>
      <c r="BB75" s="79"/>
      <c r="BC75" s="357"/>
      <c r="BD75" s="71"/>
      <c r="BE75" s="83"/>
      <c r="BF75" s="79"/>
      <c r="BG75" s="357"/>
      <c r="BH75" s="79"/>
      <c r="BI75" s="357"/>
      <c r="BJ75" s="79"/>
      <c r="BK75" s="357"/>
      <c r="BL75" s="79"/>
      <c r="BM75" s="357"/>
      <c r="BN75" s="28">
        <f t="shared" si="5"/>
        <v>0</v>
      </c>
      <c r="BO75" s="29">
        <f t="shared" si="6"/>
        <v>0</v>
      </c>
    </row>
    <row r="76" spans="1:67" ht="15" customHeight="1" x14ac:dyDescent="0.35">
      <c r="A76" s="24"/>
      <c r="B76" s="683" t="s">
        <v>101</v>
      </c>
      <c r="C76" s="684"/>
      <c r="D76" s="79"/>
      <c r="E76" s="357"/>
      <c r="F76" s="79"/>
      <c r="G76" s="357"/>
      <c r="H76" s="79"/>
      <c r="I76" s="357"/>
      <c r="J76" s="79"/>
      <c r="K76" s="357"/>
      <c r="L76" s="71"/>
      <c r="M76" s="83"/>
      <c r="N76" s="71"/>
      <c r="O76" s="83"/>
      <c r="P76" s="71"/>
      <c r="Q76" s="83"/>
      <c r="R76" s="71"/>
      <c r="S76" s="83"/>
      <c r="T76" s="71"/>
      <c r="U76" s="83"/>
      <c r="V76" s="79"/>
      <c r="W76" s="357"/>
      <c r="X76" s="79"/>
      <c r="Y76" s="357"/>
      <c r="Z76" s="79"/>
      <c r="AA76" s="357"/>
      <c r="AB76" s="71"/>
      <c r="AC76" s="83"/>
      <c r="AD76" s="79"/>
      <c r="AE76" s="357"/>
      <c r="AF76" s="79"/>
      <c r="AG76" s="357"/>
      <c r="AH76" s="79"/>
      <c r="AI76" s="357"/>
      <c r="AJ76" s="79"/>
      <c r="AK76" s="357"/>
      <c r="AL76" s="79"/>
      <c r="AM76" s="357"/>
      <c r="AN76" s="79"/>
      <c r="AO76" s="357"/>
      <c r="AP76" s="71"/>
      <c r="AQ76" s="83"/>
      <c r="AR76" s="79"/>
      <c r="AS76" s="357"/>
      <c r="AT76" s="79"/>
      <c r="AU76" s="357"/>
      <c r="AV76" s="79"/>
      <c r="AW76" s="357"/>
      <c r="AX76" s="79"/>
      <c r="AY76" s="357"/>
      <c r="AZ76" s="79"/>
      <c r="BA76" s="357"/>
      <c r="BB76" s="79"/>
      <c r="BC76" s="357"/>
      <c r="BD76" s="71"/>
      <c r="BE76" s="83"/>
      <c r="BF76" s="79"/>
      <c r="BG76" s="357"/>
      <c r="BH76" s="79"/>
      <c r="BI76" s="357"/>
      <c r="BJ76" s="79"/>
      <c r="BK76" s="357"/>
      <c r="BL76" s="79"/>
      <c r="BM76" s="357"/>
      <c r="BN76" s="28">
        <f t="shared" si="5"/>
        <v>0</v>
      </c>
      <c r="BO76" s="29">
        <f t="shared" si="6"/>
        <v>0</v>
      </c>
    </row>
    <row r="77" spans="1:67" ht="15" customHeight="1" x14ac:dyDescent="0.35">
      <c r="A77" s="24"/>
      <c r="B77" s="683" t="s">
        <v>60</v>
      </c>
      <c r="C77" s="684"/>
      <c r="D77" s="79"/>
      <c r="E77" s="357"/>
      <c r="F77" s="79"/>
      <c r="G77" s="357"/>
      <c r="H77" s="79"/>
      <c r="I77" s="357"/>
      <c r="J77" s="79"/>
      <c r="K77" s="357"/>
      <c r="L77" s="71"/>
      <c r="M77" s="83"/>
      <c r="N77" s="71"/>
      <c r="O77" s="83"/>
      <c r="P77" s="71"/>
      <c r="Q77" s="83"/>
      <c r="R77" s="71"/>
      <c r="S77" s="83"/>
      <c r="T77" s="71"/>
      <c r="U77" s="83"/>
      <c r="V77" s="79"/>
      <c r="W77" s="357"/>
      <c r="X77" s="79"/>
      <c r="Y77" s="357"/>
      <c r="Z77" s="79"/>
      <c r="AA77" s="357"/>
      <c r="AB77" s="71"/>
      <c r="AC77" s="83"/>
      <c r="AD77" s="79"/>
      <c r="AE77" s="357"/>
      <c r="AF77" s="79"/>
      <c r="AG77" s="357"/>
      <c r="AH77" s="79"/>
      <c r="AI77" s="357"/>
      <c r="AJ77" s="79"/>
      <c r="AK77" s="357"/>
      <c r="AL77" s="79"/>
      <c r="AM77" s="357"/>
      <c r="AN77" s="79"/>
      <c r="AO77" s="357"/>
      <c r="AP77" s="71"/>
      <c r="AQ77" s="83"/>
      <c r="AR77" s="79"/>
      <c r="AS77" s="357"/>
      <c r="AT77" s="79"/>
      <c r="AU77" s="357"/>
      <c r="AV77" s="79"/>
      <c r="AW77" s="357"/>
      <c r="AX77" s="79"/>
      <c r="AY77" s="357"/>
      <c r="AZ77" s="79"/>
      <c r="BA77" s="357"/>
      <c r="BB77" s="79"/>
      <c r="BC77" s="357"/>
      <c r="BD77" s="71"/>
      <c r="BE77" s="83"/>
      <c r="BF77" s="79"/>
      <c r="BG77" s="357"/>
      <c r="BH77" s="79"/>
      <c r="BI77" s="357"/>
      <c r="BJ77" s="79"/>
      <c r="BK77" s="357"/>
      <c r="BL77" s="79"/>
      <c r="BM77" s="357"/>
      <c r="BN77" s="28">
        <f t="shared" si="5"/>
        <v>0</v>
      </c>
      <c r="BO77" s="29">
        <f t="shared" si="6"/>
        <v>0</v>
      </c>
    </row>
    <row r="78" spans="1:67" ht="15" customHeight="1" x14ac:dyDescent="0.35">
      <c r="A78" s="24"/>
      <c r="B78" s="683" t="s">
        <v>103</v>
      </c>
      <c r="C78" s="684"/>
      <c r="D78" s="79"/>
      <c r="E78" s="357"/>
      <c r="F78" s="79"/>
      <c r="G78" s="357"/>
      <c r="H78" s="79"/>
      <c r="I78" s="357"/>
      <c r="J78" s="79"/>
      <c r="K78" s="357"/>
      <c r="L78" s="71"/>
      <c r="M78" s="83"/>
      <c r="N78" s="71"/>
      <c r="O78" s="83"/>
      <c r="P78" s="71"/>
      <c r="Q78" s="83"/>
      <c r="R78" s="71"/>
      <c r="S78" s="83"/>
      <c r="T78" s="71"/>
      <c r="U78" s="83"/>
      <c r="V78" s="79"/>
      <c r="W78" s="357"/>
      <c r="X78" s="79"/>
      <c r="Y78" s="357"/>
      <c r="Z78" s="79"/>
      <c r="AA78" s="357"/>
      <c r="AB78" s="71"/>
      <c r="AC78" s="83"/>
      <c r="AD78" s="79"/>
      <c r="AE78" s="357"/>
      <c r="AF78" s="79"/>
      <c r="AG78" s="357"/>
      <c r="AH78" s="79"/>
      <c r="AI78" s="357"/>
      <c r="AJ78" s="79"/>
      <c r="AK78" s="357"/>
      <c r="AL78" s="79"/>
      <c r="AM78" s="357"/>
      <c r="AN78" s="79"/>
      <c r="AO78" s="357"/>
      <c r="AP78" s="71"/>
      <c r="AQ78" s="83"/>
      <c r="AR78" s="79"/>
      <c r="AS78" s="357"/>
      <c r="AT78" s="79"/>
      <c r="AU78" s="357"/>
      <c r="AV78" s="79"/>
      <c r="AW78" s="357"/>
      <c r="AX78" s="79"/>
      <c r="AY78" s="357"/>
      <c r="AZ78" s="79"/>
      <c r="BA78" s="357"/>
      <c r="BB78" s="79"/>
      <c r="BC78" s="357"/>
      <c r="BD78" s="71"/>
      <c r="BE78" s="83"/>
      <c r="BF78" s="79"/>
      <c r="BG78" s="357"/>
      <c r="BH78" s="79"/>
      <c r="BI78" s="357"/>
      <c r="BJ78" s="79"/>
      <c r="BK78" s="357"/>
      <c r="BL78" s="79"/>
      <c r="BM78" s="357"/>
      <c r="BN78" s="28">
        <f t="shared" si="5"/>
        <v>0</v>
      </c>
      <c r="BO78" s="29">
        <f t="shared" si="6"/>
        <v>0</v>
      </c>
    </row>
    <row r="79" spans="1:67" ht="15" customHeight="1" x14ac:dyDescent="0.35">
      <c r="A79" s="24"/>
      <c r="B79" s="683" t="s">
        <v>106</v>
      </c>
      <c r="C79" s="684"/>
      <c r="D79" s="79"/>
      <c r="E79" s="357"/>
      <c r="F79" s="79"/>
      <c r="G79" s="357"/>
      <c r="H79" s="79"/>
      <c r="I79" s="357"/>
      <c r="J79" s="79"/>
      <c r="K79" s="357"/>
      <c r="L79" s="71"/>
      <c r="M79" s="83"/>
      <c r="N79" s="71"/>
      <c r="O79" s="83"/>
      <c r="P79" s="71"/>
      <c r="Q79" s="83"/>
      <c r="R79" s="71"/>
      <c r="S79" s="83"/>
      <c r="T79" s="71"/>
      <c r="U79" s="83"/>
      <c r="V79" s="79"/>
      <c r="W79" s="357"/>
      <c r="X79" s="79"/>
      <c r="Y79" s="357"/>
      <c r="Z79" s="79"/>
      <c r="AA79" s="357"/>
      <c r="AB79" s="71"/>
      <c r="AC79" s="83"/>
      <c r="AD79" s="79"/>
      <c r="AE79" s="357"/>
      <c r="AF79" s="79"/>
      <c r="AG79" s="357"/>
      <c r="AH79" s="79"/>
      <c r="AI79" s="357"/>
      <c r="AJ79" s="79"/>
      <c r="AK79" s="357"/>
      <c r="AL79" s="79"/>
      <c r="AM79" s="357"/>
      <c r="AN79" s="79"/>
      <c r="AO79" s="357"/>
      <c r="AP79" s="71"/>
      <c r="AQ79" s="83"/>
      <c r="AR79" s="79"/>
      <c r="AS79" s="357"/>
      <c r="AT79" s="79"/>
      <c r="AU79" s="357"/>
      <c r="AV79" s="79"/>
      <c r="AW79" s="357"/>
      <c r="AX79" s="79"/>
      <c r="AY79" s="357"/>
      <c r="AZ79" s="79"/>
      <c r="BA79" s="357"/>
      <c r="BB79" s="79"/>
      <c r="BC79" s="357"/>
      <c r="BD79" s="71"/>
      <c r="BE79" s="83"/>
      <c r="BF79" s="79"/>
      <c r="BG79" s="357"/>
      <c r="BH79" s="79"/>
      <c r="BI79" s="357"/>
      <c r="BJ79" s="79"/>
      <c r="BK79" s="357"/>
      <c r="BL79" s="79"/>
      <c r="BM79" s="357"/>
      <c r="BN79" s="28">
        <f t="shared" si="5"/>
        <v>0</v>
      </c>
      <c r="BO79" s="29">
        <f t="shared" si="6"/>
        <v>0</v>
      </c>
    </row>
    <row r="80" spans="1:67" ht="15" customHeight="1" x14ac:dyDescent="0.35">
      <c r="A80" s="24"/>
      <c r="B80" s="683" t="s">
        <v>108</v>
      </c>
      <c r="C80" s="684"/>
      <c r="D80" s="79"/>
      <c r="E80" s="357"/>
      <c r="F80" s="79"/>
      <c r="G80" s="357"/>
      <c r="H80" s="79"/>
      <c r="I80" s="357"/>
      <c r="J80" s="79"/>
      <c r="K80" s="357"/>
      <c r="L80" s="71"/>
      <c r="M80" s="83"/>
      <c r="N80" s="71"/>
      <c r="O80" s="83"/>
      <c r="P80" s="71"/>
      <c r="Q80" s="83"/>
      <c r="R80" s="71"/>
      <c r="S80" s="83"/>
      <c r="T80" s="71"/>
      <c r="U80" s="83"/>
      <c r="V80" s="79"/>
      <c r="W80" s="357"/>
      <c r="X80" s="79"/>
      <c r="Y80" s="357"/>
      <c r="Z80" s="79"/>
      <c r="AA80" s="357"/>
      <c r="AB80" s="71"/>
      <c r="AC80" s="83"/>
      <c r="AD80" s="79"/>
      <c r="AE80" s="357"/>
      <c r="AF80" s="79"/>
      <c r="AG80" s="357"/>
      <c r="AH80" s="79"/>
      <c r="AI80" s="357"/>
      <c r="AJ80" s="79"/>
      <c r="AK80" s="357"/>
      <c r="AL80" s="79"/>
      <c r="AM80" s="357"/>
      <c r="AN80" s="79"/>
      <c r="AO80" s="357"/>
      <c r="AP80" s="71"/>
      <c r="AQ80" s="83"/>
      <c r="AR80" s="79"/>
      <c r="AS80" s="357"/>
      <c r="AT80" s="79"/>
      <c r="AU80" s="357"/>
      <c r="AV80" s="79"/>
      <c r="AW80" s="357"/>
      <c r="AX80" s="79"/>
      <c r="AY80" s="357"/>
      <c r="AZ80" s="79"/>
      <c r="BA80" s="357"/>
      <c r="BB80" s="79"/>
      <c r="BC80" s="357"/>
      <c r="BD80" s="71"/>
      <c r="BE80" s="83"/>
      <c r="BF80" s="79"/>
      <c r="BG80" s="357"/>
      <c r="BH80" s="79"/>
      <c r="BI80" s="357"/>
      <c r="BJ80" s="79"/>
      <c r="BK80" s="357"/>
      <c r="BL80" s="79"/>
      <c r="BM80" s="357"/>
      <c r="BN80" s="28">
        <f t="shared" si="5"/>
        <v>0</v>
      </c>
      <c r="BO80" s="29">
        <f t="shared" si="6"/>
        <v>0</v>
      </c>
    </row>
    <row r="81" spans="1:67" ht="15" customHeight="1" x14ac:dyDescent="0.35">
      <c r="A81" s="24"/>
      <c r="B81" s="683" t="s">
        <v>275</v>
      </c>
      <c r="C81" s="684"/>
      <c r="D81" s="79"/>
      <c r="E81" s="357"/>
      <c r="F81" s="79"/>
      <c r="G81" s="357"/>
      <c r="H81" s="79"/>
      <c r="I81" s="357"/>
      <c r="J81" s="79"/>
      <c r="K81" s="357"/>
      <c r="L81" s="71"/>
      <c r="M81" s="83"/>
      <c r="N81" s="71"/>
      <c r="O81" s="83"/>
      <c r="P81" s="71"/>
      <c r="Q81" s="83"/>
      <c r="R81" s="71"/>
      <c r="S81" s="83"/>
      <c r="T81" s="71"/>
      <c r="U81" s="83"/>
      <c r="V81" s="79"/>
      <c r="W81" s="357"/>
      <c r="X81" s="79"/>
      <c r="Y81" s="357"/>
      <c r="Z81" s="79"/>
      <c r="AA81" s="357"/>
      <c r="AB81" s="71"/>
      <c r="AC81" s="83"/>
      <c r="AD81" s="79"/>
      <c r="AE81" s="357"/>
      <c r="AF81" s="79"/>
      <c r="AG81" s="357"/>
      <c r="AH81" s="79"/>
      <c r="AI81" s="357"/>
      <c r="AJ81" s="79"/>
      <c r="AK81" s="357"/>
      <c r="AL81" s="79"/>
      <c r="AM81" s="357"/>
      <c r="AN81" s="79"/>
      <c r="AO81" s="357"/>
      <c r="AP81" s="71"/>
      <c r="AQ81" s="83"/>
      <c r="AR81" s="79"/>
      <c r="AS81" s="357"/>
      <c r="AT81" s="79"/>
      <c r="AU81" s="357"/>
      <c r="AV81" s="79"/>
      <c r="AW81" s="357"/>
      <c r="AX81" s="79"/>
      <c r="AY81" s="357"/>
      <c r="AZ81" s="79"/>
      <c r="BA81" s="357"/>
      <c r="BB81" s="79"/>
      <c r="BC81" s="357"/>
      <c r="BD81" s="71"/>
      <c r="BE81" s="83"/>
      <c r="BF81" s="79"/>
      <c r="BG81" s="357"/>
      <c r="BH81" s="79"/>
      <c r="BI81" s="357"/>
      <c r="BJ81" s="79"/>
      <c r="BK81" s="357"/>
      <c r="BL81" s="79"/>
      <c r="BM81" s="357"/>
      <c r="BN81" s="28">
        <f t="shared" si="5"/>
        <v>0</v>
      </c>
      <c r="BO81" s="29">
        <f t="shared" si="6"/>
        <v>0</v>
      </c>
    </row>
    <row r="82" spans="1:67" ht="15" customHeight="1" x14ac:dyDescent="0.35">
      <c r="A82" s="24"/>
      <c r="B82" s="683" t="s">
        <v>276</v>
      </c>
      <c r="C82" s="684"/>
      <c r="D82" s="79"/>
      <c r="E82" s="357"/>
      <c r="F82" s="79"/>
      <c r="G82" s="357"/>
      <c r="H82" s="79"/>
      <c r="I82" s="357"/>
      <c r="J82" s="79"/>
      <c r="K82" s="357"/>
      <c r="L82" s="71"/>
      <c r="M82" s="83"/>
      <c r="N82" s="71"/>
      <c r="O82" s="83"/>
      <c r="P82" s="71"/>
      <c r="Q82" s="83"/>
      <c r="R82" s="71"/>
      <c r="S82" s="83"/>
      <c r="T82" s="71"/>
      <c r="U82" s="83"/>
      <c r="V82" s="79"/>
      <c r="W82" s="357"/>
      <c r="X82" s="79"/>
      <c r="Y82" s="357"/>
      <c r="Z82" s="79"/>
      <c r="AA82" s="357"/>
      <c r="AB82" s="71"/>
      <c r="AC82" s="83"/>
      <c r="AD82" s="79"/>
      <c r="AE82" s="357"/>
      <c r="AF82" s="79"/>
      <c r="AG82" s="357"/>
      <c r="AH82" s="79"/>
      <c r="AI82" s="357"/>
      <c r="AJ82" s="79"/>
      <c r="AK82" s="357"/>
      <c r="AL82" s="79"/>
      <c r="AM82" s="357"/>
      <c r="AN82" s="79"/>
      <c r="AO82" s="357"/>
      <c r="AP82" s="71"/>
      <c r="AQ82" s="83"/>
      <c r="AR82" s="79"/>
      <c r="AS82" s="357"/>
      <c r="AT82" s="79"/>
      <c r="AU82" s="357"/>
      <c r="AV82" s="79"/>
      <c r="AW82" s="357"/>
      <c r="AX82" s="79"/>
      <c r="AY82" s="357"/>
      <c r="AZ82" s="79"/>
      <c r="BA82" s="357"/>
      <c r="BB82" s="79"/>
      <c r="BC82" s="357"/>
      <c r="BD82" s="71"/>
      <c r="BE82" s="83"/>
      <c r="BF82" s="79"/>
      <c r="BG82" s="357"/>
      <c r="BH82" s="79"/>
      <c r="BI82" s="357"/>
      <c r="BJ82" s="79"/>
      <c r="BK82" s="357"/>
      <c r="BL82" s="79"/>
      <c r="BM82" s="357"/>
      <c r="BN82" s="28">
        <f t="shared" si="5"/>
        <v>0</v>
      </c>
      <c r="BO82" s="29">
        <f t="shared" si="6"/>
        <v>0</v>
      </c>
    </row>
    <row r="83" spans="1:67" ht="15" customHeight="1" x14ac:dyDescent="0.35">
      <c r="A83" s="24"/>
      <c r="B83" s="683" t="s">
        <v>111</v>
      </c>
      <c r="C83" s="684"/>
      <c r="D83" s="79"/>
      <c r="E83" s="357"/>
      <c r="F83" s="79"/>
      <c r="G83" s="357"/>
      <c r="H83" s="79"/>
      <c r="I83" s="357"/>
      <c r="J83" s="79"/>
      <c r="K83" s="357"/>
      <c r="L83" s="71"/>
      <c r="M83" s="83"/>
      <c r="N83" s="71"/>
      <c r="O83" s="83"/>
      <c r="P83" s="71"/>
      <c r="Q83" s="83"/>
      <c r="R83" s="71"/>
      <c r="S83" s="83"/>
      <c r="T83" s="71"/>
      <c r="U83" s="83"/>
      <c r="V83" s="79"/>
      <c r="W83" s="357"/>
      <c r="X83" s="79"/>
      <c r="Y83" s="357"/>
      <c r="Z83" s="79"/>
      <c r="AA83" s="357"/>
      <c r="AB83" s="71"/>
      <c r="AC83" s="83"/>
      <c r="AD83" s="79"/>
      <c r="AE83" s="357"/>
      <c r="AF83" s="79"/>
      <c r="AG83" s="357"/>
      <c r="AH83" s="79"/>
      <c r="AI83" s="357"/>
      <c r="AJ83" s="79"/>
      <c r="AK83" s="357"/>
      <c r="AL83" s="79"/>
      <c r="AM83" s="357"/>
      <c r="AN83" s="79"/>
      <c r="AO83" s="357"/>
      <c r="AP83" s="71"/>
      <c r="AQ83" s="83"/>
      <c r="AR83" s="79"/>
      <c r="AS83" s="357"/>
      <c r="AT83" s="79"/>
      <c r="AU83" s="357"/>
      <c r="AV83" s="79"/>
      <c r="AW83" s="357"/>
      <c r="AX83" s="79"/>
      <c r="AY83" s="357"/>
      <c r="AZ83" s="79"/>
      <c r="BA83" s="357"/>
      <c r="BB83" s="79"/>
      <c r="BC83" s="357"/>
      <c r="BD83" s="71"/>
      <c r="BE83" s="83"/>
      <c r="BF83" s="79"/>
      <c r="BG83" s="357"/>
      <c r="BH83" s="79"/>
      <c r="BI83" s="357"/>
      <c r="BJ83" s="79"/>
      <c r="BK83" s="357"/>
      <c r="BL83" s="79"/>
      <c r="BM83" s="357"/>
      <c r="BN83" s="28">
        <f t="shared" si="5"/>
        <v>0</v>
      </c>
      <c r="BO83" s="29">
        <f t="shared" si="6"/>
        <v>0</v>
      </c>
    </row>
    <row r="84" spans="1:67" ht="15" customHeight="1" x14ac:dyDescent="0.35">
      <c r="A84" s="24"/>
      <c r="B84" s="683" t="s">
        <v>54</v>
      </c>
      <c r="C84" s="684"/>
      <c r="D84" s="79"/>
      <c r="E84" s="357"/>
      <c r="F84" s="79"/>
      <c r="G84" s="357"/>
      <c r="H84" s="79"/>
      <c r="I84" s="357"/>
      <c r="J84" s="79"/>
      <c r="K84" s="357"/>
      <c r="L84" s="71"/>
      <c r="M84" s="83"/>
      <c r="N84" s="71"/>
      <c r="O84" s="83"/>
      <c r="P84" s="71"/>
      <c r="Q84" s="83"/>
      <c r="R84" s="71"/>
      <c r="S84" s="83"/>
      <c r="T84" s="71"/>
      <c r="U84" s="83"/>
      <c r="V84" s="79"/>
      <c r="W84" s="357"/>
      <c r="X84" s="79"/>
      <c r="Y84" s="357"/>
      <c r="Z84" s="79"/>
      <c r="AA84" s="357"/>
      <c r="AB84" s="71"/>
      <c r="AC84" s="83"/>
      <c r="AD84" s="79"/>
      <c r="AE84" s="357"/>
      <c r="AF84" s="79"/>
      <c r="AG84" s="357"/>
      <c r="AH84" s="79"/>
      <c r="AI84" s="357"/>
      <c r="AJ84" s="79"/>
      <c r="AK84" s="357"/>
      <c r="AL84" s="79"/>
      <c r="AM84" s="357"/>
      <c r="AN84" s="79"/>
      <c r="AO84" s="357"/>
      <c r="AP84" s="71"/>
      <c r="AQ84" s="83"/>
      <c r="AR84" s="79"/>
      <c r="AS84" s="357"/>
      <c r="AT84" s="79"/>
      <c r="AU84" s="357"/>
      <c r="AV84" s="79"/>
      <c r="AW84" s="357"/>
      <c r="AX84" s="79"/>
      <c r="AY84" s="357"/>
      <c r="AZ84" s="79"/>
      <c r="BA84" s="357"/>
      <c r="BB84" s="79"/>
      <c r="BC84" s="357"/>
      <c r="BD84" s="71"/>
      <c r="BE84" s="83"/>
      <c r="BF84" s="79"/>
      <c r="BG84" s="357"/>
      <c r="BH84" s="79"/>
      <c r="BI84" s="357"/>
      <c r="BJ84" s="79"/>
      <c r="BK84" s="357"/>
      <c r="BL84" s="79"/>
      <c r="BM84" s="357"/>
      <c r="BN84" s="28">
        <f t="shared" si="5"/>
        <v>0</v>
      </c>
      <c r="BO84" s="29">
        <f t="shared" si="6"/>
        <v>0</v>
      </c>
    </row>
    <row r="85" spans="1:67" ht="15" customHeight="1" x14ac:dyDescent="0.35">
      <c r="A85" s="24"/>
      <c r="B85" s="683" t="s">
        <v>277</v>
      </c>
      <c r="C85" s="684"/>
      <c r="D85" s="79"/>
      <c r="E85" s="357"/>
      <c r="F85" s="79"/>
      <c r="G85" s="357"/>
      <c r="H85" s="79"/>
      <c r="I85" s="357"/>
      <c r="J85" s="79"/>
      <c r="K85" s="357"/>
      <c r="L85" s="71"/>
      <c r="M85" s="83"/>
      <c r="N85" s="71"/>
      <c r="O85" s="83"/>
      <c r="P85" s="71"/>
      <c r="Q85" s="83"/>
      <c r="R85" s="71"/>
      <c r="S85" s="83"/>
      <c r="T85" s="71"/>
      <c r="U85" s="83"/>
      <c r="V85" s="79"/>
      <c r="W85" s="357"/>
      <c r="X85" s="79"/>
      <c r="Y85" s="357"/>
      <c r="Z85" s="79"/>
      <c r="AA85" s="357"/>
      <c r="AB85" s="71"/>
      <c r="AC85" s="83"/>
      <c r="AD85" s="79"/>
      <c r="AE85" s="357"/>
      <c r="AF85" s="79"/>
      <c r="AG85" s="357"/>
      <c r="AH85" s="79"/>
      <c r="AI85" s="357"/>
      <c r="AJ85" s="79"/>
      <c r="AK85" s="357"/>
      <c r="AL85" s="79"/>
      <c r="AM85" s="357"/>
      <c r="AN85" s="79"/>
      <c r="AO85" s="357"/>
      <c r="AP85" s="71"/>
      <c r="AQ85" s="83"/>
      <c r="AR85" s="79"/>
      <c r="AS85" s="357"/>
      <c r="AT85" s="79"/>
      <c r="AU85" s="357"/>
      <c r="AV85" s="79"/>
      <c r="AW85" s="357"/>
      <c r="AX85" s="79"/>
      <c r="AY85" s="357"/>
      <c r="AZ85" s="79"/>
      <c r="BA85" s="357"/>
      <c r="BB85" s="79"/>
      <c r="BC85" s="357"/>
      <c r="BD85" s="71"/>
      <c r="BE85" s="83"/>
      <c r="BF85" s="79"/>
      <c r="BG85" s="357"/>
      <c r="BH85" s="79"/>
      <c r="BI85" s="357"/>
      <c r="BJ85" s="79"/>
      <c r="BK85" s="357"/>
      <c r="BL85" s="79"/>
      <c r="BM85" s="357"/>
      <c r="BN85" s="28">
        <f t="shared" si="5"/>
        <v>0</v>
      </c>
      <c r="BO85" s="29">
        <f t="shared" si="6"/>
        <v>0</v>
      </c>
    </row>
    <row r="86" spans="1:67" ht="15" customHeight="1" x14ac:dyDescent="0.35">
      <c r="A86" s="24"/>
      <c r="B86" s="683" t="s">
        <v>70</v>
      </c>
      <c r="C86" s="684"/>
      <c r="D86" s="79"/>
      <c r="E86" s="357"/>
      <c r="F86" s="79"/>
      <c r="G86" s="357"/>
      <c r="H86" s="79"/>
      <c r="I86" s="357"/>
      <c r="J86" s="79"/>
      <c r="K86" s="357"/>
      <c r="L86" s="71"/>
      <c r="M86" s="83"/>
      <c r="N86" s="71"/>
      <c r="O86" s="83"/>
      <c r="P86" s="71"/>
      <c r="Q86" s="83"/>
      <c r="R86" s="71"/>
      <c r="S86" s="83"/>
      <c r="T86" s="71"/>
      <c r="U86" s="83"/>
      <c r="V86" s="79"/>
      <c r="W86" s="357"/>
      <c r="X86" s="79"/>
      <c r="Y86" s="357"/>
      <c r="Z86" s="79"/>
      <c r="AA86" s="357"/>
      <c r="AB86" s="71"/>
      <c r="AC86" s="83"/>
      <c r="AD86" s="79"/>
      <c r="AE86" s="357"/>
      <c r="AF86" s="79"/>
      <c r="AG86" s="357"/>
      <c r="AH86" s="79"/>
      <c r="AI86" s="357"/>
      <c r="AJ86" s="79"/>
      <c r="AK86" s="357"/>
      <c r="AL86" s="79"/>
      <c r="AM86" s="357"/>
      <c r="AN86" s="79"/>
      <c r="AO86" s="357"/>
      <c r="AP86" s="71"/>
      <c r="AQ86" s="83"/>
      <c r="AR86" s="79"/>
      <c r="AS86" s="357"/>
      <c r="AT86" s="79"/>
      <c r="AU86" s="357"/>
      <c r="AV86" s="79"/>
      <c r="AW86" s="357"/>
      <c r="AX86" s="79"/>
      <c r="AY86" s="357"/>
      <c r="AZ86" s="79"/>
      <c r="BA86" s="357"/>
      <c r="BB86" s="79"/>
      <c r="BC86" s="357"/>
      <c r="BD86" s="71"/>
      <c r="BE86" s="83"/>
      <c r="BF86" s="79"/>
      <c r="BG86" s="357"/>
      <c r="BH86" s="79"/>
      <c r="BI86" s="357"/>
      <c r="BJ86" s="79"/>
      <c r="BK86" s="357"/>
      <c r="BL86" s="79"/>
      <c r="BM86" s="357"/>
      <c r="BN86" s="28">
        <f t="shared" si="5"/>
        <v>0</v>
      </c>
      <c r="BO86" s="29">
        <f t="shared" si="6"/>
        <v>0</v>
      </c>
    </row>
    <row r="87" spans="1:67" ht="15" customHeight="1" x14ac:dyDescent="0.35">
      <c r="A87" s="24"/>
      <c r="B87" s="683" t="s">
        <v>72</v>
      </c>
      <c r="C87" s="684"/>
      <c r="D87" s="79"/>
      <c r="E87" s="357"/>
      <c r="F87" s="79"/>
      <c r="G87" s="357"/>
      <c r="H87" s="79"/>
      <c r="I87" s="357"/>
      <c r="J87" s="79"/>
      <c r="K87" s="357"/>
      <c r="L87" s="71"/>
      <c r="M87" s="83"/>
      <c r="N87" s="71"/>
      <c r="O87" s="83"/>
      <c r="P87" s="71"/>
      <c r="Q87" s="83"/>
      <c r="R87" s="71"/>
      <c r="S87" s="83"/>
      <c r="T87" s="71"/>
      <c r="U87" s="83"/>
      <c r="V87" s="79"/>
      <c r="W87" s="357"/>
      <c r="X87" s="79"/>
      <c r="Y87" s="357"/>
      <c r="Z87" s="79"/>
      <c r="AA87" s="357"/>
      <c r="AB87" s="71"/>
      <c r="AC87" s="83"/>
      <c r="AD87" s="79"/>
      <c r="AE87" s="357"/>
      <c r="AF87" s="79"/>
      <c r="AG87" s="357"/>
      <c r="AH87" s="79"/>
      <c r="AI87" s="357"/>
      <c r="AJ87" s="79"/>
      <c r="AK87" s="357"/>
      <c r="AL87" s="79"/>
      <c r="AM87" s="357"/>
      <c r="AN87" s="79"/>
      <c r="AO87" s="357"/>
      <c r="AP87" s="71"/>
      <c r="AQ87" s="83"/>
      <c r="AR87" s="79"/>
      <c r="AS87" s="357"/>
      <c r="AT87" s="79"/>
      <c r="AU87" s="357"/>
      <c r="AV87" s="79"/>
      <c r="AW87" s="357"/>
      <c r="AX87" s="79"/>
      <c r="AY87" s="357"/>
      <c r="AZ87" s="79"/>
      <c r="BA87" s="357"/>
      <c r="BB87" s="79"/>
      <c r="BC87" s="357"/>
      <c r="BD87" s="71"/>
      <c r="BE87" s="83"/>
      <c r="BF87" s="79"/>
      <c r="BG87" s="357"/>
      <c r="BH87" s="79"/>
      <c r="BI87" s="357"/>
      <c r="BJ87" s="79"/>
      <c r="BK87" s="357"/>
      <c r="BL87" s="79"/>
      <c r="BM87" s="357"/>
      <c r="BN87" s="28">
        <f t="shared" si="5"/>
        <v>0</v>
      </c>
      <c r="BO87" s="29">
        <f t="shared" si="6"/>
        <v>0</v>
      </c>
    </row>
    <row r="88" spans="1:67" ht="15" customHeight="1" x14ac:dyDescent="0.35">
      <c r="A88" s="24"/>
      <c r="B88" s="683" t="s">
        <v>74</v>
      </c>
      <c r="C88" s="684"/>
      <c r="D88" s="79"/>
      <c r="E88" s="357"/>
      <c r="F88" s="79"/>
      <c r="G88" s="357"/>
      <c r="H88" s="79"/>
      <c r="I88" s="357"/>
      <c r="J88" s="79"/>
      <c r="K88" s="357"/>
      <c r="L88" s="71"/>
      <c r="M88" s="83"/>
      <c r="N88" s="71"/>
      <c r="O88" s="83"/>
      <c r="P88" s="71"/>
      <c r="Q88" s="83"/>
      <c r="R88" s="71"/>
      <c r="S88" s="83"/>
      <c r="T88" s="71"/>
      <c r="U88" s="83"/>
      <c r="V88" s="79"/>
      <c r="W88" s="357"/>
      <c r="X88" s="79"/>
      <c r="Y88" s="357"/>
      <c r="Z88" s="79"/>
      <c r="AA88" s="357"/>
      <c r="AB88" s="71"/>
      <c r="AC88" s="83"/>
      <c r="AD88" s="79"/>
      <c r="AE88" s="357"/>
      <c r="AF88" s="79"/>
      <c r="AG88" s="357"/>
      <c r="AH88" s="79"/>
      <c r="AI88" s="357"/>
      <c r="AJ88" s="79"/>
      <c r="AK88" s="357"/>
      <c r="AL88" s="79"/>
      <c r="AM88" s="357"/>
      <c r="AN88" s="79"/>
      <c r="AO88" s="357"/>
      <c r="AP88" s="71"/>
      <c r="AQ88" s="83"/>
      <c r="AR88" s="79"/>
      <c r="AS88" s="357"/>
      <c r="AT88" s="79"/>
      <c r="AU88" s="357"/>
      <c r="AV88" s="79"/>
      <c r="AW88" s="357"/>
      <c r="AX88" s="79"/>
      <c r="AY88" s="357"/>
      <c r="AZ88" s="79"/>
      <c r="BA88" s="357"/>
      <c r="BB88" s="79"/>
      <c r="BC88" s="357"/>
      <c r="BD88" s="71"/>
      <c r="BE88" s="83"/>
      <c r="BF88" s="79"/>
      <c r="BG88" s="357"/>
      <c r="BH88" s="79"/>
      <c r="BI88" s="357"/>
      <c r="BJ88" s="79"/>
      <c r="BK88" s="357"/>
      <c r="BL88" s="79"/>
      <c r="BM88" s="357"/>
      <c r="BN88" s="28">
        <f t="shared" si="5"/>
        <v>0</v>
      </c>
      <c r="BO88" s="29">
        <f t="shared" si="6"/>
        <v>0</v>
      </c>
    </row>
    <row r="89" spans="1:67" ht="15" customHeight="1" x14ac:dyDescent="0.35">
      <c r="A89" s="24"/>
      <c r="B89" s="683" t="s">
        <v>76</v>
      </c>
      <c r="C89" s="684"/>
      <c r="D89" s="79"/>
      <c r="E89" s="357"/>
      <c r="F89" s="79"/>
      <c r="G89" s="357"/>
      <c r="H89" s="79"/>
      <c r="I89" s="357"/>
      <c r="J89" s="79"/>
      <c r="K89" s="357"/>
      <c r="L89" s="71"/>
      <c r="M89" s="83"/>
      <c r="N89" s="71"/>
      <c r="O89" s="83"/>
      <c r="P89" s="71"/>
      <c r="Q89" s="83"/>
      <c r="R89" s="71"/>
      <c r="S89" s="83"/>
      <c r="T89" s="71"/>
      <c r="U89" s="83"/>
      <c r="V89" s="79"/>
      <c r="W89" s="357"/>
      <c r="X89" s="79"/>
      <c r="Y89" s="357"/>
      <c r="Z89" s="79"/>
      <c r="AA89" s="357"/>
      <c r="AB89" s="71"/>
      <c r="AC89" s="83"/>
      <c r="AD89" s="79"/>
      <c r="AE89" s="357"/>
      <c r="AF89" s="79"/>
      <c r="AG89" s="357"/>
      <c r="AH89" s="79"/>
      <c r="AI89" s="357"/>
      <c r="AJ89" s="79"/>
      <c r="AK89" s="357"/>
      <c r="AL89" s="79"/>
      <c r="AM89" s="357"/>
      <c r="AN89" s="79"/>
      <c r="AO89" s="357"/>
      <c r="AP89" s="71"/>
      <c r="AQ89" s="83"/>
      <c r="AR89" s="79"/>
      <c r="AS89" s="357"/>
      <c r="AT89" s="79"/>
      <c r="AU89" s="357"/>
      <c r="AV89" s="79"/>
      <c r="AW89" s="357"/>
      <c r="AX89" s="79"/>
      <c r="AY89" s="357"/>
      <c r="AZ89" s="79"/>
      <c r="BA89" s="357"/>
      <c r="BB89" s="79"/>
      <c r="BC89" s="357"/>
      <c r="BD89" s="71"/>
      <c r="BE89" s="83"/>
      <c r="BF89" s="79"/>
      <c r="BG89" s="357"/>
      <c r="BH89" s="79"/>
      <c r="BI89" s="357"/>
      <c r="BJ89" s="79"/>
      <c r="BK89" s="357"/>
      <c r="BL89" s="79"/>
      <c r="BM89" s="357"/>
      <c r="BN89" s="28">
        <f t="shared" si="5"/>
        <v>0</v>
      </c>
      <c r="BO89" s="29">
        <f t="shared" si="6"/>
        <v>0</v>
      </c>
    </row>
    <row r="90" spans="1:67" ht="15" customHeight="1" x14ac:dyDescent="0.35">
      <c r="A90" s="24"/>
      <c r="B90" s="683"/>
      <c r="C90" s="684"/>
      <c r="D90" s="79"/>
      <c r="E90" s="357"/>
      <c r="F90" s="79"/>
      <c r="G90" s="357"/>
      <c r="H90" s="79"/>
      <c r="I90" s="357"/>
      <c r="J90" s="79"/>
      <c r="K90" s="357"/>
      <c r="L90" s="71"/>
      <c r="M90" s="83"/>
      <c r="N90" s="71"/>
      <c r="O90" s="83"/>
      <c r="P90" s="71"/>
      <c r="Q90" s="83"/>
      <c r="R90" s="71"/>
      <c r="S90" s="83"/>
      <c r="T90" s="71"/>
      <c r="U90" s="83"/>
      <c r="V90" s="79"/>
      <c r="W90" s="357"/>
      <c r="X90" s="79"/>
      <c r="Y90" s="357"/>
      <c r="Z90" s="79"/>
      <c r="AA90" s="357"/>
      <c r="AB90" s="71"/>
      <c r="AC90" s="83"/>
      <c r="AD90" s="79"/>
      <c r="AE90" s="357"/>
      <c r="AF90" s="79"/>
      <c r="AG90" s="357"/>
      <c r="AH90" s="79"/>
      <c r="AI90" s="357"/>
      <c r="AJ90" s="79"/>
      <c r="AK90" s="357"/>
      <c r="AL90" s="79"/>
      <c r="AM90" s="357"/>
      <c r="AN90" s="79"/>
      <c r="AO90" s="357"/>
      <c r="AP90" s="71"/>
      <c r="AQ90" s="83"/>
      <c r="AR90" s="79"/>
      <c r="AS90" s="357"/>
      <c r="AT90" s="79"/>
      <c r="AU90" s="357"/>
      <c r="AV90" s="79"/>
      <c r="AW90" s="357"/>
      <c r="AX90" s="79"/>
      <c r="AY90" s="357"/>
      <c r="AZ90" s="79"/>
      <c r="BA90" s="357"/>
      <c r="BB90" s="79"/>
      <c r="BC90" s="357"/>
      <c r="BD90" s="71"/>
      <c r="BE90" s="83"/>
      <c r="BF90" s="79"/>
      <c r="BG90" s="357"/>
      <c r="BH90" s="79"/>
      <c r="BI90" s="357"/>
      <c r="BJ90" s="79"/>
      <c r="BK90" s="357"/>
      <c r="BL90" s="79"/>
      <c r="BM90" s="357"/>
      <c r="BN90" s="28">
        <f t="shared" si="5"/>
        <v>0</v>
      </c>
      <c r="BO90" s="29">
        <f t="shared" si="6"/>
        <v>0</v>
      </c>
    </row>
    <row r="91" spans="1:67" ht="15" customHeight="1" x14ac:dyDescent="0.35">
      <c r="A91" s="24"/>
      <c r="B91" s="683"/>
      <c r="C91" s="684"/>
      <c r="D91" s="79"/>
      <c r="E91" s="357"/>
      <c r="F91" s="79"/>
      <c r="G91" s="357"/>
      <c r="H91" s="79"/>
      <c r="I91" s="357"/>
      <c r="J91" s="79"/>
      <c r="K91" s="357"/>
      <c r="L91" s="71"/>
      <c r="M91" s="83"/>
      <c r="N91" s="71"/>
      <c r="O91" s="83"/>
      <c r="P91" s="71"/>
      <c r="Q91" s="83"/>
      <c r="R91" s="71"/>
      <c r="S91" s="83"/>
      <c r="T91" s="71"/>
      <c r="U91" s="83"/>
      <c r="V91" s="79"/>
      <c r="W91" s="357"/>
      <c r="X91" s="79"/>
      <c r="Y91" s="357"/>
      <c r="Z91" s="79"/>
      <c r="AA91" s="357"/>
      <c r="AB91" s="71"/>
      <c r="AC91" s="83"/>
      <c r="AD91" s="79"/>
      <c r="AE91" s="357"/>
      <c r="AF91" s="79"/>
      <c r="AG91" s="357"/>
      <c r="AH91" s="79"/>
      <c r="AI91" s="357"/>
      <c r="AJ91" s="79"/>
      <c r="AK91" s="357"/>
      <c r="AL91" s="79"/>
      <c r="AM91" s="357"/>
      <c r="AN91" s="79"/>
      <c r="AO91" s="357"/>
      <c r="AP91" s="71"/>
      <c r="AQ91" s="83"/>
      <c r="AR91" s="79"/>
      <c r="AS91" s="357"/>
      <c r="AT91" s="79"/>
      <c r="AU91" s="357"/>
      <c r="AV91" s="79"/>
      <c r="AW91" s="357"/>
      <c r="AX91" s="79"/>
      <c r="AY91" s="357"/>
      <c r="AZ91" s="79"/>
      <c r="BA91" s="357"/>
      <c r="BB91" s="79"/>
      <c r="BC91" s="357"/>
      <c r="BD91" s="71"/>
      <c r="BE91" s="83"/>
      <c r="BF91" s="79"/>
      <c r="BG91" s="357"/>
      <c r="BH91" s="79"/>
      <c r="BI91" s="357"/>
      <c r="BJ91" s="79"/>
      <c r="BK91" s="357"/>
      <c r="BL91" s="79"/>
      <c r="BM91" s="357"/>
      <c r="BN91" s="28">
        <f t="shared" si="5"/>
        <v>0</v>
      </c>
      <c r="BO91" s="29">
        <f t="shared" si="6"/>
        <v>0</v>
      </c>
    </row>
    <row r="92" spans="1:67" ht="15" customHeight="1" x14ac:dyDescent="0.35">
      <c r="A92" s="24"/>
      <c r="B92" s="683"/>
      <c r="C92" s="684"/>
      <c r="D92" s="79"/>
      <c r="E92" s="357"/>
      <c r="F92" s="79"/>
      <c r="G92" s="357"/>
      <c r="H92" s="79"/>
      <c r="I92" s="357"/>
      <c r="J92" s="79"/>
      <c r="K92" s="357"/>
      <c r="L92" s="71"/>
      <c r="M92" s="83"/>
      <c r="N92" s="71"/>
      <c r="O92" s="83"/>
      <c r="P92" s="71"/>
      <c r="Q92" s="83"/>
      <c r="R92" s="71"/>
      <c r="S92" s="83"/>
      <c r="T92" s="71"/>
      <c r="U92" s="83"/>
      <c r="V92" s="79"/>
      <c r="W92" s="357"/>
      <c r="X92" s="79"/>
      <c r="Y92" s="357"/>
      <c r="Z92" s="79"/>
      <c r="AA92" s="357"/>
      <c r="AB92" s="71"/>
      <c r="AC92" s="83"/>
      <c r="AD92" s="79"/>
      <c r="AE92" s="357"/>
      <c r="AF92" s="79"/>
      <c r="AG92" s="357"/>
      <c r="AH92" s="79"/>
      <c r="AI92" s="357"/>
      <c r="AJ92" s="79"/>
      <c r="AK92" s="357"/>
      <c r="AL92" s="79"/>
      <c r="AM92" s="357"/>
      <c r="AN92" s="79"/>
      <c r="AO92" s="357"/>
      <c r="AP92" s="71"/>
      <c r="AQ92" s="83"/>
      <c r="AR92" s="79"/>
      <c r="AS92" s="357"/>
      <c r="AT92" s="79"/>
      <c r="AU92" s="357"/>
      <c r="AV92" s="79"/>
      <c r="AW92" s="357"/>
      <c r="AX92" s="79"/>
      <c r="AY92" s="357"/>
      <c r="AZ92" s="79"/>
      <c r="BA92" s="357"/>
      <c r="BB92" s="79"/>
      <c r="BC92" s="357"/>
      <c r="BD92" s="71"/>
      <c r="BE92" s="83"/>
      <c r="BF92" s="79"/>
      <c r="BG92" s="357"/>
      <c r="BH92" s="79"/>
      <c r="BI92" s="357"/>
      <c r="BJ92" s="79"/>
      <c r="BK92" s="357"/>
      <c r="BL92" s="79"/>
      <c r="BM92" s="357"/>
      <c r="BN92" s="28">
        <f t="shared" si="5"/>
        <v>0</v>
      </c>
      <c r="BO92" s="29">
        <f t="shared" si="6"/>
        <v>0</v>
      </c>
    </row>
    <row r="93" spans="1:67" ht="15" customHeight="1" x14ac:dyDescent="0.35">
      <c r="A93" s="24"/>
      <c r="B93" s="683"/>
      <c r="C93" s="684"/>
      <c r="D93" s="79"/>
      <c r="E93" s="357"/>
      <c r="F93" s="79"/>
      <c r="G93" s="357"/>
      <c r="H93" s="79"/>
      <c r="I93" s="357"/>
      <c r="J93" s="79"/>
      <c r="K93" s="357"/>
      <c r="L93" s="71"/>
      <c r="M93" s="83"/>
      <c r="N93" s="71"/>
      <c r="O93" s="83"/>
      <c r="P93" s="71"/>
      <c r="Q93" s="83"/>
      <c r="R93" s="71"/>
      <c r="S93" s="83"/>
      <c r="T93" s="71"/>
      <c r="U93" s="83"/>
      <c r="V93" s="79"/>
      <c r="W93" s="357"/>
      <c r="X93" s="79"/>
      <c r="Y93" s="357"/>
      <c r="Z93" s="79"/>
      <c r="AA93" s="357"/>
      <c r="AB93" s="71"/>
      <c r="AC93" s="83"/>
      <c r="AD93" s="79"/>
      <c r="AE93" s="357"/>
      <c r="AF93" s="79"/>
      <c r="AG93" s="357"/>
      <c r="AH93" s="79"/>
      <c r="AI93" s="357"/>
      <c r="AJ93" s="79"/>
      <c r="AK93" s="357"/>
      <c r="AL93" s="79"/>
      <c r="AM93" s="357"/>
      <c r="AN93" s="79"/>
      <c r="AO93" s="357"/>
      <c r="AP93" s="71"/>
      <c r="AQ93" s="83"/>
      <c r="AR93" s="79"/>
      <c r="AS93" s="357"/>
      <c r="AT93" s="79"/>
      <c r="AU93" s="357"/>
      <c r="AV93" s="79"/>
      <c r="AW93" s="357"/>
      <c r="AX93" s="79"/>
      <c r="AY93" s="357"/>
      <c r="AZ93" s="79"/>
      <c r="BA93" s="357"/>
      <c r="BB93" s="79"/>
      <c r="BC93" s="357"/>
      <c r="BD93" s="71"/>
      <c r="BE93" s="83"/>
      <c r="BF93" s="79"/>
      <c r="BG93" s="357"/>
      <c r="BH93" s="79"/>
      <c r="BI93" s="357"/>
      <c r="BJ93" s="79"/>
      <c r="BK93" s="357"/>
      <c r="BL93" s="79"/>
      <c r="BM93" s="357"/>
      <c r="BN93" s="28">
        <f t="shared" si="5"/>
        <v>0</v>
      </c>
      <c r="BO93" s="29">
        <f t="shared" si="6"/>
        <v>0</v>
      </c>
    </row>
    <row r="94" spans="1:67" ht="15" customHeight="1" x14ac:dyDescent="0.35">
      <c r="A94" s="24"/>
      <c r="B94" s="683"/>
      <c r="C94" s="684"/>
      <c r="D94" s="79"/>
      <c r="E94" s="357"/>
      <c r="F94" s="79"/>
      <c r="G94" s="357"/>
      <c r="H94" s="79"/>
      <c r="I94" s="357"/>
      <c r="J94" s="79"/>
      <c r="K94" s="357"/>
      <c r="L94" s="71"/>
      <c r="M94" s="83"/>
      <c r="N94" s="71"/>
      <c r="O94" s="83"/>
      <c r="P94" s="71"/>
      <c r="Q94" s="83"/>
      <c r="R94" s="71"/>
      <c r="S94" s="83"/>
      <c r="T94" s="71"/>
      <c r="U94" s="83"/>
      <c r="V94" s="79"/>
      <c r="W94" s="357"/>
      <c r="X94" s="79"/>
      <c r="Y94" s="357"/>
      <c r="Z94" s="79"/>
      <c r="AA94" s="357"/>
      <c r="AB94" s="71"/>
      <c r="AC94" s="83"/>
      <c r="AD94" s="79"/>
      <c r="AE94" s="357"/>
      <c r="AF94" s="79"/>
      <c r="AG94" s="357"/>
      <c r="AH94" s="79"/>
      <c r="AI94" s="357"/>
      <c r="AJ94" s="79"/>
      <c r="AK94" s="357"/>
      <c r="AL94" s="79"/>
      <c r="AM94" s="357"/>
      <c r="AN94" s="79"/>
      <c r="AO94" s="357"/>
      <c r="AP94" s="71"/>
      <c r="AQ94" s="83"/>
      <c r="AR94" s="79"/>
      <c r="AS94" s="357"/>
      <c r="AT94" s="79"/>
      <c r="AU94" s="357"/>
      <c r="AV94" s="79"/>
      <c r="AW94" s="357"/>
      <c r="AX94" s="79"/>
      <c r="AY94" s="357"/>
      <c r="AZ94" s="79"/>
      <c r="BA94" s="357"/>
      <c r="BB94" s="79"/>
      <c r="BC94" s="357"/>
      <c r="BD94" s="71"/>
      <c r="BE94" s="83"/>
      <c r="BF94" s="79"/>
      <c r="BG94" s="357"/>
      <c r="BH94" s="79"/>
      <c r="BI94" s="357"/>
      <c r="BJ94" s="79"/>
      <c r="BK94" s="357"/>
      <c r="BL94" s="79"/>
      <c r="BM94" s="357"/>
      <c r="BN94" s="28">
        <f t="shared" si="5"/>
        <v>0</v>
      </c>
      <c r="BO94" s="29">
        <f t="shared" si="6"/>
        <v>0</v>
      </c>
    </row>
    <row r="95" spans="1:67" ht="15" customHeight="1" x14ac:dyDescent="0.35">
      <c r="A95" s="24">
        <f>SUM(BN96:BN98)</f>
        <v>0</v>
      </c>
      <c r="B95" s="685" t="s">
        <v>127</v>
      </c>
      <c r="C95" s="686"/>
      <c r="D95" s="79"/>
      <c r="E95" s="357"/>
      <c r="F95" s="79"/>
      <c r="G95" s="357"/>
      <c r="H95" s="79"/>
      <c r="I95" s="357"/>
      <c r="J95" s="79"/>
      <c r="K95" s="357"/>
      <c r="L95" s="71"/>
      <c r="M95" s="83"/>
      <c r="N95" s="71"/>
      <c r="O95" s="83"/>
      <c r="P95" s="71"/>
      <c r="Q95" s="83"/>
      <c r="R95" s="71"/>
      <c r="S95" s="83"/>
      <c r="T95" s="71"/>
      <c r="U95" s="83"/>
      <c r="V95" s="79"/>
      <c r="W95" s="357"/>
      <c r="X95" s="79"/>
      <c r="Y95" s="357"/>
      <c r="Z95" s="79"/>
      <c r="AA95" s="357"/>
      <c r="AB95" s="71"/>
      <c r="AC95" s="83"/>
      <c r="AD95" s="79"/>
      <c r="AE95" s="357"/>
      <c r="AF95" s="79"/>
      <c r="AG95" s="357"/>
      <c r="AH95" s="79"/>
      <c r="AI95" s="357"/>
      <c r="AJ95" s="79"/>
      <c r="AK95" s="357"/>
      <c r="AL95" s="79"/>
      <c r="AM95" s="357"/>
      <c r="AN95" s="79"/>
      <c r="AO95" s="357"/>
      <c r="AP95" s="71"/>
      <c r="AQ95" s="83"/>
      <c r="AR95" s="79"/>
      <c r="AS95" s="357"/>
      <c r="AT95" s="79"/>
      <c r="AU95" s="357"/>
      <c r="AV95" s="79"/>
      <c r="AW95" s="357"/>
      <c r="AX95" s="79"/>
      <c r="AY95" s="357"/>
      <c r="AZ95" s="79"/>
      <c r="BA95" s="357"/>
      <c r="BB95" s="79"/>
      <c r="BC95" s="357"/>
      <c r="BD95" s="71"/>
      <c r="BE95" s="83"/>
      <c r="BF95" s="79"/>
      <c r="BG95" s="357"/>
      <c r="BH95" s="79"/>
      <c r="BI95" s="357"/>
      <c r="BJ95" s="79"/>
      <c r="BK95" s="357"/>
      <c r="BL95" s="79"/>
      <c r="BM95" s="357"/>
      <c r="BN95" s="28">
        <f t="shared" si="5"/>
        <v>0</v>
      </c>
      <c r="BO95" s="29">
        <f t="shared" si="6"/>
        <v>0</v>
      </c>
    </row>
    <row r="96" spans="1:67" ht="15" customHeight="1" x14ac:dyDescent="0.35">
      <c r="A96" s="24"/>
      <c r="B96" s="683" t="s">
        <v>278</v>
      </c>
      <c r="C96" s="684"/>
      <c r="D96" s="79"/>
      <c r="E96" s="357"/>
      <c r="F96" s="79"/>
      <c r="G96" s="357"/>
      <c r="H96" s="79"/>
      <c r="I96" s="357"/>
      <c r="J96" s="79"/>
      <c r="K96" s="357"/>
      <c r="L96" s="71"/>
      <c r="M96" s="83"/>
      <c r="N96" s="71"/>
      <c r="O96" s="83"/>
      <c r="P96" s="71"/>
      <c r="Q96" s="83"/>
      <c r="R96" s="71"/>
      <c r="S96" s="83"/>
      <c r="T96" s="71"/>
      <c r="U96" s="83"/>
      <c r="V96" s="79"/>
      <c r="W96" s="357"/>
      <c r="X96" s="79"/>
      <c r="Y96" s="357"/>
      <c r="Z96" s="79"/>
      <c r="AA96" s="357"/>
      <c r="AB96" s="71"/>
      <c r="AC96" s="83"/>
      <c r="AD96" s="79"/>
      <c r="AE96" s="357"/>
      <c r="AF96" s="79"/>
      <c r="AG96" s="357"/>
      <c r="AH96" s="79"/>
      <c r="AI96" s="357"/>
      <c r="AJ96" s="79"/>
      <c r="AK96" s="357"/>
      <c r="AL96" s="79"/>
      <c r="AM96" s="357"/>
      <c r="AN96" s="79"/>
      <c r="AO96" s="357"/>
      <c r="AP96" s="71"/>
      <c r="AQ96" s="83"/>
      <c r="AR96" s="79"/>
      <c r="AS96" s="357"/>
      <c r="AT96" s="79"/>
      <c r="AU96" s="357"/>
      <c r="AV96" s="79"/>
      <c r="AW96" s="357"/>
      <c r="AX96" s="79"/>
      <c r="AY96" s="357"/>
      <c r="AZ96" s="79"/>
      <c r="BA96" s="357"/>
      <c r="BB96" s="79"/>
      <c r="BC96" s="357"/>
      <c r="BD96" s="71"/>
      <c r="BE96" s="83"/>
      <c r="BF96" s="79"/>
      <c r="BG96" s="357"/>
      <c r="BH96" s="79"/>
      <c r="BI96" s="357"/>
      <c r="BJ96" s="79"/>
      <c r="BK96" s="357"/>
      <c r="BL96" s="79"/>
      <c r="BM96" s="357"/>
      <c r="BN96" s="28">
        <f t="shared" si="5"/>
        <v>0</v>
      </c>
      <c r="BO96" s="29">
        <f t="shared" si="6"/>
        <v>0</v>
      </c>
    </row>
    <row r="97" spans="1:67" ht="15" customHeight="1" x14ac:dyDescent="0.35">
      <c r="A97" s="24"/>
      <c r="B97" s="683"/>
      <c r="C97" s="684"/>
      <c r="D97" s="79"/>
      <c r="E97" s="357"/>
      <c r="F97" s="79"/>
      <c r="G97" s="357"/>
      <c r="H97" s="79"/>
      <c r="I97" s="357"/>
      <c r="J97" s="79"/>
      <c r="K97" s="357"/>
      <c r="L97" s="71"/>
      <c r="M97" s="83"/>
      <c r="N97" s="71"/>
      <c r="O97" s="83"/>
      <c r="P97" s="71"/>
      <c r="Q97" s="83"/>
      <c r="R97" s="71"/>
      <c r="S97" s="83"/>
      <c r="T97" s="71"/>
      <c r="U97" s="83"/>
      <c r="V97" s="79"/>
      <c r="W97" s="357"/>
      <c r="X97" s="79"/>
      <c r="Y97" s="357"/>
      <c r="Z97" s="79"/>
      <c r="AA97" s="357"/>
      <c r="AB97" s="71"/>
      <c r="AC97" s="83"/>
      <c r="AD97" s="79"/>
      <c r="AE97" s="357"/>
      <c r="AF97" s="79"/>
      <c r="AG97" s="357"/>
      <c r="AH97" s="79"/>
      <c r="AI97" s="357"/>
      <c r="AJ97" s="79"/>
      <c r="AK97" s="357"/>
      <c r="AL97" s="79"/>
      <c r="AM97" s="357"/>
      <c r="AN97" s="79"/>
      <c r="AO97" s="357"/>
      <c r="AP97" s="71"/>
      <c r="AQ97" s="83"/>
      <c r="AR97" s="79"/>
      <c r="AS97" s="357"/>
      <c r="AT97" s="79"/>
      <c r="AU97" s="357"/>
      <c r="AV97" s="79"/>
      <c r="AW97" s="357"/>
      <c r="AX97" s="79"/>
      <c r="AY97" s="357"/>
      <c r="AZ97" s="79"/>
      <c r="BA97" s="357"/>
      <c r="BB97" s="79"/>
      <c r="BC97" s="357"/>
      <c r="BD97" s="71"/>
      <c r="BE97" s="83"/>
      <c r="BF97" s="79"/>
      <c r="BG97" s="357"/>
      <c r="BH97" s="79"/>
      <c r="BI97" s="357"/>
      <c r="BJ97" s="79"/>
      <c r="BK97" s="357"/>
      <c r="BL97" s="79"/>
      <c r="BM97" s="357"/>
      <c r="BN97" s="28">
        <f t="shared" si="5"/>
        <v>0</v>
      </c>
      <c r="BO97" s="29">
        <f t="shared" si="6"/>
        <v>0</v>
      </c>
    </row>
    <row r="98" spans="1:67" ht="15" customHeight="1" x14ac:dyDescent="0.35">
      <c r="A98" s="24"/>
      <c r="B98" s="683"/>
      <c r="C98" s="684"/>
      <c r="D98" s="79"/>
      <c r="E98" s="357"/>
      <c r="F98" s="79"/>
      <c r="G98" s="357"/>
      <c r="H98" s="79"/>
      <c r="I98" s="357"/>
      <c r="J98" s="79"/>
      <c r="K98" s="357"/>
      <c r="L98" s="71"/>
      <c r="M98" s="83"/>
      <c r="N98" s="71"/>
      <c r="O98" s="83"/>
      <c r="P98" s="71"/>
      <c r="Q98" s="83"/>
      <c r="R98" s="71"/>
      <c r="S98" s="83"/>
      <c r="T98" s="71"/>
      <c r="U98" s="83"/>
      <c r="V98" s="79"/>
      <c r="W98" s="357"/>
      <c r="X98" s="79"/>
      <c r="Y98" s="357"/>
      <c r="Z98" s="79"/>
      <c r="AA98" s="357"/>
      <c r="AB98" s="71"/>
      <c r="AC98" s="83"/>
      <c r="AD98" s="79"/>
      <c r="AE98" s="357"/>
      <c r="AF98" s="79"/>
      <c r="AG98" s="357"/>
      <c r="AH98" s="79"/>
      <c r="AI98" s="357"/>
      <c r="AJ98" s="79"/>
      <c r="AK98" s="357"/>
      <c r="AL98" s="79"/>
      <c r="AM98" s="357"/>
      <c r="AN98" s="79"/>
      <c r="AO98" s="357"/>
      <c r="AP98" s="71"/>
      <c r="AQ98" s="83"/>
      <c r="AR98" s="79"/>
      <c r="AS98" s="357"/>
      <c r="AT98" s="79"/>
      <c r="AU98" s="357"/>
      <c r="AV98" s="79"/>
      <c r="AW98" s="357"/>
      <c r="AX98" s="79"/>
      <c r="AY98" s="357"/>
      <c r="AZ98" s="79"/>
      <c r="BA98" s="357"/>
      <c r="BB98" s="79"/>
      <c r="BC98" s="357"/>
      <c r="BD98" s="71"/>
      <c r="BE98" s="83"/>
      <c r="BF98" s="79"/>
      <c r="BG98" s="357"/>
      <c r="BH98" s="79"/>
      <c r="BI98" s="357"/>
      <c r="BJ98" s="79"/>
      <c r="BK98" s="357"/>
      <c r="BL98" s="79"/>
      <c r="BM98" s="357"/>
      <c r="BN98" s="28">
        <f t="shared" si="5"/>
        <v>0</v>
      </c>
      <c r="BO98" s="29">
        <f t="shared" si="6"/>
        <v>0</v>
      </c>
    </row>
    <row r="99" spans="1:67" ht="15" customHeight="1" x14ac:dyDescent="0.35">
      <c r="A99" s="24">
        <f>SUM(BN100:BN102)</f>
        <v>0</v>
      </c>
      <c r="B99" s="685" t="s">
        <v>130</v>
      </c>
      <c r="C99" s="686"/>
      <c r="D99" s="79"/>
      <c r="E99" s="357"/>
      <c r="F99" s="79"/>
      <c r="G99" s="357"/>
      <c r="H99" s="79"/>
      <c r="I99" s="357"/>
      <c r="J99" s="79"/>
      <c r="K99" s="357"/>
      <c r="L99" s="71"/>
      <c r="M99" s="83"/>
      <c r="N99" s="71"/>
      <c r="O99" s="83"/>
      <c r="P99" s="71"/>
      <c r="Q99" s="83"/>
      <c r="R99" s="71"/>
      <c r="S99" s="83"/>
      <c r="T99" s="71"/>
      <c r="U99" s="83"/>
      <c r="V99" s="79"/>
      <c r="W99" s="357"/>
      <c r="X99" s="79"/>
      <c r="Y99" s="357"/>
      <c r="Z99" s="79"/>
      <c r="AA99" s="357"/>
      <c r="AB99" s="71"/>
      <c r="AC99" s="83"/>
      <c r="AD99" s="79"/>
      <c r="AE99" s="357"/>
      <c r="AF99" s="79"/>
      <c r="AG99" s="357"/>
      <c r="AH99" s="79"/>
      <c r="AI99" s="357"/>
      <c r="AJ99" s="79"/>
      <c r="AK99" s="357"/>
      <c r="AL99" s="79"/>
      <c r="AM99" s="357"/>
      <c r="AN99" s="79"/>
      <c r="AO99" s="357"/>
      <c r="AP99" s="71"/>
      <c r="AQ99" s="83"/>
      <c r="AR99" s="79"/>
      <c r="AS99" s="357"/>
      <c r="AT99" s="79"/>
      <c r="AU99" s="357"/>
      <c r="AV99" s="79"/>
      <c r="AW99" s="357"/>
      <c r="AX99" s="79"/>
      <c r="AY99" s="357"/>
      <c r="AZ99" s="79"/>
      <c r="BA99" s="357"/>
      <c r="BB99" s="79"/>
      <c r="BC99" s="357"/>
      <c r="BD99" s="71"/>
      <c r="BE99" s="83"/>
      <c r="BF99" s="79"/>
      <c r="BG99" s="357"/>
      <c r="BH99" s="79"/>
      <c r="BI99" s="357"/>
      <c r="BJ99" s="79"/>
      <c r="BK99" s="357"/>
      <c r="BL99" s="79"/>
      <c r="BM99" s="357"/>
      <c r="BN99" s="28">
        <f t="shared" si="5"/>
        <v>0</v>
      </c>
      <c r="BO99" s="29">
        <f t="shared" si="6"/>
        <v>0</v>
      </c>
    </row>
    <row r="100" spans="1:67" ht="15" customHeight="1" x14ac:dyDescent="0.35">
      <c r="A100" s="24"/>
      <c r="B100" s="683" t="s">
        <v>278</v>
      </c>
      <c r="C100" s="684"/>
      <c r="D100" s="79"/>
      <c r="E100" s="357"/>
      <c r="F100" s="79"/>
      <c r="G100" s="357"/>
      <c r="H100" s="79"/>
      <c r="I100" s="357"/>
      <c r="J100" s="79"/>
      <c r="K100" s="357"/>
      <c r="L100" s="71"/>
      <c r="M100" s="83"/>
      <c r="N100" s="71"/>
      <c r="O100" s="83"/>
      <c r="P100" s="71"/>
      <c r="Q100" s="83"/>
      <c r="R100" s="71"/>
      <c r="S100" s="83"/>
      <c r="T100" s="71"/>
      <c r="U100" s="83"/>
      <c r="V100" s="79"/>
      <c r="W100" s="357"/>
      <c r="X100" s="79"/>
      <c r="Y100" s="357"/>
      <c r="Z100" s="79"/>
      <c r="AA100" s="357"/>
      <c r="AB100" s="71"/>
      <c r="AC100" s="83"/>
      <c r="AD100" s="79"/>
      <c r="AE100" s="357"/>
      <c r="AF100" s="79"/>
      <c r="AG100" s="357"/>
      <c r="AH100" s="79"/>
      <c r="AI100" s="357"/>
      <c r="AJ100" s="79"/>
      <c r="AK100" s="357"/>
      <c r="AL100" s="79"/>
      <c r="AM100" s="357"/>
      <c r="AN100" s="79"/>
      <c r="AO100" s="357"/>
      <c r="AP100" s="71"/>
      <c r="AQ100" s="83"/>
      <c r="AR100" s="79"/>
      <c r="AS100" s="357"/>
      <c r="AT100" s="79"/>
      <c r="AU100" s="357"/>
      <c r="AV100" s="79"/>
      <c r="AW100" s="357"/>
      <c r="AX100" s="79"/>
      <c r="AY100" s="357"/>
      <c r="AZ100" s="79"/>
      <c r="BA100" s="357"/>
      <c r="BB100" s="79"/>
      <c r="BC100" s="357"/>
      <c r="BD100" s="71"/>
      <c r="BE100" s="83"/>
      <c r="BF100" s="79"/>
      <c r="BG100" s="357"/>
      <c r="BH100" s="79"/>
      <c r="BI100" s="357"/>
      <c r="BJ100" s="79"/>
      <c r="BK100" s="357"/>
      <c r="BL100" s="79"/>
      <c r="BM100" s="357"/>
      <c r="BN100" s="28">
        <f t="shared" si="5"/>
        <v>0</v>
      </c>
      <c r="BO100" s="29">
        <f t="shared" si="6"/>
        <v>0</v>
      </c>
    </row>
    <row r="101" spans="1:67" ht="15" customHeight="1" x14ac:dyDescent="0.35">
      <c r="A101" s="24"/>
      <c r="B101" s="683"/>
      <c r="C101" s="684"/>
      <c r="D101" s="79"/>
      <c r="E101" s="357"/>
      <c r="F101" s="79"/>
      <c r="G101" s="357"/>
      <c r="H101" s="79"/>
      <c r="I101" s="357"/>
      <c r="J101" s="79"/>
      <c r="K101" s="357"/>
      <c r="L101" s="71"/>
      <c r="M101" s="83"/>
      <c r="N101" s="71"/>
      <c r="O101" s="83"/>
      <c r="P101" s="71"/>
      <c r="Q101" s="83"/>
      <c r="R101" s="71"/>
      <c r="S101" s="83"/>
      <c r="T101" s="71"/>
      <c r="U101" s="83"/>
      <c r="V101" s="79"/>
      <c r="W101" s="357"/>
      <c r="X101" s="79"/>
      <c r="Y101" s="357"/>
      <c r="Z101" s="79"/>
      <c r="AA101" s="357"/>
      <c r="AB101" s="71"/>
      <c r="AC101" s="83"/>
      <c r="AD101" s="79"/>
      <c r="AE101" s="357"/>
      <c r="AF101" s="79"/>
      <c r="AG101" s="357"/>
      <c r="AH101" s="79"/>
      <c r="AI101" s="357"/>
      <c r="AJ101" s="79"/>
      <c r="AK101" s="357"/>
      <c r="AL101" s="79"/>
      <c r="AM101" s="357"/>
      <c r="AN101" s="79"/>
      <c r="AO101" s="357"/>
      <c r="AP101" s="71"/>
      <c r="AQ101" s="83"/>
      <c r="AR101" s="79"/>
      <c r="AS101" s="357"/>
      <c r="AT101" s="79"/>
      <c r="AU101" s="357"/>
      <c r="AV101" s="79"/>
      <c r="AW101" s="357"/>
      <c r="AX101" s="79"/>
      <c r="AY101" s="357"/>
      <c r="AZ101" s="79"/>
      <c r="BA101" s="357"/>
      <c r="BB101" s="79"/>
      <c r="BC101" s="357"/>
      <c r="BD101" s="71"/>
      <c r="BE101" s="83"/>
      <c r="BF101" s="79"/>
      <c r="BG101" s="357"/>
      <c r="BH101" s="79"/>
      <c r="BI101" s="357"/>
      <c r="BJ101" s="79"/>
      <c r="BK101" s="357"/>
      <c r="BL101" s="79"/>
      <c r="BM101" s="357"/>
      <c r="BN101" s="28">
        <f t="shared" si="5"/>
        <v>0</v>
      </c>
      <c r="BO101" s="29">
        <f t="shared" si="6"/>
        <v>0</v>
      </c>
    </row>
    <row r="102" spans="1:67" ht="15" customHeight="1" x14ac:dyDescent="0.35">
      <c r="A102" s="24"/>
      <c r="B102" s="683"/>
      <c r="C102" s="684"/>
      <c r="D102" s="79"/>
      <c r="E102" s="357"/>
      <c r="F102" s="79"/>
      <c r="G102" s="357"/>
      <c r="H102" s="79"/>
      <c r="I102" s="357"/>
      <c r="J102" s="79"/>
      <c r="K102" s="357"/>
      <c r="L102" s="71"/>
      <c r="M102" s="83"/>
      <c r="N102" s="71"/>
      <c r="O102" s="83"/>
      <c r="P102" s="71"/>
      <c r="Q102" s="83"/>
      <c r="R102" s="71"/>
      <c r="S102" s="83"/>
      <c r="T102" s="71"/>
      <c r="U102" s="83"/>
      <c r="V102" s="79"/>
      <c r="W102" s="357"/>
      <c r="X102" s="79"/>
      <c r="Y102" s="357"/>
      <c r="Z102" s="79"/>
      <c r="AA102" s="357"/>
      <c r="AB102" s="71"/>
      <c r="AC102" s="83"/>
      <c r="AD102" s="79"/>
      <c r="AE102" s="357"/>
      <c r="AF102" s="79"/>
      <c r="AG102" s="357"/>
      <c r="AH102" s="79"/>
      <c r="AI102" s="357"/>
      <c r="AJ102" s="79"/>
      <c r="AK102" s="357"/>
      <c r="AL102" s="79"/>
      <c r="AM102" s="357"/>
      <c r="AN102" s="79"/>
      <c r="AO102" s="357"/>
      <c r="AP102" s="71"/>
      <c r="AQ102" s="83"/>
      <c r="AR102" s="79"/>
      <c r="AS102" s="357"/>
      <c r="AT102" s="79"/>
      <c r="AU102" s="357"/>
      <c r="AV102" s="79"/>
      <c r="AW102" s="357"/>
      <c r="AX102" s="79"/>
      <c r="AY102" s="357"/>
      <c r="AZ102" s="79"/>
      <c r="BA102" s="357"/>
      <c r="BB102" s="79"/>
      <c r="BC102" s="357"/>
      <c r="BD102" s="71"/>
      <c r="BE102" s="83"/>
      <c r="BF102" s="79"/>
      <c r="BG102" s="357"/>
      <c r="BH102" s="79"/>
      <c r="BI102" s="357"/>
      <c r="BJ102" s="79"/>
      <c r="BK102" s="357"/>
      <c r="BL102" s="79"/>
      <c r="BM102" s="357"/>
      <c r="BN102" s="28">
        <f t="shared" si="5"/>
        <v>0</v>
      </c>
      <c r="BO102" s="29">
        <f t="shared" si="6"/>
        <v>0</v>
      </c>
    </row>
    <row r="103" spans="1:67" ht="15" customHeight="1" x14ac:dyDescent="0.35">
      <c r="A103" s="24">
        <f>SUM(BN104:BN110)</f>
        <v>0</v>
      </c>
      <c r="B103" s="685" t="s">
        <v>133</v>
      </c>
      <c r="C103" s="686"/>
      <c r="D103" s="79"/>
      <c r="E103" s="357"/>
      <c r="F103" s="79"/>
      <c r="G103" s="357"/>
      <c r="H103" s="79"/>
      <c r="I103" s="357"/>
      <c r="J103" s="79"/>
      <c r="K103" s="357"/>
      <c r="L103" s="71"/>
      <c r="M103" s="83"/>
      <c r="N103" s="71"/>
      <c r="O103" s="83"/>
      <c r="P103" s="71"/>
      <c r="Q103" s="83"/>
      <c r="R103" s="71"/>
      <c r="S103" s="83"/>
      <c r="T103" s="71"/>
      <c r="U103" s="83"/>
      <c r="V103" s="79"/>
      <c r="W103" s="357"/>
      <c r="X103" s="79"/>
      <c r="Y103" s="357"/>
      <c r="Z103" s="79"/>
      <c r="AA103" s="357"/>
      <c r="AB103" s="71"/>
      <c r="AC103" s="83"/>
      <c r="AD103" s="79"/>
      <c r="AE103" s="357"/>
      <c r="AF103" s="79"/>
      <c r="AG103" s="357"/>
      <c r="AH103" s="79"/>
      <c r="AI103" s="357"/>
      <c r="AJ103" s="79"/>
      <c r="AK103" s="357"/>
      <c r="AL103" s="79"/>
      <c r="AM103" s="357"/>
      <c r="AN103" s="79"/>
      <c r="AO103" s="357"/>
      <c r="AP103" s="71"/>
      <c r="AQ103" s="83"/>
      <c r="AR103" s="79"/>
      <c r="AS103" s="357"/>
      <c r="AT103" s="79"/>
      <c r="AU103" s="357"/>
      <c r="AV103" s="79"/>
      <c r="AW103" s="357"/>
      <c r="AX103" s="79"/>
      <c r="AY103" s="357"/>
      <c r="AZ103" s="79"/>
      <c r="BA103" s="357"/>
      <c r="BB103" s="79"/>
      <c r="BC103" s="357"/>
      <c r="BD103" s="71"/>
      <c r="BE103" s="83"/>
      <c r="BF103" s="79"/>
      <c r="BG103" s="357"/>
      <c r="BH103" s="79"/>
      <c r="BI103" s="357"/>
      <c r="BJ103" s="79"/>
      <c r="BK103" s="357"/>
      <c r="BL103" s="79"/>
      <c r="BM103" s="357"/>
      <c r="BN103" s="28">
        <f t="shared" si="5"/>
        <v>0</v>
      </c>
      <c r="BO103" s="29">
        <f t="shared" si="6"/>
        <v>0</v>
      </c>
    </row>
    <row r="104" spans="1:67" ht="15" customHeight="1" x14ac:dyDescent="0.35">
      <c r="A104" s="24"/>
      <c r="B104" s="683" t="s">
        <v>135</v>
      </c>
      <c r="C104" s="684"/>
      <c r="D104" s="79"/>
      <c r="E104" s="357"/>
      <c r="F104" s="79"/>
      <c r="G104" s="357"/>
      <c r="H104" s="79"/>
      <c r="I104" s="357"/>
      <c r="J104" s="79"/>
      <c r="K104" s="357"/>
      <c r="L104" s="71"/>
      <c r="M104" s="83"/>
      <c r="N104" s="71"/>
      <c r="O104" s="83"/>
      <c r="P104" s="71"/>
      <c r="Q104" s="83"/>
      <c r="R104" s="71"/>
      <c r="S104" s="83"/>
      <c r="T104" s="71"/>
      <c r="U104" s="83"/>
      <c r="V104" s="79"/>
      <c r="W104" s="357"/>
      <c r="X104" s="79"/>
      <c r="Y104" s="357"/>
      <c r="Z104" s="79"/>
      <c r="AA104" s="357"/>
      <c r="AB104" s="71"/>
      <c r="AC104" s="83"/>
      <c r="AD104" s="79"/>
      <c r="AE104" s="357"/>
      <c r="AF104" s="79"/>
      <c r="AG104" s="357"/>
      <c r="AH104" s="79"/>
      <c r="AI104" s="357"/>
      <c r="AJ104" s="79"/>
      <c r="AK104" s="357"/>
      <c r="AL104" s="79"/>
      <c r="AM104" s="357"/>
      <c r="AN104" s="79"/>
      <c r="AO104" s="357"/>
      <c r="AP104" s="71"/>
      <c r="AQ104" s="83"/>
      <c r="AR104" s="79"/>
      <c r="AS104" s="357"/>
      <c r="AT104" s="79"/>
      <c r="AU104" s="357"/>
      <c r="AV104" s="79"/>
      <c r="AW104" s="357"/>
      <c r="AX104" s="79"/>
      <c r="AY104" s="357"/>
      <c r="AZ104" s="79"/>
      <c r="BA104" s="357"/>
      <c r="BB104" s="79"/>
      <c r="BC104" s="357"/>
      <c r="BD104" s="71"/>
      <c r="BE104" s="83"/>
      <c r="BF104" s="79"/>
      <c r="BG104" s="357"/>
      <c r="BH104" s="79"/>
      <c r="BI104" s="357"/>
      <c r="BJ104" s="79"/>
      <c r="BK104" s="357"/>
      <c r="BL104" s="79"/>
      <c r="BM104" s="357"/>
      <c r="BN104" s="28">
        <f t="shared" si="5"/>
        <v>0</v>
      </c>
      <c r="BO104" s="29">
        <f t="shared" si="6"/>
        <v>0</v>
      </c>
    </row>
    <row r="105" spans="1:67" ht="15" customHeight="1" x14ac:dyDescent="0.35">
      <c r="A105" s="24"/>
      <c r="B105" s="683" t="s">
        <v>137</v>
      </c>
      <c r="C105" s="684"/>
      <c r="D105" s="79"/>
      <c r="E105" s="357"/>
      <c r="F105" s="79"/>
      <c r="G105" s="357"/>
      <c r="H105" s="79"/>
      <c r="I105" s="357"/>
      <c r="J105" s="79"/>
      <c r="K105" s="357"/>
      <c r="L105" s="71"/>
      <c r="M105" s="83"/>
      <c r="N105" s="71"/>
      <c r="O105" s="83"/>
      <c r="P105" s="71"/>
      <c r="Q105" s="83"/>
      <c r="R105" s="71"/>
      <c r="S105" s="83"/>
      <c r="T105" s="71"/>
      <c r="U105" s="83"/>
      <c r="V105" s="79"/>
      <c r="W105" s="357"/>
      <c r="X105" s="79"/>
      <c r="Y105" s="357"/>
      <c r="Z105" s="79"/>
      <c r="AA105" s="357"/>
      <c r="AB105" s="71"/>
      <c r="AC105" s="83"/>
      <c r="AD105" s="79"/>
      <c r="AE105" s="357"/>
      <c r="AF105" s="79"/>
      <c r="AG105" s="357"/>
      <c r="AH105" s="79"/>
      <c r="AI105" s="357"/>
      <c r="AJ105" s="79"/>
      <c r="AK105" s="357"/>
      <c r="AL105" s="79"/>
      <c r="AM105" s="357"/>
      <c r="AN105" s="79"/>
      <c r="AO105" s="357"/>
      <c r="AP105" s="71"/>
      <c r="AQ105" s="83"/>
      <c r="AR105" s="79"/>
      <c r="AS105" s="357"/>
      <c r="AT105" s="79"/>
      <c r="AU105" s="357"/>
      <c r="AV105" s="79"/>
      <c r="AW105" s="357"/>
      <c r="AX105" s="79"/>
      <c r="AY105" s="357"/>
      <c r="AZ105" s="79"/>
      <c r="BA105" s="357"/>
      <c r="BB105" s="79"/>
      <c r="BC105" s="357"/>
      <c r="BD105" s="71"/>
      <c r="BE105" s="83"/>
      <c r="BF105" s="79"/>
      <c r="BG105" s="357"/>
      <c r="BH105" s="79"/>
      <c r="BI105" s="357"/>
      <c r="BJ105" s="79"/>
      <c r="BK105" s="357"/>
      <c r="BL105" s="79"/>
      <c r="BM105" s="357"/>
      <c r="BN105" s="28">
        <f t="shared" si="5"/>
        <v>0</v>
      </c>
      <c r="BO105" s="29">
        <f t="shared" si="6"/>
        <v>0</v>
      </c>
    </row>
    <row r="106" spans="1:67" ht="15" customHeight="1" x14ac:dyDescent="0.35">
      <c r="A106" s="24"/>
      <c r="B106" s="683" t="s">
        <v>139</v>
      </c>
      <c r="C106" s="684"/>
      <c r="D106" s="79"/>
      <c r="E106" s="357"/>
      <c r="F106" s="79"/>
      <c r="G106" s="357"/>
      <c r="H106" s="79"/>
      <c r="I106" s="357"/>
      <c r="J106" s="79"/>
      <c r="K106" s="357"/>
      <c r="L106" s="71"/>
      <c r="M106" s="83"/>
      <c r="N106" s="71"/>
      <c r="O106" s="83"/>
      <c r="P106" s="71"/>
      <c r="Q106" s="83"/>
      <c r="R106" s="71"/>
      <c r="S106" s="83"/>
      <c r="T106" s="71"/>
      <c r="U106" s="83"/>
      <c r="V106" s="79"/>
      <c r="W106" s="357"/>
      <c r="X106" s="79"/>
      <c r="Y106" s="357"/>
      <c r="Z106" s="79"/>
      <c r="AA106" s="357"/>
      <c r="AB106" s="71"/>
      <c r="AC106" s="83"/>
      <c r="AD106" s="79"/>
      <c r="AE106" s="357"/>
      <c r="AF106" s="79"/>
      <c r="AG106" s="357"/>
      <c r="AH106" s="79"/>
      <c r="AI106" s="357"/>
      <c r="AJ106" s="79"/>
      <c r="AK106" s="357"/>
      <c r="AL106" s="79"/>
      <c r="AM106" s="357"/>
      <c r="AN106" s="79"/>
      <c r="AO106" s="357"/>
      <c r="AP106" s="71"/>
      <c r="AQ106" s="83"/>
      <c r="AR106" s="79"/>
      <c r="AS106" s="357"/>
      <c r="AT106" s="79"/>
      <c r="AU106" s="357"/>
      <c r="AV106" s="79"/>
      <c r="AW106" s="357"/>
      <c r="AX106" s="79"/>
      <c r="AY106" s="357"/>
      <c r="AZ106" s="79"/>
      <c r="BA106" s="357"/>
      <c r="BB106" s="79"/>
      <c r="BC106" s="357"/>
      <c r="BD106" s="71"/>
      <c r="BE106" s="83"/>
      <c r="BF106" s="79"/>
      <c r="BG106" s="357"/>
      <c r="BH106" s="79"/>
      <c r="BI106" s="357"/>
      <c r="BJ106" s="79"/>
      <c r="BK106" s="357"/>
      <c r="BL106" s="79"/>
      <c r="BM106" s="357"/>
      <c r="BN106" s="28">
        <f t="shared" si="5"/>
        <v>0</v>
      </c>
      <c r="BO106" s="29">
        <f t="shared" si="6"/>
        <v>0</v>
      </c>
    </row>
    <row r="107" spans="1:67" ht="15.75" customHeight="1" x14ac:dyDescent="0.35">
      <c r="A107" s="24"/>
      <c r="B107" s="683" t="s">
        <v>141</v>
      </c>
      <c r="C107" s="684"/>
      <c r="D107" s="79"/>
      <c r="E107" s="357"/>
      <c r="F107" s="79"/>
      <c r="G107" s="357"/>
      <c r="H107" s="79"/>
      <c r="I107" s="357"/>
      <c r="J107" s="79"/>
      <c r="K107" s="357"/>
      <c r="L107" s="71"/>
      <c r="M107" s="83"/>
      <c r="N107" s="71"/>
      <c r="O107" s="83"/>
      <c r="P107" s="71"/>
      <c r="Q107" s="83"/>
      <c r="R107" s="71"/>
      <c r="S107" s="83"/>
      <c r="T107" s="71"/>
      <c r="U107" s="83"/>
      <c r="V107" s="79"/>
      <c r="W107" s="357"/>
      <c r="X107" s="79"/>
      <c r="Y107" s="357"/>
      <c r="Z107" s="79"/>
      <c r="AA107" s="357"/>
      <c r="AB107" s="71"/>
      <c r="AC107" s="83"/>
      <c r="AD107" s="79"/>
      <c r="AE107" s="357"/>
      <c r="AF107" s="79"/>
      <c r="AG107" s="357"/>
      <c r="AH107" s="79"/>
      <c r="AI107" s="357"/>
      <c r="AJ107" s="79"/>
      <c r="AK107" s="357"/>
      <c r="AL107" s="79"/>
      <c r="AM107" s="357"/>
      <c r="AN107" s="79"/>
      <c r="AO107" s="357"/>
      <c r="AP107" s="71"/>
      <c r="AQ107" s="83"/>
      <c r="AR107" s="79"/>
      <c r="AS107" s="357"/>
      <c r="AT107" s="79"/>
      <c r="AU107" s="357"/>
      <c r="AV107" s="79"/>
      <c r="AW107" s="357"/>
      <c r="AX107" s="79"/>
      <c r="AY107" s="357"/>
      <c r="AZ107" s="79"/>
      <c r="BA107" s="357"/>
      <c r="BB107" s="79"/>
      <c r="BC107" s="357"/>
      <c r="BD107" s="71"/>
      <c r="BE107" s="83"/>
      <c r="BF107" s="79"/>
      <c r="BG107" s="357"/>
      <c r="BH107" s="79"/>
      <c r="BI107" s="357"/>
      <c r="BJ107" s="79"/>
      <c r="BK107" s="357"/>
      <c r="BL107" s="79"/>
      <c r="BM107" s="357"/>
      <c r="BN107" s="28">
        <f t="shared" si="5"/>
        <v>0</v>
      </c>
      <c r="BO107" s="29">
        <f t="shared" si="6"/>
        <v>0</v>
      </c>
    </row>
    <row r="108" spans="1:67" ht="15" customHeight="1" x14ac:dyDescent="0.35">
      <c r="A108" s="24"/>
      <c r="B108" s="683" t="s">
        <v>143</v>
      </c>
      <c r="C108" s="684"/>
      <c r="D108" s="79"/>
      <c r="E108" s="357"/>
      <c r="F108" s="79"/>
      <c r="G108" s="357"/>
      <c r="H108" s="79"/>
      <c r="I108" s="357"/>
      <c r="J108" s="79"/>
      <c r="K108" s="357"/>
      <c r="L108" s="71"/>
      <c r="M108" s="83"/>
      <c r="N108" s="71"/>
      <c r="O108" s="83"/>
      <c r="P108" s="71"/>
      <c r="Q108" s="83"/>
      <c r="R108" s="71"/>
      <c r="S108" s="83"/>
      <c r="T108" s="71"/>
      <c r="U108" s="83"/>
      <c r="V108" s="79"/>
      <c r="W108" s="357"/>
      <c r="X108" s="79"/>
      <c r="Y108" s="357"/>
      <c r="Z108" s="79"/>
      <c r="AA108" s="357"/>
      <c r="AB108" s="71"/>
      <c r="AC108" s="83"/>
      <c r="AD108" s="79"/>
      <c r="AE108" s="357"/>
      <c r="AF108" s="79"/>
      <c r="AG108" s="357"/>
      <c r="AH108" s="79"/>
      <c r="AI108" s="357"/>
      <c r="AJ108" s="79"/>
      <c r="AK108" s="357"/>
      <c r="AL108" s="79"/>
      <c r="AM108" s="357"/>
      <c r="AN108" s="79"/>
      <c r="AO108" s="357"/>
      <c r="AP108" s="71"/>
      <c r="AQ108" s="83"/>
      <c r="AR108" s="79"/>
      <c r="AS108" s="357"/>
      <c r="AT108" s="79"/>
      <c r="AU108" s="357"/>
      <c r="AV108" s="79"/>
      <c r="AW108" s="357"/>
      <c r="AX108" s="79"/>
      <c r="AY108" s="357"/>
      <c r="AZ108" s="79"/>
      <c r="BA108" s="357"/>
      <c r="BB108" s="79"/>
      <c r="BC108" s="357"/>
      <c r="BD108" s="71"/>
      <c r="BE108" s="83"/>
      <c r="BF108" s="79"/>
      <c r="BG108" s="357"/>
      <c r="BH108" s="79"/>
      <c r="BI108" s="357"/>
      <c r="BJ108" s="79"/>
      <c r="BK108" s="357"/>
      <c r="BL108" s="79"/>
      <c r="BM108" s="357"/>
      <c r="BN108" s="28">
        <f t="shared" si="5"/>
        <v>0</v>
      </c>
      <c r="BO108" s="29">
        <f t="shared" si="6"/>
        <v>0</v>
      </c>
    </row>
    <row r="109" spans="1:67" ht="15" customHeight="1" x14ac:dyDescent="0.35">
      <c r="A109" s="24"/>
      <c r="B109" s="683"/>
      <c r="C109" s="684"/>
      <c r="D109" s="79"/>
      <c r="E109" s="357"/>
      <c r="F109" s="79"/>
      <c r="G109" s="357"/>
      <c r="H109" s="79"/>
      <c r="I109" s="357"/>
      <c r="J109" s="79"/>
      <c r="K109" s="357"/>
      <c r="L109" s="71"/>
      <c r="M109" s="83"/>
      <c r="N109" s="71"/>
      <c r="O109" s="83"/>
      <c r="P109" s="71"/>
      <c r="Q109" s="83"/>
      <c r="R109" s="71"/>
      <c r="S109" s="83"/>
      <c r="T109" s="71"/>
      <c r="U109" s="83"/>
      <c r="V109" s="79"/>
      <c r="W109" s="357"/>
      <c r="X109" s="79"/>
      <c r="Y109" s="357"/>
      <c r="Z109" s="79"/>
      <c r="AA109" s="357"/>
      <c r="AB109" s="71"/>
      <c r="AC109" s="83"/>
      <c r="AD109" s="79"/>
      <c r="AE109" s="357"/>
      <c r="AF109" s="79"/>
      <c r="AG109" s="357"/>
      <c r="AH109" s="79"/>
      <c r="AI109" s="357"/>
      <c r="AJ109" s="79"/>
      <c r="AK109" s="357"/>
      <c r="AL109" s="79"/>
      <c r="AM109" s="357"/>
      <c r="AN109" s="79"/>
      <c r="AO109" s="357"/>
      <c r="AP109" s="71"/>
      <c r="AQ109" s="83"/>
      <c r="AR109" s="79"/>
      <c r="AS109" s="357"/>
      <c r="AT109" s="79"/>
      <c r="AU109" s="357"/>
      <c r="AV109" s="79"/>
      <c r="AW109" s="357"/>
      <c r="AX109" s="79"/>
      <c r="AY109" s="357"/>
      <c r="AZ109" s="79"/>
      <c r="BA109" s="357"/>
      <c r="BB109" s="79"/>
      <c r="BC109" s="357"/>
      <c r="BD109" s="71"/>
      <c r="BE109" s="83"/>
      <c r="BF109" s="79"/>
      <c r="BG109" s="357"/>
      <c r="BH109" s="79"/>
      <c r="BI109" s="357"/>
      <c r="BJ109" s="79"/>
      <c r="BK109" s="357"/>
      <c r="BL109" s="79"/>
      <c r="BM109" s="357"/>
      <c r="BN109" s="28">
        <f t="shared" si="5"/>
        <v>0</v>
      </c>
      <c r="BO109" s="29">
        <f t="shared" si="6"/>
        <v>0</v>
      </c>
    </row>
    <row r="110" spans="1:67" ht="15.75" customHeight="1" x14ac:dyDescent="0.35">
      <c r="A110" s="24"/>
      <c r="B110" s="683"/>
      <c r="C110" s="684"/>
      <c r="D110" s="79"/>
      <c r="E110" s="357"/>
      <c r="F110" s="79"/>
      <c r="G110" s="357"/>
      <c r="H110" s="79"/>
      <c r="I110" s="357"/>
      <c r="J110" s="79"/>
      <c r="K110" s="357"/>
      <c r="L110" s="71"/>
      <c r="M110" s="83"/>
      <c r="N110" s="71"/>
      <c r="O110" s="83"/>
      <c r="P110" s="71"/>
      <c r="Q110" s="83"/>
      <c r="R110" s="71"/>
      <c r="S110" s="83"/>
      <c r="T110" s="71"/>
      <c r="U110" s="83"/>
      <c r="V110" s="79"/>
      <c r="W110" s="357"/>
      <c r="X110" s="79"/>
      <c r="Y110" s="357"/>
      <c r="Z110" s="79"/>
      <c r="AA110" s="357"/>
      <c r="AB110" s="71"/>
      <c r="AC110" s="83"/>
      <c r="AD110" s="79"/>
      <c r="AE110" s="357"/>
      <c r="AF110" s="79"/>
      <c r="AG110" s="357"/>
      <c r="AH110" s="79"/>
      <c r="AI110" s="357"/>
      <c r="AJ110" s="79"/>
      <c r="AK110" s="357"/>
      <c r="AL110" s="79"/>
      <c r="AM110" s="357"/>
      <c r="AN110" s="79"/>
      <c r="AO110" s="357"/>
      <c r="AP110" s="71"/>
      <c r="AQ110" s="83"/>
      <c r="AR110" s="79"/>
      <c r="AS110" s="357"/>
      <c r="AT110" s="79"/>
      <c r="AU110" s="357"/>
      <c r="AV110" s="79"/>
      <c r="AW110" s="357"/>
      <c r="AX110" s="79"/>
      <c r="AY110" s="357"/>
      <c r="AZ110" s="79"/>
      <c r="BA110" s="357"/>
      <c r="BB110" s="79"/>
      <c r="BC110" s="357"/>
      <c r="BD110" s="71"/>
      <c r="BE110" s="83"/>
      <c r="BF110" s="79"/>
      <c r="BG110" s="357"/>
      <c r="BH110" s="79"/>
      <c r="BI110" s="357"/>
      <c r="BJ110" s="79"/>
      <c r="BK110" s="357"/>
      <c r="BL110" s="79"/>
      <c r="BM110" s="357"/>
      <c r="BN110" s="28">
        <f t="shared" si="5"/>
        <v>0</v>
      </c>
      <c r="BO110" s="29">
        <f t="shared" si="6"/>
        <v>0</v>
      </c>
    </row>
    <row r="111" spans="1:67" ht="15.75" customHeight="1" x14ac:dyDescent="0.35">
      <c r="A111" s="24">
        <f>SUM(BN112:BN116)</f>
        <v>0</v>
      </c>
      <c r="B111" s="685" t="s">
        <v>145</v>
      </c>
      <c r="C111" s="686"/>
      <c r="D111" s="79"/>
      <c r="E111" s="357"/>
      <c r="F111" s="79"/>
      <c r="G111" s="357"/>
      <c r="H111" s="79"/>
      <c r="I111" s="357"/>
      <c r="J111" s="79"/>
      <c r="K111" s="357"/>
      <c r="L111" s="71"/>
      <c r="M111" s="83"/>
      <c r="N111" s="71"/>
      <c r="O111" s="83"/>
      <c r="P111" s="71"/>
      <c r="Q111" s="83"/>
      <c r="R111" s="71"/>
      <c r="S111" s="83"/>
      <c r="T111" s="71"/>
      <c r="U111" s="83"/>
      <c r="V111" s="79"/>
      <c r="W111" s="357"/>
      <c r="X111" s="79"/>
      <c r="Y111" s="357"/>
      <c r="Z111" s="79"/>
      <c r="AA111" s="357"/>
      <c r="AB111" s="71"/>
      <c r="AC111" s="83"/>
      <c r="AD111" s="79"/>
      <c r="AE111" s="357"/>
      <c r="AF111" s="79"/>
      <c r="AG111" s="357"/>
      <c r="AH111" s="79"/>
      <c r="AI111" s="357"/>
      <c r="AJ111" s="79"/>
      <c r="AK111" s="357"/>
      <c r="AL111" s="79"/>
      <c r="AM111" s="357"/>
      <c r="AN111" s="79"/>
      <c r="AO111" s="357"/>
      <c r="AP111" s="71"/>
      <c r="AQ111" s="83"/>
      <c r="AR111" s="79"/>
      <c r="AS111" s="357"/>
      <c r="AT111" s="79"/>
      <c r="AU111" s="357"/>
      <c r="AV111" s="79"/>
      <c r="AW111" s="357"/>
      <c r="AX111" s="79"/>
      <c r="AY111" s="357"/>
      <c r="AZ111" s="79"/>
      <c r="BA111" s="357"/>
      <c r="BB111" s="79"/>
      <c r="BC111" s="357"/>
      <c r="BD111" s="71"/>
      <c r="BE111" s="83"/>
      <c r="BF111" s="79"/>
      <c r="BG111" s="357"/>
      <c r="BH111" s="79"/>
      <c r="BI111" s="357"/>
      <c r="BJ111" s="79"/>
      <c r="BK111" s="357"/>
      <c r="BL111" s="79"/>
      <c r="BM111" s="357"/>
      <c r="BN111" s="28">
        <f t="shared" si="5"/>
        <v>0</v>
      </c>
      <c r="BO111" s="29">
        <f t="shared" si="6"/>
        <v>0</v>
      </c>
    </row>
    <row r="112" spans="1:67" ht="15" customHeight="1" x14ac:dyDescent="0.35">
      <c r="A112" s="24"/>
      <c r="B112" s="683" t="s">
        <v>147</v>
      </c>
      <c r="C112" s="684"/>
      <c r="D112" s="79"/>
      <c r="E112" s="357"/>
      <c r="F112" s="79"/>
      <c r="G112" s="357"/>
      <c r="H112" s="79"/>
      <c r="I112" s="357"/>
      <c r="J112" s="79"/>
      <c r="K112" s="357"/>
      <c r="L112" s="71"/>
      <c r="M112" s="83"/>
      <c r="N112" s="71"/>
      <c r="O112" s="83"/>
      <c r="P112" s="71"/>
      <c r="Q112" s="83"/>
      <c r="R112" s="71"/>
      <c r="S112" s="83"/>
      <c r="T112" s="71"/>
      <c r="U112" s="83"/>
      <c r="V112" s="79"/>
      <c r="W112" s="357"/>
      <c r="X112" s="79"/>
      <c r="Y112" s="357"/>
      <c r="Z112" s="79"/>
      <c r="AA112" s="357"/>
      <c r="AB112" s="71"/>
      <c r="AC112" s="83"/>
      <c r="AD112" s="79"/>
      <c r="AE112" s="357"/>
      <c r="AF112" s="79"/>
      <c r="AG112" s="357"/>
      <c r="AH112" s="79"/>
      <c r="AI112" s="357"/>
      <c r="AJ112" s="79"/>
      <c r="AK112" s="357"/>
      <c r="AL112" s="79"/>
      <c r="AM112" s="357"/>
      <c r="AN112" s="79"/>
      <c r="AO112" s="357"/>
      <c r="AP112" s="71"/>
      <c r="AQ112" s="83"/>
      <c r="AR112" s="79"/>
      <c r="AS112" s="357"/>
      <c r="AT112" s="79"/>
      <c r="AU112" s="357"/>
      <c r="AV112" s="79"/>
      <c r="AW112" s="357"/>
      <c r="AX112" s="79"/>
      <c r="AY112" s="357"/>
      <c r="AZ112" s="79"/>
      <c r="BA112" s="357"/>
      <c r="BB112" s="79"/>
      <c r="BC112" s="357"/>
      <c r="BD112" s="71"/>
      <c r="BE112" s="83"/>
      <c r="BF112" s="79"/>
      <c r="BG112" s="357"/>
      <c r="BH112" s="79"/>
      <c r="BI112" s="357"/>
      <c r="BJ112" s="79"/>
      <c r="BK112" s="357"/>
      <c r="BL112" s="79"/>
      <c r="BM112" s="357"/>
      <c r="BN112" s="28">
        <f t="shared" si="5"/>
        <v>0</v>
      </c>
      <c r="BO112" s="29">
        <f t="shared" si="6"/>
        <v>0</v>
      </c>
    </row>
    <row r="113" spans="1:67" ht="15" customHeight="1" x14ac:dyDescent="0.35">
      <c r="A113" s="24"/>
      <c r="B113" s="683" t="s">
        <v>137</v>
      </c>
      <c r="C113" s="684"/>
      <c r="D113" s="79"/>
      <c r="E113" s="357"/>
      <c r="F113" s="79"/>
      <c r="G113" s="357"/>
      <c r="H113" s="79"/>
      <c r="I113" s="357"/>
      <c r="J113" s="79"/>
      <c r="K113" s="357"/>
      <c r="L113" s="71"/>
      <c r="M113" s="83"/>
      <c r="N113" s="71"/>
      <c r="O113" s="83"/>
      <c r="P113" s="71"/>
      <c r="Q113" s="83"/>
      <c r="R113" s="71"/>
      <c r="S113" s="83"/>
      <c r="T113" s="71"/>
      <c r="U113" s="83"/>
      <c r="V113" s="79"/>
      <c r="W113" s="357"/>
      <c r="X113" s="79"/>
      <c r="Y113" s="357"/>
      <c r="Z113" s="79"/>
      <c r="AA113" s="357"/>
      <c r="AB113" s="71"/>
      <c r="AC113" s="83"/>
      <c r="AD113" s="79"/>
      <c r="AE113" s="357"/>
      <c r="AF113" s="79"/>
      <c r="AG113" s="357"/>
      <c r="AH113" s="79"/>
      <c r="AI113" s="357"/>
      <c r="AJ113" s="79"/>
      <c r="AK113" s="357"/>
      <c r="AL113" s="79"/>
      <c r="AM113" s="357"/>
      <c r="AN113" s="79"/>
      <c r="AO113" s="357"/>
      <c r="AP113" s="71"/>
      <c r="AQ113" s="83"/>
      <c r="AR113" s="79"/>
      <c r="AS113" s="357"/>
      <c r="AT113" s="79"/>
      <c r="AU113" s="357"/>
      <c r="AV113" s="79"/>
      <c r="AW113" s="357"/>
      <c r="AX113" s="79"/>
      <c r="AY113" s="357"/>
      <c r="AZ113" s="79"/>
      <c r="BA113" s="357"/>
      <c r="BB113" s="79"/>
      <c r="BC113" s="357"/>
      <c r="BD113" s="71"/>
      <c r="BE113" s="83"/>
      <c r="BF113" s="79"/>
      <c r="BG113" s="357"/>
      <c r="BH113" s="79"/>
      <c r="BI113" s="357"/>
      <c r="BJ113" s="79"/>
      <c r="BK113" s="357"/>
      <c r="BL113" s="79"/>
      <c r="BM113" s="357"/>
      <c r="BN113" s="28">
        <f t="shared" si="5"/>
        <v>0</v>
      </c>
      <c r="BO113" s="29">
        <f t="shared" si="6"/>
        <v>0</v>
      </c>
    </row>
    <row r="114" spans="1:67" ht="15" customHeight="1" x14ac:dyDescent="0.35">
      <c r="A114" s="24"/>
      <c r="B114" s="683" t="s">
        <v>150</v>
      </c>
      <c r="C114" s="684"/>
      <c r="D114" s="79"/>
      <c r="E114" s="357"/>
      <c r="F114" s="79"/>
      <c r="G114" s="357"/>
      <c r="H114" s="79"/>
      <c r="I114" s="357"/>
      <c r="J114" s="79"/>
      <c r="K114" s="357"/>
      <c r="L114" s="71"/>
      <c r="M114" s="83"/>
      <c r="N114" s="71"/>
      <c r="O114" s="83"/>
      <c r="P114" s="71"/>
      <c r="Q114" s="83"/>
      <c r="R114" s="71"/>
      <c r="S114" s="83"/>
      <c r="T114" s="71"/>
      <c r="U114" s="83"/>
      <c r="V114" s="79"/>
      <c r="W114" s="357"/>
      <c r="X114" s="79"/>
      <c r="Y114" s="357"/>
      <c r="Z114" s="79"/>
      <c r="AA114" s="357"/>
      <c r="AB114" s="71"/>
      <c r="AC114" s="83"/>
      <c r="AD114" s="79"/>
      <c r="AE114" s="357"/>
      <c r="AF114" s="79"/>
      <c r="AG114" s="357"/>
      <c r="AH114" s="79"/>
      <c r="AI114" s="357"/>
      <c r="AJ114" s="79"/>
      <c r="AK114" s="357"/>
      <c r="AL114" s="79"/>
      <c r="AM114" s="357"/>
      <c r="AN114" s="79"/>
      <c r="AO114" s="357"/>
      <c r="AP114" s="71"/>
      <c r="AQ114" s="83"/>
      <c r="AR114" s="79"/>
      <c r="AS114" s="357"/>
      <c r="AT114" s="79"/>
      <c r="AU114" s="357"/>
      <c r="AV114" s="79"/>
      <c r="AW114" s="357"/>
      <c r="AX114" s="79"/>
      <c r="AY114" s="357"/>
      <c r="AZ114" s="79"/>
      <c r="BA114" s="357"/>
      <c r="BB114" s="79"/>
      <c r="BC114" s="357"/>
      <c r="BD114" s="71"/>
      <c r="BE114" s="83"/>
      <c r="BF114" s="79"/>
      <c r="BG114" s="357"/>
      <c r="BH114" s="79"/>
      <c r="BI114" s="357"/>
      <c r="BJ114" s="79"/>
      <c r="BK114" s="357"/>
      <c r="BL114" s="79"/>
      <c r="BM114" s="357"/>
      <c r="BN114" s="28">
        <f t="shared" si="5"/>
        <v>0</v>
      </c>
      <c r="BO114" s="29">
        <f t="shared" si="6"/>
        <v>0</v>
      </c>
    </row>
    <row r="115" spans="1:67" ht="15" customHeight="1" x14ac:dyDescent="0.35">
      <c r="A115" s="24"/>
      <c r="B115" s="683"/>
      <c r="C115" s="684"/>
      <c r="D115" s="79"/>
      <c r="E115" s="357"/>
      <c r="F115" s="79"/>
      <c r="G115" s="357"/>
      <c r="H115" s="79"/>
      <c r="I115" s="357"/>
      <c r="J115" s="79"/>
      <c r="K115" s="357"/>
      <c r="L115" s="71"/>
      <c r="M115" s="83"/>
      <c r="N115" s="71"/>
      <c r="O115" s="83"/>
      <c r="P115" s="71"/>
      <c r="Q115" s="83"/>
      <c r="R115" s="71"/>
      <c r="S115" s="83"/>
      <c r="T115" s="71"/>
      <c r="U115" s="83"/>
      <c r="V115" s="79"/>
      <c r="W115" s="357"/>
      <c r="X115" s="79"/>
      <c r="Y115" s="357"/>
      <c r="Z115" s="79"/>
      <c r="AA115" s="357"/>
      <c r="AB115" s="71"/>
      <c r="AC115" s="83"/>
      <c r="AD115" s="79"/>
      <c r="AE115" s="357"/>
      <c r="AF115" s="79"/>
      <c r="AG115" s="357"/>
      <c r="AH115" s="79"/>
      <c r="AI115" s="357"/>
      <c r="AJ115" s="79"/>
      <c r="AK115" s="357"/>
      <c r="AL115" s="79"/>
      <c r="AM115" s="357"/>
      <c r="AN115" s="79"/>
      <c r="AO115" s="357"/>
      <c r="AP115" s="71"/>
      <c r="AQ115" s="83"/>
      <c r="AR115" s="79"/>
      <c r="AS115" s="357"/>
      <c r="AT115" s="79"/>
      <c r="AU115" s="357"/>
      <c r="AV115" s="79"/>
      <c r="AW115" s="357"/>
      <c r="AX115" s="79"/>
      <c r="AY115" s="357"/>
      <c r="AZ115" s="79"/>
      <c r="BA115" s="357"/>
      <c r="BB115" s="79"/>
      <c r="BC115" s="357"/>
      <c r="BD115" s="71"/>
      <c r="BE115" s="83"/>
      <c r="BF115" s="79"/>
      <c r="BG115" s="357"/>
      <c r="BH115" s="79"/>
      <c r="BI115" s="357"/>
      <c r="BJ115" s="79"/>
      <c r="BK115" s="357"/>
      <c r="BL115" s="79"/>
      <c r="BM115" s="357"/>
      <c r="BN115" s="28">
        <f t="shared" si="5"/>
        <v>0</v>
      </c>
      <c r="BO115" s="29">
        <f t="shared" si="6"/>
        <v>0</v>
      </c>
    </row>
    <row r="116" spans="1:67" ht="15" customHeight="1" x14ac:dyDescent="0.35">
      <c r="A116" s="24"/>
      <c r="B116" s="683"/>
      <c r="C116" s="684"/>
      <c r="D116" s="79"/>
      <c r="E116" s="357"/>
      <c r="F116" s="79"/>
      <c r="G116" s="357"/>
      <c r="H116" s="79"/>
      <c r="I116" s="357"/>
      <c r="J116" s="79"/>
      <c r="K116" s="357"/>
      <c r="L116" s="71"/>
      <c r="M116" s="83"/>
      <c r="N116" s="71"/>
      <c r="O116" s="83"/>
      <c r="P116" s="71"/>
      <c r="Q116" s="83"/>
      <c r="R116" s="71"/>
      <c r="S116" s="83"/>
      <c r="T116" s="71"/>
      <c r="U116" s="83"/>
      <c r="V116" s="79"/>
      <c r="W116" s="357"/>
      <c r="X116" s="79"/>
      <c r="Y116" s="357"/>
      <c r="Z116" s="79"/>
      <c r="AA116" s="357"/>
      <c r="AB116" s="71"/>
      <c r="AC116" s="83"/>
      <c r="AD116" s="79"/>
      <c r="AE116" s="357"/>
      <c r="AF116" s="79"/>
      <c r="AG116" s="357"/>
      <c r="AH116" s="79"/>
      <c r="AI116" s="357"/>
      <c r="AJ116" s="79"/>
      <c r="AK116" s="357"/>
      <c r="AL116" s="79"/>
      <c r="AM116" s="357"/>
      <c r="AN116" s="79"/>
      <c r="AO116" s="357"/>
      <c r="AP116" s="71"/>
      <c r="AQ116" s="83"/>
      <c r="AR116" s="79"/>
      <c r="AS116" s="357"/>
      <c r="AT116" s="79"/>
      <c r="AU116" s="357"/>
      <c r="AV116" s="79"/>
      <c r="AW116" s="357"/>
      <c r="AX116" s="79"/>
      <c r="AY116" s="357"/>
      <c r="AZ116" s="79"/>
      <c r="BA116" s="357"/>
      <c r="BB116" s="79"/>
      <c r="BC116" s="357"/>
      <c r="BD116" s="71"/>
      <c r="BE116" s="83"/>
      <c r="BF116" s="79"/>
      <c r="BG116" s="357"/>
      <c r="BH116" s="79"/>
      <c r="BI116" s="357"/>
      <c r="BJ116" s="79"/>
      <c r="BK116" s="357"/>
      <c r="BL116" s="79"/>
      <c r="BM116" s="357"/>
      <c r="BN116" s="28">
        <f t="shared" si="5"/>
        <v>0</v>
      </c>
      <c r="BO116" s="29">
        <f t="shared" si="6"/>
        <v>0</v>
      </c>
    </row>
    <row r="117" spans="1:67" ht="15.75" x14ac:dyDescent="0.25">
      <c r="A117" s="31"/>
      <c r="B117" s="675" t="s">
        <v>151</v>
      </c>
      <c r="C117" s="676"/>
      <c r="D117" s="85"/>
      <c r="E117" s="358"/>
      <c r="F117" s="85"/>
      <c r="G117" s="358"/>
      <c r="H117" s="85"/>
      <c r="I117" s="358"/>
      <c r="J117" s="85"/>
      <c r="K117" s="358"/>
      <c r="L117" s="71"/>
      <c r="M117" s="83"/>
      <c r="N117" s="71"/>
      <c r="O117" s="83"/>
      <c r="P117" s="71"/>
      <c r="Q117" s="83"/>
      <c r="R117" s="71"/>
      <c r="S117" s="83"/>
      <c r="T117" s="71"/>
      <c r="U117" s="83"/>
      <c r="V117" s="85"/>
      <c r="W117" s="358"/>
      <c r="X117" s="85"/>
      <c r="Y117" s="358"/>
      <c r="Z117" s="85"/>
      <c r="AA117" s="358"/>
      <c r="AB117" s="71"/>
      <c r="AC117" s="83"/>
      <c r="AD117" s="85"/>
      <c r="AE117" s="358"/>
      <c r="AF117" s="85"/>
      <c r="AG117" s="358"/>
      <c r="AH117" s="85"/>
      <c r="AI117" s="358"/>
      <c r="AJ117" s="85"/>
      <c r="AK117" s="358"/>
      <c r="AL117" s="85"/>
      <c r="AM117" s="358"/>
      <c r="AN117" s="85"/>
      <c r="AO117" s="358"/>
      <c r="AP117" s="71"/>
      <c r="AQ117" s="83"/>
      <c r="AR117" s="85"/>
      <c r="AS117" s="358"/>
      <c r="AT117" s="85"/>
      <c r="AU117" s="358"/>
      <c r="AV117" s="85"/>
      <c r="AW117" s="358"/>
      <c r="AX117" s="85"/>
      <c r="AY117" s="358"/>
      <c r="AZ117" s="85"/>
      <c r="BA117" s="358"/>
      <c r="BB117" s="85"/>
      <c r="BC117" s="358"/>
      <c r="BD117" s="71"/>
      <c r="BE117" s="83"/>
      <c r="BF117" s="85"/>
      <c r="BG117" s="358"/>
      <c r="BH117" s="85"/>
      <c r="BI117" s="358"/>
      <c r="BJ117" s="85"/>
      <c r="BK117" s="358"/>
      <c r="BL117" s="85"/>
      <c r="BM117" s="358"/>
      <c r="BN117" s="28">
        <f t="shared" si="5"/>
        <v>0</v>
      </c>
      <c r="BO117" s="29"/>
    </row>
    <row r="118" spans="1:67" ht="15.75" x14ac:dyDescent="0.25">
      <c r="A118" s="31"/>
      <c r="B118" s="677" t="s">
        <v>152</v>
      </c>
      <c r="C118" s="678"/>
      <c r="D118" s="87"/>
      <c r="E118" s="94"/>
      <c r="F118" s="87"/>
      <c r="G118" s="94"/>
      <c r="H118" s="87"/>
      <c r="I118" s="94"/>
      <c r="J118" s="87"/>
      <c r="K118" s="94"/>
      <c r="L118" s="71"/>
      <c r="M118" s="83"/>
      <c r="N118" s="71"/>
      <c r="O118" s="83"/>
      <c r="P118" s="71"/>
      <c r="Q118" s="83"/>
      <c r="R118" s="71"/>
      <c r="S118" s="83"/>
      <c r="T118" s="71"/>
      <c r="U118" s="83"/>
      <c r="V118" s="87"/>
      <c r="W118" s="94"/>
      <c r="X118" s="87"/>
      <c r="Y118" s="94"/>
      <c r="Z118" s="87"/>
      <c r="AA118" s="94"/>
      <c r="AB118" s="71"/>
      <c r="AC118" s="83"/>
      <c r="AD118" s="87"/>
      <c r="AE118" s="94"/>
      <c r="AF118" s="87"/>
      <c r="AG118" s="94"/>
      <c r="AH118" s="87"/>
      <c r="AI118" s="94"/>
      <c r="AJ118" s="87"/>
      <c r="AK118" s="94"/>
      <c r="AL118" s="87"/>
      <c r="AM118" s="94"/>
      <c r="AN118" s="87"/>
      <c r="AO118" s="94"/>
      <c r="AP118" s="71"/>
      <c r="AQ118" s="83"/>
      <c r="AR118" s="87"/>
      <c r="AS118" s="94"/>
      <c r="AT118" s="87"/>
      <c r="AU118" s="94"/>
      <c r="AV118" s="87"/>
      <c r="AW118" s="94"/>
      <c r="AX118" s="87"/>
      <c r="AY118" s="94"/>
      <c r="AZ118" s="87"/>
      <c r="BA118" s="94"/>
      <c r="BB118" s="87"/>
      <c r="BC118" s="94"/>
      <c r="BD118" s="71"/>
      <c r="BE118" s="83"/>
      <c r="BF118" s="87"/>
      <c r="BG118" s="94"/>
      <c r="BH118" s="87"/>
      <c r="BI118" s="94"/>
      <c r="BJ118" s="87"/>
      <c r="BK118" s="94"/>
      <c r="BL118" s="87"/>
      <c r="BM118" s="94"/>
      <c r="BN118" s="28">
        <f t="shared" si="5"/>
        <v>0</v>
      </c>
      <c r="BO118" s="29"/>
    </row>
    <row r="119" spans="1:67" s="1" customFormat="1" ht="15.75" x14ac:dyDescent="0.25">
      <c r="A119" s="36"/>
      <c r="B119" s="679" t="s">
        <v>153</v>
      </c>
      <c r="C119" s="680"/>
      <c r="D119" s="89"/>
      <c r="E119" s="359"/>
      <c r="F119" s="89"/>
      <c r="G119" s="359"/>
      <c r="H119" s="89"/>
      <c r="I119" s="359"/>
      <c r="J119" s="89"/>
      <c r="K119" s="359"/>
      <c r="L119" s="71"/>
      <c r="M119" s="83"/>
      <c r="N119" s="71"/>
      <c r="O119" s="83"/>
      <c r="P119" s="71"/>
      <c r="Q119" s="83"/>
      <c r="R119" s="71"/>
      <c r="S119" s="83"/>
      <c r="T119" s="71"/>
      <c r="U119" s="83"/>
      <c r="V119" s="89"/>
      <c r="W119" s="359"/>
      <c r="X119" s="89"/>
      <c r="Y119" s="359"/>
      <c r="Z119" s="89"/>
      <c r="AA119" s="359"/>
      <c r="AB119" s="71"/>
      <c r="AC119" s="83"/>
      <c r="AD119" s="89"/>
      <c r="AE119" s="359"/>
      <c r="AF119" s="89">
        <v>8.5</v>
      </c>
      <c r="AG119" s="359"/>
      <c r="AH119" s="89">
        <v>8.5</v>
      </c>
      <c r="AI119" s="359"/>
      <c r="AJ119" s="89">
        <v>8.5</v>
      </c>
      <c r="AK119" s="359"/>
      <c r="AL119" s="89">
        <v>8.5</v>
      </c>
      <c r="AM119" s="359"/>
      <c r="AN119" s="89"/>
      <c r="AO119" s="359"/>
      <c r="AP119" s="71"/>
      <c r="AQ119" s="83"/>
      <c r="AR119" s="89"/>
      <c r="AS119" s="359"/>
      <c r="AT119" s="89"/>
      <c r="AU119" s="359"/>
      <c r="AV119" s="89"/>
      <c r="AW119" s="359"/>
      <c r="AX119" s="89"/>
      <c r="AY119" s="359"/>
      <c r="AZ119" s="89"/>
      <c r="BA119" s="359"/>
      <c r="BB119" s="89"/>
      <c r="BC119" s="359"/>
      <c r="BD119" s="71"/>
      <c r="BE119" s="83"/>
      <c r="BF119" s="89"/>
      <c r="BG119" s="359"/>
      <c r="BH119" s="89"/>
      <c r="BI119" s="359"/>
      <c r="BJ119" s="89"/>
      <c r="BK119" s="359"/>
      <c r="BL119" s="89"/>
      <c r="BM119" s="359"/>
      <c r="BN119" s="28">
        <f t="shared" si="5"/>
        <v>34</v>
      </c>
      <c r="BO119" s="50"/>
    </row>
    <row r="120" spans="1:67" s="1" customFormat="1" ht="15.75" x14ac:dyDescent="0.25">
      <c r="A120" s="36"/>
      <c r="B120" s="679" t="s">
        <v>154</v>
      </c>
      <c r="C120" s="680"/>
      <c r="D120" s="72"/>
      <c r="E120" s="356"/>
      <c r="F120" s="72"/>
      <c r="G120" s="356"/>
      <c r="H120" s="72"/>
      <c r="I120" s="356"/>
      <c r="J120" s="72"/>
      <c r="K120" s="356"/>
      <c r="L120" s="71"/>
      <c r="M120" s="83"/>
      <c r="N120" s="71"/>
      <c r="O120" s="83"/>
      <c r="P120" s="71"/>
      <c r="Q120" s="83"/>
      <c r="R120" s="71"/>
      <c r="S120" s="83"/>
      <c r="T120" s="71"/>
      <c r="U120" s="83"/>
      <c r="V120" s="72"/>
      <c r="W120" s="356"/>
      <c r="X120" s="72"/>
      <c r="Y120" s="356"/>
      <c r="Z120" s="72"/>
      <c r="AA120" s="356"/>
      <c r="AB120" s="71"/>
      <c r="AC120" s="83"/>
      <c r="AD120" s="72"/>
      <c r="AE120" s="356"/>
      <c r="AF120" s="72"/>
      <c r="AG120" s="356"/>
      <c r="AH120" s="72"/>
      <c r="AI120" s="356"/>
      <c r="AJ120" s="72"/>
      <c r="AK120" s="356"/>
      <c r="AL120" s="72"/>
      <c r="AM120" s="356"/>
      <c r="AN120" s="72"/>
      <c r="AO120" s="356"/>
      <c r="AP120" s="71"/>
      <c r="AQ120" s="83"/>
      <c r="AR120" s="72"/>
      <c r="AS120" s="356"/>
      <c r="AT120" s="72"/>
      <c r="AU120" s="356"/>
      <c r="AV120" s="72"/>
      <c r="AW120" s="356"/>
      <c r="AX120" s="72"/>
      <c r="AY120" s="356"/>
      <c r="AZ120" s="72"/>
      <c r="BA120" s="356"/>
      <c r="BB120" s="72"/>
      <c r="BC120" s="356"/>
      <c r="BD120" s="71"/>
      <c r="BE120" s="83"/>
      <c r="BF120" s="72"/>
      <c r="BG120" s="356"/>
      <c r="BH120" s="72"/>
      <c r="BI120" s="356"/>
      <c r="BJ120" s="72"/>
      <c r="BK120" s="356"/>
      <c r="BL120" s="72"/>
      <c r="BM120" s="356"/>
      <c r="BN120" s="28">
        <f t="shared" si="5"/>
        <v>0</v>
      </c>
      <c r="BO120" s="50"/>
    </row>
    <row r="121" spans="1:67" s="1" customFormat="1" ht="15.75" x14ac:dyDescent="0.25">
      <c r="A121" s="36"/>
      <c r="B121" s="679" t="s">
        <v>155</v>
      </c>
      <c r="C121" s="680"/>
      <c r="D121" s="72">
        <f t="shared" ref="D121:BM121" si="7">(D119*60)+D120</f>
        <v>0</v>
      </c>
      <c r="E121" s="356">
        <f t="shared" si="7"/>
        <v>0</v>
      </c>
      <c r="F121" s="72">
        <f t="shared" si="7"/>
        <v>0</v>
      </c>
      <c r="G121" s="356">
        <f t="shared" si="7"/>
        <v>0</v>
      </c>
      <c r="H121" s="72">
        <f t="shared" si="7"/>
        <v>0</v>
      </c>
      <c r="I121" s="356">
        <f t="shared" si="7"/>
        <v>0</v>
      </c>
      <c r="J121" s="72">
        <f t="shared" si="7"/>
        <v>0</v>
      </c>
      <c r="K121" s="356">
        <f t="shared" si="7"/>
        <v>0</v>
      </c>
      <c r="L121" s="71">
        <f t="shared" si="7"/>
        <v>0</v>
      </c>
      <c r="M121" s="83">
        <f t="shared" si="7"/>
        <v>0</v>
      </c>
      <c r="N121" s="71">
        <f t="shared" si="7"/>
        <v>0</v>
      </c>
      <c r="O121" s="83">
        <f t="shared" si="7"/>
        <v>0</v>
      </c>
      <c r="P121" s="71">
        <f t="shared" si="7"/>
        <v>0</v>
      </c>
      <c r="Q121" s="83">
        <f t="shared" si="7"/>
        <v>0</v>
      </c>
      <c r="R121" s="71">
        <f t="shared" si="7"/>
        <v>0</v>
      </c>
      <c r="S121" s="83">
        <f t="shared" si="7"/>
        <v>0</v>
      </c>
      <c r="T121" s="71">
        <f t="shared" si="7"/>
        <v>0</v>
      </c>
      <c r="U121" s="83">
        <f t="shared" si="7"/>
        <v>0</v>
      </c>
      <c r="V121" s="72">
        <f t="shared" si="7"/>
        <v>0</v>
      </c>
      <c r="W121" s="356">
        <f t="shared" si="7"/>
        <v>0</v>
      </c>
      <c r="X121" s="72">
        <f t="shared" si="7"/>
        <v>0</v>
      </c>
      <c r="Y121" s="356">
        <f t="shared" si="7"/>
        <v>0</v>
      </c>
      <c r="Z121" s="72">
        <f t="shared" si="7"/>
        <v>0</v>
      </c>
      <c r="AA121" s="356">
        <f t="shared" si="7"/>
        <v>0</v>
      </c>
      <c r="AB121" s="71">
        <f t="shared" si="7"/>
        <v>0</v>
      </c>
      <c r="AC121" s="83">
        <f t="shared" si="7"/>
        <v>0</v>
      </c>
      <c r="AD121" s="72">
        <f t="shared" si="7"/>
        <v>0</v>
      </c>
      <c r="AE121" s="356">
        <f t="shared" si="7"/>
        <v>0</v>
      </c>
      <c r="AF121" s="72">
        <f t="shared" si="7"/>
        <v>510</v>
      </c>
      <c r="AG121" s="356">
        <f t="shared" si="7"/>
        <v>0</v>
      </c>
      <c r="AH121" s="72">
        <f t="shared" si="7"/>
        <v>510</v>
      </c>
      <c r="AI121" s="356">
        <f t="shared" si="7"/>
        <v>0</v>
      </c>
      <c r="AJ121" s="72">
        <f t="shared" si="7"/>
        <v>510</v>
      </c>
      <c r="AK121" s="356">
        <f t="shared" si="7"/>
        <v>0</v>
      </c>
      <c r="AL121" s="72">
        <f t="shared" si="7"/>
        <v>510</v>
      </c>
      <c r="AM121" s="356">
        <f t="shared" si="7"/>
        <v>0</v>
      </c>
      <c r="AN121" s="72">
        <f t="shared" si="7"/>
        <v>0</v>
      </c>
      <c r="AO121" s="356">
        <f t="shared" si="7"/>
        <v>0</v>
      </c>
      <c r="AP121" s="71">
        <f t="shared" si="7"/>
        <v>0</v>
      </c>
      <c r="AQ121" s="83">
        <f t="shared" si="7"/>
        <v>0</v>
      </c>
      <c r="AR121" s="72">
        <f t="shared" si="7"/>
        <v>0</v>
      </c>
      <c r="AS121" s="356">
        <f t="shared" si="7"/>
        <v>0</v>
      </c>
      <c r="AT121" s="72">
        <f t="shared" si="7"/>
        <v>0</v>
      </c>
      <c r="AU121" s="356">
        <f t="shared" si="7"/>
        <v>0</v>
      </c>
      <c r="AV121" s="72">
        <f t="shared" si="7"/>
        <v>0</v>
      </c>
      <c r="AW121" s="356">
        <f t="shared" si="7"/>
        <v>0</v>
      </c>
      <c r="AX121" s="72">
        <f t="shared" si="7"/>
        <v>0</v>
      </c>
      <c r="AY121" s="356">
        <f t="shared" si="7"/>
        <v>0</v>
      </c>
      <c r="AZ121" s="72">
        <f t="shared" si="7"/>
        <v>0</v>
      </c>
      <c r="BA121" s="356">
        <f t="shared" si="7"/>
        <v>0</v>
      </c>
      <c r="BB121" s="72">
        <f t="shared" si="7"/>
        <v>0</v>
      </c>
      <c r="BC121" s="356">
        <f t="shared" si="7"/>
        <v>0</v>
      </c>
      <c r="BD121" s="71">
        <f t="shared" si="7"/>
        <v>0</v>
      </c>
      <c r="BE121" s="83">
        <f t="shared" si="7"/>
        <v>0</v>
      </c>
      <c r="BF121" s="72">
        <f t="shared" si="7"/>
        <v>0</v>
      </c>
      <c r="BG121" s="356">
        <f t="shared" si="7"/>
        <v>0</v>
      </c>
      <c r="BH121" s="72">
        <f t="shared" si="7"/>
        <v>0</v>
      </c>
      <c r="BI121" s="356">
        <f t="shared" si="7"/>
        <v>0</v>
      </c>
      <c r="BJ121" s="72">
        <f t="shared" si="7"/>
        <v>0</v>
      </c>
      <c r="BK121" s="356">
        <f t="shared" si="7"/>
        <v>0</v>
      </c>
      <c r="BL121" s="72">
        <f t="shared" si="7"/>
        <v>0</v>
      </c>
      <c r="BM121" s="356">
        <f t="shared" si="7"/>
        <v>0</v>
      </c>
      <c r="BN121" s="28">
        <f t="shared" si="5"/>
        <v>2040</v>
      </c>
      <c r="BO121" s="50">
        <f>BN121-BN122</f>
        <v>1545</v>
      </c>
    </row>
    <row r="122" spans="1:67" s="1" customFormat="1" ht="15.75" x14ac:dyDescent="0.25">
      <c r="A122" s="39"/>
      <c r="B122" s="681" t="s">
        <v>157</v>
      </c>
      <c r="C122" s="682"/>
      <c r="D122" s="91">
        <f>SUM(D123:D126)</f>
        <v>0</v>
      </c>
      <c r="E122" s="360">
        <f t="shared" ref="E122:BM122" si="8">SUM(E123:E126)</f>
        <v>0</v>
      </c>
      <c r="F122" s="91">
        <f t="shared" si="8"/>
        <v>0</v>
      </c>
      <c r="G122" s="360">
        <f t="shared" si="8"/>
        <v>0</v>
      </c>
      <c r="H122" s="91">
        <f t="shared" si="8"/>
        <v>0</v>
      </c>
      <c r="I122" s="360">
        <f t="shared" si="8"/>
        <v>0</v>
      </c>
      <c r="J122" s="91">
        <f t="shared" si="8"/>
        <v>0</v>
      </c>
      <c r="K122" s="360">
        <f t="shared" si="8"/>
        <v>0</v>
      </c>
      <c r="L122" s="71">
        <f t="shared" si="8"/>
        <v>0</v>
      </c>
      <c r="M122" s="83">
        <f t="shared" si="8"/>
        <v>0</v>
      </c>
      <c r="N122" s="71">
        <f t="shared" si="8"/>
        <v>0</v>
      </c>
      <c r="O122" s="83">
        <f t="shared" si="8"/>
        <v>0</v>
      </c>
      <c r="P122" s="71">
        <f t="shared" si="8"/>
        <v>0</v>
      </c>
      <c r="Q122" s="83">
        <f t="shared" si="8"/>
        <v>0</v>
      </c>
      <c r="R122" s="71">
        <f t="shared" si="8"/>
        <v>0</v>
      </c>
      <c r="S122" s="83">
        <f t="shared" si="8"/>
        <v>0</v>
      </c>
      <c r="T122" s="71">
        <f t="shared" si="8"/>
        <v>0</v>
      </c>
      <c r="U122" s="83">
        <f t="shared" si="8"/>
        <v>0</v>
      </c>
      <c r="V122" s="91">
        <f t="shared" si="8"/>
        <v>0</v>
      </c>
      <c r="W122" s="360">
        <f t="shared" si="8"/>
        <v>0</v>
      </c>
      <c r="X122" s="91">
        <f t="shared" si="8"/>
        <v>0</v>
      </c>
      <c r="Y122" s="360">
        <f t="shared" si="8"/>
        <v>0</v>
      </c>
      <c r="Z122" s="91">
        <f t="shared" si="8"/>
        <v>0</v>
      </c>
      <c r="AA122" s="360">
        <f t="shared" si="8"/>
        <v>0</v>
      </c>
      <c r="AB122" s="71">
        <f t="shared" si="8"/>
        <v>0</v>
      </c>
      <c r="AC122" s="83">
        <f t="shared" si="8"/>
        <v>0</v>
      </c>
      <c r="AD122" s="91">
        <f t="shared" si="8"/>
        <v>0</v>
      </c>
      <c r="AE122" s="360">
        <f t="shared" si="8"/>
        <v>0</v>
      </c>
      <c r="AF122" s="91">
        <f t="shared" si="8"/>
        <v>360</v>
      </c>
      <c r="AG122" s="360">
        <f t="shared" si="8"/>
        <v>0</v>
      </c>
      <c r="AH122" s="91">
        <f t="shared" si="8"/>
        <v>45</v>
      </c>
      <c r="AI122" s="360">
        <f t="shared" si="8"/>
        <v>0</v>
      </c>
      <c r="AJ122" s="91">
        <f t="shared" si="8"/>
        <v>45</v>
      </c>
      <c r="AK122" s="360">
        <f t="shared" si="8"/>
        <v>0</v>
      </c>
      <c r="AL122" s="91">
        <f t="shared" si="8"/>
        <v>45</v>
      </c>
      <c r="AM122" s="360">
        <f t="shared" si="8"/>
        <v>0</v>
      </c>
      <c r="AN122" s="91">
        <f t="shared" si="8"/>
        <v>0</v>
      </c>
      <c r="AO122" s="360">
        <f t="shared" si="8"/>
        <v>0</v>
      </c>
      <c r="AP122" s="71">
        <f t="shared" si="8"/>
        <v>0</v>
      </c>
      <c r="AQ122" s="83">
        <f t="shared" si="8"/>
        <v>0</v>
      </c>
      <c r="AR122" s="91">
        <f t="shared" si="8"/>
        <v>0</v>
      </c>
      <c r="AS122" s="360">
        <f t="shared" si="8"/>
        <v>0</v>
      </c>
      <c r="AT122" s="91">
        <f t="shared" si="8"/>
        <v>0</v>
      </c>
      <c r="AU122" s="360">
        <f t="shared" si="8"/>
        <v>0</v>
      </c>
      <c r="AV122" s="91">
        <f t="shared" si="8"/>
        <v>0</v>
      </c>
      <c r="AW122" s="360">
        <f t="shared" si="8"/>
        <v>0</v>
      </c>
      <c r="AX122" s="91">
        <f t="shared" si="8"/>
        <v>0</v>
      </c>
      <c r="AY122" s="360">
        <f t="shared" si="8"/>
        <v>0</v>
      </c>
      <c r="AZ122" s="91">
        <f t="shared" si="8"/>
        <v>0</v>
      </c>
      <c r="BA122" s="360">
        <f t="shared" si="8"/>
        <v>0</v>
      </c>
      <c r="BB122" s="91">
        <f t="shared" si="8"/>
        <v>0</v>
      </c>
      <c r="BC122" s="360">
        <f t="shared" si="8"/>
        <v>0</v>
      </c>
      <c r="BD122" s="71">
        <f t="shared" si="8"/>
        <v>0</v>
      </c>
      <c r="BE122" s="83">
        <f t="shared" si="8"/>
        <v>0</v>
      </c>
      <c r="BF122" s="91">
        <f t="shared" si="8"/>
        <v>0</v>
      </c>
      <c r="BG122" s="360">
        <f t="shared" si="8"/>
        <v>0</v>
      </c>
      <c r="BH122" s="91">
        <f t="shared" si="8"/>
        <v>0</v>
      </c>
      <c r="BI122" s="360">
        <f t="shared" si="8"/>
        <v>0</v>
      </c>
      <c r="BJ122" s="91">
        <f t="shared" si="8"/>
        <v>0</v>
      </c>
      <c r="BK122" s="360">
        <f t="shared" si="8"/>
        <v>0</v>
      </c>
      <c r="BL122" s="91">
        <f t="shared" si="8"/>
        <v>0</v>
      </c>
      <c r="BM122" s="360">
        <f t="shared" si="8"/>
        <v>0</v>
      </c>
      <c r="BN122" s="28">
        <f t="shared" si="5"/>
        <v>495</v>
      </c>
      <c r="BO122" s="50"/>
    </row>
    <row r="123" spans="1:67" s="1" customFormat="1" ht="15" customHeight="1" x14ac:dyDescent="0.25">
      <c r="A123" s="42"/>
      <c r="B123" s="669" t="s">
        <v>158</v>
      </c>
      <c r="C123" s="670"/>
      <c r="D123" s="89"/>
      <c r="E123" s="359"/>
      <c r="F123" s="89"/>
      <c r="G123" s="359"/>
      <c r="H123" s="89"/>
      <c r="I123" s="359"/>
      <c r="J123" s="89"/>
      <c r="K123" s="359"/>
      <c r="L123" s="71"/>
      <c r="M123" s="83"/>
      <c r="N123" s="71"/>
      <c r="O123" s="83"/>
      <c r="P123" s="71"/>
      <c r="Q123" s="83"/>
      <c r="R123" s="71"/>
      <c r="S123" s="83"/>
      <c r="T123" s="71"/>
      <c r="U123" s="83"/>
      <c r="V123" s="89"/>
      <c r="W123" s="359"/>
      <c r="X123" s="89"/>
      <c r="Y123" s="359"/>
      <c r="Z123" s="89"/>
      <c r="AA123" s="359"/>
      <c r="AB123" s="71"/>
      <c r="AC123" s="83"/>
      <c r="AD123" s="89"/>
      <c r="AE123" s="359"/>
      <c r="AF123" s="89">
        <v>150</v>
      </c>
      <c r="AG123" s="359"/>
      <c r="AH123" s="89"/>
      <c r="AI123" s="359"/>
      <c r="AJ123" s="89"/>
      <c r="AK123" s="359"/>
      <c r="AL123" s="89"/>
      <c r="AM123" s="359"/>
      <c r="AN123" s="89"/>
      <c r="AO123" s="359"/>
      <c r="AP123" s="71"/>
      <c r="AQ123" s="83"/>
      <c r="AR123" s="89"/>
      <c r="AS123" s="359"/>
      <c r="AT123" s="89"/>
      <c r="AU123" s="359"/>
      <c r="AV123" s="89"/>
      <c r="AW123" s="359"/>
      <c r="AX123" s="89"/>
      <c r="AY123" s="359"/>
      <c r="AZ123" s="89"/>
      <c r="BA123" s="359"/>
      <c r="BB123" s="89"/>
      <c r="BC123" s="359"/>
      <c r="BD123" s="71"/>
      <c r="BE123" s="83"/>
      <c r="BF123" s="89"/>
      <c r="BG123" s="359"/>
      <c r="BH123" s="89"/>
      <c r="BI123" s="359"/>
      <c r="BJ123" s="89"/>
      <c r="BK123" s="359"/>
      <c r="BL123" s="89"/>
      <c r="BM123" s="359"/>
      <c r="BN123" s="28">
        <f t="shared" si="5"/>
        <v>150</v>
      </c>
      <c r="BO123" s="50"/>
    </row>
    <row r="124" spans="1:67" s="1" customFormat="1" ht="15" customHeight="1" x14ac:dyDescent="0.25">
      <c r="A124" s="42"/>
      <c r="B124" s="669" t="s">
        <v>276</v>
      </c>
      <c r="C124" s="670"/>
      <c r="D124" s="89"/>
      <c r="E124" s="359"/>
      <c r="F124" s="89"/>
      <c r="G124" s="359"/>
      <c r="H124" s="89"/>
      <c r="I124" s="359"/>
      <c r="J124" s="89"/>
      <c r="K124" s="359"/>
      <c r="L124" s="71"/>
      <c r="M124" s="83"/>
      <c r="N124" s="71"/>
      <c r="O124" s="83"/>
      <c r="P124" s="71"/>
      <c r="Q124" s="83"/>
      <c r="R124" s="71"/>
      <c r="S124" s="83"/>
      <c r="T124" s="71"/>
      <c r="U124" s="83"/>
      <c r="V124" s="89"/>
      <c r="W124" s="359"/>
      <c r="X124" s="89"/>
      <c r="Y124" s="359"/>
      <c r="Z124" s="89"/>
      <c r="AA124" s="359"/>
      <c r="AB124" s="71"/>
      <c r="AC124" s="83"/>
      <c r="AD124" s="89"/>
      <c r="AE124" s="359"/>
      <c r="AF124" s="89"/>
      <c r="AG124" s="359"/>
      <c r="AH124" s="89"/>
      <c r="AI124" s="359"/>
      <c r="AJ124" s="89"/>
      <c r="AK124" s="359"/>
      <c r="AL124" s="89"/>
      <c r="AM124" s="359"/>
      <c r="AN124" s="89"/>
      <c r="AO124" s="359"/>
      <c r="AP124" s="71"/>
      <c r="AQ124" s="83"/>
      <c r="AR124" s="89"/>
      <c r="AS124" s="359"/>
      <c r="AT124" s="89"/>
      <c r="AU124" s="359"/>
      <c r="AV124" s="89"/>
      <c r="AW124" s="359"/>
      <c r="AX124" s="89"/>
      <c r="AY124" s="359"/>
      <c r="AZ124" s="89"/>
      <c r="BA124" s="359"/>
      <c r="BB124" s="89"/>
      <c r="BC124" s="359"/>
      <c r="BD124" s="71"/>
      <c r="BE124" s="83"/>
      <c r="BF124" s="89"/>
      <c r="BG124" s="359"/>
      <c r="BH124" s="89"/>
      <c r="BI124" s="359"/>
      <c r="BJ124" s="89"/>
      <c r="BK124" s="359"/>
      <c r="BL124" s="89"/>
      <c r="BM124" s="359"/>
      <c r="BN124" s="28">
        <f t="shared" si="5"/>
        <v>0</v>
      </c>
      <c r="BO124" s="50"/>
    </row>
    <row r="125" spans="1:67" s="1" customFormat="1" ht="15.75" x14ac:dyDescent="0.25">
      <c r="A125" s="42"/>
      <c r="B125" s="669" t="s">
        <v>279</v>
      </c>
      <c r="C125" s="670"/>
      <c r="D125" s="89"/>
      <c r="E125" s="359"/>
      <c r="F125" s="89"/>
      <c r="G125" s="359"/>
      <c r="H125" s="89"/>
      <c r="I125" s="359"/>
      <c r="J125" s="89"/>
      <c r="K125" s="359"/>
      <c r="L125" s="71"/>
      <c r="M125" s="83"/>
      <c r="N125" s="71"/>
      <c r="O125" s="83"/>
      <c r="P125" s="71"/>
      <c r="Q125" s="83"/>
      <c r="R125" s="71"/>
      <c r="S125" s="83"/>
      <c r="T125" s="71"/>
      <c r="U125" s="83"/>
      <c r="V125" s="89"/>
      <c r="W125" s="359"/>
      <c r="X125" s="89"/>
      <c r="Y125" s="359"/>
      <c r="Z125" s="89"/>
      <c r="AA125" s="359"/>
      <c r="AB125" s="71"/>
      <c r="AC125" s="83"/>
      <c r="AD125" s="89"/>
      <c r="AE125" s="359"/>
      <c r="AF125" s="89">
        <v>45</v>
      </c>
      <c r="AG125" s="359"/>
      <c r="AH125" s="89">
        <v>45</v>
      </c>
      <c r="AI125" s="359"/>
      <c r="AJ125" s="89">
        <v>45</v>
      </c>
      <c r="AK125" s="359"/>
      <c r="AL125" s="89">
        <v>45</v>
      </c>
      <c r="AM125" s="359"/>
      <c r="AN125" s="89"/>
      <c r="AO125" s="359"/>
      <c r="AP125" s="71"/>
      <c r="AQ125" s="83"/>
      <c r="AR125" s="89"/>
      <c r="AS125" s="359"/>
      <c r="AT125" s="89"/>
      <c r="AU125" s="359"/>
      <c r="AV125" s="89"/>
      <c r="AW125" s="359"/>
      <c r="AX125" s="89"/>
      <c r="AY125" s="359"/>
      <c r="AZ125" s="89"/>
      <c r="BA125" s="359"/>
      <c r="BB125" s="89"/>
      <c r="BC125" s="359"/>
      <c r="BD125" s="71"/>
      <c r="BE125" s="83"/>
      <c r="BF125" s="89"/>
      <c r="BG125" s="359"/>
      <c r="BH125" s="89"/>
      <c r="BI125" s="359"/>
      <c r="BJ125" s="89"/>
      <c r="BK125" s="359"/>
      <c r="BL125" s="89"/>
      <c r="BM125" s="359"/>
      <c r="BN125" s="28">
        <f t="shared" si="5"/>
        <v>180</v>
      </c>
      <c r="BO125" s="50"/>
    </row>
    <row r="126" spans="1:67" s="1" customFormat="1" ht="15.75" x14ac:dyDescent="0.25">
      <c r="A126" s="42"/>
      <c r="B126" s="669" t="s">
        <v>161</v>
      </c>
      <c r="C126" s="670"/>
      <c r="D126" s="89"/>
      <c r="E126" s="359"/>
      <c r="F126" s="89"/>
      <c r="G126" s="359"/>
      <c r="H126" s="89"/>
      <c r="I126" s="359"/>
      <c r="J126" s="89"/>
      <c r="K126" s="359"/>
      <c r="L126" s="71"/>
      <c r="M126" s="83"/>
      <c r="N126" s="71"/>
      <c r="O126" s="83"/>
      <c r="P126" s="71"/>
      <c r="Q126" s="83"/>
      <c r="R126" s="71"/>
      <c r="S126" s="83"/>
      <c r="T126" s="71"/>
      <c r="U126" s="83"/>
      <c r="V126" s="89"/>
      <c r="W126" s="359"/>
      <c r="X126" s="89"/>
      <c r="Y126" s="359"/>
      <c r="Z126" s="89"/>
      <c r="AA126" s="359"/>
      <c r="AB126" s="71"/>
      <c r="AC126" s="83"/>
      <c r="AD126" s="89"/>
      <c r="AE126" s="359"/>
      <c r="AF126" s="89">
        <f>120+30+15</f>
        <v>165</v>
      </c>
      <c r="AG126" s="359"/>
      <c r="AH126" s="89"/>
      <c r="AI126" s="359"/>
      <c r="AJ126" s="89"/>
      <c r="AK126" s="359"/>
      <c r="AL126" s="89"/>
      <c r="AM126" s="359"/>
      <c r="AN126" s="89"/>
      <c r="AO126" s="359"/>
      <c r="AP126" s="71"/>
      <c r="AQ126" s="83"/>
      <c r="AR126" s="89"/>
      <c r="AS126" s="359"/>
      <c r="AT126" s="89"/>
      <c r="AU126" s="359"/>
      <c r="AV126" s="89"/>
      <c r="AW126" s="359"/>
      <c r="AX126" s="89"/>
      <c r="AY126" s="359"/>
      <c r="AZ126" s="89"/>
      <c r="BA126" s="359"/>
      <c r="BB126" s="89"/>
      <c r="BC126" s="359"/>
      <c r="BD126" s="71"/>
      <c r="BE126" s="83"/>
      <c r="BF126" s="89"/>
      <c r="BG126" s="359"/>
      <c r="BH126" s="89"/>
      <c r="BI126" s="359"/>
      <c r="BJ126" s="89"/>
      <c r="BK126" s="359"/>
      <c r="BL126" s="89"/>
      <c r="BM126" s="359"/>
      <c r="BN126" s="28">
        <f t="shared" si="5"/>
        <v>165</v>
      </c>
      <c r="BO126" s="50"/>
    </row>
    <row r="127" spans="1:67" ht="15.75" x14ac:dyDescent="0.25">
      <c r="A127" s="44"/>
      <c r="B127" s="671" t="s">
        <v>162</v>
      </c>
      <c r="C127" s="672"/>
      <c r="D127" s="85"/>
      <c r="E127" s="358"/>
      <c r="F127" s="85"/>
      <c r="G127" s="358"/>
      <c r="H127" s="85"/>
      <c r="I127" s="358"/>
      <c r="J127" s="85"/>
      <c r="K127" s="358"/>
      <c r="L127" s="71"/>
      <c r="M127" s="83"/>
      <c r="N127" s="71"/>
      <c r="O127" s="83"/>
      <c r="P127" s="71"/>
      <c r="Q127" s="83"/>
      <c r="R127" s="71"/>
      <c r="S127" s="83"/>
      <c r="T127" s="71"/>
      <c r="U127" s="83"/>
      <c r="V127" s="85"/>
      <c r="W127" s="358"/>
      <c r="X127" s="85"/>
      <c r="Y127" s="358"/>
      <c r="Z127" s="85"/>
      <c r="AA127" s="358"/>
      <c r="AB127" s="71"/>
      <c r="AC127" s="83"/>
      <c r="AD127" s="85"/>
      <c r="AE127" s="358"/>
      <c r="AF127" s="85">
        <f>AF121-AF122-AF32</f>
        <v>150</v>
      </c>
      <c r="AG127" s="358"/>
      <c r="AH127" s="85">
        <f>AH121-AH122-AH32</f>
        <v>465</v>
      </c>
      <c r="AI127" s="358"/>
      <c r="AJ127" s="85">
        <f>AJ121-AJ122-AJ32</f>
        <v>465</v>
      </c>
      <c r="AK127" s="358"/>
      <c r="AL127" s="85">
        <f>AL121-AL122-AL32</f>
        <v>465</v>
      </c>
      <c r="AM127" s="358"/>
      <c r="AN127" s="85"/>
      <c r="AO127" s="358"/>
      <c r="AP127" s="71"/>
      <c r="AQ127" s="83"/>
      <c r="AR127" s="85"/>
      <c r="AS127" s="358"/>
      <c r="AT127" s="85"/>
      <c r="AU127" s="358"/>
      <c r="AV127" s="85"/>
      <c r="AW127" s="358"/>
      <c r="AX127" s="85"/>
      <c r="AY127" s="358"/>
      <c r="AZ127" s="85"/>
      <c r="BA127" s="358"/>
      <c r="BB127" s="85"/>
      <c r="BC127" s="358"/>
      <c r="BD127" s="71"/>
      <c r="BE127" s="83"/>
      <c r="BF127" s="85"/>
      <c r="BG127" s="358"/>
      <c r="BH127" s="85"/>
      <c r="BI127" s="358"/>
      <c r="BJ127" s="85"/>
      <c r="BK127" s="358"/>
      <c r="BL127" s="85"/>
      <c r="BM127" s="358"/>
      <c r="BN127" s="33">
        <f>BN121-BN122-BN32</f>
        <v>1545</v>
      </c>
      <c r="BO127" s="29"/>
    </row>
    <row r="128" spans="1:67" ht="15.75" x14ac:dyDescent="0.25">
      <c r="A128" s="44"/>
      <c r="B128" s="671" t="s">
        <v>163</v>
      </c>
      <c r="C128" s="672"/>
      <c r="D128" s="93"/>
      <c r="E128" s="361"/>
      <c r="F128" s="93"/>
      <c r="G128" s="361"/>
      <c r="H128" s="93"/>
      <c r="I128" s="361"/>
      <c r="J128" s="93"/>
      <c r="K128" s="361"/>
      <c r="L128" s="71"/>
      <c r="M128" s="83"/>
      <c r="N128" s="71"/>
      <c r="O128" s="83"/>
      <c r="P128" s="71"/>
      <c r="Q128" s="83"/>
      <c r="R128" s="71"/>
      <c r="S128" s="83"/>
      <c r="T128" s="71"/>
      <c r="U128" s="83"/>
      <c r="V128" s="93"/>
      <c r="W128" s="361"/>
      <c r="X128" s="93"/>
      <c r="Y128" s="361"/>
      <c r="Z128" s="93"/>
      <c r="AA128" s="361"/>
      <c r="AB128" s="71"/>
      <c r="AC128" s="83"/>
      <c r="AD128" s="93"/>
      <c r="AE128" s="361"/>
      <c r="AF128" s="93">
        <f>IFERROR(SUMPRODUCT(AF5:AF21/$C$5:$C$21),0)</f>
        <v>106.5</v>
      </c>
      <c r="AG128" s="361"/>
      <c r="AH128" s="93">
        <f>IFERROR(SUMPRODUCT(AH5:AH21/$C$5:$C$21),0)</f>
        <v>38.299999999999997</v>
      </c>
      <c r="AI128" s="361"/>
      <c r="AJ128" s="93">
        <f>IFERROR(SUMPRODUCT(AJ5:AJ21/$C$5:$C$21),0)</f>
        <v>43.6</v>
      </c>
      <c r="AK128" s="361"/>
      <c r="AL128" s="93">
        <f>IFERROR(SUMPRODUCT(AL5:AL21/$C$5:$C$21),0)</f>
        <v>43.6</v>
      </c>
      <c r="AM128" s="361"/>
      <c r="AN128" s="93"/>
      <c r="AO128" s="361"/>
      <c r="AP128" s="71"/>
      <c r="AQ128" s="83"/>
      <c r="AR128" s="93"/>
      <c r="AS128" s="361"/>
      <c r="AT128" s="93"/>
      <c r="AU128" s="361"/>
      <c r="AV128" s="93"/>
      <c r="AW128" s="361"/>
      <c r="AX128" s="93"/>
      <c r="AY128" s="361"/>
      <c r="AZ128" s="93"/>
      <c r="BA128" s="361"/>
      <c r="BB128" s="93"/>
      <c r="BC128" s="361"/>
      <c r="BD128" s="71"/>
      <c r="BE128" s="83"/>
      <c r="BF128" s="93"/>
      <c r="BG128" s="361"/>
      <c r="BH128" s="93"/>
      <c r="BI128" s="361"/>
      <c r="BJ128" s="93"/>
      <c r="BK128" s="361"/>
      <c r="BL128" s="93"/>
      <c r="BM128" s="361"/>
      <c r="BN128" s="362">
        <f>IFERROR(SUMPRODUCT(BN5:BN21/$C$5:$C$21),0)</f>
        <v>232</v>
      </c>
      <c r="BO128" s="29"/>
    </row>
    <row r="129" spans="1:67" ht="15.75" x14ac:dyDescent="0.25">
      <c r="A129" s="44"/>
      <c r="B129" s="671" t="s">
        <v>164</v>
      </c>
      <c r="C129" s="672"/>
      <c r="D129" s="93"/>
      <c r="E129" s="361"/>
      <c r="F129" s="93"/>
      <c r="G129" s="361"/>
      <c r="H129" s="93"/>
      <c r="I129" s="361"/>
      <c r="J129" s="93"/>
      <c r="K129" s="361"/>
      <c r="L129" s="71"/>
      <c r="M129" s="83"/>
      <c r="N129" s="71"/>
      <c r="O129" s="83"/>
      <c r="P129" s="71"/>
      <c r="Q129" s="83"/>
      <c r="R129" s="71"/>
      <c r="S129" s="83"/>
      <c r="T129" s="71"/>
      <c r="U129" s="83"/>
      <c r="V129" s="93"/>
      <c r="W129" s="361"/>
      <c r="X129" s="93"/>
      <c r="Y129" s="361"/>
      <c r="Z129" s="93"/>
      <c r="AA129" s="361"/>
      <c r="AB129" s="71"/>
      <c r="AC129" s="83"/>
      <c r="AD129" s="93"/>
      <c r="AE129" s="361"/>
      <c r="AF129" s="93">
        <f>AF127-AF128</f>
        <v>43.5</v>
      </c>
      <c r="AG129" s="361"/>
      <c r="AH129" s="93">
        <f>AH127-AH128</f>
        <v>426.7</v>
      </c>
      <c r="AI129" s="361"/>
      <c r="AJ129" s="93">
        <f>AJ127-AJ128</f>
        <v>421.4</v>
      </c>
      <c r="AK129" s="361"/>
      <c r="AL129" s="93">
        <f>AL127-AL128</f>
        <v>421.4</v>
      </c>
      <c r="AM129" s="361"/>
      <c r="AN129" s="93"/>
      <c r="AO129" s="361"/>
      <c r="AP129" s="71"/>
      <c r="AQ129" s="83"/>
      <c r="AR129" s="93"/>
      <c r="AS129" s="361"/>
      <c r="AT129" s="93"/>
      <c r="AU129" s="361"/>
      <c r="AV129" s="93"/>
      <c r="AW129" s="361"/>
      <c r="AX129" s="93"/>
      <c r="AY129" s="361"/>
      <c r="AZ129" s="93"/>
      <c r="BA129" s="361"/>
      <c r="BB129" s="93"/>
      <c r="BC129" s="361"/>
      <c r="BD129" s="71"/>
      <c r="BE129" s="83"/>
      <c r="BF129" s="93"/>
      <c r="BG129" s="361"/>
      <c r="BH129" s="93"/>
      <c r="BI129" s="361"/>
      <c r="BJ129" s="93"/>
      <c r="BK129" s="361"/>
      <c r="BL129" s="93"/>
      <c r="BM129" s="361"/>
      <c r="BN129" s="95">
        <f>BN127-BN128</f>
        <v>1313</v>
      </c>
      <c r="BO129" s="29"/>
    </row>
    <row r="130" spans="1:67" ht="15.75" x14ac:dyDescent="0.25">
      <c r="A130" s="44"/>
      <c r="B130" s="671" t="s">
        <v>165</v>
      </c>
      <c r="C130" s="672"/>
      <c r="D130" s="93"/>
      <c r="E130" s="361"/>
      <c r="F130" s="93"/>
      <c r="G130" s="361"/>
      <c r="H130" s="93"/>
      <c r="I130" s="361"/>
      <c r="J130" s="93"/>
      <c r="K130" s="361"/>
      <c r="L130" s="71"/>
      <c r="M130" s="83"/>
      <c r="N130" s="71"/>
      <c r="O130" s="83"/>
      <c r="P130" s="71"/>
      <c r="Q130" s="83"/>
      <c r="R130" s="71"/>
      <c r="S130" s="83"/>
      <c r="T130" s="71"/>
      <c r="U130" s="83"/>
      <c r="V130" s="93"/>
      <c r="W130" s="361"/>
      <c r="X130" s="93"/>
      <c r="Y130" s="361"/>
      <c r="Z130" s="93"/>
      <c r="AA130" s="361"/>
      <c r="AB130" s="71"/>
      <c r="AC130" s="83"/>
      <c r="AD130" s="93"/>
      <c r="AE130" s="361"/>
      <c r="AF130" s="93">
        <f>SUM(AF5:AF22)/(AF121-AF122-AF32)</f>
        <v>7.1</v>
      </c>
      <c r="AG130" s="361"/>
      <c r="AH130" s="93">
        <f>SUM(AH5:AH22)/(AH121-AH122-AH32)</f>
        <v>0.82365591397849458</v>
      </c>
      <c r="AI130" s="361"/>
      <c r="AJ130" s="93">
        <f>SUM(AJ5:AJ22)/(AJ121-AJ122-AJ32)</f>
        <v>0.93763440860215053</v>
      </c>
      <c r="AK130" s="361"/>
      <c r="AL130" s="93">
        <f>SUM(AL5:AL22)/(AL121-AL122-AL32)</f>
        <v>0.93763440860215053</v>
      </c>
      <c r="AM130" s="361"/>
      <c r="AN130" s="93"/>
      <c r="AO130" s="361"/>
      <c r="AP130" s="71"/>
      <c r="AQ130" s="83"/>
      <c r="AR130" s="93"/>
      <c r="AS130" s="361"/>
      <c r="AT130" s="93"/>
      <c r="AU130" s="361"/>
      <c r="AV130" s="93"/>
      <c r="AW130" s="361"/>
      <c r="AX130" s="93"/>
      <c r="AY130" s="361"/>
      <c r="AZ130" s="93"/>
      <c r="BA130" s="361"/>
      <c r="BB130" s="93"/>
      <c r="BC130" s="361"/>
      <c r="BD130" s="71"/>
      <c r="BE130" s="83"/>
      <c r="BF130" s="93"/>
      <c r="BG130" s="361"/>
      <c r="BH130" s="93"/>
      <c r="BI130" s="361"/>
      <c r="BJ130" s="93"/>
      <c r="BK130" s="361"/>
      <c r="BL130" s="93"/>
      <c r="BM130" s="361"/>
      <c r="BN130" s="33">
        <f>SUM(BN5:BN22)/(BN121-BN122-BN32)</f>
        <v>1.5016181229773462</v>
      </c>
      <c r="BO130" s="29"/>
    </row>
    <row r="131" spans="1:67" ht="18.75" x14ac:dyDescent="0.3">
      <c r="A131" s="46"/>
      <c r="B131" s="673" t="s">
        <v>166</v>
      </c>
      <c r="C131" s="674"/>
      <c r="D131" s="96"/>
      <c r="E131" s="363"/>
      <c r="F131" s="96"/>
      <c r="G131" s="363"/>
      <c r="H131" s="96"/>
      <c r="I131" s="363"/>
      <c r="J131" s="96"/>
      <c r="K131" s="363"/>
      <c r="L131" s="71"/>
      <c r="M131" s="83"/>
      <c r="N131" s="71"/>
      <c r="O131" s="83"/>
      <c r="P131" s="71"/>
      <c r="Q131" s="83"/>
      <c r="R131" s="71"/>
      <c r="S131" s="83"/>
      <c r="T131" s="71"/>
      <c r="U131" s="83"/>
      <c r="V131" s="96"/>
      <c r="W131" s="363"/>
      <c r="X131" s="96"/>
      <c r="Y131" s="363"/>
      <c r="Z131" s="96"/>
      <c r="AA131" s="363"/>
      <c r="AB131" s="71"/>
      <c r="AC131" s="83"/>
      <c r="AD131" s="96"/>
      <c r="AE131" s="363"/>
      <c r="AF131" s="96">
        <f>((AF121-AF122)-AF32)/(AF121-AF122)</f>
        <v>1</v>
      </c>
      <c r="AG131" s="363"/>
      <c r="AH131" s="96">
        <f>((AH121-AH122)-AH32)/(AH121-AH122)</f>
        <v>1</v>
      </c>
      <c r="AI131" s="363"/>
      <c r="AJ131" s="96">
        <f>((AJ121-AJ122)-AJ32)/(AJ121-AJ122)</f>
        <v>1</v>
      </c>
      <c r="AK131" s="363"/>
      <c r="AL131" s="96">
        <f>((AL121-AL122)-AL32)/(AL121-AL122)</f>
        <v>1</v>
      </c>
      <c r="AM131" s="363"/>
      <c r="AN131" s="96"/>
      <c r="AO131" s="363"/>
      <c r="AP131" s="71"/>
      <c r="AQ131" s="83"/>
      <c r="AR131" s="96"/>
      <c r="AS131" s="363"/>
      <c r="AT131" s="96"/>
      <c r="AU131" s="363"/>
      <c r="AV131" s="96"/>
      <c r="AW131" s="363"/>
      <c r="AX131" s="96"/>
      <c r="AY131" s="363"/>
      <c r="AZ131" s="96"/>
      <c r="BA131" s="363"/>
      <c r="BB131" s="96"/>
      <c r="BC131" s="363"/>
      <c r="BD131" s="71"/>
      <c r="BE131" s="83"/>
      <c r="BF131" s="96"/>
      <c r="BG131" s="363"/>
      <c r="BH131" s="96"/>
      <c r="BI131" s="363"/>
      <c r="BJ131" s="96"/>
      <c r="BK131" s="363"/>
      <c r="BL131" s="96"/>
      <c r="BM131" s="363"/>
      <c r="BN131" s="100">
        <f>((BN121-BN122)-BN32)/(BN121-BN122)</f>
        <v>1</v>
      </c>
      <c r="BO131" s="29"/>
    </row>
    <row r="132" spans="1:67" ht="18.75" x14ac:dyDescent="0.3">
      <c r="A132" s="46"/>
      <c r="B132" s="673" t="s">
        <v>167</v>
      </c>
      <c r="C132" s="674"/>
      <c r="D132" s="96"/>
      <c r="E132" s="363"/>
      <c r="F132" s="96"/>
      <c r="G132" s="363"/>
      <c r="H132" s="96"/>
      <c r="I132" s="363"/>
      <c r="J132" s="96"/>
      <c r="K132" s="363"/>
      <c r="L132" s="71"/>
      <c r="M132" s="83"/>
      <c r="N132" s="71"/>
      <c r="O132" s="83"/>
      <c r="P132" s="71"/>
      <c r="Q132" s="83"/>
      <c r="R132" s="71"/>
      <c r="S132" s="83"/>
      <c r="T132" s="71"/>
      <c r="U132" s="83"/>
      <c r="V132" s="96"/>
      <c r="W132" s="363"/>
      <c r="X132" s="96"/>
      <c r="Y132" s="363"/>
      <c r="Z132" s="96"/>
      <c r="AA132" s="363"/>
      <c r="AB132" s="71"/>
      <c r="AC132" s="83"/>
      <c r="AD132" s="96"/>
      <c r="AE132" s="363"/>
      <c r="AF132" s="96">
        <f>AF128/AF127</f>
        <v>0.71</v>
      </c>
      <c r="AG132" s="363"/>
      <c r="AH132" s="96">
        <f>AH128/AH127</f>
        <v>8.236559139784945E-2</v>
      </c>
      <c r="AI132" s="363"/>
      <c r="AJ132" s="96">
        <f>AJ128/AJ127</f>
        <v>9.3763440860215055E-2</v>
      </c>
      <c r="AK132" s="363"/>
      <c r="AL132" s="96">
        <f>AL128/AL127</f>
        <v>9.3763440860215055E-2</v>
      </c>
      <c r="AM132" s="363"/>
      <c r="AN132" s="96"/>
      <c r="AO132" s="363"/>
      <c r="AP132" s="71"/>
      <c r="AQ132" s="83"/>
      <c r="AR132" s="96"/>
      <c r="AS132" s="363"/>
      <c r="AT132" s="96"/>
      <c r="AU132" s="363"/>
      <c r="AV132" s="96"/>
      <c r="AW132" s="363"/>
      <c r="AX132" s="96"/>
      <c r="AY132" s="363"/>
      <c r="AZ132" s="96"/>
      <c r="BA132" s="363"/>
      <c r="BB132" s="96"/>
      <c r="BC132" s="363"/>
      <c r="BD132" s="71"/>
      <c r="BE132" s="83"/>
      <c r="BF132" s="96"/>
      <c r="BG132" s="363"/>
      <c r="BH132" s="96"/>
      <c r="BI132" s="363"/>
      <c r="BJ132" s="96"/>
      <c r="BK132" s="363"/>
      <c r="BL132" s="96"/>
      <c r="BM132" s="363"/>
      <c r="BN132" s="100">
        <f>BN128/BN127</f>
        <v>0.15016181229773462</v>
      </c>
      <c r="BO132" s="29"/>
    </row>
    <row r="133" spans="1:67" ht="18.75" x14ac:dyDescent="0.3">
      <c r="A133" s="46"/>
      <c r="B133" s="673" t="s">
        <v>168</v>
      </c>
      <c r="C133" s="674"/>
      <c r="D133" s="96"/>
      <c r="E133" s="363"/>
      <c r="F133" s="96"/>
      <c r="G133" s="363"/>
      <c r="H133" s="96"/>
      <c r="I133" s="363"/>
      <c r="J133" s="96"/>
      <c r="K133" s="363"/>
      <c r="L133" s="71"/>
      <c r="M133" s="83"/>
      <c r="N133" s="71"/>
      <c r="O133" s="83"/>
      <c r="P133" s="71"/>
      <c r="Q133" s="83"/>
      <c r="R133" s="71"/>
      <c r="S133" s="83"/>
      <c r="T133" s="71"/>
      <c r="U133" s="83"/>
      <c r="V133" s="96"/>
      <c r="W133" s="363"/>
      <c r="X133" s="96"/>
      <c r="Y133" s="363"/>
      <c r="Z133" s="96"/>
      <c r="AA133" s="363"/>
      <c r="AB133" s="71"/>
      <c r="AC133" s="83"/>
      <c r="AD133" s="96"/>
      <c r="AE133" s="363"/>
      <c r="AF133" s="96">
        <f>SUM(AF5:AF21)/(SUM(AF5:AF22))</f>
        <v>1</v>
      </c>
      <c r="AG133" s="363"/>
      <c r="AH133" s="96">
        <f>SUM(AH5:AH21)/(SUM(AH5:AH22))</f>
        <v>1</v>
      </c>
      <c r="AI133" s="363"/>
      <c r="AJ133" s="96">
        <f>SUM(AJ5:AJ21)/(SUM(AJ5:AJ22))</f>
        <v>1</v>
      </c>
      <c r="AK133" s="363"/>
      <c r="AL133" s="96">
        <f>SUM(AL5:AL21)/(SUM(AL5:AL22))</f>
        <v>1</v>
      </c>
      <c r="AM133" s="363"/>
      <c r="AN133" s="96"/>
      <c r="AO133" s="363"/>
      <c r="AP133" s="71"/>
      <c r="AQ133" s="83"/>
      <c r="AR133" s="96"/>
      <c r="AS133" s="363"/>
      <c r="AT133" s="96"/>
      <c r="AU133" s="363"/>
      <c r="AV133" s="96"/>
      <c r="AW133" s="363"/>
      <c r="AX133" s="96"/>
      <c r="AY133" s="363"/>
      <c r="AZ133" s="96"/>
      <c r="BA133" s="363"/>
      <c r="BB133" s="96"/>
      <c r="BC133" s="363"/>
      <c r="BD133" s="71"/>
      <c r="BE133" s="83"/>
      <c r="BF133" s="96"/>
      <c r="BG133" s="363"/>
      <c r="BH133" s="96"/>
      <c r="BI133" s="363"/>
      <c r="BJ133" s="96"/>
      <c r="BK133" s="363"/>
      <c r="BL133" s="96"/>
      <c r="BM133" s="363"/>
      <c r="BN133" s="100">
        <f>SUM(BN5:BN21)/(SUM(BN5:BN22))</f>
        <v>1</v>
      </c>
      <c r="BO133" s="29"/>
    </row>
    <row r="134" spans="1:67" ht="18.75" x14ac:dyDescent="0.3">
      <c r="A134" s="46"/>
      <c r="B134" s="673" t="s">
        <v>169</v>
      </c>
      <c r="C134" s="674"/>
      <c r="D134" s="97"/>
      <c r="E134" s="364"/>
      <c r="F134" s="97"/>
      <c r="G134" s="364"/>
      <c r="H134" s="97"/>
      <c r="I134" s="364"/>
      <c r="J134" s="365"/>
      <c r="K134" s="364"/>
      <c r="L134" s="98"/>
      <c r="M134" s="99"/>
      <c r="N134" s="98"/>
      <c r="O134" s="99"/>
      <c r="P134" s="98"/>
      <c r="Q134" s="99"/>
      <c r="R134" s="98"/>
      <c r="S134" s="99"/>
      <c r="T134" s="98"/>
      <c r="U134" s="99"/>
      <c r="V134" s="97"/>
      <c r="W134" s="364"/>
      <c r="X134" s="97"/>
      <c r="Y134" s="364"/>
      <c r="Z134" s="97"/>
      <c r="AA134" s="364"/>
      <c r="AB134" s="98"/>
      <c r="AC134" s="99"/>
      <c r="AD134" s="97"/>
      <c r="AE134" s="364"/>
      <c r="AF134" s="96">
        <f>AF133*AF132*AF131</f>
        <v>0.71</v>
      </c>
      <c r="AG134" s="364"/>
      <c r="AH134" s="96">
        <f>AH133*AH132*AH131</f>
        <v>8.236559139784945E-2</v>
      </c>
      <c r="AI134" s="364"/>
      <c r="AJ134" s="96">
        <f>AJ133*AJ132*AJ131</f>
        <v>9.3763440860215055E-2</v>
      </c>
      <c r="AK134" s="364"/>
      <c r="AL134" s="96">
        <f>AL133*AL132*AL131</f>
        <v>9.3763440860215055E-2</v>
      </c>
      <c r="AM134" s="364"/>
      <c r="AN134" s="97"/>
      <c r="AO134" s="364"/>
      <c r="AP134" s="98"/>
      <c r="AQ134" s="99"/>
      <c r="AR134" s="97"/>
      <c r="AS134" s="364"/>
      <c r="AT134" s="97"/>
      <c r="AU134" s="364"/>
      <c r="AV134" s="97"/>
      <c r="AW134" s="364"/>
      <c r="AX134" s="97"/>
      <c r="AY134" s="364"/>
      <c r="AZ134" s="97"/>
      <c r="BA134" s="364"/>
      <c r="BB134" s="97"/>
      <c r="BC134" s="364"/>
      <c r="BD134" s="98"/>
      <c r="BE134" s="99"/>
      <c r="BF134" s="97"/>
      <c r="BG134" s="364"/>
      <c r="BH134" s="97"/>
      <c r="BI134" s="364"/>
      <c r="BJ134" s="97"/>
      <c r="BK134" s="364"/>
      <c r="BL134" s="97"/>
      <c r="BM134" s="364"/>
      <c r="BN134" s="100">
        <f>BN133*BN132*BN131</f>
        <v>0.15016181229773462</v>
      </c>
      <c r="BO134" s="29"/>
    </row>
    <row r="135" spans="1:67" ht="17.25" customHeight="1" x14ac:dyDescent="0.25"/>
    <row r="271" spans="6:6" x14ac:dyDescent="0.25">
      <c r="F271" t="s">
        <v>170</v>
      </c>
    </row>
    <row r="272" spans="6:6" x14ac:dyDescent="0.25">
      <c r="F272" t="s">
        <v>171</v>
      </c>
    </row>
    <row r="273" spans="6:6" x14ac:dyDescent="0.25">
      <c r="F273" t="s">
        <v>172</v>
      </c>
    </row>
    <row r="274" spans="6:6" x14ac:dyDescent="0.25">
      <c r="F274" t="s">
        <v>173</v>
      </c>
    </row>
    <row r="275" spans="6:6" x14ac:dyDescent="0.25">
      <c r="F275" t="s">
        <v>174</v>
      </c>
    </row>
    <row r="276" spans="6:6" x14ac:dyDescent="0.25">
      <c r="F276" t="s">
        <v>175</v>
      </c>
    </row>
    <row r="277" spans="6:6" x14ac:dyDescent="0.25">
      <c r="F277" t="s">
        <v>176</v>
      </c>
    </row>
    <row r="278" spans="6:6" x14ac:dyDescent="0.25">
      <c r="F278" t="s">
        <v>177</v>
      </c>
    </row>
    <row r="279" spans="6:6" x14ac:dyDescent="0.25">
      <c r="F279" t="s">
        <v>178</v>
      </c>
    </row>
    <row r="280" spans="6:6" x14ac:dyDescent="0.25">
      <c r="F280" t="s">
        <v>179</v>
      </c>
    </row>
    <row r="281" spans="6:6" x14ac:dyDescent="0.25">
      <c r="F281" t="s">
        <v>180</v>
      </c>
    </row>
    <row r="282" spans="6:6" x14ac:dyDescent="0.25">
      <c r="F282" t="s">
        <v>181</v>
      </c>
    </row>
    <row r="283" spans="6:6" x14ac:dyDescent="0.25">
      <c r="F283" t="s">
        <v>182</v>
      </c>
    </row>
    <row r="284" spans="6:6" x14ac:dyDescent="0.25">
      <c r="F284" t="s">
        <v>183</v>
      </c>
    </row>
    <row r="285" spans="6:6" x14ac:dyDescent="0.25">
      <c r="F285" t="s">
        <v>184</v>
      </c>
    </row>
    <row r="286" spans="6:6" x14ac:dyDescent="0.25">
      <c r="F286" t="s">
        <v>185</v>
      </c>
    </row>
    <row r="287" spans="6:6" x14ac:dyDescent="0.25">
      <c r="F287" t="s">
        <v>186</v>
      </c>
    </row>
    <row r="288" spans="6:6" x14ac:dyDescent="0.25">
      <c r="F288" t="s">
        <v>187</v>
      </c>
    </row>
    <row r="289" spans="6:6" x14ac:dyDescent="0.25">
      <c r="F289" t="s">
        <v>188</v>
      </c>
    </row>
    <row r="290" spans="6:6" x14ac:dyDescent="0.25">
      <c r="F290" t="s">
        <v>189</v>
      </c>
    </row>
    <row r="291" spans="6:6" x14ac:dyDescent="0.25">
      <c r="F291" t="s">
        <v>190</v>
      </c>
    </row>
    <row r="292" spans="6:6" x14ac:dyDescent="0.25">
      <c r="F292" t="s">
        <v>191</v>
      </c>
    </row>
    <row r="293" spans="6:6" x14ac:dyDescent="0.25">
      <c r="F293" t="s">
        <v>192</v>
      </c>
    </row>
    <row r="294" spans="6:6" x14ac:dyDescent="0.25">
      <c r="F294" t="s">
        <v>193</v>
      </c>
    </row>
    <row r="295" spans="6:6" x14ac:dyDescent="0.25">
      <c r="F295" t="s">
        <v>194</v>
      </c>
    </row>
    <row r="296" spans="6:6" x14ac:dyDescent="0.25">
      <c r="F296" t="s">
        <v>195</v>
      </c>
    </row>
    <row r="297" spans="6:6" x14ac:dyDescent="0.25">
      <c r="F297" t="s">
        <v>196</v>
      </c>
    </row>
    <row r="298" spans="6:6" x14ac:dyDescent="0.25">
      <c r="F298" t="s">
        <v>197</v>
      </c>
    </row>
    <row r="299" spans="6:6" x14ac:dyDescent="0.25">
      <c r="F299" t="s">
        <v>198</v>
      </c>
    </row>
    <row r="300" spans="6:6" x14ac:dyDescent="0.25">
      <c r="F300" t="s">
        <v>199</v>
      </c>
    </row>
    <row r="301" spans="6:6" x14ac:dyDescent="0.25">
      <c r="F301" t="s">
        <v>200</v>
      </c>
    </row>
    <row r="302" spans="6:6" x14ac:dyDescent="0.25">
      <c r="F302" t="s">
        <v>201</v>
      </c>
    </row>
    <row r="303" spans="6:6" x14ac:dyDescent="0.25">
      <c r="F303" t="s">
        <v>202</v>
      </c>
    </row>
    <row r="304" spans="6:6" x14ac:dyDescent="0.25">
      <c r="F304" t="s">
        <v>203</v>
      </c>
    </row>
    <row r="305" spans="6:6" x14ac:dyDescent="0.25">
      <c r="F305" t="s">
        <v>204</v>
      </c>
    </row>
    <row r="306" spans="6:6" x14ac:dyDescent="0.25">
      <c r="F306" t="s">
        <v>205</v>
      </c>
    </row>
    <row r="307" spans="6:6" x14ac:dyDescent="0.25">
      <c r="F307" t="s">
        <v>206</v>
      </c>
    </row>
    <row r="308" spans="6:6" x14ac:dyDescent="0.25">
      <c r="F308" t="s">
        <v>207</v>
      </c>
    </row>
    <row r="309" spans="6:6" x14ac:dyDescent="0.25">
      <c r="F309" t="s">
        <v>208</v>
      </c>
    </row>
    <row r="310" spans="6:6" x14ac:dyDescent="0.25">
      <c r="F310" t="s">
        <v>209</v>
      </c>
    </row>
    <row r="311" spans="6:6" x14ac:dyDescent="0.25">
      <c r="F311" t="s">
        <v>210</v>
      </c>
    </row>
    <row r="312" spans="6:6" x14ac:dyDescent="0.25">
      <c r="F312" t="s">
        <v>211</v>
      </c>
    </row>
    <row r="313" spans="6:6" x14ac:dyDescent="0.25">
      <c r="F313" t="s">
        <v>212</v>
      </c>
    </row>
    <row r="314" spans="6:6" x14ac:dyDescent="0.25">
      <c r="F314" t="s">
        <v>213</v>
      </c>
    </row>
    <row r="315" spans="6:6" x14ac:dyDescent="0.25">
      <c r="F315" t="s">
        <v>214</v>
      </c>
    </row>
    <row r="316" spans="6:6" x14ac:dyDescent="0.25">
      <c r="F316" t="s">
        <v>215</v>
      </c>
    </row>
    <row r="317" spans="6:6" x14ac:dyDescent="0.25">
      <c r="F317" t="s">
        <v>216</v>
      </c>
    </row>
    <row r="318" spans="6:6" x14ac:dyDescent="0.25">
      <c r="F318" t="s">
        <v>217</v>
      </c>
    </row>
    <row r="319" spans="6:6" x14ac:dyDescent="0.25">
      <c r="F319" t="s">
        <v>218</v>
      </c>
    </row>
    <row r="320" spans="6:6" x14ac:dyDescent="0.25">
      <c r="F320" t="s">
        <v>219</v>
      </c>
    </row>
    <row r="321" spans="6:6" x14ac:dyDescent="0.25">
      <c r="F321" t="s">
        <v>220</v>
      </c>
    </row>
    <row r="322" spans="6:6" x14ac:dyDescent="0.25">
      <c r="F322" t="s">
        <v>221</v>
      </c>
    </row>
    <row r="323" spans="6:6" x14ac:dyDescent="0.25">
      <c r="F323" t="s">
        <v>222</v>
      </c>
    </row>
    <row r="324" spans="6:6" x14ac:dyDescent="0.25">
      <c r="F324" t="s">
        <v>223</v>
      </c>
    </row>
    <row r="325" spans="6:6" x14ac:dyDescent="0.25">
      <c r="F325" t="s">
        <v>224</v>
      </c>
    </row>
    <row r="326" spans="6:6" x14ac:dyDescent="0.25">
      <c r="F326" t="s">
        <v>225</v>
      </c>
    </row>
  </sheetData>
  <mergeCells count="177"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A3:C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BF4:BG4"/>
    <mergeCell ref="BH4:BI4"/>
    <mergeCell ref="BJ4:BK4"/>
    <mergeCell ref="BL4:BM4"/>
    <mergeCell ref="B22:C22"/>
    <mergeCell ref="B23:C23"/>
    <mergeCell ref="B24:C24"/>
    <mergeCell ref="B25:C25"/>
    <mergeCell ref="B26:C26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B3:L71"/>
  <sheetViews>
    <sheetView workbookViewId="0">
      <selection activeCell="I75" sqref="I75"/>
    </sheetView>
  </sheetViews>
  <sheetFormatPr defaultColWidth="9.140625" defaultRowHeight="15" x14ac:dyDescent="0.25"/>
  <cols>
    <col min="3" max="3" width="16" customWidth="1"/>
    <col min="4" max="4" width="15.85546875" customWidth="1"/>
    <col min="5" max="6" width="8.85546875" customWidth="1"/>
  </cols>
  <sheetData>
    <row r="3" spans="3:6" ht="30" hidden="1" x14ac:dyDescent="0.35">
      <c r="C3" s="683" t="s">
        <v>28</v>
      </c>
      <c r="D3" s="684"/>
      <c r="E3" s="81" t="s">
        <v>26</v>
      </c>
      <c r="F3" s="20" t="s">
        <v>27</v>
      </c>
    </row>
    <row r="4" spans="3:6" ht="45" hidden="1" x14ac:dyDescent="0.35">
      <c r="C4" s="683" t="s">
        <v>31</v>
      </c>
      <c r="D4" s="684"/>
      <c r="E4" s="81" t="s">
        <v>29</v>
      </c>
      <c r="F4" s="24" t="s">
        <v>30</v>
      </c>
    </row>
    <row r="5" spans="3:6" ht="30" hidden="1" x14ac:dyDescent="0.35">
      <c r="C5" s="683" t="s">
        <v>33</v>
      </c>
      <c r="D5" s="684"/>
      <c r="E5" s="81" t="s">
        <v>26</v>
      </c>
      <c r="F5" s="24" t="s">
        <v>32</v>
      </c>
    </row>
    <row r="6" spans="3:6" ht="30" hidden="1" x14ac:dyDescent="0.35">
      <c r="C6" s="683" t="s">
        <v>35</v>
      </c>
      <c r="D6" s="684"/>
      <c r="E6" s="81" t="s">
        <v>26</v>
      </c>
      <c r="F6" s="24" t="s">
        <v>34</v>
      </c>
    </row>
    <row r="7" spans="3:6" ht="30" hidden="1" x14ac:dyDescent="0.35">
      <c r="C7" s="683" t="s">
        <v>37</v>
      </c>
      <c r="D7" s="684"/>
      <c r="E7" s="81" t="s">
        <v>26</v>
      </c>
      <c r="F7" s="24" t="s">
        <v>36</v>
      </c>
    </row>
    <row r="8" spans="3:6" ht="30" hidden="1" x14ac:dyDescent="0.35">
      <c r="C8" s="683" t="s">
        <v>39</v>
      </c>
      <c r="D8" s="684"/>
      <c r="E8" s="81" t="s">
        <v>26</v>
      </c>
      <c r="F8" s="20" t="s">
        <v>38</v>
      </c>
    </row>
    <row r="9" spans="3:6" ht="30" hidden="1" x14ac:dyDescent="0.35">
      <c r="C9" s="683" t="s">
        <v>41</v>
      </c>
      <c r="D9" s="684"/>
      <c r="E9" s="81" t="s">
        <v>26</v>
      </c>
      <c r="F9" s="24" t="s">
        <v>40</v>
      </c>
    </row>
    <row r="10" spans="3:6" ht="30" hidden="1" x14ac:dyDescent="0.35">
      <c r="C10" s="683" t="s">
        <v>43</v>
      </c>
      <c r="D10" s="684"/>
      <c r="E10" s="81" t="s">
        <v>26</v>
      </c>
      <c r="F10" s="20" t="s">
        <v>42</v>
      </c>
    </row>
    <row r="11" spans="3:6" ht="30" hidden="1" x14ac:dyDescent="0.35">
      <c r="C11" s="683" t="s">
        <v>43</v>
      </c>
      <c r="D11" s="684"/>
      <c r="E11" s="81" t="s">
        <v>44</v>
      </c>
      <c r="F11" s="24" t="s">
        <v>45</v>
      </c>
    </row>
    <row r="12" spans="3:6" ht="30" hidden="1" x14ac:dyDescent="0.35">
      <c r="C12" s="683" t="s">
        <v>48</v>
      </c>
      <c r="D12" s="684"/>
      <c r="E12" s="349" t="s">
        <v>46</v>
      </c>
      <c r="F12" s="24" t="s">
        <v>47</v>
      </c>
    </row>
    <row r="13" spans="3:6" ht="30" hidden="1" x14ac:dyDescent="0.35">
      <c r="C13" s="683" t="s">
        <v>50</v>
      </c>
      <c r="D13" s="684"/>
      <c r="E13" s="81" t="s">
        <v>26</v>
      </c>
      <c r="F13" s="24" t="s">
        <v>49</v>
      </c>
    </row>
    <row r="14" spans="3:6" ht="30" hidden="1" x14ac:dyDescent="0.35">
      <c r="C14" s="683" t="s">
        <v>52</v>
      </c>
      <c r="D14" s="684"/>
      <c r="E14" s="81" t="s">
        <v>26</v>
      </c>
      <c r="F14" s="20" t="s">
        <v>51</v>
      </c>
    </row>
    <row r="15" spans="3:6" ht="30" hidden="1" x14ac:dyDescent="0.35">
      <c r="C15" s="683" t="s">
        <v>54</v>
      </c>
      <c r="D15" s="684"/>
      <c r="E15" s="81" t="s">
        <v>26</v>
      </c>
      <c r="F15" s="24" t="s">
        <v>53</v>
      </c>
    </row>
    <row r="16" spans="3:6" ht="30" hidden="1" x14ac:dyDescent="0.35">
      <c r="C16" s="683" t="s">
        <v>56</v>
      </c>
      <c r="D16" s="684"/>
      <c r="E16" s="81" t="s">
        <v>26</v>
      </c>
      <c r="F16" s="20" t="s">
        <v>55</v>
      </c>
    </row>
    <row r="17" spans="3:6" ht="30" hidden="1" x14ac:dyDescent="0.35">
      <c r="C17" s="683" t="s">
        <v>58</v>
      </c>
      <c r="D17" s="684"/>
      <c r="E17" s="81" t="s">
        <v>26</v>
      </c>
      <c r="F17" s="24" t="s">
        <v>57</v>
      </c>
    </row>
    <row r="18" spans="3:6" ht="45" hidden="1" x14ac:dyDescent="0.35">
      <c r="C18" s="683" t="s">
        <v>60</v>
      </c>
      <c r="D18" s="684"/>
      <c r="E18" s="81" t="s">
        <v>29</v>
      </c>
      <c r="F18" s="24" t="s">
        <v>59</v>
      </c>
    </row>
    <row r="19" spans="3:6" ht="30" hidden="1" x14ac:dyDescent="0.35">
      <c r="C19" s="683" t="s">
        <v>62</v>
      </c>
      <c r="D19" s="684"/>
      <c r="E19" s="349" t="s">
        <v>46</v>
      </c>
      <c r="F19" s="24" t="s">
        <v>61</v>
      </c>
    </row>
    <row r="20" spans="3:6" ht="30" hidden="1" x14ac:dyDescent="0.35">
      <c r="C20" s="683" t="s">
        <v>64</v>
      </c>
      <c r="D20" s="684"/>
      <c r="E20" s="81" t="s">
        <v>26</v>
      </c>
      <c r="F20" s="20" t="s">
        <v>63</v>
      </c>
    </row>
    <row r="21" spans="3:6" ht="45" hidden="1" x14ac:dyDescent="0.35">
      <c r="C21" s="683" t="s">
        <v>66</v>
      </c>
      <c r="D21" s="684"/>
      <c r="E21" s="81" t="s">
        <v>29</v>
      </c>
      <c r="F21" s="24" t="s">
        <v>65</v>
      </c>
    </row>
    <row r="22" spans="3:6" ht="30" hidden="1" x14ac:dyDescent="0.35">
      <c r="C22" s="683" t="s">
        <v>68</v>
      </c>
      <c r="D22" s="684"/>
      <c r="E22" s="81" t="s">
        <v>26</v>
      </c>
      <c r="F22" s="24" t="s">
        <v>67</v>
      </c>
    </row>
    <row r="23" spans="3:6" ht="45" hidden="1" x14ac:dyDescent="0.35">
      <c r="C23" s="683" t="s">
        <v>70</v>
      </c>
      <c r="D23" s="684"/>
      <c r="E23" s="81" t="s">
        <v>29</v>
      </c>
      <c r="F23" s="24" t="s">
        <v>69</v>
      </c>
    </row>
    <row r="24" spans="3:6" ht="45" hidden="1" x14ac:dyDescent="0.35">
      <c r="C24" s="683" t="s">
        <v>72</v>
      </c>
      <c r="D24" s="684"/>
      <c r="E24" s="81" t="s">
        <v>29</v>
      </c>
      <c r="F24" s="24" t="s">
        <v>71</v>
      </c>
    </row>
    <row r="25" spans="3:6" ht="45" hidden="1" x14ac:dyDescent="0.35">
      <c r="C25" s="683" t="s">
        <v>74</v>
      </c>
      <c r="D25" s="684"/>
      <c r="E25" s="81" t="s">
        <v>29</v>
      </c>
      <c r="F25" s="24" t="s">
        <v>73</v>
      </c>
    </row>
    <row r="26" spans="3:6" ht="45" hidden="1" x14ac:dyDescent="0.35">
      <c r="C26" s="683" t="s">
        <v>76</v>
      </c>
      <c r="D26" s="684"/>
      <c r="E26" s="81" t="s">
        <v>29</v>
      </c>
      <c r="F26" s="24" t="s">
        <v>75</v>
      </c>
    </row>
    <row r="27" spans="3:6" ht="30" hidden="1" x14ac:dyDescent="0.35">
      <c r="C27" s="683" t="s">
        <v>78</v>
      </c>
      <c r="D27" s="684"/>
      <c r="E27" s="81" t="s">
        <v>26</v>
      </c>
      <c r="F27" s="20" t="s">
        <v>77</v>
      </c>
    </row>
    <row r="28" spans="3:6" ht="45" hidden="1" x14ac:dyDescent="0.35">
      <c r="C28" s="702" t="s">
        <v>286</v>
      </c>
      <c r="D28" s="703"/>
      <c r="E28" s="81" t="s">
        <v>29</v>
      </c>
      <c r="F28" s="20" t="s">
        <v>287</v>
      </c>
    </row>
    <row r="29" spans="3:6" ht="45" hidden="1" x14ac:dyDescent="0.35">
      <c r="C29" s="683" t="s">
        <v>80</v>
      </c>
      <c r="D29" s="684"/>
      <c r="E29" s="81" t="s">
        <v>29</v>
      </c>
      <c r="F29" s="24" t="s">
        <v>79</v>
      </c>
    </row>
    <row r="30" spans="3:6" ht="30" hidden="1" x14ac:dyDescent="0.35">
      <c r="C30" s="683" t="s">
        <v>82</v>
      </c>
      <c r="D30" s="684"/>
      <c r="E30" s="349" t="s">
        <v>46</v>
      </c>
      <c r="F30" s="24" t="s">
        <v>81</v>
      </c>
    </row>
    <row r="31" spans="3:6" ht="30" hidden="1" x14ac:dyDescent="0.35">
      <c r="C31" s="702" t="s">
        <v>288</v>
      </c>
      <c r="D31" s="684"/>
      <c r="E31" s="350" t="s">
        <v>104</v>
      </c>
      <c r="F31" s="24" t="s">
        <v>289</v>
      </c>
    </row>
    <row r="32" spans="3:6" ht="45" hidden="1" x14ac:dyDescent="0.35">
      <c r="C32" s="683" t="s">
        <v>290</v>
      </c>
      <c r="D32" s="684"/>
      <c r="E32" s="350" t="s">
        <v>29</v>
      </c>
      <c r="F32" s="24" t="s">
        <v>291</v>
      </c>
    </row>
    <row r="33" spans="2:12" ht="45" hidden="1" x14ac:dyDescent="0.35">
      <c r="C33" s="683" t="s">
        <v>292</v>
      </c>
      <c r="D33" s="684"/>
      <c r="E33" s="350" t="s">
        <v>29</v>
      </c>
      <c r="F33" s="24" t="s">
        <v>293</v>
      </c>
      <c r="K33" s="351"/>
      <c r="L33" s="351"/>
    </row>
    <row r="34" spans="2:12" ht="30" hidden="1" x14ac:dyDescent="0.35">
      <c r="C34" s="683" t="s">
        <v>294</v>
      </c>
      <c r="D34" s="684"/>
      <c r="E34" s="350" t="s">
        <v>104</v>
      </c>
      <c r="F34" s="24" t="s">
        <v>295</v>
      </c>
      <c r="K34" s="351"/>
      <c r="L34" s="351"/>
    </row>
    <row r="35" spans="2:12" ht="45" hidden="1" x14ac:dyDescent="0.35">
      <c r="B35" s="21" t="s">
        <v>83</v>
      </c>
      <c r="C35" s="683" t="s">
        <v>43</v>
      </c>
      <c r="D35" s="684"/>
      <c r="E35" s="81" t="s">
        <v>29</v>
      </c>
      <c r="F35" s="24" t="s">
        <v>84</v>
      </c>
    </row>
    <row r="36" spans="2:12" ht="45" hidden="1" x14ac:dyDescent="0.35">
      <c r="C36" s="683" t="s">
        <v>87</v>
      </c>
      <c r="D36" s="684"/>
      <c r="E36" s="81" t="s">
        <v>85</v>
      </c>
      <c r="F36" s="24" t="s">
        <v>86</v>
      </c>
    </row>
    <row r="37" spans="2:12" ht="45" hidden="1" x14ac:dyDescent="0.35">
      <c r="C37" s="683" t="s">
        <v>89</v>
      </c>
      <c r="D37" s="684"/>
      <c r="E37" s="81" t="s">
        <v>85</v>
      </c>
      <c r="F37" s="24" t="s">
        <v>88</v>
      </c>
    </row>
    <row r="38" spans="2:12" ht="45" hidden="1" x14ac:dyDescent="0.35">
      <c r="C38" s="683" t="s">
        <v>91</v>
      </c>
      <c r="D38" s="684"/>
      <c r="E38" s="81" t="s">
        <v>85</v>
      </c>
      <c r="F38" s="24" t="s">
        <v>90</v>
      </c>
    </row>
    <row r="39" spans="2:12" ht="45" hidden="1" x14ac:dyDescent="0.35">
      <c r="C39" s="683" t="s">
        <v>93</v>
      </c>
      <c r="D39" s="684"/>
      <c r="E39" s="81" t="s">
        <v>85</v>
      </c>
      <c r="F39" s="24" t="s">
        <v>92</v>
      </c>
    </row>
    <row r="40" spans="2:12" ht="45" hidden="1" x14ac:dyDescent="0.35">
      <c r="C40" s="683" t="s">
        <v>95</v>
      </c>
      <c r="D40" s="684"/>
      <c r="E40" s="81" t="s">
        <v>85</v>
      </c>
      <c r="F40" s="24" t="s">
        <v>94</v>
      </c>
    </row>
    <row r="41" spans="2:12" ht="45" hidden="1" x14ac:dyDescent="0.35">
      <c r="C41" s="683" t="s">
        <v>245</v>
      </c>
      <c r="D41" s="684"/>
      <c r="E41" s="81" t="s">
        <v>85</v>
      </c>
      <c r="F41" s="24" t="s">
        <v>96</v>
      </c>
    </row>
    <row r="42" spans="2:12" ht="45" hidden="1" x14ac:dyDescent="0.35">
      <c r="C42" s="683" t="s">
        <v>99</v>
      </c>
      <c r="D42" s="684"/>
      <c r="E42" s="81" t="s">
        <v>85</v>
      </c>
      <c r="F42" s="24" t="s">
        <v>98</v>
      </c>
    </row>
    <row r="43" spans="2:12" ht="45" hidden="1" x14ac:dyDescent="0.35">
      <c r="C43" s="683" t="s">
        <v>101</v>
      </c>
      <c r="D43" s="684"/>
      <c r="E43" s="81" t="s">
        <v>85</v>
      </c>
      <c r="F43" s="24" t="s">
        <v>100</v>
      </c>
    </row>
    <row r="44" spans="2:12" ht="45" hidden="1" x14ac:dyDescent="0.35">
      <c r="C44" s="683" t="s">
        <v>296</v>
      </c>
      <c r="D44" s="684"/>
      <c r="E44" s="81" t="s">
        <v>29</v>
      </c>
      <c r="F44" s="24" t="s">
        <v>102</v>
      </c>
    </row>
    <row r="45" spans="2:12" ht="30" hidden="1" x14ac:dyDescent="0.35">
      <c r="C45" s="683" t="s">
        <v>106</v>
      </c>
      <c r="D45" s="684"/>
      <c r="E45" s="81" t="s">
        <v>104</v>
      </c>
      <c r="F45" s="24" t="s">
        <v>105</v>
      </c>
    </row>
    <row r="46" spans="2:12" ht="45" hidden="1" x14ac:dyDescent="0.35">
      <c r="C46" s="683" t="s">
        <v>108</v>
      </c>
      <c r="D46" s="684"/>
      <c r="E46" s="81" t="s">
        <v>85</v>
      </c>
      <c r="F46" s="24" t="s">
        <v>107</v>
      </c>
    </row>
    <row r="47" spans="2:12" ht="30" x14ac:dyDescent="0.35">
      <c r="C47" s="683" t="s">
        <v>111</v>
      </c>
      <c r="D47" s="684"/>
      <c r="E47" s="81" t="s">
        <v>109</v>
      </c>
      <c r="F47" s="24" t="s">
        <v>110</v>
      </c>
    </row>
    <row r="48" spans="2:12" ht="30" hidden="1" x14ac:dyDescent="0.35">
      <c r="C48" s="683" t="s">
        <v>54</v>
      </c>
      <c r="D48" s="684"/>
      <c r="E48" s="81" t="s">
        <v>26</v>
      </c>
      <c r="F48" s="24" t="s">
        <v>112</v>
      </c>
    </row>
    <row r="49" spans="2:6" ht="45" hidden="1" x14ac:dyDescent="0.35">
      <c r="C49" s="683" t="s">
        <v>70</v>
      </c>
      <c r="D49" s="684"/>
      <c r="E49" s="81" t="s">
        <v>29</v>
      </c>
      <c r="F49" s="24" t="s">
        <v>113</v>
      </c>
    </row>
    <row r="50" spans="2:6" ht="45" hidden="1" x14ac:dyDescent="0.35">
      <c r="C50" s="683" t="s">
        <v>72</v>
      </c>
      <c r="D50" s="684"/>
      <c r="E50" s="81" t="s">
        <v>29</v>
      </c>
      <c r="F50" s="24" t="s">
        <v>114</v>
      </c>
    </row>
    <row r="51" spans="2:6" ht="42" hidden="1" x14ac:dyDescent="0.35">
      <c r="C51" s="683" t="s">
        <v>72</v>
      </c>
      <c r="D51" s="684"/>
      <c r="E51" s="81" t="s">
        <v>44</v>
      </c>
      <c r="F51" s="24" t="s">
        <v>115</v>
      </c>
    </row>
    <row r="52" spans="2:6" ht="45" hidden="1" x14ac:dyDescent="0.35">
      <c r="C52" s="683" t="s">
        <v>74</v>
      </c>
      <c r="D52" s="684"/>
      <c r="E52" s="81" t="s">
        <v>29</v>
      </c>
      <c r="F52" s="24" t="s">
        <v>116</v>
      </c>
    </row>
    <row r="53" spans="2:6" ht="45" hidden="1" x14ac:dyDescent="0.35">
      <c r="C53" s="683" t="s">
        <v>76</v>
      </c>
      <c r="D53" s="684"/>
      <c r="E53" s="81" t="s">
        <v>29</v>
      </c>
      <c r="F53" s="24" t="s">
        <v>117</v>
      </c>
    </row>
    <row r="54" spans="2:6" ht="30" hidden="1" x14ac:dyDescent="0.35">
      <c r="C54" s="683" t="s">
        <v>76</v>
      </c>
      <c r="D54" s="684"/>
      <c r="E54" s="81" t="s">
        <v>44</v>
      </c>
      <c r="F54" s="24" t="s">
        <v>118</v>
      </c>
    </row>
    <row r="55" spans="2:6" ht="45" hidden="1" x14ac:dyDescent="0.35">
      <c r="C55" s="683" t="s">
        <v>120</v>
      </c>
      <c r="D55" s="684"/>
      <c r="E55" s="81" t="s">
        <v>29</v>
      </c>
      <c r="F55" s="24" t="s">
        <v>119</v>
      </c>
    </row>
    <row r="56" spans="2:6" ht="45" hidden="1" x14ac:dyDescent="0.35">
      <c r="C56" s="683" t="s">
        <v>122</v>
      </c>
      <c r="D56" s="684"/>
      <c r="E56" s="81" t="s">
        <v>29</v>
      </c>
      <c r="F56" s="24" t="s">
        <v>121</v>
      </c>
    </row>
    <row r="57" spans="2:6" ht="30" x14ac:dyDescent="0.35">
      <c r="C57" s="683" t="s">
        <v>124</v>
      </c>
      <c r="D57" s="684"/>
      <c r="E57" s="81" t="s">
        <v>109</v>
      </c>
      <c r="F57" s="24" t="s">
        <v>123</v>
      </c>
    </row>
    <row r="58" spans="2:6" ht="45" hidden="1" x14ac:dyDescent="0.35">
      <c r="C58" s="683" t="s">
        <v>126</v>
      </c>
      <c r="D58" s="684"/>
      <c r="E58" s="81" t="s">
        <v>85</v>
      </c>
      <c r="F58" s="24" t="s">
        <v>125</v>
      </c>
    </row>
    <row r="59" spans="2:6" ht="45" hidden="1" x14ac:dyDescent="0.35">
      <c r="B59" t="s">
        <v>127</v>
      </c>
      <c r="C59" s="683" t="s">
        <v>129</v>
      </c>
      <c r="D59" s="684"/>
      <c r="E59" s="81" t="s">
        <v>85</v>
      </c>
      <c r="F59" s="24" t="s">
        <v>128</v>
      </c>
    </row>
    <row r="60" spans="2:6" ht="45" hidden="1" x14ac:dyDescent="0.35">
      <c r="C60" s="683" t="s">
        <v>297</v>
      </c>
      <c r="D60" s="684"/>
      <c r="E60" s="81" t="s">
        <v>85</v>
      </c>
      <c r="F60" s="24" t="s">
        <v>298</v>
      </c>
    </row>
    <row r="61" spans="2:6" ht="45" hidden="1" x14ac:dyDescent="0.35">
      <c r="B61" t="s">
        <v>130</v>
      </c>
      <c r="C61" s="683" t="s">
        <v>132</v>
      </c>
      <c r="D61" s="684"/>
      <c r="E61" s="81" t="s">
        <v>85</v>
      </c>
      <c r="F61" s="24" t="s">
        <v>131</v>
      </c>
    </row>
    <row r="62" spans="2:6" ht="30" hidden="1" x14ac:dyDescent="0.35">
      <c r="B62" t="s">
        <v>133</v>
      </c>
      <c r="C62" s="683" t="s">
        <v>135</v>
      </c>
      <c r="D62" s="684"/>
      <c r="E62" s="81" t="s">
        <v>44</v>
      </c>
      <c r="F62" s="24" t="s">
        <v>134</v>
      </c>
    </row>
    <row r="63" spans="2:6" ht="30" hidden="1" x14ac:dyDescent="0.35">
      <c r="C63" s="683" t="s">
        <v>137</v>
      </c>
      <c r="D63" s="684"/>
      <c r="E63" s="81" t="s">
        <v>44</v>
      </c>
      <c r="F63" s="24" t="s">
        <v>136</v>
      </c>
    </row>
    <row r="64" spans="2:6" ht="30" hidden="1" x14ac:dyDescent="0.35">
      <c r="C64" s="683" t="s">
        <v>139</v>
      </c>
      <c r="D64" s="684"/>
      <c r="E64" s="81" t="s">
        <v>44</v>
      </c>
      <c r="F64" s="24" t="s">
        <v>138</v>
      </c>
    </row>
    <row r="65" spans="2:6" ht="30" hidden="1" x14ac:dyDescent="0.35">
      <c r="C65" s="683" t="s">
        <v>141</v>
      </c>
      <c r="D65" s="684"/>
      <c r="E65" s="81" t="s">
        <v>44</v>
      </c>
      <c r="F65" s="24" t="s">
        <v>140</v>
      </c>
    </row>
    <row r="66" spans="2:6" ht="30" hidden="1" x14ac:dyDescent="0.35">
      <c r="C66" s="683" t="s">
        <v>143</v>
      </c>
      <c r="D66" s="684"/>
      <c r="E66" s="81" t="s">
        <v>44</v>
      </c>
      <c r="F66" s="24" t="s">
        <v>142</v>
      </c>
    </row>
    <row r="67" spans="2:6" ht="45" hidden="1" x14ac:dyDescent="0.35">
      <c r="C67" s="683" t="s">
        <v>143</v>
      </c>
      <c r="D67" s="684"/>
      <c r="E67" s="81" t="s">
        <v>85</v>
      </c>
      <c r="F67" s="24" t="s">
        <v>144</v>
      </c>
    </row>
    <row r="68" spans="2:6" ht="45" hidden="1" x14ac:dyDescent="0.35">
      <c r="B68" t="s">
        <v>145</v>
      </c>
      <c r="C68" s="683" t="s">
        <v>147</v>
      </c>
      <c r="D68" s="684"/>
      <c r="E68" s="81" t="s">
        <v>85</v>
      </c>
      <c r="F68" s="24" t="s">
        <v>146</v>
      </c>
    </row>
    <row r="69" spans="2:6" ht="30" hidden="1" x14ac:dyDescent="0.35">
      <c r="C69" s="683" t="s">
        <v>137</v>
      </c>
      <c r="D69" s="684"/>
      <c r="E69" s="81" t="s">
        <v>44</v>
      </c>
      <c r="F69" s="24" t="s">
        <v>148</v>
      </c>
    </row>
    <row r="70" spans="2:6" ht="30" hidden="1" x14ac:dyDescent="0.35">
      <c r="C70" s="683" t="s">
        <v>150</v>
      </c>
      <c r="D70" s="684"/>
      <c r="E70" s="81" t="s">
        <v>44</v>
      </c>
      <c r="F70" s="24" t="s">
        <v>149</v>
      </c>
    </row>
    <row r="71" spans="2:6" ht="30" x14ac:dyDescent="0.35">
      <c r="C71" s="669" t="s">
        <v>299</v>
      </c>
      <c r="D71" s="670"/>
      <c r="E71" s="352" t="s">
        <v>109</v>
      </c>
      <c r="F71" s="24" t="s">
        <v>159</v>
      </c>
    </row>
  </sheetData>
  <autoFilter ref="C2:F71" xr:uid="{00000000-0009-0000-0000-00000E000000}">
    <filterColumn colId="2">
      <filters>
        <filter val="Start up loss"/>
      </filters>
    </filterColumn>
  </autoFilter>
  <mergeCells count="69"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8:D68"/>
    <mergeCell ref="C69:D69"/>
    <mergeCell ref="C70:D70"/>
    <mergeCell ref="C71:D71"/>
    <mergeCell ref="C63:D63"/>
    <mergeCell ref="C64:D64"/>
    <mergeCell ref="C65:D65"/>
    <mergeCell ref="C66:D66"/>
    <mergeCell ref="C67:D67"/>
  </mergeCells>
  <conditionalFormatting sqref="F1:F1048576">
    <cfRule type="duplicateValues" dxfId="49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B2:Q24"/>
  <sheetViews>
    <sheetView workbookViewId="0">
      <selection activeCell="L18" sqref="L18"/>
    </sheetView>
  </sheetViews>
  <sheetFormatPr defaultColWidth="9" defaultRowHeight="15" x14ac:dyDescent="0.25"/>
  <cols>
    <col min="1" max="1" width="3.42578125" customWidth="1"/>
    <col min="2" max="2" width="5.85546875" customWidth="1"/>
    <col min="3" max="3" width="18.85546875" customWidth="1"/>
    <col min="4" max="4" width="13.7109375" customWidth="1"/>
    <col min="5" max="5" width="16" customWidth="1"/>
    <col min="6" max="6" width="12.5703125" customWidth="1"/>
    <col min="7" max="7" width="12.140625" customWidth="1"/>
    <col min="8" max="9" width="12.5703125" customWidth="1"/>
    <col min="10" max="10" width="5.85546875" customWidth="1"/>
    <col min="11" max="11" width="18.85546875" customWidth="1"/>
    <col min="12" max="12" width="13.7109375" customWidth="1"/>
    <col min="13" max="13" width="16" customWidth="1"/>
    <col min="14" max="14" width="12.5703125" customWidth="1"/>
    <col min="15" max="15" width="12.140625" customWidth="1"/>
    <col min="16" max="17" width="12.5703125" customWidth="1"/>
  </cols>
  <sheetData>
    <row r="2" spans="2:17" ht="26.25" x14ac:dyDescent="0.25">
      <c r="B2" s="704" t="s">
        <v>300</v>
      </c>
      <c r="C2" s="705"/>
      <c r="D2" s="705"/>
      <c r="E2" s="705"/>
      <c r="F2" s="705"/>
      <c r="G2" s="705"/>
      <c r="H2" s="705"/>
      <c r="I2" s="706"/>
      <c r="J2" s="704" t="s">
        <v>301</v>
      </c>
      <c r="K2" s="705"/>
      <c r="L2" s="705"/>
      <c r="M2" s="705"/>
      <c r="N2" s="705"/>
      <c r="O2" s="705"/>
      <c r="P2" s="705"/>
      <c r="Q2" s="706"/>
    </row>
    <row r="3" spans="2:17" ht="26.25" x14ac:dyDescent="0.25">
      <c r="B3" s="704" t="s">
        <v>302</v>
      </c>
      <c r="C3" s="705"/>
      <c r="D3" s="705"/>
      <c r="E3" s="705"/>
      <c r="F3" s="705"/>
      <c r="G3" s="705"/>
      <c r="H3" s="705"/>
      <c r="I3" s="706"/>
      <c r="J3" s="704" t="s">
        <v>302</v>
      </c>
      <c r="K3" s="705"/>
      <c r="L3" s="705"/>
      <c r="M3" s="705"/>
      <c r="N3" s="705"/>
      <c r="O3" s="705"/>
      <c r="P3" s="705"/>
      <c r="Q3" s="706"/>
    </row>
    <row r="4" spans="2:17" ht="18.75" x14ac:dyDescent="0.25">
      <c r="B4" s="329" t="s">
        <v>303</v>
      </c>
      <c r="C4" s="330" t="s">
        <v>304</v>
      </c>
      <c r="D4" s="331" t="s">
        <v>305</v>
      </c>
      <c r="E4" s="332" t="s">
        <v>306</v>
      </c>
      <c r="F4" s="332" t="s">
        <v>307</v>
      </c>
      <c r="G4" s="332" t="s">
        <v>308</v>
      </c>
      <c r="H4" s="333" t="s">
        <v>309</v>
      </c>
      <c r="I4" s="346" t="s">
        <v>310</v>
      </c>
      <c r="J4" s="329" t="s">
        <v>303</v>
      </c>
      <c r="K4" s="330" t="s">
        <v>304</v>
      </c>
      <c r="L4" s="331" t="s">
        <v>305</v>
      </c>
      <c r="M4" s="332" t="s">
        <v>306</v>
      </c>
      <c r="N4" s="332" t="s">
        <v>307</v>
      </c>
      <c r="O4" s="332" t="s">
        <v>308</v>
      </c>
      <c r="P4" s="333" t="s">
        <v>309</v>
      </c>
      <c r="Q4" s="346" t="s">
        <v>310</v>
      </c>
    </row>
    <row r="5" spans="2:17" ht="15.75" x14ac:dyDescent="0.25">
      <c r="B5" s="334">
        <v>1</v>
      </c>
      <c r="C5" s="335" t="s">
        <v>311</v>
      </c>
      <c r="D5" s="336" t="e">
        <f>#REF!</f>
        <v>#REF!</v>
      </c>
      <c r="E5" s="337" t="e">
        <f>#REF!</f>
        <v>#REF!</v>
      </c>
      <c r="F5" s="337" t="e">
        <f>#REF!</f>
        <v>#REF!</v>
      </c>
      <c r="G5" s="338" t="e">
        <f>D5*E5*F5</f>
        <v>#REF!</v>
      </c>
      <c r="H5" s="339">
        <v>0.8</v>
      </c>
      <c r="I5" s="347" t="e">
        <f>H5-G5</f>
        <v>#REF!</v>
      </c>
      <c r="J5" s="334">
        <v>1</v>
      </c>
      <c r="K5" s="335" t="s">
        <v>311</v>
      </c>
      <c r="L5" s="336" t="e">
        <f>#REF!</f>
        <v>#REF!</v>
      </c>
      <c r="M5" s="337" t="e">
        <f>#REF!</f>
        <v>#REF!</v>
      </c>
      <c r="N5" s="337" t="e">
        <f>#REF!</f>
        <v>#REF!</v>
      </c>
      <c r="O5" s="338" t="e">
        <f>L5*M5*N5</f>
        <v>#REF!</v>
      </c>
      <c r="P5" s="339">
        <v>0.8</v>
      </c>
      <c r="Q5" s="347" t="e">
        <f>P5-O5</f>
        <v>#REF!</v>
      </c>
    </row>
    <row r="6" spans="2:17" ht="15.75" x14ac:dyDescent="0.25">
      <c r="B6" s="334">
        <v>2</v>
      </c>
      <c r="C6" s="328" t="s">
        <v>312</v>
      </c>
      <c r="D6" s="336" t="e">
        <f>#REF!</f>
        <v>#REF!</v>
      </c>
      <c r="E6" s="337" t="e">
        <f>#REF!</f>
        <v>#REF!</v>
      </c>
      <c r="F6" s="337" t="e">
        <f>#REF!</f>
        <v>#REF!</v>
      </c>
      <c r="G6" s="338" t="e">
        <f t="shared" ref="G6:G23" si="0">D6*E6*F6</f>
        <v>#REF!</v>
      </c>
      <c r="H6" s="339">
        <v>0.8</v>
      </c>
      <c r="I6" s="347" t="e">
        <f t="shared" ref="I6:I24" si="1">H6-G6</f>
        <v>#REF!</v>
      </c>
      <c r="J6" s="334">
        <v>2</v>
      </c>
      <c r="K6" s="328" t="s">
        <v>312</v>
      </c>
      <c r="L6" s="336" t="e">
        <f>#REF!</f>
        <v>#REF!</v>
      </c>
      <c r="M6" s="337" t="e">
        <f>#REF!</f>
        <v>#REF!</v>
      </c>
      <c r="N6" s="337" t="e">
        <f>#REF!</f>
        <v>#REF!</v>
      </c>
      <c r="O6" s="338" t="e">
        <f t="shared" ref="O6:O21" si="2">L6*M6*N6</f>
        <v>#REF!</v>
      </c>
      <c r="P6" s="339">
        <v>0.8</v>
      </c>
      <c r="Q6" s="347" t="e">
        <f t="shared" ref="Q6:Q21" si="3">P6-O6</f>
        <v>#REF!</v>
      </c>
    </row>
    <row r="7" spans="2:17" ht="15.75" x14ac:dyDescent="0.25">
      <c r="B7" s="334">
        <v>3</v>
      </c>
      <c r="C7" s="328" t="s">
        <v>313</v>
      </c>
      <c r="D7" s="336" t="e">
        <f>#REF!</f>
        <v>#REF!</v>
      </c>
      <c r="E7" s="337" t="e">
        <f>#REF!</f>
        <v>#REF!</v>
      </c>
      <c r="F7" s="337" t="e">
        <f>#REF!</f>
        <v>#REF!</v>
      </c>
      <c r="G7" s="338" t="e">
        <f t="shared" si="0"/>
        <v>#REF!</v>
      </c>
      <c r="H7" s="339">
        <v>0.8</v>
      </c>
      <c r="I7" s="347" t="e">
        <f t="shared" si="1"/>
        <v>#REF!</v>
      </c>
      <c r="J7" s="334">
        <v>3</v>
      </c>
      <c r="K7" s="328" t="s">
        <v>313</v>
      </c>
      <c r="L7" s="336" t="e">
        <f>#REF!</f>
        <v>#REF!</v>
      </c>
      <c r="M7" s="337" t="e">
        <f>#REF!</f>
        <v>#REF!</v>
      </c>
      <c r="N7" s="337" t="e">
        <f>#REF!</f>
        <v>#REF!</v>
      </c>
      <c r="O7" s="338" t="e">
        <f t="shared" si="2"/>
        <v>#REF!</v>
      </c>
      <c r="P7" s="339">
        <v>0.8</v>
      </c>
      <c r="Q7" s="347" t="e">
        <f t="shared" si="3"/>
        <v>#REF!</v>
      </c>
    </row>
    <row r="8" spans="2:17" ht="15.75" x14ac:dyDescent="0.25">
      <c r="B8" s="334">
        <v>4</v>
      </c>
      <c r="C8" s="328" t="s">
        <v>314</v>
      </c>
      <c r="D8" s="340" t="e">
        <f>#REF!</f>
        <v>#REF!</v>
      </c>
      <c r="E8" s="341" t="e">
        <f>#REF!</f>
        <v>#REF!</v>
      </c>
      <c r="F8" s="341" t="e">
        <f>#REF!</f>
        <v>#REF!</v>
      </c>
      <c r="G8" s="338" t="e">
        <f t="shared" si="0"/>
        <v>#REF!</v>
      </c>
      <c r="H8" s="339">
        <v>0.8</v>
      </c>
      <c r="I8" s="347" t="e">
        <f t="shared" si="1"/>
        <v>#REF!</v>
      </c>
      <c r="J8" s="334">
        <v>4</v>
      </c>
      <c r="K8" s="328" t="s">
        <v>314</v>
      </c>
      <c r="L8" s="340" t="e">
        <f>#REF!</f>
        <v>#REF!</v>
      </c>
      <c r="M8" s="341" t="e">
        <f>#REF!</f>
        <v>#REF!</v>
      </c>
      <c r="N8" s="341" t="e">
        <f>#REF!</f>
        <v>#REF!</v>
      </c>
      <c r="O8" s="338" t="e">
        <f t="shared" si="2"/>
        <v>#REF!</v>
      </c>
      <c r="P8" s="339">
        <v>0.8</v>
      </c>
      <c r="Q8" s="347" t="e">
        <f t="shared" si="3"/>
        <v>#REF!</v>
      </c>
    </row>
    <row r="9" spans="2:17" ht="15.75" x14ac:dyDescent="0.25">
      <c r="B9" s="334">
        <v>5</v>
      </c>
      <c r="C9" s="328" t="s">
        <v>315</v>
      </c>
      <c r="D9" s="336" t="e">
        <f>#REF!</f>
        <v>#REF!</v>
      </c>
      <c r="E9" s="337" t="e">
        <f>#REF!</f>
        <v>#REF!</v>
      </c>
      <c r="F9" s="337" t="e">
        <f>#REF!</f>
        <v>#REF!</v>
      </c>
      <c r="G9" s="338" t="e">
        <f t="shared" si="0"/>
        <v>#REF!</v>
      </c>
      <c r="H9" s="339">
        <v>0.8</v>
      </c>
      <c r="I9" s="347" t="e">
        <f t="shared" si="1"/>
        <v>#REF!</v>
      </c>
      <c r="J9" s="334">
        <v>5</v>
      </c>
      <c r="K9" s="328" t="s">
        <v>315</v>
      </c>
      <c r="L9" s="336" t="e">
        <f>#REF!</f>
        <v>#REF!</v>
      </c>
      <c r="M9" s="337" t="e">
        <f>#REF!</f>
        <v>#REF!</v>
      </c>
      <c r="N9" s="337" t="e">
        <f>#REF!</f>
        <v>#REF!</v>
      </c>
      <c r="O9" s="338" t="e">
        <f t="shared" si="2"/>
        <v>#REF!</v>
      </c>
      <c r="P9" s="339">
        <v>0.8</v>
      </c>
      <c r="Q9" s="347" t="e">
        <f t="shared" si="3"/>
        <v>#REF!</v>
      </c>
    </row>
    <row r="10" spans="2:17" ht="15.75" x14ac:dyDescent="0.25">
      <c r="B10" s="334">
        <v>6</v>
      </c>
      <c r="C10" s="328" t="s">
        <v>316</v>
      </c>
      <c r="D10" s="336" t="e">
        <f>#REF!</f>
        <v>#REF!</v>
      </c>
      <c r="E10" s="337" t="e">
        <f>#REF!</f>
        <v>#REF!</v>
      </c>
      <c r="F10" s="337" t="e">
        <f>#REF!</f>
        <v>#REF!</v>
      </c>
      <c r="G10" s="338" t="e">
        <f t="shared" si="0"/>
        <v>#REF!</v>
      </c>
      <c r="H10" s="339">
        <v>0.8</v>
      </c>
      <c r="I10" s="347" t="e">
        <f t="shared" si="1"/>
        <v>#REF!</v>
      </c>
      <c r="J10" s="334">
        <v>6</v>
      </c>
      <c r="K10" s="328" t="s">
        <v>316</v>
      </c>
      <c r="L10" s="336" t="e">
        <f>#REF!</f>
        <v>#REF!</v>
      </c>
      <c r="M10" s="337" t="e">
        <f>#REF!</f>
        <v>#REF!</v>
      </c>
      <c r="N10" s="337" t="e">
        <f>#REF!</f>
        <v>#REF!</v>
      </c>
      <c r="O10" s="338" t="e">
        <f t="shared" si="2"/>
        <v>#REF!</v>
      </c>
      <c r="P10" s="339">
        <v>0.8</v>
      </c>
      <c r="Q10" s="347" t="e">
        <f t="shared" si="3"/>
        <v>#REF!</v>
      </c>
    </row>
    <row r="11" spans="2:17" ht="15.75" x14ac:dyDescent="0.25">
      <c r="B11" s="334">
        <v>7</v>
      </c>
      <c r="C11" s="328" t="s">
        <v>317</v>
      </c>
      <c r="D11" s="336" t="e">
        <f>#REF!</f>
        <v>#REF!</v>
      </c>
      <c r="E11" s="337" t="e">
        <f>#REF!</f>
        <v>#REF!</v>
      </c>
      <c r="F11" s="337" t="e">
        <f>#REF!</f>
        <v>#REF!</v>
      </c>
      <c r="G11" s="338" t="e">
        <f t="shared" si="0"/>
        <v>#REF!</v>
      </c>
      <c r="H11" s="339">
        <v>0.8</v>
      </c>
      <c r="I11" s="347" t="e">
        <f t="shared" si="1"/>
        <v>#REF!</v>
      </c>
      <c r="J11" s="334">
        <v>7</v>
      </c>
      <c r="K11" s="328" t="s">
        <v>317</v>
      </c>
      <c r="L11" s="336" t="e">
        <f>#REF!</f>
        <v>#REF!</v>
      </c>
      <c r="M11" s="337" t="e">
        <f>#REF!</f>
        <v>#REF!</v>
      </c>
      <c r="N11" s="337" t="e">
        <f>#REF!</f>
        <v>#REF!</v>
      </c>
      <c r="O11" s="338" t="e">
        <f t="shared" si="2"/>
        <v>#REF!</v>
      </c>
      <c r="P11" s="339">
        <v>0.8</v>
      </c>
      <c r="Q11" s="347" t="e">
        <f t="shared" si="3"/>
        <v>#REF!</v>
      </c>
    </row>
    <row r="12" spans="2:17" ht="15.75" x14ac:dyDescent="0.25">
      <c r="B12" s="334">
        <v>8</v>
      </c>
      <c r="C12" s="328" t="s">
        <v>318</v>
      </c>
      <c r="D12" s="336" t="e">
        <f>#REF!</f>
        <v>#REF!</v>
      </c>
      <c r="E12" s="337" t="e">
        <f>#REF!</f>
        <v>#REF!</v>
      </c>
      <c r="F12" s="337" t="e">
        <f>#REF!</f>
        <v>#REF!</v>
      </c>
      <c r="G12" s="338" t="e">
        <f t="shared" si="0"/>
        <v>#REF!</v>
      </c>
      <c r="H12" s="339">
        <v>0.8</v>
      </c>
      <c r="I12" s="347" t="e">
        <f t="shared" si="1"/>
        <v>#REF!</v>
      </c>
      <c r="J12" s="334">
        <v>8</v>
      </c>
      <c r="K12" s="328" t="s">
        <v>318</v>
      </c>
      <c r="L12" s="336" t="e">
        <f>#REF!</f>
        <v>#REF!</v>
      </c>
      <c r="M12" s="337" t="e">
        <f>#REF!</f>
        <v>#REF!</v>
      </c>
      <c r="N12" s="337" t="e">
        <f>#REF!</f>
        <v>#REF!</v>
      </c>
      <c r="O12" s="338" t="e">
        <f t="shared" si="2"/>
        <v>#REF!</v>
      </c>
      <c r="P12" s="339">
        <v>0.8</v>
      </c>
      <c r="Q12" s="347" t="e">
        <f t="shared" si="3"/>
        <v>#REF!</v>
      </c>
    </row>
    <row r="13" spans="2:17" ht="15.75" x14ac:dyDescent="0.25">
      <c r="B13" s="334">
        <v>9</v>
      </c>
      <c r="C13" s="328" t="s">
        <v>319</v>
      </c>
      <c r="D13" s="336" t="e">
        <f>#REF!</f>
        <v>#REF!</v>
      </c>
      <c r="E13" s="337" t="e">
        <f>#REF!</f>
        <v>#REF!</v>
      </c>
      <c r="F13" s="337" t="e">
        <f>#REF!</f>
        <v>#REF!</v>
      </c>
      <c r="G13" s="338" t="e">
        <f t="shared" si="0"/>
        <v>#REF!</v>
      </c>
      <c r="H13" s="339">
        <v>0.8</v>
      </c>
      <c r="I13" s="347" t="e">
        <f t="shared" si="1"/>
        <v>#REF!</v>
      </c>
      <c r="J13" s="334">
        <v>9</v>
      </c>
      <c r="K13" s="328" t="s">
        <v>319</v>
      </c>
      <c r="L13" s="336" t="e">
        <f>#REF!</f>
        <v>#REF!</v>
      </c>
      <c r="M13" s="337" t="e">
        <f>#REF!</f>
        <v>#REF!</v>
      </c>
      <c r="N13" s="337" t="e">
        <f>#REF!</f>
        <v>#REF!</v>
      </c>
      <c r="O13" s="338" t="e">
        <f t="shared" si="2"/>
        <v>#REF!</v>
      </c>
      <c r="P13" s="339">
        <v>0.8</v>
      </c>
      <c r="Q13" s="347" t="e">
        <f t="shared" si="3"/>
        <v>#REF!</v>
      </c>
    </row>
    <row r="14" spans="2:17" ht="15.75" x14ac:dyDescent="0.25">
      <c r="B14" s="334">
        <v>10</v>
      </c>
      <c r="C14" s="328" t="s">
        <v>320</v>
      </c>
      <c r="D14" s="336" t="e">
        <f>#REF!</f>
        <v>#REF!</v>
      </c>
      <c r="E14" s="337" t="e">
        <f>#REF!</f>
        <v>#REF!</v>
      </c>
      <c r="F14" s="337" t="e">
        <f>#REF!</f>
        <v>#REF!</v>
      </c>
      <c r="G14" s="338" t="e">
        <f t="shared" si="0"/>
        <v>#REF!</v>
      </c>
      <c r="H14" s="339">
        <v>0.8</v>
      </c>
      <c r="I14" s="347" t="e">
        <f t="shared" si="1"/>
        <v>#REF!</v>
      </c>
      <c r="J14" s="334">
        <v>10</v>
      </c>
      <c r="K14" s="328" t="s">
        <v>320</v>
      </c>
      <c r="L14" s="336" t="e">
        <f>#REF!</f>
        <v>#REF!</v>
      </c>
      <c r="M14" s="337" t="e">
        <f>#REF!</f>
        <v>#REF!</v>
      </c>
      <c r="N14" s="337" t="e">
        <f>#REF!</f>
        <v>#REF!</v>
      </c>
      <c r="O14" s="338" t="e">
        <f t="shared" si="2"/>
        <v>#REF!</v>
      </c>
      <c r="P14" s="339">
        <v>0.8</v>
      </c>
      <c r="Q14" s="347" t="e">
        <f t="shared" si="3"/>
        <v>#REF!</v>
      </c>
    </row>
    <row r="15" spans="2:17" ht="15.75" x14ac:dyDescent="0.25">
      <c r="B15" s="334">
        <v>11</v>
      </c>
      <c r="C15" s="328" t="s">
        <v>321</v>
      </c>
      <c r="D15" s="336" t="e">
        <f>#REF!</f>
        <v>#REF!</v>
      </c>
      <c r="E15" s="337" t="e">
        <f>#REF!</f>
        <v>#REF!</v>
      </c>
      <c r="F15" s="337" t="e">
        <f>#REF!</f>
        <v>#REF!</v>
      </c>
      <c r="G15" s="338" t="e">
        <f t="shared" si="0"/>
        <v>#REF!</v>
      </c>
      <c r="H15" s="339">
        <v>0.8</v>
      </c>
      <c r="I15" s="347" t="e">
        <f t="shared" si="1"/>
        <v>#REF!</v>
      </c>
      <c r="J15" s="334">
        <v>11</v>
      </c>
      <c r="K15" s="328" t="s">
        <v>321</v>
      </c>
      <c r="L15" s="336" t="e">
        <f>#REF!</f>
        <v>#REF!</v>
      </c>
      <c r="M15" s="337" t="e">
        <f>#REF!</f>
        <v>#REF!</v>
      </c>
      <c r="N15" s="337" t="e">
        <f>#REF!</f>
        <v>#REF!</v>
      </c>
      <c r="O15" s="338" t="e">
        <f t="shared" si="2"/>
        <v>#REF!</v>
      </c>
      <c r="P15" s="339">
        <v>0.8</v>
      </c>
      <c r="Q15" s="347" t="e">
        <f t="shared" si="3"/>
        <v>#REF!</v>
      </c>
    </row>
    <row r="16" spans="2:17" ht="15.75" x14ac:dyDescent="0.25">
      <c r="B16" s="334">
        <v>12</v>
      </c>
      <c r="C16" s="328" t="s">
        <v>322</v>
      </c>
      <c r="D16" s="336" t="e">
        <f>#REF!</f>
        <v>#REF!</v>
      </c>
      <c r="E16" s="337" t="e">
        <f>#REF!</f>
        <v>#REF!</v>
      </c>
      <c r="F16" s="337" t="e">
        <f>#REF!</f>
        <v>#REF!</v>
      </c>
      <c r="G16" s="338" t="e">
        <f t="shared" si="0"/>
        <v>#REF!</v>
      </c>
      <c r="H16" s="339">
        <v>0.8</v>
      </c>
      <c r="I16" s="347" t="e">
        <f t="shared" si="1"/>
        <v>#REF!</v>
      </c>
      <c r="J16" s="334">
        <v>12</v>
      </c>
      <c r="K16" s="328" t="s">
        <v>322</v>
      </c>
      <c r="L16" s="336"/>
      <c r="M16" s="337"/>
      <c r="N16" s="337"/>
      <c r="O16" s="338"/>
      <c r="P16" s="339"/>
      <c r="Q16" s="347"/>
    </row>
    <row r="17" spans="2:17" ht="15.75" x14ac:dyDescent="0.25">
      <c r="B17" s="334">
        <v>13</v>
      </c>
      <c r="C17" s="328" t="s">
        <v>323</v>
      </c>
      <c r="D17" s="336" t="e">
        <f>#REF!</f>
        <v>#REF!</v>
      </c>
      <c r="E17" s="337" t="e">
        <f>#REF!</f>
        <v>#REF!</v>
      </c>
      <c r="F17" s="337" t="e">
        <f>#REF!</f>
        <v>#REF!</v>
      </c>
      <c r="G17" s="338" t="e">
        <f t="shared" si="0"/>
        <v>#REF!</v>
      </c>
      <c r="H17" s="339">
        <v>0.8</v>
      </c>
      <c r="I17" s="347" t="e">
        <f t="shared" si="1"/>
        <v>#REF!</v>
      </c>
      <c r="J17" s="334">
        <v>13</v>
      </c>
      <c r="K17" s="328" t="s">
        <v>323</v>
      </c>
      <c r="L17" s="336" t="e">
        <f>#REF!</f>
        <v>#REF!</v>
      </c>
      <c r="M17" s="337" t="e">
        <f>#REF!</f>
        <v>#REF!</v>
      </c>
      <c r="N17" s="337" t="e">
        <f>#REF!</f>
        <v>#REF!</v>
      </c>
      <c r="O17" s="338" t="e">
        <f t="shared" si="2"/>
        <v>#REF!</v>
      </c>
      <c r="P17" s="339">
        <v>0.8</v>
      </c>
      <c r="Q17" s="347" t="e">
        <f t="shared" si="3"/>
        <v>#REF!</v>
      </c>
    </row>
    <row r="18" spans="2:17" ht="15.75" x14ac:dyDescent="0.25">
      <c r="B18" s="334">
        <v>14</v>
      </c>
      <c r="C18" s="328" t="s">
        <v>324</v>
      </c>
      <c r="D18" s="336" t="e">
        <f>#REF!</f>
        <v>#REF!</v>
      </c>
      <c r="E18" s="337" t="e">
        <f>#REF!</f>
        <v>#REF!</v>
      </c>
      <c r="F18" s="337" t="e">
        <f>#REF!</f>
        <v>#REF!</v>
      </c>
      <c r="G18" s="338" t="e">
        <f t="shared" si="0"/>
        <v>#REF!</v>
      </c>
      <c r="H18" s="339">
        <v>0.8</v>
      </c>
      <c r="I18" s="347" t="e">
        <f t="shared" si="1"/>
        <v>#REF!</v>
      </c>
      <c r="J18" s="334">
        <v>14</v>
      </c>
      <c r="K18" s="328" t="s">
        <v>324</v>
      </c>
      <c r="L18" s="336"/>
      <c r="M18" s="337"/>
      <c r="N18" s="337"/>
      <c r="O18" s="338"/>
      <c r="P18" s="339"/>
      <c r="Q18" s="347"/>
    </row>
    <row r="19" spans="2:17" ht="15.75" x14ac:dyDescent="0.25">
      <c r="B19" s="334">
        <v>15</v>
      </c>
      <c r="C19" s="328" t="s">
        <v>325</v>
      </c>
      <c r="D19" s="336"/>
      <c r="E19" s="337"/>
      <c r="F19" s="337"/>
      <c r="G19" s="338"/>
      <c r="H19" s="339"/>
      <c r="I19" s="347"/>
      <c r="J19" s="334">
        <v>15</v>
      </c>
      <c r="K19" s="328" t="s">
        <v>325</v>
      </c>
      <c r="L19" s="336"/>
      <c r="M19" s="337"/>
      <c r="N19" s="337"/>
      <c r="O19" s="338"/>
      <c r="P19" s="339"/>
      <c r="Q19" s="347"/>
    </row>
    <row r="20" spans="2:17" ht="15.75" x14ac:dyDescent="0.25">
      <c r="B20" s="334">
        <v>16</v>
      </c>
      <c r="C20" s="328" t="s">
        <v>326</v>
      </c>
      <c r="D20" s="336" t="e">
        <f>#REF!</f>
        <v>#REF!</v>
      </c>
      <c r="E20" s="337" t="e">
        <f>#REF!</f>
        <v>#REF!</v>
      </c>
      <c r="F20" s="337" t="e">
        <f>#REF!</f>
        <v>#REF!</v>
      </c>
      <c r="G20" s="338" t="e">
        <f t="shared" si="0"/>
        <v>#REF!</v>
      </c>
      <c r="H20" s="339">
        <v>0.8</v>
      </c>
      <c r="I20" s="347" t="e">
        <f t="shared" si="1"/>
        <v>#REF!</v>
      </c>
      <c r="J20" s="334">
        <v>16</v>
      </c>
      <c r="K20" s="328" t="s">
        <v>326</v>
      </c>
      <c r="L20" s="336" t="e">
        <f>#REF!</f>
        <v>#REF!</v>
      </c>
      <c r="M20" s="337" t="e">
        <f>#REF!</f>
        <v>#REF!</v>
      </c>
      <c r="N20" s="337" t="e">
        <f>#REF!</f>
        <v>#REF!</v>
      </c>
      <c r="O20" s="338" t="e">
        <f t="shared" si="2"/>
        <v>#REF!</v>
      </c>
      <c r="P20" s="339">
        <v>0.8</v>
      </c>
      <c r="Q20" s="347" t="e">
        <f t="shared" si="3"/>
        <v>#REF!</v>
      </c>
    </row>
    <row r="21" spans="2:17" ht="15.75" x14ac:dyDescent="0.25">
      <c r="B21" s="334">
        <v>17</v>
      </c>
      <c r="C21" s="328" t="s">
        <v>327</v>
      </c>
      <c r="D21" s="336" t="e">
        <f>#REF!</f>
        <v>#REF!</v>
      </c>
      <c r="E21" s="337" t="e">
        <f>#REF!</f>
        <v>#REF!</v>
      </c>
      <c r="F21" s="337" t="e">
        <f>#REF!</f>
        <v>#REF!</v>
      </c>
      <c r="G21" s="338" t="e">
        <f t="shared" si="0"/>
        <v>#REF!</v>
      </c>
      <c r="H21" s="339">
        <v>0.8</v>
      </c>
      <c r="I21" s="347" t="e">
        <f t="shared" si="1"/>
        <v>#REF!</v>
      </c>
      <c r="J21" s="334">
        <v>17</v>
      </c>
      <c r="K21" s="328" t="s">
        <v>327</v>
      </c>
      <c r="L21" s="336" t="e">
        <f>#REF!</f>
        <v>#REF!</v>
      </c>
      <c r="M21" s="337" t="e">
        <f>#REF!</f>
        <v>#REF!</v>
      </c>
      <c r="N21" s="337" t="e">
        <f>#REF!</f>
        <v>#REF!</v>
      </c>
      <c r="O21" s="338" t="e">
        <f t="shared" si="2"/>
        <v>#REF!</v>
      </c>
      <c r="P21" s="339">
        <v>0.8</v>
      </c>
      <c r="Q21" s="347" t="e">
        <f t="shared" si="3"/>
        <v>#REF!</v>
      </c>
    </row>
    <row r="22" spans="2:17" ht="15.75" x14ac:dyDescent="0.25">
      <c r="B22" s="334">
        <v>18</v>
      </c>
      <c r="C22" s="328" t="s">
        <v>328</v>
      </c>
      <c r="D22" s="336"/>
      <c r="E22" s="337"/>
      <c r="F22" s="337"/>
      <c r="G22" s="338"/>
      <c r="H22" s="339"/>
      <c r="I22" s="347"/>
      <c r="J22" s="334">
        <v>18</v>
      </c>
      <c r="K22" s="328" t="s">
        <v>328</v>
      </c>
      <c r="L22" s="336" t="e">
        <f>#REF!</f>
        <v>#REF!</v>
      </c>
      <c r="M22" s="337" t="e">
        <f>#REF!</f>
        <v>#REF!</v>
      </c>
      <c r="N22" s="337" t="e">
        <f>#REF!</f>
        <v>#REF!</v>
      </c>
      <c r="O22" s="338" t="e">
        <f>L22*M22*N22</f>
        <v>#REF!</v>
      </c>
      <c r="P22" s="339">
        <v>0.8</v>
      </c>
      <c r="Q22" s="347" t="e">
        <f>P22-O22</f>
        <v>#REF!</v>
      </c>
    </row>
    <row r="23" spans="2:17" ht="15.75" x14ac:dyDescent="0.25">
      <c r="B23" s="334">
        <v>19</v>
      </c>
      <c r="C23" s="328" t="s">
        <v>329</v>
      </c>
      <c r="D23" s="336" t="e">
        <f>#REF!</f>
        <v>#REF!</v>
      </c>
      <c r="E23" s="337" t="e">
        <f>#REF!</f>
        <v>#REF!</v>
      </c>
      <c r="F23" s="337" t="e">
        <f>#REF!</f>
        <v>#REF!</v>
      </c>
      <c r="G23" s="338" t="e">
        <f t="shared" si="0"/>
        <v>#REF!</v>
      </c>
      <c r="H23" s="339">
        <v>0.8</v>
      </c>
      <c r="I23" s="347" t="e">
        <f t="shared" si="1"/>
        <v>#REF!</v>
      </c>
      <c r="J23" s="334">
        <v>19</v>
      </c>
      <c r="K23" s="328" t="s">
        <v>329</v>
      </c>
      <c r="L23" s="336"/>
      <c r="M23" s="337"/>
      <c r="N23" s="337"/>
      <c r="O23" s="338"/>
      <c r="P23" s="339"/>
      <c r="Q23" s="347"/>
    </row>
    <row r="24" spans="2:17" ht="21" x14ac:dyDescent="0.25">
      <c r="B24" s="707" t="s">
        <v>330</v>
      </c>
      <c r="C24" s="708"/>
      <c r="D24" s="342"/>
      <c r="E24" s="342"/>
      <c r="F24" s="343"/>
      <c r="G24" s="344" t="e">
        <f>AVERAGE(G5:G23)</f>
        <v>#REF!</v>
      </c>
      <c r="H24" s="345">
        <v>0.8</v>
      </c>
      <c r="I24" s="348" t="e">
        <f t="shared" si="1"/>
        <v>#REF!</v>
      </c>
      <c r="J24" s="707" t="s">
        <v>330</v>
      </c>
      <c r="K24" s="708"/>
      <c r="L24" s="342"/>
      <c r="M24" s="342"/>
      <c r="N24" s="343"/>
      <c r="O24" s="344" t="e">
        <f>AVERAGE(O5:O23)</f>
        <v>#REF!</v>
      </c>
      <c r="P24" s="345">
        <v>0.8</v>
      </c>
      <c r="Q24" s="348" t="e">
        <f>P24-O24</f>
        <v>#REF!</v>
      </c>
    </row>
  </sheetData>
  <mergeCells count="6">
    <mergeCell ref="B2:I2"/>
    <mergeCell ref="J2:Q2"/>
    <mergeCell ref="B3:I3"/>
    <mergeCell ref="J3:Q3"/>
    <mergeCell ref="B24:C24"/>
    <mergeCell ref="J24:K24"/>
  </mergeCells>
  <conditionalFormatting sqref="G5:H23">
    <cfRule type="cellIs" dxfId="48" priority="8" operator="greaterThan">
      <formula>0.85</formula>
    </cfRule>
    <cfRule type="cellIs" dxfId="47" priority="9" operator="lessThan">
      <formula>0.85</formula>
    </cfRule>
    <cfRule type="cellIs" dxfId="46" priority="10" operator="lessThan">
      <formula>89</formula>
    </cfRule>
  </conditionalFormatting>
  <conditionalFormatting sqref="G6:H8">
    <cfRule type="cellIs" dxfId="45" priority="6" operator="greaterThan">
      <formula>0.84</formula>
    </cfRule>
    <cfRule type="cellIs" dxfId="44" priority="7" operator="equal">
      <formula>0.85</formula>
    </cfRule>
  </conditionalFormatting>
  <conditionalFormatting sqref="O5:P23">
    <cfRule type="cellIs" dxfId="43" priority="3" operator="greaterThan">
      <formula>0.85</formula>
    </cfRule>
    <cfRule type="cellIs" dxfId="42" priority="4" operator="lessThan">
      <formula>0.85</formula>
    </cfRule>
    <cfRule type="cellIs" dxfId="41" priority="5" operator="lessThan">
      <formula>89</formula>
    </cfRule>
  </conditionalFormatting>
  <conditionalFormatting sqref="O6:P8">
    <cfRule type="cellIs" dxfId="40" priority="1" operator="greaterThan">
      <formula>0.84</formula>
    </cfRule>
    <cfRule type="cellIs" dxfId="39" priority="2" operator="equal">
      <formula>0.85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A99F-FABC-45D0-8B37-FF25DA162DD7}">
  <sheetPr>
    <tabColor rgb="FF00B050"/>
  </sheetPr>
  <dimension ref="A1:BL315"/>
  <sheetViews>
    <sheetView zoomScale="55" zoomScaleNormal="80" workbookViewId="0">
      <pane xSplit="5" ySplit="17" topLeftCell="X96" activePane="bottomRight" state="frozen"/>
      <selection activeCell="I78" sqref="I78"/>
      <selection pane="topRight" activeCell="I78" sqref="I78"/>
      <selection pane="bottomLeft" activeCell="I78" sqref="I78"/>
      <selection pane="bottomRight" activeCell="AH116" sqref="AH116"/>
    </sheetView>
  </sheetViews>
  <sheetFormatPr defaultColWidth="9" defaultRowHeight="15" x14ac:dyDescent="0.25"/>
  <cols>
    <col min="1" max="2" width="15.7109375" customWidth="1"/>
    <col min="3" max="3" width="14.7109375" customWidth="1"/>
    <col min="4" max="4" width="61.7109375" customWidth="1"/>
    <col min="5" max="5" width="7.85546875" style="63" customWidth="1"/>
    <col min="6" max="6" width="12.140625" customWidth="1"/>
    <col min="7" max="7" width="12.7109375" customWidth="1"/>
    <col min="8" max="8" width="12.140625" customWidth="1"/>
    <col min="9" max="9" width="12.7109375" customWidth="1"/>
    <col min="10" max="10" width="12.140625" customWidth="1"/>
    <col min="11" max="11" width="12.7109375" customWidth="1"/>
    <col min="12" max="12" width="12.140625" customWidth="1"/>
    <col min="13" max="13" width="12.7109375" customWidth="1"/>
    <col min="14" max="14" width="12.140625" customWidth="1"/>
    <col min="15" max="15" width="12.7109375" customWidth="1"/>
    <col min="16" max="16" width="13.42578125" customWidth="1"/>
    <col min="17" max="17" width="12.140625" customWidth="1"/>
    <col min="18" max="18" width="13.42578125" customWidth="1"/>
    <col min="19" max="20" width="12.140625" customWidth="1"/>
    <col min="21" max="21" width="12.7109375" customWidth="1"/>
    <col min="22" max="22" width="12.140625" customWidth="1"/>
    <col min="23" max="23" width="12.7109375" customWidth="1"/>
    <col min="24" max="24" width="12.140625" customWidth="1"/>
    <col min="25" max="25" width="12.7109375" customWidth="1"/>
    <col min="26" max="26" width="12.140625" customWidth="1"/>
    <col min="27" max="27" width="12.7109375" customWidth="1"/>
    <col min="28" max="28" width="12.140625" customWidth="1"/>
    <col min="29" max="29" width="12.7109375" customWidth="1"/>
    <col min="30" max="30" width="13.42578125" customWidth="1"/>
    <col min="31" max="32" width="12.140625" customWidth="1"/>
    <col min="33" max="33" width="12.7109375" customWidth="1"/>
    <col min="34" max="34" width="12.140625" customWidth="1"/>
    <col min="35" max="35" width="12.7109375" customWidth="1"/>
    <col min="36" max="36" width="12.140625" customWidth="1"/>
    <col min="37" max="37" width="12.7109375" customWidth="1"/>
    <col min="38" max="38" width="12.140625" customWidth="1"/>
    <col min="39" max="39" width="12.7109375" customWidth="1"/>
    <col min="40" max="40" width="12.140625" customWidth="1"/>
    <col min="41" max="41" width="12.7109375" customWidth="1"/>
    <col min="42" max="42" width="12.140625" customWidth="1"/>
    <col min="43" max="43" width="12.7109375" customWidth="1"/>
    <col min="44" max="44" width="13.42578125" customWidth="1"/>
    <col min="45" max="46" width="12.140625" customWidth="1"/>
    <col min="47" max="47" width="12.7109375" customWidth="1"/>
    <col min="48" max="48" width="12.140625" customWidth="1"/>
    <col min="49" max="49" width="12.7109375" customWidth="1"/>
    <col min="50" max="50" width="12.140625" customWidth="1"/>
    <col min="51" max="51" width="12.7109375" customWidth="1"/>
    <col min="52" max="52" width="12.140625" customWidth="1"/>
    <col min="53" max="53" width="12.7109375" customWidth="1"/>
    <col min="54" max="54" width="12.140625" customWidth="1"/>
    <col min="55" max="55" width="12.7109375" customWidth="1"/>
    <col min="56" max="56" width="12.140625" customWidth="1"/>
    <col min="57" max="57" width="12.7109375" customWidth="1"/>
    <col min="58" max="58" width="13.42578125" customWidth="1"/>
    <col min="59" max="59" width="12.140625" customWidth="1"/>
    <col min="60" max="61" width="8.28515625" customWidth="1"/>
    <col min="62" max="62" width="12.140625" customWidth="1"/>
    <col min="65" max="65" width="9.7109375" customWidth="1"/>
  </cols>
  <sheetData>
    <row r="1" spans="1:64" ht="21.75" thickBot="1" x14ac:dyDescent="0.4">
      <c r="B1" s="453"/>
      <c r="C1" s="453"/>
      <c r="D1" s="453"/>
      <c r="E1" s="454"/>
      <c r="F1" s="455">
        <f t="shared" ref="F1:AK1" si="0">SUM(F5:F17)</f>
        <v>10900</v>
      </c>
      <c r="G1" s="455">
        <f t="shared" si="0"/>
        <v>8172</v>
      </c>
      <c r="H1" s="455">
        <f t="shared" si="0"/>
        <v>10437</v>
      </c>
      <c r="I1" s="455">
        <f t="shared" si="0"/>
        <v>9070</v>
      </c>
      <c r="J1" s="455">
        <f t="shared" si="0"/>
        <v>11550</v>
      </c>
      <c r="K1" s="455">
        <f t="shared" si="0"/>
        <v>6575</v>
      </c>
      <c r="L1" s="455">
        <f t="shared" si="0"/>
        <v>0</v>
      </c>
      <c r="M1" s="455">
        <f t="shared" si="0"/>
        <v>0</v>
      </c>
      <c r="N1" s="455">
        <f t="shared" si="0"/>
        <v>2127</v>
      </c>
      <c r="O1" s="455">
        <f t="shared" si="0"/>
        <v>0</v>
      </c>
      <c r="P1" s="455">
        <f t="shared" si="0"/>
        <v>0</v>
      </c>
      <c r="Q1" s="455">
        <f t="shared" si="0"/>
        <v>0</v>
      </c>
      <c r="R1" s="455">
        <f t="shared" si="0"/>
        <v>0</v>
      </c>
      <c r="S1" s="455">
        <f t="shared" si="0"/>
        <v>0</v>
      </c>
      <c r="T1" s="455">
        <f t="shared" si="0"/>
        <v>870</v>
      </c>
      <c r="U1" s="455">
        <f t="shared" si="0"/>
        <v>0</v>
      </c>
      <c r="V1" s="455">
        <f t="shared" si="0"/>
        <v>4933</v>
      </c>
      <c r="W1" s="455">
        <f t="shared" si="0"/>
        <v>0</v>
      </c>
      <c r="X1" s="455">
        <f t="shared" si="0"/>
        <v>3730</v>
      </c>
      <c r="Y1" s="455">
        <f t="shared" si="0"/>
        <v>0</v>
      </c>
      <c r="Z1" s="455">
        <f t="shared" si="0"/>
        <v>7405</v>
      </c>
      <c r="AA1" s="455">
        <f t="shared" si="0"/>
        <v>0</v>
      </c>
      <c r="AB1" s="455">
        <f t="shared" si="0"/>
        <v>10800</v>
      </c>
      <c r="AC1" s="455">
        <f t="shared" si="0"/>
        <v>0</v>
      </c>
      <c r="AD1" s="455">
        <f t="shared" si="0"/>
        <v>0</v>
      </c>
      <c r="AE1" s="455">
        <f t="shared" si="0"/>
        <v>0</v>
      </c>
      <c r="AF1" s="455">
        <f t="shared" si="0"/>
        <v>3425</v>
      </c>
      <c r="AG1" s="455">
        <f t="shared" si="0"/>
        <v>0</v>
      </c>
      <c r="AH1" s="455">
        <f t="shared" si="0"/>
        <v>2885</v>
      </c>
      <c r="AI1" s="455">
        <f t="shared" si="0"/>
        <v>0</v>
      </c>
      <c r="AJ1" s="455">
        <f t="shared" si="0"/>
        <v>0</v>
      </c>
      <c r="AK1" s="455">
        <f t="shared" si="0"/>
        <v>0</v>
      </c>
      <c r="AL1" s="455">
        <f t="shared" ref="AL1:BJ1" si="1">SUM(AL5:AL17)</f>
        <v>0</v>
      </c>
      <c r="AM1" s="455">
        <f t="shared" si="1"/>
        <v>0</v>
      </c>
      <c r="AN1" s="455">
        <f t="shared" si="1"/>
        <v>0</v>
      </c>
      <c r="AO1" s="455">
        <f t="shared" si="1"/>
        <v>0</v>
      </c>
      <c r="AP1" s="455">
        <f t="shared" si="1"/>
        <v>0</v>
      </c>
      <c r="AQ1" s="455">
        <f t="shared" si="1"/>
        <v>0</v>
      </c>
      <c r="AR1" s="455">
        <f t="shared" si="1"/>
        <v>0</v>
      </c>
      <c r="AS1" s="455">
        <f t="shared" si="1"/>
        <v>0</v>
      </c>
      <c r="AT1" s="455">
        <f t="shared" si="1"/>
        <v>0</v>
      </c>
      <c r="AU1" s="455">
        <f t="shared" si="1"/>
        <v>0</v>
      </c>
      <c r="AV1" s="455">
        <f t="shared" si="1"/>
        <v>0</v>
      </c>
      <c r="AW1" s="455">
        <f t="shared" si="1"/>
        <v>0</v>
      </c>
      <c r="AX1" s="455">
        <f t="shared" si="1"/>
        <v>0</v>
      </c>
      <c r="AY1" s="455">
        <f t="shared" si="1"/>
        <v>0</v>
      </c>
      <c r="AZ1" s="455">
        <f t="shared" si="1"/>
        <v>0</v>
      </c>
      <c r="BA1" s="455">
        <f t="shared" si="1"/>
        <v>0</v>
      </c>
      <c r="BB1" s="455">
        <f t="shared" si="1"/>
        <v>0</v>
      </c>
      <c r="BC1" s="455">
        <f t="shared" si="1"/>
        <v>0</v>
      </c>
      <c r="BD1" s="455">
        <f t="shared" si="1"/>
        <v>0</v>
      </c>
      <c r="BE1" s="455">
        <f t="shared" si="1"/>
        <v>0</v>
      </c>
      <c r="BF1" s="455">
        <f t="shared" si="1"/>
        <v>0</v>
      </c>
      <c r="BG1" s="455">
        <f t="shared" si="1"/>
        <v>0</v>
      </c>
      <c r="BH1" s="455">
        <f t="shared" si="1"/>
        <v>0</v>
      </c>
      <c r="BI1" s="455">
        <f t="shared" si="1"/>
        <v>0</v>
      </c>
      <c r="BJ1" s="455">
        <f t="shared" si="1"/>
        <v>92879</v>
      </c>
      <c r="BK1" s="453"/>
      <c r="BL1" s="453"/>
    </row>
    <row r="2" spans="1:64" ht="24" customHeight="1" x14ac:dyDescent="0.35">
      <c r="A2" s="64"/>
      <c r="B2" s="456"/>
      <c r="C2" s="736" t="s">
        <v>0</v>
      </c>
      <c r="D2" s="737"/>
      <c r="E2" s="737"/>
      <c r="F2" s="639">
        <v>46082</v>
      </c>
      <c r="G2" s="640"/>
      <c r="H2" s="639">
        <v>46083</v>
      </c>
      <c r="I2" s="640"/>
      <c r="J2" s="639">
        <v>46084</v>
      </c>
      <c r="K2" s="640"/>
      <c r="L2" s="639">
        <v>46085</v>
      </c>
      <c r="M2" s="640"/>
      <c r="N2" s="639">
        <v>46086</v>
      </c>
      <c r="O2" s="640"/>
      <c r="P2" s="639">
        <v>46087</v>
      </c>
      <c r="Q2" s="640"/>
      <c r="R2" s="639">
        <v>46088</v>
      </c>
      <c r="S2" s="640"/>
      <c r="T2" s="639">
        <v>46089</v>
      </c>
      <c r="U2" s="640"/>
      <c r="V2" s="639">
        <v>46090</v>
      </c>
      <c r="W2" s="640"/>
      <c r="X2" s="639">
        <v>46091</v>
      </c>
      <c r="Y2" s="640"/>
      <c r="Z2" s="639">
        <v>46092</v>
      </c>
      <c r="AA2" s="640"/>
      <c r="AB2" s="639">
        <v>46093</v>
      </c>
      <c r="AC2" s="640"/>
      <c r="AD2" s="639">
        <v>46094</v>
      </c>
      <c r="AE2" s="640"/>
      <c r="AF2" s="639">
        <v>46095</v>
      </c>
      <c r="AG2" s="640"/>
      <c r="AH2" s="639">
        <v>46096</v>
      </c>
      <c r="AI2" s="640"/>
      <c r="AJ2" s="639">
        <v>46097</v>
      </c>
      <c r="AK2" s="640"/>
      <c r="AL2" s="639">
        <v>46098</v>
      </c>
      <c r="AM2" s="640"/>
      <c r="AN2" s="639">
        <v>46099</v>
      </c>
      <c r="AO2" s="640"/>
      <c r="AP2" s="639">
        <v>46100</v>
      </c>
      <c r="AQ2" s="640"/>
      <c r="AR2" s="639">
        <v>46101</v>
      </c>
      <c r="AS2" s="640"/>
      <c r="AT2" s="639">
        <v>46102</v>
      </c>
      <c r="AU2" s="640"/>
      <c r="AV2" s="639">
        <v>46103</v>
      </c>
      <c r="AW2" s="640"/>
      <c r="AX2" s="639">
        <v>46104</v>
      </c>
      <c r="AY2" s="640"/>
      <c r="AZ2" s="639">
        <v>46105</v>
      </c>
      <c r="BA2" s="640"/>
      <c r="BB2" s="639">
        <v>46106</v>
      </c>
      <c r="BC2" s="640"/>
      <c r="BD2" s="639">
        <v>46107</v>
      </c>
      <c r="BE2" s="640"/>
      <c r="BF2" s="639">
        <v>46108</v>
      </c>
      <c r="BG2" s="640"/>
      <c r="BH2" s="639">
        <v>46109</v>
      </c>
      <c r="BI2" s="640"/>
      <c r="BJ2" s="457"/>
      <c r="BK2" s="453"/>
      <c r="BL2" s="453"/>
    </row>
    <row r="3" spans="1:64" ht="24" customHeight="1" x14ac:dyDescent="0.35">
      <c r="A3" s="64"/>
      <c r="B3" s="456"/>
      <c r="C3" s="736" t="s">
        <v>1</v>
      </c>
      <c r="D3" s="737"/>
      <c r="E3" s="737"/>
      <c r="F3" s="565" t="s">
        <v>2</v>
      </c>
      <c r="G3" s="577" t="s">
        <v>3</v>
      </c>
      <c r="H3" s="565" t="s">
        <v>2</v>
      </c>
      <c r="I3" s="577" t="s">
        <v>3</v>
      </c>
      <c r="J3" s="565" t="s">
        <v>2</v>
      </c>
      <c r="K3" s="577" t="s">
        <v>3</v>
      </c>
      <c r="L3" s="565" t="s">
        <v>2</v>
      </c>
      <c r="M3" s="577" t="s">
        <v>3</v>
      </c>
      <c r="N3" s="565" t="s">
        <v>2</v>
      </c>
      <c r="O3" s="577" t="s">
        <v>3</v>
      </c>
      <c r="P3" s="565" t="s">
        <v>2</v>
      </c>
      <c r="Q3" s="549" t="s">
        <v>3</v>
      </c>
      <c r="R3" s="565" t="s">
        <v>2</v>
      </c>
      <c r="S3" s="549" t="s">
        <v>3</v>
      </c>
      <c r="T3" s="565" t="s">
        <v>2</v>
      </c>
      <c r="U3" s="577" t="s">
        <v>3</v>
      </c>
      <c r="V3" s="565" t="s">
        <v>2</v>
      </c>
      <c r="W3" s="577" t="s">
        <v>3</v>
      </c>
      <c r="X3" s="565" t="s">
        <v>2</v>
      </c>
      <c r="Y3" s="577" t="s">
        <v>3</v>
      </c>
      <c r="Z3" s="565" t="s">
        <v>2</v>
      </c>
      <c r="AA3" s="577" t="s">
        <v>3</v>
      </c>
      <c r="AB3" s="565" t="s">
        <v>2</v>
      </c>
      <c r="AC3" s="577" t="s">
        <v>3</v>
      </c>
      <c r="AD3" s="565" t="s">
        <v>2</v>
      </c>
      <c r="AE3" s="549" t="s">
        <v>3</v>
      </c>
      <c r="AF3" s="565" t="s">
        <v>2</v>
      </c>
      <c r="AG3" s="577" t="s">
        <v>3</v>
      </c>
      <c r="AH3" s="565" t="s">
        <v>2</v>
      </c>
      <c r="AI3" s="577" t="s">
        <v>3</v>
      </c>
      <c r="AJ3" s="565" t="s">
        <v>2</v>
      </c>
      <c r="AK3" s="577" t="s">
        <v>3</v>
      </c>
      <c r="AL3" s="565" t="s">
        <v>2</v>
      </c>
      <c r="AM3" s="577" t="s">
        <v>3</v>
      </c>
      <c r="AN3" s="565" t="s">
        <v>2</v>
      </c>
      <c r="AO3" s="577" t="s">
        <v>3</v>
      </c>
      <c r="AP3" s="565" t="s">
        <v>2</v>
      </c>
      <c r="AQ3" s="577" t="s">
        <v>3</v>
      </c>
      <c r="AR3" s="565" t="s">
        <v>2</v>
      </c>
      <c r="AS3" s="549" t="s">
        <v>3</v>
      </c>
      <c r="AT3" s="565" t="s">
        <v>2</v>
      </c>
      <c r="AU3" s="577" t="s">
        <v>3</v>
      </c>
      <c r="AV3" s="565" t="s">
        <v>2</v>
      </c>
      <c r="AW3" s="577" t="s">
        <v>3</v>
      </c>
      <c r="AX3" s="565" t="s">
        <v>2</v>
      </c>
      <c r="AY3" s="577" t="s">
        <v>3</v>
      </c>
      <c r="AZ3" s="565" t="s">
        <v>2</v>
      </c>
      <c r="BA3" s="577" t="s">
        <v>3</v>
      </c>
      <c r="BB3" s="565" t="s">
        <v>2</v>
      </c>
      <c r="BC3" s="577" t="s">
        <v>3</v>
      </c>
      <c r="BD3" s="565" t="s">
        <v>2</v>
      </c>
      <c r="BE3" s="577" t="s">
        <v>3</v>
      </c>
      <c r="BF3" s="565" t="s">
        <v>2</v>
      </c>
      <c r="BG3" s="549" t="s">
        <v>3</v>
      </c>
      <c r="BH3" s="565" t="s">
        <v>2</v>
      </c>
      <c r="BI3" s="577" t="s">
        <v>3</v>
      </c>
      <c r="BJ3" s="457"/>
      <c r="BK3" s="453"/>
      <c r="BL3" s="453"/>
    </row>
    <row r="4" spans="1:64" ht="23.25" x14ac:dyDescent="0.35">
      <c r="A4" s="5"/>
      <c r="B4" s="458"/>
      <c r="C4" s="458" t="s">
        <v>4</v>
      </c>
      <c r="D4" s="459" t="s">
        <v>5</v>
      </c>
      <c r="E4" s="460" t="s">
        <v>6</v>
      </c>
      <c r="F4" s="637" t="s">
        <v>12</v>
      </c>
      <c r="G4" s="638"/>
      <c r="H4" s="637" t="s">
        <v>13</v>
      </c>
      <c r="I4" s="638"/>
      <c r="J4" s="637" t="s">
        <v>7</v>
      </c>
      <c r="K4" s="638"/>
      <c r="L4" s="637" t="s">
        <v>8</v>
      </c>
      <c r="M4" s="638"/>
      <c r="N4" s="637" t="s">
        <v>9</v>
      </c>
      <c r="O4" s="638"/>
      <c r="P4" s="637" t="s">
        <v>10</v>
      </c>
      <c r="Q4" s="638"/>
      <c r="R4" s="637" t="s">
        <v>11</v>
      </c>
      <c r="S4" s="638"/>
      <c r="T4" s="637" t="s">
        <v>12</v>
      </c>
      <c r="U4" s="638"/>
      <c r="V4" s="637" t="s">
        <v>13</v>
      </c>
      <c r="W4" s="638"/>
      <c r="X4" s="637" t="s">
        <v>7</v>
      </c>
      <c r="Y4" s="638"/>
      <c r="Z4" s="637" t="s">
        <v>8</v>
      </c>
      <c r="AA4" s="638"/>
      <c r="AB4" s="637" t="s">
        <v>9</v>
      </c>
      <c r="AC4" s="638"/>
      <c r="AD4" s="637" t="s">
        <v>10</v>
      </c>
      <c r="AE4" s="638"/>
      <c r="AF4" s="637" t="s">
        <v>11</v>
      </c>
      <c r="AG4" s="638"/>
      <c r="AH4" s="637" t="s">
        <v>12</v>
      </c>
      <c r="AI4" s="638"/>
      <c r="AJ4" s="637" t="s">
        <v>13</v>
      </c>
      <c r="AK4" s="638"/>
      <c r="AL4" s="637" t="s">
        <v>7</v>
      </c>
      <c r="AM4" s="638"/>
      <c r="AN4" s="637" t="s">
        <v>8</v>
      </c>
      <c r="AO4" s="638"/>
      <c r="AP4" s="637" t="s">
        <v>9</v>
      </c>
      <c r="AQ4" s="638"/>
      <c r="AR4" s="637" t="s">
        <v>10</v>
      </c>
      <c r="AS4" s="638"/>
      <c r="AT4" s="637" t="s">
        <v>11</v>
      </c>
      <c r="AU4" s="638"/>
      <c r="AV4" s="637" t="s">
        <v>12</v>
      </c>
      <c r="AW4" s="638"/>
      <c r="AX4" s="637" t="s">
        <v>13</v>
      </c>
      <c r="AY4" s="638"/>
      <c r="AZ4" s="637" t="s">
        <v>7</v>
      </c>
      <c r="BA4" s="638"/>
      <c r="BB4" s="637" t="s">
        <v>8</v>
      </c>
      <c r="BC4" s="638"/>
      <c r="BD4" s="637" t="s">
        <v>9</v>
      </c>
      <c r="BE4" s="638"/>
      <c r="BF4" s="637" t="s">
        <v>10</v>
      </c>
      <c r="BG4" s="638"/>
      <c r="BH4" s="637" t="s">
        <v>11</v>
      </c>
      <c r="BI4" s="638"/>
      <c r="BJ4" s="453"/>
      <c r="BK4" s="453"/>
      <c r="BL4" s="453"/>
    </row>
    <row r="5" spans="1:64" ht="21" x14ac:dyDescent="0.35">
      <c r="A5" s="9"/>
      <c r="B5" s="461"/>
      <c r="C5" s="462">
        <f>VLOOKUP(D5,Products!B:D,2,FALSE)</f>
        <v>41813002</v>
      </c>
      <c r="D5" s="463" t="s">
        <v>409</v>
      </c>
      <c r="E5" s="463">
        <v>40</v>
      </c>
      <c r="F5" s="464">
        <v>10900</v>
      </c>
      <c r="G5" s="464">
        <v>8172</v>
      </c>
      <c r="H5" s="464">
        <v>10437</v>
      </c>
      <c r="I5" s="464"/>
      <c r="J5" s="464"/>
      <c r="K5" s="464"/>
      <c r="L5" s="464"/>
      <c r="M5" s="464"/>
      <c r="N5" s="464"/>
      <c r="O5" s="464"/>
      <c r="P5" s="467"/>
      <c r="Q5" s="467"/>
      <c r="R5" s="467"/>
      <c r="S5" s="467"/>
      <c r="T5" s="464"/>
      <c r="U5" s="464"/>
      <c r="V5" s="464"/>
      <c r="W5" s="464"/>
      <c r="X5" s="464"/>
      <c r="Y5" s="464"/>
      <c r="Z5" s="464"/>
      <c r="AA5" s="464"/>
      <c r="AB5" s="464"/>
      <c r="AC5" s="464"/>
      <c r="AD5" s="467"/>
      <c r="AE5" s="467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7"/>
      <c r="AS5" s="467"/>
      <c r="AT5" s="464"/>
      <c r="AU5" s="464"/>
      <c r="AV5" s="464"/>
      <c r="AW5" s="464"/>
      <c r="AX5" s="464"/>
      <c r="AY5" s="464"/>
      <c r="AZ5" s="464"/>
      <c r="BA5" s="464"/>
      <c r="BB5" s="464"/>
      <c r="BC5" s="464"/>
      <c r="BD5" s="464"/>
      <c r="BE5" s="464"/>
      <c r="BF5" s="467"/>
      <c r="BG5" s="467"/>
      <c r="BH5" s="466"/>
      <c r="BI5" s="465"/>
      <c r="BJ5" s="468">
        <f t="shared" ref="BJ5:BJ32" si="2">SUM(F5:BI5)</f>
        <v>29509</v>
      </c>
      <c r="BK5" s="469">
        <f t="shared" ref="BK5:BK32" si="3">COUNT(F5:BI5)</f>
        <v>3</v>
      </c>
      <c r="BL5" s="453"/>
    </row>
    <row r="6" spans="1:64" ht="21" x14ac:dyDescent="0.35">
      <c r="A6" s="9"/>
      <c r="B6" s="461"/>
      <c r="C6" s="462">
        <f>VLOOKUP(D6,Products!B:D,2,FALSE)</f>
        <v>41813001</v>
      </c>
      <c r="D6" s="463" t="s">
        <v>729</v>
      </c>
      <c r="E6" s="463">
        <v>40</v>
      </c>
      <c r="F6" s="470"/>
      <c r="G6" s="471"/>
      <c r="H6" s="470"/>
      <c r="I6" s="471">
        <v>9070</v>
      </c>
      <c r="J6" s="470">
        <v>7422</v>
      </c>
      <c r="K6" s="471"/>
      <c r="L6" s="470"/>
      <c r="M6" s="471"/>
      <c r="N6" s="470"/>
      <c r="O6" s="471"/>
      <c r="P6" s="467"/>
      <c r="Q6" s="472"/>
      <c r="R6" s="467"/>
      <c r="S6" s="472"/>
      <c r="T6" s="470"/>
      <c r="U6" s="471"/>
      <c r="V6" s="470"/>
      <c r="W6" s="471"/>
      <c r="X6" s="470"/>
      <c r="Y6" s="471"/>
      <c r="Z6" s="470"/>
      <c r="AA6" s="471"/>
      <c r="AB6" s="470"/>
      <c r="AC6" s="471"/>
      <c r="AD6" s="467"/>
      <c r="AE6" s="472"/>
      <c r="AF6" s="470"/>
      <c r="AG6" s="471"/>
      <c r="AH6" s="470"/>
      <c r="AI6" s="471"/>
      <c r="AJ6" s="470"/>
      <c r="AK6" s="471"/>
      <c r="AL6" s="470"/>
      <c r="AM6" s="471"/>
      <c r="AN6" s="470"/>
      <c r="AO6" s="471"/>
      <c r="AP6" s="470"/>
      <c r="AQ6" s="471"/>
      <c r="AR6" s="467"/>
      <c r="AS6" s="472"/>
      <c r="AT6" s="470"/>
      <c r="AU6" s="471"/>
      <c r="AV6" s="470"/>
      <c r="AW6" s="471"/>
      <c r="AX6" s="470"/>
      <c r="AY6" s="471"/>
      <c r="AZ6" s="470"/>
      <c r="BA6" s="471"/>
      <c r="BB6" s="470"/>
      <c r="BC6" s="471"/>
      <c r="BD6" s="470"/>
      <c r="BE6" s="471"/>
      <c r="BF6" s="467"/>
      <c r="BG6" s="472"/>
      <c r="BH6" s="470"/>
      <c r="BI6" s="471"/>
      <c r="BJ6" s="468">
        <f t="shared" si="2"/>
        <v>16492</v>
      </c>
      <c r="BK6" s="469">
        <f t="shared" si="3"/>
        <v>2</v>
      </c>
      <c r="BL6" s="453"/>
    </row>
    <row r="7" spans="1:64" ht="21" x14ac:dyDescent="0.35">
      <c r="A7" s="9"/>
      <c r="B7" s="461"/>
      <c r="C7" s="463">
        <f>VLOOKUP(D7,Products!B:D,2,FALSE)</f>
        <v>41814002</v>
      </c>
      <c r="D7" s="463" t="s">
        <v>732</v>
      </c>
      <c r="E7" s="463">
        <v>40</v>
      </c>
      <c r="F7" s="470"/>
      <c r="G7" s="471"/>
      <c r="H7" s="470"/>
      <c r="I7" s="471"/>
      <c r="J7" s="470">
        <v>4128</v>
      </c>
      <c r="K7" s="471"/>
      <c r="L7" s="470"/>
      <c r="M7" s="471"/>
      <c r="N7" s="470"/>
      <c r="O7" s="471"/>
      <c r="P7" s="472"/>
      <c r="Q7" s="472"/>
      <c r="R7" s="472"/>
      <c r="S7" s="472"/>
      <c r="T7" s="470"/>
      <c r="U7" s="471"/>
      <c r="V7" s="470"/>
      <c r="W7" s="471"/>
      <c r="X7" s="470"/>
      <c r="Y7" s="471"/>
      <c r="Z7" s="470"/>
      <c r="AA7" s="471"/>
      <c r="AB7" s="470"/>
      <c r="AC7" s="471"/>
      <c r="AD7" s="472"/>
      <c r="AE7" s="472"/>
      <c r="AF7" s="470"/>
      <c r="AG7" s="471"/>
      <c r="AH7" s="470"/>
      <c r="AI7" s="471"/>
      <c r="AJ7" s="470"/>
      <c r="AK7" s="471"/>
      <c r="AL7" s="470"/>
      <c r="AM7" s="471"/>
      <c r="AN7" s="470"/>
      <c r="AO7" s="471"/>
      <c r="AP7" s="470"/>
      <c r="AQ7" s="471"/>
      <c r="AR7" s="472"/>
      <c r="AS7" s="472"/>
      <c r="AT7" s="470"/>
      <c r="AU7" s="471"/>
      <c r="AV7" s="470"/>
      <c r="AW7" s="471"/>
      <c r="AX7" s="470"/>
      <c r="AY7" s="471"/>
      <c r="AZ7" s="470"/>
      <c r="BA7" s="471"/>
      <c r="BB7" s="470"/>
      <c r="BC7" s="471"/>
      <c r="BD7" s="470"/>
      <c r="BE7" s="471"/>
      <c r="BF7" s="472"/>
      <c r="BG7" s="472"/>
      <c r="BH7" s="470"/>
      <c r="BI7" s="471"/>
      <c r="BJ7" s="468">
        <f t="shared" si="2"/>
        <v>4128</v>
      </c>
      <c r="BK7" s="469">
        <f t="shared" si="3"/>
        <v>1</v>
      </c>
      <c r="BL7" s="453"/>
    </row>
    <row r="8" spans="1:64" ht="21" x14ac:dyDescent="0.35">
      <c r="A8" s="9"/>
      <c r="B8" s="461"/>
      <c r="C8" s="463">
        <f>VLOOKUP(D8,Products!B:D,2,FALSE)</f>
        <v>41814001</v>
      </c>
      <c r="D8" s="463" t="s">
        <v>413</v>
      </c>
      <c r="E8" s="463">
        <v>40</v>
      </c>
      <c r="F8" s="470"/>
      <c r="G8" s="471"/>
      <c r="H8" s="470"/>
      <c r="I8" s="471"/>
      <c r="J8" s="470"/>
      <c r="K8" s="471">
        <v>6575</v>
      </c>
      <c r="L8" s="470"/>
      <c r="M8" s="471"/>
      <c r="N8" s="470"/>
      <c r="O8" s="471"/>
      <c r="P8" s="467"/>
      <c r="Q8" s="472"/>
      <c r="R8" s="467"/>
      <c r="S8" s="472"/>
      <c r="T8" s="470"/>
      <c r="U8" s="471"/>
      <c r="V8" s="470"/>
      <c r="W8" s="471"/>
      <c r="X8" s="470"/>
      <c r="Y8" s="471"/>
      <c r="Z8" s="470"/>
      <c r="AA8" s="471"/>
      <c r="AB8" s="470"/>
      <c r="AC8" s="471"/>
      <c r="AD8" s="467"/>
      <c r="AE8" s="472"/>
      <c r="AF8" s="470"/>
      <c r="AG8" s="471"/>
      <c r="AH8" s="470"/>
      <c r="AI8" s="471"/>
      <c r="AJ8" s="470"/>
      <c r="AK8" s="471"/>
      <c r="AL8" s="470"/>
      <c r="AM8" s="471"/>
      <c r="AN8" s="470"/>
      <c r="AO8" s="471"/>
      <c r="AP8" s="470"/>
      <c r="AQ8" s="471"/>
      <c r="AR8" s="467"/>
      <c r="AS8" s="472"/>
      <c r="AT8" s="470"/>
      <c r="AU8" s="471"/>
      <c r="AV8" s="470"/>
      <c r="AW8" s="471"/>
      <c r="AX8" s="470"/>
      <c r="AY8" s="471"/>
      <c r="AZ8" s="470"/>
      <c r="BA8" s="471"/>
      <c r="BB8" s="470"/>
      <c r="BC8" s="471"/>
      <c r="BD8" s="470"/>
      <c r="BE8" s="471"/>
      <c r="BF8" s="467"/>
      <c r="BG8" s="472"/>
      <c r="BH8" s="470"/>
      <c r="BI8" s="471"/>
      <c r="BJ8" s="468">
        <f t="shared" si="2"/>
        <v>6575</v>
      </c>
      <c r="BK8" s="469">
        <f t="shared" si="3"/>
        <v>1</v>
      </c>
      <c r="BL8" s="453"/>
    </row>
    <row r="9" spans="1:64" ht="21" x14ac:dyDescent="0.35">
      <c r="A9" s="9"/>
      <c r="B9" s="461"/>
      <c r="C9" s="463" t="e">
        <f>VLOOKUP(D9,Products!B:D,2,FALSE)</f>
        <v>#N/A</v>
      </c>
      <c r="D9" s="463" t="s">
        <v>1042</v>
      </c>
      <c r="E9" s="463">
        <v>40</v>
      </c>
      <c r="F9" s="470"/>
      <c r="G9" s="471"/>
      <c r="H9" s="470"/>
      <c r="I9" s="471"/>
      <c r="J9" s="470"/>
      <c r="K9" s="471"/>
      <c r="L9" s="470"/>
      <c r="M9" s="471"/>
      <c r="N9" s="470">
        <v>2127</v>
      </c>
      <c r="O9" s="471"/>
      <c r="P9" s="467"/>
      <c r="Q9" s="472"/>
      <c r="R9" s="467"/>
      <c r="S9" s="472"/>
      <c r="T9" s="470">
        <v>870</v>
      </c>
      <c r="U9" s="471"/>
      <c r="V9" s="470"/>
      <c r="W9" s="471"/>
      <c r="X9" s="470"/>
      <c r="Y9" s="471"/>
      <c r="Z9" s="470"/>
      <c r="AA9" s="471"/>
      <c r="AB9" s="470"/>
      <c r="AC9" s="471"/>
      <c r="AD9" s="467"/>
      <c r="AE9" s="472"/>
      <c r="AF9" s="470"/>
      <c r="AG9" s="471"/>
      <c r="AH9" s="470"/>
      <c r="AI9" s="471"/>
      <c r="AJ9" s="470"/>
      <c r="AK9" s="471"/>
      <c r="AL9" s="470"/>
      <c r="AM9" s="471"/>
      <c r="AN9" s="470"/>
      <c r="AO9" s="471"/>
      <c r="AP9" s="470"/>
      <c r="AQ9" s="471"/>
      <c r="AR9" s="467"/>
      <c r="AS9" s="472"/>
      <c r="AT9" s="470"/>
      <c r="AU9" s="471"/>
      <c r="AV9" s="470"/>
      <c r="AW9" s="471"/>
      <c r="AX9" s="470"/>
      <c r="AY9" s="471"/>
      <c r="AZ9" s="470"/>
      <c r="BA9" s="471"/>
      <c r="BB9" s="470"/>
      <c r="BC9" s="471"/>
      <c r="BD9" s="470"/>
      <c r="BE9" s="471"/>
      <c r="BF9" s="467"/>
      <c r="BG9" s="472"/>
      <c r="BH9" s="470"/>
      <c r="BI9" s="471"/>
      <c r="BJ9" s="468">
        <f t="shared" si="2"/>
        <v>2997</v>
      </c>
      <c r="BK9" s="469">
        <f t="shared" si="3"/>
        <v>2</v>
      </c>
      <c r="BL9" s="453"/>
    </row>
    <row r="10" spans="1:64" ht="21" x14ac:dyDescent="0.35">
      <c r="A10" s="9"/>
      <c r="B10" s="461"/>
      <c r="C10" s="463">
        <f>VLOOKUP(D10,Products!B:D,2,FALSE)</f>
        <v>41813004</v>
      </c>
      <c r="D10" s="463" t="s">
        <v>730</v>
      </c>
      <c r="E10" s="463">
        <v>40</v>
      </c>
      <c r="F10" s="470"/>
      <c r="G10" s="471"/>
      <c r="H10" s="470"/>
      <c r="I10" s="471"/>
      <c r="J10" s="470"/>
      <c r="K10" s="471"/>
      <c r="L10" s="470"/>
      <c r="M10" s="471"/>
      <c r="N10" s="470"/>
      <c r="O10" s="471"/>
      <c r="P10" s="467"/>
      <c r="Q10" s="472"/>
      <c r="R10" s="467"/>
      <c r="S10" s="472"/>
      <c r="T10" s="470"/>
      <c r="U10" s="471"/>
      <c r="V10" s="470">
        <v>4933</v>
      </c>
      <c r="W10" s="471"/>
      <c r="X10" s="470"/>
      <c r="Y10" s="471"/>
      <c r="Z10" s="470"/>
      <c r="AA10" s="471"/>
      <c r="AB10" s="470"/>
      <c r="AC10" s="471"/>
      <c r="AD10" s="467"/>
      <c r="AE10" s="472"/>
      <c r="AF10" s="470"/>
      <c r="AG10" s="471"/>
      <c r="AH10" s="470"/>
      <c r="AI10" s="471"/>
      <c r="AJ10" s="470"/>
      <c r="AK10" s="471"/>
      <c r="AL10" s="470"/>
      <c r="AM10" s="471"/>
      <c r="AN10" s="470"/>
      <c r="AO10" s="471"/>
      <c r="AP10" s="470"/>
      <c r="AQ10" s="471"/>
      <c r="AR10" s="467"/>
      <c r="AS10" s="472"/>
      <c r="AT10" s="470"/>
      <c r="AU10" s="471"/>
      <c r="AV10" s="470"/>
      <c r="AW10" s="471"/>
      <c r="AX10" s="470"/>
      <c r="AY10" s="471"/>
      <c r="AZ10" s="470"/>
      <c r="BA10" s="471"/>
      <c r="BB10" s="470"/>
      <c r="BC10" s="471"/>
      <c r="BD10" s="470"/>
      <c r="BE10" s="471"/>
      <c r="BF10" s="467"/>
      <c r="BG10" s="472"/>
      <c r="BH10" s="470"/>
      <c r="BI10" s="471"/>
      <c r="BJ10" s="468">
        <f t="shared" si="2"/>
        <v>4933</v>
      </c>
      <c r="BK10" s="469">
        <f t="shared" si="3"/>
        <v>1</v>
      </c>
      <c r="BL10" s="453"/>
    </row>
    <row r="11" spans="1:64" ht="21" customHeight="1" x14ac:dyDescent="0.35">
      <c r="A11" s="9"/>
      <c r="B11" s="461"/>
      <c r="C11" s="463">
        <f>VLOOKUP(D11,Products!B:D,2,FALSE)</f>
        <v>41500029</v>
      </c>
      <c r="D11" s="462" t="s">
        <v>15</v>
      </c>
      <c r="E11" s="463">
        <v>35</v>
      </c>
      <c r="F11" s="470"/>
      <c r="G11" s="471"/>
      <c r="H11" s="470"/>
      <c r="I11" s="471"/>
      <c r="J11" s="470"/>
      <c r="K11" s="471"/>
      <c r="L11" s="470"/>
      <c r="M11" s="471"/>
      <c r="N11" s="470"/>
      <c r="O11" s="471"/>
      <c r="P11" s="467"/>
      <c r="Q11" s="472"/>
      <c r="R11" s="467"/>
      <c r="S11" s="472"/>
      <c r="T11" s="470"/>
      <c r="U11" s="471"/>
      <c r="V11" s="470"/>
      <c r="W11" s="471"/>
      <c r="X11" s="470">
        <v>3730</v>
      </c>
      <c r="Y11" s="471"/>
      <c r="Z11" s="470">
        <v>6429</v>
      </c>
      <c r="AA11" s="471"/>
      <c r="AB11" s="470"/>
      <c r="AC11" s="471"/>
      <c r="AD11" s="467"/>
      <c r="AE11" s="472"/>
      <c r="AF11" s="470"/>
      <c r="AG11" s="471"/>
      <c r="AH11" s="470"/>
      <c r="AI11" s="471"/>
      <c r="AJ11" s="470"/>
      <c r="AK11" s="471"/>
      <c r="AL11" s="470"/>
      <c r="AM11" s="471"/>
      <c r="AN11" s="470"/>
      <c r="AO11" s="471"/>
      <c r="AP11" s="470"/>
      <c r="AQ11" s="471"/>
      <c r="AR11" s="467"/>
      <c r="AS11" s="472"/>
      <c r="AT11" s="470"/>
      <c r="AU11" s="471"/>
      <c r="AV11" s="470"/>
      <c r="AW11" s="471"/>
      <c r="AX11" s="470"/>
      <c r="AY11" s="471"/>
      <c r="AZ11" s="470"/>
      <c r="BA11" s="471"/>
      <c r="BB11" s="470"/>
      <c r="BC11" s="471"/>
      <c r="BD11" s="470"/>
      <c r="BE11" s="471"/>
      <c r="BF11" s="467"/>
      <c r="BG11" s="472"/>
      <c r="BH11" s="470"/>
      <c r="BI11" s="471"/>
      <c r="BJ11" s="468">
        <f t="shared" si="2"/>
        <v>10159</v>
      </c>
      <c r="BK11" s="469">
        <f t="shared" si="3"/>
        <v>2</v>
      </c>
      <c r="BL11" s="453"/>
    </row>
    <row r="12" spans="1:64" ht="15.75" customHeight="1" x14ac:dyDescent="0.35">
      <c r="A12" s="9"/>
      <c r="B12" s="461"/>
      <c r="C12" s="461">
        <f>VLOOKUP(D12,Products!B:D,2,FALSE)</f>
        <v>41500002</v>
      </c>
      <c r="D12" s="463" t="s">
        <v>740</v>
      </c>
      <c r="E12" s="463">
        <v>35</v>
      </c>
      <c r="F12" s="470"/>
      <c r="G12" s="471"/>
      <c r="H12" s="470"/>
      <c r="I12" s="471"/>
      <c r="J12" s="470"/>
      <c r="K12" s="471"/>
      <c r="L12" s="470"/>
      <c r="M12" s="471"/>
      <c r="N12" s="470"/>
      <c r="O12" s="471"/>
      <c r="P12" s="467"/>
      <c r="Q12" s="472"/>
      <c r="R12" s="467"/>
      <c r="S12" s="472"/>
      <c r="T12" s="470"/>
      <c r="U12" s="471"/>
      <c r="V12" s="470"/>
      <c r="W12" s="471"/>
      <c r="X12" s="470"/>
      <c r="Y12" s="471"/>
      <c r="Z12" s="470">
        <f>95+881</f>
        <v>976</v>
      </c>
      <c r="AA12" s="471"/>
      <c r="AB12" s="470">
        <v>10800</v>
      </c>
      <c r="AC12" s="471"/>
      <c r="AD12" s="467"/>
      <c r="AE12" s="472"/>
      <c r="AF12" s="470"/>
      <c r="AG12" s="471"/>
      <c r="AH12" s="470"/>
      <c r="AI12" s="471"/>
      <c r="AJ12" s="470"/>
      <c r="AK12" s="471"/>
      <c r="AL12" s="470"/>
      <c r="AM12" s="471"/>
      <c r="AN12" s="470"/>
      <c r="AO12" s="471"/>
      <c r="AP12" s="470"/>
      <c r="AQ12" s="471"/>
      <c r="AR12" s="467"/>
      <c r="AS12" s="472"/>
      <c r="AT12" s="470"/>
      <c r="AU12" s="471"/>
      <c r="AV12" s="470"/>
      <c r="AW12" s="471"/>
      <c r="AX12" s="470"/>
      <c r="AY12" s="471"/>
      <c r="AZ12" s="470"/>
      <c r="BA12" s="471"/>
      <c r="BB12" s="470"/>
      <c r="BC12" s="471"/>
      <c r="BD12" s="470"/>
      <c r="BE12" s="471"/>
      <c r="BF12" s="467"/>
      <c r="BG12" s="472"/>
      <c r="BH12" s="470"/>
      <c r="BI12" s="471"/>
      <c r="BJ12" s="468">
        <f t="shared" si="2"/>
        <v>11776</v>
      </c>
      <c r="BK12" s="469">
        <f t="shared" si="3"/>
        <v>2</v>
      </c>
      <c r="BL12" s="453"/>
    </row>
    <row r="13" spans="1:64" ht="15.75" customHeight="1" x14ac:dyDescent="0.35">
      <c r="A13" s="9"/>
      <c r="B13" s="461"/>
      <c r="C13" s="461" t="e">
        <f>VLOOKUP(D13,Products!B:D,2,FALSE)</f>
        <v>#N/A</v>
      </c>
      <c r="D13" s="636" t="s">
        <v>1043</v>
      </c>
      <c r="E13" s="463">
        <v>35</v>
      </c>
      <c r="F13" s="470"/>
      <c r="G13" s="471"/>
      <c r="H13" s="470"/>
      <c r="I13" s="471"/>
      <c r="J13" s="470"/>
      <c r="K13" s="471"/>
      <c r="L13" s="470"/>
      <c r="M13" s="471"/>
      <c r="N13" s="470"/>
      <c r="O13" s="471"/>
      <c r="P13" s="467"/>
      <c r="Q13" s="472"/>
      <c r="R13" s="467"/>
      <c r="S13" s="472"/>
      <c r="T13" s="470"/>
      <c r="U13" s="471"/>
      <c r="V13" s="470"/>
      <c r="W13" s="471"/>
      <c r="X13" s="470"/>
      <c r="Y13" s="471"/>
      <c r="Z13" s="470"/>
      <c r="AA13" s="471"/>
      <c r="AB13" s="470"/>
      <c r="AC13" s="471"/>
      <c r="AD13" s="467"/>
      <c r="AE13" s="472"/>
      <c r="AF13" s="470">
        <v>3225</v>
      </c>
      <c r="AG13" s="471"/>
      <c r="AH13" s="470"/>
      <c r="AI13" s="471"/>
      <c r="AJ13" s="470"/>
      <c r="AK13" s="471"/>
      <c r="AL13" s="470"/>
      <c r="AM13" s="471"/>
      <c r="AN13" s="470"/>
      <c r="AO13" s="471"/>
      <c r="AP13" s="470"/>
      <c r="AQ13" s="471"/>
      <c r="AR13" s="467"/>
      <c r="AS13" s="472"/>
      <c r="AT13" s="470"/>
      <c r="AU13" s="471"/>
      <c r="AV13" s="470"/>
      <c r="AW13" s="471"/>
      <c r="AX13" s="470"/>
      <c r="AY13" s="471"/>
      <c r="AZ13" s="470"/>
      <c r="BA13" s="471"/>
      <c r="BB13" s="470"/>
      <c r="BC13" s="471"/>
      <c r="BD13" s="470"/>
      <c r="BE13" s="471"/>
      <c r="BF13" s="467"/>
      <c r="BG13" s="472"/>
      <c r="BH13" s="470"/>
      <c r="BI13" s="471"/>
      <c r="BJ13" s="468">
        <f t="shared" si="2"/>
        <v>3225</v>
      </c>
      <c r="BK13" s="469">
        <f t="shared" si="3"/>
        <v>1</v>
      </c>
      <c r="BL13" s="453"/>
    </row>
    <row r="14" spans="1:64" ht="21" x14ac:dyDescent="0.35">
      <c r="A14" s="9"/>
      <c r="B14" s="461"/>
      <c r="C14" s="461" t="e">
        <f>VLOOKUP(D14,Products!B:D,2,FALSE)</f>
        <v>#N/A</v>
      </c>
      <c r="D14" s="636" t="s">
        <v>1044</v>
      </c>
      <c r="E14" s="463">
        <v>35</v>
      </c>
      <c r="F14" s="470"/>
      <c r="G14" s="471"/>
      <c r="H14" s="470"/>
      <c r="I14" s="471"/>
      <c r="J14" s="470"/>
      <c r="K14" s="471"/>
      <c r="L14" s="470"/>
      <c r="M14" s="471"/>
      <c r="N14" s="470"/>
      <c r="O14" s="471"/>
      <c r="P14" s="467"/>
      <c r="Q14" s="472"/>
      <c r="R14" s="467"/>
      <c r="S14" s="472"/>
      <c r="T14" s="470"/>
      <c r="U14" s="471"/>
      <c r="V14" s="470"/>
      <c r="W14" s="471"/>
      <c r="X14" s="470"/>
      <c r="Y14" s="471"/>
      <c r="Z14" s="470"/>
      <c r="AA14" s="471"/>
      <c r="AB14" s="470"/>
      <c r="AC14" s="471"/>
      <c r="AD14" s="467"/>
      <c r="AE14" s="472"/>
      <c r="AF14" s="470">
        <v>200</v>
      </c>
      <c r="AG14" s="471"/>
      <c r="AH14" s="470">
        <v>2885</v>
      </c>
      <c r="AI14" s="471"/>
      <c r="AJ14" s="470"/>
      <c r="AK14" s="471"/>
      <c r="AL14" s="470"/>
      <c r="AM14" s="471"/>
      <c r="AN14" s="470"/>
      <c r="AO14" s="471"/>
      <c r="AP14" s="470"/>
      <c r="AQ14" s="471"/>
      <c r="AR14" s="467"/>
      <c r="AS14" s="472"/>
      <c r="AT14" s="470"/>
      <c r="AU14" s="471"/>
      <c r="AV14" s="470"/>
      <c r="AW14" s="471"/>
      <c r="AX14" s="470"/>
      <c r="AY14" s="471"/>
      <c r="AZ14" s="470"/>
      <c r="BA14" s="471"/>
      <c r="BB14" s="470"/>
      <c r="BC14" s="471"/>
      <c r="BD14" s="470"/>
      <c r="BE14" s="471"/>
      <c r="BF14" s="467"/>
      <c r="BG14" s="472"/>
      <c r="BH14" s="470"/>
      <c r="BI14" s="471"/>
      <c r="BJ14" s="468">
        <f t="shared" si="2"/>
        <v>3085</v>
      </c>
      <c r="BK14" s="469">
        <f t="shared" si="3"/>
        <v>2</v>
      </c>
      <c r="BL14" s="453"/>
    </row>
    <row r="15" spans="1:64" ht="21" x14ac:dyDescent="0.35">
      <c r="A15" s="9"/>
      <c r="B15" s="461"/>
      <c r="C15" s="461" t="e">
        <f>VLOOKUP(D15,Products!B:D,2,FALSE)</f>
        <v>#N/A</v>
      </c>
      <c r="D15" s="473"/>
      <c r="E15" s="463">
        <v>1</v>
      </c>
      <c r="F15" s="470"/>
      <c r="G15" s="471"/>
      <c r="H15" s="470"/>
      <c r="I15" s="471"/>
      <c r="J15" s="470"/>
      <c r="K15" s="471"/>
      <c r="L15" s="470"/>
      <c r="M15" s="471"/>
      <c r="N15" s="470"/>
      <c r="O15" s="471"/>
      <c r="P15" s="467"/>
      <c r="Q15" s="472"/>
      <c r="R15" s="467"/>
      <c r="S15" s="472"/>
      <c r="T15" s="470"/>
      <c r="U15" s="471"/>
      <c r="V15" s="470"/>
      <c r="W15" s="471"/>
      <c r="X15" s="470"/>
      <c r="Y15" s="471"/>
      <c r="Z15" s="470"/>
      <c r="AA15" s="471"/>
      <c r="AB15" s="470"/>
      <c r="AC15" s="471"/>
      <c r="AD15" s="467"/>
      <c r="AE15" s="472"/>
      <c r="AF15" s="470"/>
      <c r="AG15" s="471"/>
      <c r="AH15" s="470"/>
      <c r="AI15" s="471"/>
      <c r="AJ15" s="470"/>
      <c r="AK15" s="471"/>
      <c r="AL15" s="470"/>
      <c r="AM15" s="471"/>
      <c r="AN15" s="470"/>
      <c r="AO15" s="471"/>
      <c r="AP15" s="470"/>
      <c r="AQ15" s="471"/>
      <c r="AR15" s="467"/>
      <c r="AS15" s="472"/>
      <c r="AT15" s="470"/>
      <c r="AU15" s="471"/>
      <c r="AV15" s="470"/>
      <c r="AW15" s="471"/>
      <c r="AX15" s="470"/>
      <c r="AY15" s="471"/>
      <c r="AZ15" s="470"/>
      <c r="BA15" s="471"/>
      <c r="BB15" s="470"/>
      <c r="BC15" s="471"/>
      <c r="BD15" s="470"/>
      <c r="BE15" s="471"/>
      <c r="BF15" s="467"/>
      <c r="BG15" s="472"/>
      <c r="BH15" s="470"/>
      <c r="BI15" s="471"/>
      <c r="BJ15" s="468">
        <f t="shared" si="2"/>
        <v>0</v>
      </c>
      <c r="BK15" s="469">
        <f t="shared" si="3"/>
        <v>0</v>
      </c>
      <c r="BL15" s="453"/>
    </row>
    <row r="16" spans="1:64" ht="21" x14ac:dyDescent="0.35">
      <c r="A16" s="9"/>
      <c r="B16" s="461"/>
      <c r="C16" s="461" t="e">
        <f>VLOOKUP(D16,Products!B:D,2,FALSE)</f>
        <v>#N/A</v>
      </c>
      <c r="D16" s="473"/>
      <c r="E16" s="463">
        <v>1</v>
      </c>
      <c r="F16" s="470"/>
      <c r="G16" s="471"/>
      <c r="H16" s="470"/>
      <c r="I16" s="471"/>
      <c r="J16" s="470"/>
      <c r="K16" s="471"/>
      <c r="L16" s="470"/>
      <c r="M16" s="471"/>
      <c r="N16" s="470"/>
      <c r="O16" s="471"/>
      <c r="P16" s="467"/>
      <c r="Q16" s="472"/>
      <c r="R16" s="467"/>
      <c r="S16" s="472"/>
      <c r="T16" s="470"/>
      <c r="U16" s="471"/>
      <c r="V16" s="470"/>
      <c r="W16" s="471"/>
      <c r="X16" s="470"/>
      <c r="Y16" s="471"/>
      <c r="Z16" s="470"/>
      <c r="AA16" s="471"/>
      <c r="AB16" s="470"/>
      <c r="AC16" s="471"/>
      <c r="AD16" s="467"/>
      <c r="AE16" s="472"/>
      <c r="AF16" s="470"/>
      <c r="AG16" s="471"/>
      <c r="AH16" s="470"/>
      <c r="AI16" s="471"/>
      <c r="AJ16" s="470"/>
      <c r="AK16" s="471"/>
      <c r="AL16" s="470"/>
      <c r="AM16" s="471"/>
      <c r="AN16" s="470"/>
      <c r="AO16" s="471"/>
      <c r="AP16" s="470"/>
      <c r="AQ16" s="471"/>
      <c r="AR16" s="467"/>
      <c r="AS16" s="472"/>
      <c r="AT16" s="470"/>
      <c r="AU16" s="471"/>
      <c r="AV16" s="470"/>
      <c r="AW16" s="471"/>
      <c r="AX16" s="470"/>
      <c r="AY16" s="471"/>
      <c r="AZ16" s="470"/>
      <c r="BA16" s="471"/>
      <c r="BB16" s="470"/>
      <c r="BC16" s="471"/>
      <c r="BD16" s="470"/>
      <c r="BE16" s="471"/>
      <c r="BF16" s="467"/>
      <c r="BG16" s="472"/>
      <c r="BH16" s="470"/>
      <c r="BI16" s="471"/>
      <c r="BJ16" s="468">
        <f t="shared" si="2"/>
        <v>0</v>
      </c>
      <c r="BK16" s="469">
        <f t="shared" si="3"/>
        <v>0</v>
      </c>
      <c r="BL16" s="453"/>
    </row>
    <row r="17" spans="1:64" ht="21" x14ac:dyDescent="0.35">
      <c r="A17" s="9"/>
      <c r="B17" s="461"/>
      <c r="C17" s="461" t="e">
        <f>VLOOKUP(D17,Products!B:D,2,FALSE)</f>
        <v>#N/A</v>
      </c>
      <c r="D17" s="473"/>
      <c r="E17" s="463">
        <v>1</v>
      </c>
      <c r="F17" s="470"/>
      <c r="G17" s="471"/>
      <c r="H17" s="470"/>
      <c r="I17" s="471"/>
      <c r="J17" s="470"/>
      <c r="K17" s="471"/>
      <c r="L17" s="470"/>
      <c r="M17" s="471"/>
      <c r="N17" s="470"/>
      <c r="O17" s="471"/>
      <c r="P17" s="467"/>
      <c r="Q17" s="472"/>
      <c r="R17" s="467"/>
      <c r="S17" s="472"/>
      <c r="T17" s="470"/>
      <c r="U17" s="471"/>
      <c r="V17" s="470"/>
      <c r="W17" s="471"/>
      <c r="X17" s="470"/>
      <c r="Y17" s="471"/>
      <c r="Z17" s="470"/>
      <c r="AA17" s="471"/>
      <c r="AB17" s="470"/>
      <c r="AC17" s="471"/>
      <c r="AD17" s="467"/>
      <c r="AE17" s="472"/>
      <c r="AF17" s="470"/>
      <c r="AG17" s="471"/>
      <c r="AH17" s="470"/>
      <c r="AI17" s="471"/>
      <c r="AJ17" s="470"/>
      <c r="AK17" s="471"/>
      <c r="AL17" s="470"/>
      <c r="AM17" s="471"/>
      <c r="AN17" s="470"/>
      <c r="AO17" s="471"/>
      <c r="AP17" s="470"/>
      <c r="AQ17" s="471"/>
      <c r="AR17" s="467"/>
      <c r="AS17" s="472"/>
      <c r="AT17" s="470"/>
      <c r="AU17" s="471"/>
      <c r="AV17" s="470"/>
      <c r="AW17" s="471"/>
      <c r="AX17" s="470"/>
      <c r="AY17" s="471"/>
      <c r="AZ17" s="470"/>
      <c r="BA17" s="471"/>
      <c r="BB17" s="470"/>
      <c r="BC17" s="471"/>
      <c r="BD17" s="631"/>
      <c r="BE17" s="471"/>
      <c r="BF17" s="467"/>
      <c r="BG17" s="472"/>
      <c r="BH17" s="470"/>
      <c r="BI17" s="471"/>
      <c r="BJ17" s="468">
        <f t="shared" si="2"/>
        <v>0</v>
      </c>
      <c r="BK17" s="469">
        <f t="shared" si="3"/>
        <v>0</v>
      </c>
      <c r="BL17" s="453"/>
    </row>
    <row r="18" spans="1:64" ht="30" customHeight="1" x14ac:dyDescent="0.35">
      <c r="A18" s="9"/>
      <c r="B18" s="461"/>
      <c r="C18" s="461"/>
      <c r="D18" s="731" t="s">
        <v>18</v>
      </c>
      <c r="E18" s="732"/>
      <c r="F18" s="474">
        <f>SUM(F19:F27)</f>
        <v>0</v>
      </c>
      <c r="G18" s="475">
        <f t="shared" ref="G18:BI18" si="4">SUM(G19:G27)</f>
        <v>43</v>
      </c>
      <c r="H18" s="474">
        <f t="shared" si="4"/>
        <v>0</v>
      </c>
      <c r="I18" s="475">
        <f t="shared" si="4"/>
        <v>0</v>
      </c>
      <c r="J18" s="474">
        <f t="shared" si="4"/>
        <v>21</v>
      </c>
      <c r="K18" s="475">
        <f t="shared" si="4"/>
        <v>0</v>
      </c>
      <c r="L18" s="474">
        <f t="shared" si="4"/>
        <v>0</v>
      </c>
      <c r="M18" s="475">
        <f t="shared" si="4"/>
        <v>0</v>
      </c>
      <c r="N18" s="474">
        <f t="shared" si="4"/>
        <v>59</v>
      </c>
      <c r="O18" s="475">
        <f t="shared" si="4"/>
        <v>0</v>
      </c>
      <c r="P18" s="474">
        <f t="shared" si="4"/>
        <v>0</v>
      </c>
      <c r="Q18" s="476">
        <f t="shared" si="4"/>
        <v>0</v>
      </c>
      <c r="R18" s="474">
        <f>SUM(R19:R27)</f>
        <v>0</v>
      </c>
      <c r="S18" s="476">
        <f>SUM(S19:S27)</f>
        <v>0</v>
      </c>
      <c r="T18" s="474">
        <f t="shared" si="4"/>
        <v>24</v>
      </c>
      <c r="U18" s="475">
        <f t="shared" si="4"/>
        <v>0</v>
      </c>
      <c r="V18" s="474">
        <f t="shared" si="4"/>
        <v>9</v>
      </c>
      <c r="W18" s="475">
        <f t="shared" si="4"/>
        <v>0</v>
      </c>
      <c r="X18" s="474">
        <f t="shared" si="4"/>
        <v>24</v>
      </c>
      <c r="Y18" s="475">
        <f t="shared" si="4"/>
        <v>0</v>
      </c>
      <c r="Z18" s="474">
        <f t="shared" si="4"/>
        <v>37</v>
      </c>
      <c r="AA18" s="475">
        <f t="shared" si="4"/>
        <v>0</v>
      </c>
      <c r="AB18" s="474">
        <f t="shared" si="4"/>
        <v>32</v>
      </c>
      <c r="AC18" s="475">
        <f t="shared" si="4"/>
        <v>0</v>
      </c>
      <c r="AD18" s="474">
        <f t="shared" si="4"/>
        <v>0</v>
      </c>
      <c r="AE18" s="476">
        <f t="shared" si="4"/>
        <v>0</v>
      </c>
      <c r="AF18" s="474">
        <f t="shared" si="4"/>
        <v>0</v>
      </c>
      <c r="AG18" s="475">
        <f t="shared" si="4"/>
        <v>0</v>
      </c>
      <c r="AH18" s="474">
        <f t="shared" si="4"/>
        <v>0</v>
      </c>
      <c r="AI18" s="475">
        <f t="shared" si="4"/>
        <v>0</v>
      </c>
      <c r="AJ18" s="474">
        <f t="shared" si="4"/>
        <v>0</v>
      </c>
      <c r="AK18" s="475">
        <f t="shared" si="4"/>
        <v>0</v>
      </c>
      <c r="AL18" s="474">
        <f t="shared" si="4"/>
        <v>0</v>
      </c>
      <c r="AM18" s="475">
        <f t="shared" si="4"/>
        <v>0</v>
      </c>
      <c r="AN18" s="474">
        <f t="shared" si="4"/>
        <v>0</v>
      </c>
      <c r="AO18" s="475">
        <f t="shared" si="4"/>
        <v>0</v>
      </c>
      <c r="AP18" s="474">
        <f t="shared" si="4"/>
        <v>0</v>
      </c>
      <c r="AQ18" s="475">
        <f t="shared" si="4"/>
        <v>0</v>
      </c>
      <c r="AR18" s="474">
        <f t="shared" si="4"/>
        <v>0</v>
      </c>
      <c r="AS18" s="476">
        <f t="shared" si="4"/>
        <v>0</v>
      </c>
      <c r="AT18" s="474">
        <f t="shared" si="4"/>
        <v>0</v>
      </c>
      <c r="AU18" s="475">
        <f t="shared" si="4"/>
        <v>0</v>
      </c>
      <c r="AV18" s="474">
        <f t="shared" si="4"/>
        <v>0</v>
      </c>
      <c r="AW18" s="475">
        <f t="shared" si="4"/>
        <v>0</v>
      </c>
      <c r="AX18" s="474">
        <f t="shared" si="4"/>
        <v>0</v>
      </c>
      <c r="AY18" s="475">
        <f t="shared" si="4"/>
        <v>0</v>
      </c>
      <c r="AZ18" s="474"/>
      <c r="BA18" s="475">
        <f t="shared" si="4"/>
        <v>0</v>
      </c>
      <c r="BB18" s="474">
        <f t="shared" si="4"/>
        <v>0</v>
      </c>
      <c r="BC18" s="475">
        <f t="shared" si="4"/>
        <v>0</v>
      </c>
      <c r="BD18" s="474">
        <f t="shared" si="4"/>
        <v>0</v>
      </c>
      <c r="BE18" s="475">
        <f t="shared" si="4"/>
        <v>0</v>
      </c>
      <c r="BF18" s="474">
        <f t="shared" si="4"/>
        <v>0</v>
      </c>
      <c r="BG18" s="476">
        <f t="shared" si="4"/>
        <v>0</v>
      </c>
      <c r="BH18" s="474">
        <f t="shared" si="4"/>
        <v>0</v>
      </c>
      <c r="BI18" s="475">
        <f t="shared" si="4"/>
        <v>0</v>
      </c>
      <c r="BJ18" s="468">
        <f t="shared" si="2"/>
        <v>249</v>
      </c>
      <c r="BK18" s="469">
        <f t="shared" si="3"/>
        <v>55</v>
      </c>
      <c r="BL18" s="453"/>
    </row>
    <row r="19" spans="1:64" ht="21" x14ac:dyDescent="0.35">
      <c r="A19" s="18"/>
      <c r="B19" s="477"/>
      <c r="C19" s="477"/>
      <c r="D19" s="733" t="s">
        <v>19</v>
      </c>
      <c r="E19" s="734"/>
      <c r="F19" s="470"/>
      <c r="G19" s="471"/>
      <c r="H19" s="471"/>
      <c r="I19" s="471"/>
      <c r="J19" s="471"/>
      <c r="K19" s="471"/>
      <c r="L19" s="471"/>
      <c r="M19" s="471"/>
      <c r="N19" s="471"/>
      <c r="O19" s="471"/>
      <c r="P19" s="467"/>
      <c r="Q19" s="472"/>
      <c r="R19" s="467"/>
      <c r="S19" s="472"/>
      <c r="T19" s="470"/>
      <c r="U19" s="471"/>
      <c r="V19" s="470"/>
      <c r="W19" s="471"/>
      <c r="X19" s="470"/>
      <c r="Y19" s="471"/>
      <c r="Z19" s="470"/>
      <c r="AA19" s="471"/>
      <c r="AB19" s="470"/>
      <c r="AC19" s="471"/>
      <c r="AD19" s="467"/>
      <c r="AE19" s="472"/>
      <c r="AF19" s="470"/>
      <c r="AG19" s="471"/>
      <c r="AH19" s="470"/>
      <c r="AI19" s="471"/>
      <c r="AJ19" s="470"/>
      <c r="AK19" s="471"/>
      <c r="AL19" s="470"/>
      <c r="AM19" s="471"/>
      <c r="AN19" s="470"/>
      <c r="AO19" s="471"/>
      <c r="AP19" s="470"/>
      <c r="AQ19" s="471"/>
      <c r="AR19" s="467"/>
      <c r="AS19" s="472"/>
      <c r="AT19" s="470"/>
      <c r="AU19" s="471"/>
      <c r="AV19" s="470"/>
      <c r="AW19" s="471"/>
      <c r="AX19" s="470"/>
      <c r="AY19" s="471"/>
      <c r="AZ19" s="470"/>
      <c r="BA19" s="471"/>
      <c r="BB19" s="470"/>
      <c r="BC19" s="471"/>
      <c r="BD19" s="470"/>
      <c r="BE19" s="471"/>
      <c r="BF19" s="467"/>
      <c r="BG19" s="472"/>
      <c r="BH19" s="470"/>
      <c r="BI19" s="471"/>
      <c r="BJ19" s="468">
        <f t="shared" si="2"/>
        <v>0</v>
      </c>
      <c r="BK19" s="469">
        <f t="shared" si="3"/>
        <v>0</v>
      </c>
      <c r="BL19" s="453"/>
    </row>
    <row r="20" spans="1:64" ht="21" x14ac:dyDescent="0.35">
      <c r="A20" s="18"/>
      <c r="B20" s="477"/>
      <c r="C20" s="477"/>
      <c r="D20" s="735" t="s">
        <v>20</v>
      </c>
      <c r="E20" s="735"/>
      <c r="F20" s="14"/>
      <c r="G20" s="471">
        <v>38</v>
      </c>
      <c r="H20" s="471"/>
      <c r="I20" s="471"/>
      <c r="J20" s="471">
        <v>3</v>
      </c>
      <c r="K20" s="471"/>
      <c r="L20" s="471"/>
      <c r="M20" s="471"/>
      <c r="N20" s="471"/>
      <c r="O20" s="471"/>
      <c r="P20" s="467"/>
      <c r="Q20" s="472"/>
      <c r="R20" s="467"/>
      <c r="S20" s="472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467"/>
      <c r="AE20" s="472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467"/>
      <c r="AS20" s="472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467"/>
      <c r="BG20" s="472"/>
      <c r="BH20" s="470"/>
      <c r="BI20" s="471"/>
      <c r="BJ20" s="468">
        <f t="shared" si="2"/>
        <v>41</v>
      </c>
      <c r="BK20" s="469">
        <f t="shared" si="3"/>
        <v>2</v>
      </c>
      <c r="BL20" s="453"/>
    </row>
    <row r="21" spans="1:64" ht="21" x14ac:dyDescent="0.35">
      <c r="A21" s="18"/>
      <c r="B21" s="477"/>
      <c r="C21" s="477"/>
      <c r="D21" s="735" t="s">
        <v>21</v>
      </c>
      <c r="E21" s="735"/>
      <c r="F21" s="14"/>
      <c r="G21" s="471"/>
      <c r="H21" s="471"/>
      <c r="I21" s="471"/>
      <c r="J21" s="471"/>
      <c r="K21" s="471"/>
      <c r="L21" s="471"/>
      <c r="M21" s="471"/>
      <c r="N21" s="471"/>
      <c r="O21" s="471"/>
      <c r="P21" s="467"/>
      <c r="Q21" s="472"/>
      <c r="R21" s="467"/>
      <c r="S21" s="472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467"/>
      <c r="AE21" s="472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467"/>
      <c r="AS21" s="472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467"/>
      <c r="BG21" s="472"/>
      <c r="BH21" s="470"/>
      <c r="BI21" s="471"/>
      <c r="BJ21" s="468">
        <f t="shared" si="2"/>
        <v>0</v>
      </c>
      <c r="BK21" s="469">
        <f t="shared" si="3"/>
        <v>0</v>
      </c>
      <c r="BL21" s="453"/>
    </row>
    <row r="22" spans="1:64" ht="21" x14ac:dyDescent="0.35">
      <c r="A22" s="18"/>
      <c r="B22" s="477"/>
      <c r="C22" s="477"/>
      <c r="D22" s="727"/>
      <c r="E22" s="728"/>
      <c r="F22" s="470"/>
      <c r="G22" s="471"/>
      <c r="H22" s="471"/>
      <c r="I22" s="471"/>
      <c r="J22" s="471"/>
      <c r="K22" s="471"/>
      <c r="L22" s="471"/>
      <c r="M22" s="471"/>
      <c r="N22" s="471"/>
      <c r="O22" s="471"/>
      <c r="P22" s="467"/>
      <c r="Q22" s="472"/>
      <c r="R22" s="467"/>
      <c r="S22" s="472"/>
      <c r="T22" s="470"/>
      <c r="U22" s="471"/>
      <c r="V22" s="470"/>
      <c r="W22" s="471"/>
      <c r="X22" s="470"/>
      <c r="Y22" s="471"/>
      <c r="Z22" s="470"/>
      <c r="AA22" s="471"/>
      <c r="AB22" s="470"/>
      <c r="AC22" s="471"/>
      <c r="AD22" s="467"/>
      <c r="AE22" s="472"/>
      <c r="AF22" s="470"/>
      <c r="AG22" s="471"/>
      <c r="AH22" s="470"/>
      <c r="AI22" s="471"/>
      <c r="AJ22" s="470"/>
      <c r="AK22" s="471"/>
      <c r="AL22" s="470"/>
      <c r="AM22" s="471"/>
      <c r="AN22" s="470"/>
      <c r="AO22" s="471"/>
      <c r="AP22" s="470"/>
      <c r="AQ22" s="471"/>
      <c r="AR22" s="467"/>
      <c r="AS22" s="472"/>
      <c r="AT22" s="470"/>
      <c r="AU22" s="471"/>
      <c r="AV22" s="470"/>
      <c r="AW22" s="471"/>
      <c r="AX22" s="470"/>
      <c r="AY22" s="471"/>
      <c r="AZ22" s="470"/>
      <c r="BA22" s="471"/>
      <c r="BB22" s="470"/>
      <c r="BC22" s="471"/>
      <c r="BD22" s="470"/>
      <c r="BE22" s="471"/>
      <c r="BF22" s="467"/>
      <c r="BG22" s="472"/>
      <c r="BH22" s="470"/>
      <c r="BI22" s="471"/>
      <c r="BJ22" s="468">
        <f t="shared" si="2"/>
        <v>0</v>
      </c>
      <c r="BK22" s="469">
        <f t="shared" si="3"/>
        <v>0</v>
      </c>
      <c r="BL22" s="453"/>
    </row>
    <row r="23" spans="1:64" ht="21" x14ac:dyDescent="0.35">
      <c r="A23" s="18"/>
      <c r="B23" s="477"/>
      <c r="C23" s="477"/>
      <c r="D23" s="733" t="s">
        <v>22</v>
      </c>
      <c r="E23" s="734"/>
      <c r="F23" s="470"/>
      <c r="G23" s="471"/>
      <c r="H23" s="471"/>
      <c r="I23" s="471"/>
      <c r="J23" s="471"/>
      <c r="K23" s="471"/>
      <c r="L23" s="471"/>
      <c r="M23" s="471"/>
      <c r="N23" s="471"/>
      <c r="O23" s="471"/>
      <c r="P23" s="467"/>
      <c r="Q23" s="472"/>
      <c r="R23" s="467"/>
      <c r="S23" s="472"/>
      <c r="T23" s="470"/>
      <c r="U23" s="471"/>
      <c r="V23" s="470"/>
      <c r="W23" s="471"/>
      <c r="X23" s="470"/>
      <c r="Y23" s="471"/>
      <c r="Z23" s="470"/>
      <c r="AA23" s="471"/>
      <c r="AB23" s="470"/>
      <c r="AC23" s="471"/>
      <c r="AD23" s="467"/>
      <c r="AE23" s="472"/>
      <c r="AF23" s="470"/>
      <c r="AG23" s="471"/>
      <c r="AH23" s="470"/>
      <c r="AI23" s="471"/>
      <c r="AJ23" s="470"/>
      <c r="AK23" s="471"/>
      <c r="AL23" s="470"/>
      <c r="AM23" s="471"/>
      <c r="AN23" s="470"/>
      <c r="AO23" s="471"/>
      <c r="AP23" s="470"/>
      <c r="AQ23" s="471"/>
      <c r="AR23" s="467"/>
      <c r="AS23" s="472"/>
      <c r="AT23" s="470"/>
      <c r="AU23" s="471"/>
      <c r="AV23" s="470"/>
      <c r="AW23" s="471"/>
      <c r="AX23" s="470"/>
      <c r="AY23" s="471"/>
      <c r="AZ23" s="470"/>
      <c r="BA23" s="471"/>
      <c r="BB23" s="470"/>
      <c r="BC23" s="471"/>
      <c r="BD23" s="470"/>
      <c r="BE23" s="471"/>
      <c r="BF23" s="467"/>
      <c r="BG23" s="472"/>
      <c r="BH23" s="470"/>
      <c r="BI23" s="471"/>
      <c r="BJ23" s="468">
        <f t="shared" si="2"/>
        <v>0</v>
      </c>
      <c r="BK23" s="469">
        <f t="shared" si="3"/>
        <v>0</v>
      </c>
      <c r="BL23" s="453"/>
    </row>
    <row r="24" spans="1:64" ht="21" x14ac:dyDescent="0.35">
      <c r="A24" s="18"/>
      <c r="B24" s="477"/>
      <c r="C24" s="477"/>
      <c r="D24" s="727" t="s">
        <v>20</v>
      </c>
      <c r="E24" s="728"/>
      <c r="F24" s="470"/>
      <c r="G24" s="471">
        <v>5</v>
      </c>
      <c r="H24" s="471"/>
      <c r="I24" s="471"/>
      <c r="J24" s="471">
        <v>18</v>
      </c>
      <c r="K24" s="471"/>
      <c r="L24" s="471"/>
      <c r="M24" s="471"/>
      <c r="N24" s="471">
        <v>59</v>
      </c>
      <c r="O24" s="471"/>
      <c r="P24" s="467"/>
      <c r="Q24" s="472"/>
      <c r="R24" s="467"/>
      <c r="S24" s="472"/>
      <c r="T24" s="470">
        <v>24</v>
      </c>
      <c r="U24" s="471"/>
      <c r="V24" s="470">
        <v>9</v>
      </c>
      <c r="W24" s="471"/>
      <c r="X24" s="470">
        <v>24</v>
      </c>
      <c r="Y24" s="471"/>
      <c r="Z24" s="470">
        <v>37</v>
      </c>
      <c r="AA24" s="471"/>
      <c r="AB24" s="470">
        <v>32</v>
      </c>
      <c r="AC24" s="471"/>
      <c r="AD24" s="467"/>
      <c r="AE24" s="472"/>
      <c r="AF24" s="470"/>
      <c r="AG24" s="471"/>
      <c r="AH24" s="470"/>
      <c r="AI24" s="471"/>
      <c r="AJ24" s="470"/>
      <c r="AK24" s="471"/>
      <c r="AL24" s="470"/>
      <c r="AM24" s="471"/>
      <c r="AN24" s="470"/>
      <c r="AO24" s="471"/>
      <c r="AP24" s="470"/>
      <c r="AQ24" s="471"/>
      <c r="AR24" s="467"/>
      <c r="AS24" s="472"/>
      <c r="AT24" s="470"/>
      <c r="AU24" s="471"/>
      <c r="AV24" s="470"/>
      <c r="AW24" s="471"/>
      <c r="AX24" s="470"/>
      <c r="AY24" s="471"/>
      <c r="AZ24" s="470"/>
      <c r="BA24" s="471"/>
      <c r="BB24" s="470"/>
      <c r="BC24" s="471"/>
      <c r="BD24" s="470"/>
      <c r="BE24" s="471"/>
      <c r="BF24" s="467"/>
      <c r="BG24" s="472"/>
      <c r="BH24" s="470"/>
      <c r="BI24" s="471"/>
      <c r="BJ24" s="468">
        <f t="shared" si="2"/>
        <v>208</v>
      </c>
      <c r="BK24" s="469">
        <f t="shared" si="3"/>
        <v>8</v>
      </c>
      <c r="BL24" s="453"/>
    </row>
    <row r="25" spans="1:64" ht="21" x14ac:dyDescent="0.35">
      <c r="A25" s="18"/>
      <c r="B25" s="477"/>
      <c r="C25" s="477"/>
      <c r="D25" s="727" t="s">
        <v>21</v>
      </c>
      <c r="E25" s="728"/>
      <c r="F25" s="470"/>
      <c r="G25" s="471"/>
      <c r="H25" s="471"/>
      <c r="I25" s="471"/>
      <c r="J25" s="471"/>
      <c r="K25" s="471"/>
      <c r="L25" s="471"/>
      <c r="M25" s="471"/>
      <c r="N25" s="471"/>
      <c r="O25" s="471"/>
      <c r="P25" s="467"/>
      <c r="Q25" s="472"/>
      <c r="R25" s="467"/>
      <c r="S25" s="472"/>
      <c r="T25" s="470"/>
      <c r="U25" s="471"/>
      <c r="V25" s="470"/>
      <c r="W25" s="471"/>
      <c r="X25" s="470"/>
      <c r="Y25" s="471"/>
      <c r="Z25" s="470"/>
      <c r="AA25" s="471"/>
      <c r="AB25" s="470"/>
      <c r="AC25" s="471"/>
      <c r="AD25" s="467"/>
      <c r="AE25" s="472"/>
      <c r="AF25" s="470"/>
      <c r="AG25" s="471"/>
      <c r="AH25" s="470"/>
      <c r="AI25" s="471"/>
      <c r="AJ25" s="470"/>
      <c r="AK25" s="471"/>
      <c r="AL25" s="470"/>
      <c r="AM25" s="471"/>
      <c r="AN25" s="470"/>
      <c r="AO25" s="471"/>
      <c r="AP25" s="470"/>
      <c r="AQ25" s="471"/>
      <c r="AR25" s="467"/>
      <c r="AS25" s="472"/>
      <c r="AT25" s="470"/>
      <c r="AU25" s="471"/>
      <c r="AV25" s="470"/>
      <c r="AW25" s="471"/>
      <c r="AX25" s="470"/>
      <c r="AY25" s="471"/>
      <c r="AZ25" s="470"/>
      <c r="BA25" s="471"/>
      <c r="BB25" s="470"/>
      <c r="BC25" s="471"/>
      <c r="BD25" s="470"/>
      <c r="BE25" s="471"/>
      <c r="BF25" s="467"/>
      <c r="BG25" s="472"/>
      <c r="BH25" s="470"/>
      <c r="BI25" s="471"/>
      <c r="BJ25" s="468">
        <f t="shared" si="2"/>
        <v>0</v>
      </c>
      <c r="BK25" s="469">
        <f t="shared" si="3"/>
        <v>0</v>
      </c>
      <c r="BL25" s="453"/>
    </row>
    <row r="26" spans="1:64" ht="21" x14ac:dyDescent="0.35">
      <c r="A26" s="18"/>
      <c r="B26" s="477"/>
      <c r="C26" s="477"/>
      <c r="D26" s="727" t="s">
        <v>23</v>
      </c>
      <c r="E26" s="728"/>
      <c r="F26" s="470"/>
      <c r="G26" s="471"/>
      <c r="H26" s="471"/>
      <c r="I26" s="471"/>
      <c r="J26" s="471"/>
      <c r="K26" s="471"/>
      <c r="L26" s="471"/>
      <c r="M26" s="471"/>
      <c r="N26" s="471"/>
      <c r="O26" s="471"/>
      <c r="P26" s="467"/>
      <c r="Q26" s="472"/>
      <c r="R26" s="467"/>
      <c r="S26" s="472"/>
      <c r="T26" s="470"/>
      <c r="U26" s="471"/>
      <c r="V26" s="470"/>
      <c r="W26" s="471"/>
      <c r="X26" s="470"/>
      <c r="Y26" s="471"/>
      <c r="Z26" s="470"/>
      <c r="AA26" s="471"/>
      <c r="AB26" s="470"/>
      <c r="AC26" s="471"/>
      <c r="AD26" s="467"/>
      <c r="AE26" s="472"/>
      <c r="AF26" s="470"/>
      <c r="AG26" s="471"/>
      <c r="AH26" s="470"/>
      <c r="AI26" s="471"/>
      <c r="AJ26" s="470"/>
      <c r="AK26" s="471"/>
      <c r="AL26" s="470"/>
      <c r="AM26" s="471"/>
      <c r="AN26" s="470"/>
      <c r="AO26" s="471"/>
      <c r="AP26" s="470"/>
      <c r="AQ26" s="471"/>
      <c r="AR26" s="467"/>
      <c r="AS26" s="472"/>
      <c r="AT26" s="470"/>
      <c r="AU26" s="471"/>
      <c r="AV26" s="470"/>
      <c r="AW26" s="471"/>
      <c r="AX26" s="470"/>
      <c r="AY26" s="471"/>
      <c r="AZ26" s="470"/>
      <c r="BA26" s="471"/>
      <c r="BB26" s="470"/>
      <c r="BC26" s="471"/>
      <c r="BD26" s="470"/>
      <c r="BE26" s="471"/>
      <c r="BF26" s="467"/>
      <c r="BG26" s="472"/>
      <c r="BH26" s="470"/>
      <c r="BI26" s="471"/>
      <c r="BJ26" s="468">
        <f t="shared" si="2"/>
        <v>0</v>
      </c>
      <c r="BK26" s="469">
        <f t="shared" si="3"/>
        <v>0</v>
      </c>
      <c r="BL26" s="453"/>
    </row>
    <row r="27" spans="1:64" ht="21" x14ac:dyDescent="0.35">
      <c r="A27" s="18"/>
      <c r="B27" s="477"/>
      <c r="C27" s="477"/>
      <c r="D27" s="727"/>
      <c r="E27" s="728"/>
      <c r="F27" s="470"/>
      <c r="G27" s="471"/>
      <c r="H27" s="471"/>
      <c r="I27" s="471"/>
      <c r="J27" s="471"/>
      <c r="K27" s="471"/>
      <c r="L27" s="471"/>
      <c r="M27" s="471"/>
      <c r="N27" s="471"/>
      <c r="O27" s="471"/>
      <c r="P27" s="467"/>
      <c r="Q27" s="472"/>
      <c r="R27" s="467"/>
      <c r="S27" s="472"/>
      <c r="T27" s="470"/>
      <c r="U27" s="471"/>
      <c r="V27" s="470"/>
      <c r="W27" s="471"/>
      <c r="X27" s="470"/>
      <c r="Y27" s="471"/>
      <c r="Z27" s="470"/>
      <c r="AA27" s="471"/>
      <c r="AB27" s="470"/>
      <c r="AC27" s="471"/>
      <c r="AD27" s="467"/>
      <c r="AE27" s="472"/>
      <c r="AF27" s="470"/>
      <c r="AG27" s="471"/>
      <c r="AH27" s="470"/>
      <c r="AI27" s="471"/>
      <c r="AJ27" s="470"/>
      <c r="AK27" s="471"/>
      <c r="AL27" s="470"/>
      <c r="AM27" s="471"/>
      <c r="AN27" s="470"/>
      <c r="AO27" s="471"/>
      <c r="AP27" s="470"/>
      <c r="AQ27" s="471"/>
      <c r="AR27" s="467"/>
      <c r="AS27" s="472"/>
      <c r="AT27" s="470"/>
      <c r="AU27" s="471"/>
      <c r="AV27" s="470"/>
      <c r="AW27" s="471"/>
      <c r="AX27" s="470"/>
      <c r="AY27" s="471"/>
      <c r="AZ27" s="470"/>
      <c r="BA27" s="471"/>
      <c r="BB27" s="470"/>
      <c r="BC27" s="471"/>
      <c r="BD27" s="470"/>
      <c r="BE27" s="471"/>
      <c r="BF27" s="467"/>
      <c r="BG27" s="472"/>
      <c r="BH27" s="470"/>
      <c r="BI27" s="471"/>
      <c r="BJ27" s="468">
        <f t="shared" si="2"/>
        <v>0</v>
      </c>
      <c r="BK27" s="469">
        <f t="shared" si="3"/>
        <v>0</v>
      </c>
      <c r="BL27" s="453"/>
    </row>
    <row r="28" spans="1:64" ht="30.75" customHeight="1" x14ac:dyDescent="0.35">
      <c r="A28" s="18"/>
      <c r="B28" s="477"/>
      <c r="C28" s="477"/>
      <c r="D28" s="729" t="s">
        <v>24</v>
      </c>
      <c r="E28" s="730"/>
      <c r="F28" s="467">
        <f>SUM(F29:F106)</f>
        <v>0</v>
      </c>
      <c r="G28" s="478">
        <f>SUM(G29:G106)</f>
        <v>45</v>
      </c>
      <c r="H28" s="467">
        <f t="shared" ref="H28:BI28" si="5">SUM(H29:H106)</f>
        <v>45</v>
      </c>
      <c r="I28" s="478">
        <f t="shared" si="5"/>
        <v>15</v>
      </c>
      <c r="J28" s="467">
        <f t="shared" si="5"/>
        <v>60</v>
      </c>
      <c r="K28" s="478">
        <f t="shared" si="5"/>
        <v>0</v>
      </c>
      <c r="L28" s="467">
        <f t="shared" si="5"/>
        <v>0</v>
      </c>
      <c r="M28" s="478">
        <f t="shared" si="5"/>
        <v>0</v>
      </c>
      <c r="N28" s="467">
        <f t="shared" si="5"/>
        <v>35</v>
      </c>
      <c r="O28" s="478">
        <f t="shared" si="5"/>
        <v>0</v>
      </c>
      <c r="P28" s="467"/>
      <c r="Q28" s="472"/>
      <c r="R28" s="467">
        <f>SUM(R29:R106)</f>
        <v>0</v>
      </c>
      <c r="S28" s="472">
        <f>SUM(S29:S106)</f>
        <v>0</v>
      </c>
      <c r="T28" s="467">
        <f t="shared" si="5"/>
        <v>0</v>
      </c>
      <c r="U28" s="478">
        <f t="shared" si="5"/>
        <v>0</v>
      </c>
      <c r="V28" s="467">
        <f t="shared" si="5"/>
        <v>0</v>
      </c>
      <c r="W28" s="478">
        <f t="shared" si="5"/>
        <v>0</v>
      </c>
      <c r="X28" s="467">
        <f t="shared" si="5"/>
        <v>127</v>
      </c>
      <c r="Y28" s="478">
        <f t="shared" si="5"/>
        <v>0</v>
      </c>
      <c r="Z28" s="467">
        <f t="shared" si="5"/>
        <v>120</v>
      </c>
      <c r="AA28" s="478">
        <f t="shared" si="5"/>
        <v>0</v>
      </c>
      <c r="AB28" s="467">
        <f t="shared" si="5"/>
        <v>0</v>
      </c>
      <c r="AC28" s="478">
        <f t="shared" si="5"/>
        <v>0</v>
      </c>
      <c r="AD28" s="467">
        <f t="shared" si="5"/>
        <v>0</v>
      </c>
      <c r="AE28" s="472">
        <f t="shared" si="5"/>
        <v>0</v>
      </c>
      <c r="AF28" s="467">
        <f t="shared" si="5"/>
        <v>60</v>
      </c>
      <c r="AG28" s="478">
        <f t="shared" si="5"/>
        <v>0</v>
      </c>
      <c r="AH28" s="467">
        <f t="shared" si="5"/>
        <v>0</v>
      </c>
      <c r="AI28" s="478">
        <f t="shared" si="5"/>
        <v>0</v>
      </c>
      <c r="AJ28" s="467">
        <f t="shared" si="5"/>
        <v>0</v>
      </c>
      <c r="AK28" s="478">
        <f t="shared" si="5"/>
        <v>0</v>
      </c>
      <c r="AL28" s="467">
        <f t="shared" si="5"/>
        <v>0</v>
      </c>
      <c r="AM28" s="478">
        <f t="shared" si="5"/>
        <v>0</v>
      </c>
      <c r="AN28" s="467">
        <f t="shared" si="5"/>
        <v>0</v>
      </c>
      <c r="AO28" s="478">
        <f t="shared" si="5"/>
        <v>0</v>
      </c>
      <c r="AP28" s="467">
        <f t="shared" si="5"/>
        <v>0</v>
      </c>
      <c r="AQ28" s="478">
        <f t="shared" si="5"/>
        <v>0</v>
      </c>
      <c r="AR28" s="467">
        <f t="shared" si="5"/>
        <v>0</v>
      </c>
      <c r="AS28" s="472">
        <f t="shared" si="5"/>
        <v>0</v>
      </c>
      <c r="AT28" s="467">
        <f t="shared" si="5"/>
        <v>62</v>
      </c>
      <c r="AU28" s="478">
        <f t="shared" si="5"/>
        <v>0</v>
      </c>
      <c r="AV28" s="467">
        <f t="shared" si="5"/>
        <v>43</v>
      </c>
      <c r="AW28" s="478">
        <f t="shared" si="5"/>
        <v>0</v>
      </c>
      <c r="AX28" s="467">
        <f t="shared" si="5"/>
        <v>18</v>
      </c>
      <c r="AY28" s="478">
        <f t="shared" si="5"/>
        <v>0</v>
      </c>
      <c r="AZ28" s="467"/>
      <c r="BA28" s="478">
        <f t="shared" si="5"/>
        <v>0</v>
      </c>
      <c r="BB28" s="467">
        <f t="shared" si="5"/>
        <v>0</v>
      </c>
      <c r="BC28" s="478">
        <f t="shared" si="5"/>
        <v>0</v>
      </c>
      <c r="BD28" s="467">
        <f t="shared" si="5"/>
        <v>0</v>
      </c>
      <c r="BE28" s="478">
        <f t="shared" si="5"/>
        <v>0</v>
      </c>
      <c r="BF28" s="467">
        <f t="shared" si="5"/>
        <v>0</v>
      </c>
      <c r="BG28" s="472">
        <f t="shared" si="5"/>
        <v>0</v>
      </c>
      <c r="BH28" s="467">
        <f t="shared" si="5"/>
        <v>0</v>
      </c>
      <c r="BI28" s="478">
        <f t="shared" si="5"/>
        <v>0</v>
      </c>
      <c r="BJ28" s="468">
        <f t="shared" si="2"/>
        <v>630</v>
      </c>
      <c r="BK28" s="469">
        <f t="shared" si="3"/>
        <v>53</v>
      </c>
      <c r="BL28" s="453"/>
    </row>
    <row r="29" spans="1:64" ht="16.5" customHeight="1" x14ac:dyDescent="0.35">
      <c r="A29" s="20"/>
      <c r="B29" s="20"/>
      <c r="C29" s="78">
        <f>SUM(BJ30:BJ49)</f>
        <v>35</v>
      </c>
      <c r="D29" s="725" t="s">
        <v>25</v>
      </c>
      <c r="E29" s="726"/>
      <c r="F29" s="479"/>
      <c r="G29" s="480"/>
      <c r="H29" s="479"/>
      <c r="I29" s="480"/>
      <c r="J29" s="479"/>
      <c r="K29" s="480"/>
      <c r="L29" s="479"/>
      <c r="M29" s="480"/>
      <c r="N29" s="479"/>
      <c r="O29" s="480"/>
      <c r="P29" s="467"/>
      <c r="Q29" s="472"/>
      <c r="R29" s="467"/>
      <c r="S29" s="472"/>
      <c r="T29" s="479"/>
      <c r="U29" s="480"/>
      <c r="V29" s="479"/>
      <c r="W29" s="480"/>
      <c r="X29" s="479"/>
      <c r="Y29" s="480"/>
      <c r="Z29" s="479"/>
      <c r="AA29" s="480"/>
      <c r="AB29" s="479"/>
      <c r="AC29" s="480"/>
      <c r="AD29" s="467"/>
      <c r="AE29" s="472"/>
      <c r="AF29" s="479"/>
      <c r="AG29" s="480"/>
      <c r="AH29" s="479"/>
      <c r="AI29" s="480"/>
      <c r="AJ29" s="479"/>
      <c r="AK29" s="480"/>
      <c r="AL29" s="479"/>
      <c r="AM29" s="480"/>
      <c r="AN29" s="479"/>
      <c r="AO29" s="480"/>
      <c r="AP29" s="479"/>
      <c r="AQ29" s="480"/>
      <c r="AR29" s="467"/>
      <c r="AS29" s="472"/>
      <c r="AT29" s="479"/>
      <c r="AU29" s="480"/>
      <c r="AV29" s="479"/>
      <c r="AW29" s="480"/>
      <c r="AX29" s="479"/>
      <c r="AY29" s="480"/>
      <c r="AZ29" s="479"/>
      <c r="BA29" s="480"/>
      <c r="BB29" s="479"/>
      <c r="BC29" s="480"/>
      <c r="BD29" s="479"/>
      <c r="BE29" s="480"/>
      <c r="BF29" s="467"/>
      <c r="BG29" s="472"/>
      <c r="BH29" s="479"/>
      <c r="BI29" s="480"/>
      <c r="BJ29" s="468">
        <f t="shared" si="2"/>
        <v>0</v>
      </c>
      <c r="BK29" s="469">
        <f t="shared" si="3"/>
        <v>0</v>
      </c>
      <c r="BL29" s="453"/>
    </row>
    <row r="30" spans="1:64" ht="16.5" customHeight="1" x14ac:dyDescent="0.35">
      <c r="A30" s="20"/>
      <c r="B30" s="481" t="s">
        <v>26</v>
      </c>
      <c r="C30" s="20" t="s">
        <v>27</v>
      </c>
      <c r="D30" s="715" t="s">
        <v>28</v>
      </c>
      <c r="E30" s="716"/>
      <c r="F30" s="79"/>
      <c r="G30" s="80"/>
      <c r="H30" s="79"/>
      <c r="I30" s="80"/>
      <c r="J30" s="79"/>
      <c r="K30" s="80"/>
      <c r="L30" s="79"/>
      <c r="M30" s="80"/>
      <c r="N30" s="79"/>
      <c r="O30" s="80"/>
      <c r="P30" s="467"/>
      <c r="Q30" s="472"/>
      <c r="R30" s="467"/>
      <c r="S30" s="472"/>
      <c r="T30" s="79"/>
      <c r="U30" s="80"/>
      <c r="V30" s="79"/>
      <c r="W30" s="80"/>
      <c r="X30" s="79"/>
      <c r="Y30" s="80"/>
      <c r="Z30" s="79"/>
      <c r="AA30" s="80"/>
      <c r="AB30" s="79"/>
      <c r="AC30" s="80"/>
      <c r="AD30" s="467"/>
      <c r="AE30" s="472"/>
      <c r="AF30" s="79"/>
      <c r="AG30" s="80"/>
      <c r="AH30" s="79"/>
      <c r="AI30" s="80"/>
      <c r="AJ30" s="79"/>
      <c r="AK30" s="80"/>
      <c r="AL30" s="79"/>
      <c r="AM30" s="80"/>
      <c r="AN30" s="79"/>
      <c r="AO30" s="80"/>
      <c r="AP30" s="79"/>
      <c r="AQ30" s="80"/>
      <c r="AR30" s="467"/>
      <c r="AS30" s="472"/>
      <c r="AT30" s="79"/>
      <c r="AU30" s="80"/>
      <c r="AV30" s="79"/>
      <c r="AW30" s="80"/>
      <c r="AX30" s="79"/>
      <c r="AY30" s="80"/>
      <c r="AZ30" s="79"/>
      <c r="BA30" s="80"/>
      <c r="BB30" s="79"/>
      <c r="BC30" s="80"/>
      <c r="BD30" s="79"/>
      <c r="BE30" s="80"/>
      <c r="BF30" s="467"/>
      <c r="BG30" s="472"/>
      <c r="BH30" s="479"/>
      <c r="BI30" s="480"/>
      <c r="BJ30" s="468">
        <f t="shared" si="2"/>
        <v>0</v>
      </c>
      <c r="BK30" s="469">
        <f t="shared" si="3"/>
        <v>0</v>
      </c>
      <c r="BL30" s="453"/>
    </row>
    <row r="31" spans="1:64" ht="15" customHeight="1" x14ac:dyDescent="0.35">
      <c r="A31" s="24"/>
      <c r="B31" s="481" t="s">
        <v>29</v>
      </c>
      <c r="C31" s="24" t="s">
        <v>30</v>
      </c>
      <c r="D31" s="715" t="s">
        <v>31</v>
      </c>
      <c r="E31" s="716"/>
      <c r="F31" s="79"/>
      <c r="G31" s="80"/>
      <c r="H31" s="79"/>
      <c r="I31" s="80"/>
      <c r="J31" s="79"/>
      <c r="K31" s="80"/>
      <c r="L31" s="79"/>
      <c r="M31" s="80"/>
      <c r="N31" s="79"/>
      <c r="O31" s="80"/>
      <c r="P31" s="467"/>
      <c r="Q31" s="472"/>
      <c r="R31" s="467"/>
      <c r="S31" s="472"/>
      <c r="T31" s="79"/>
      <c r="U31" s="80"/>
      <c r="V31" s="79"/>
      <c r="W31" s="80"/>
      <c r="X31" s="79"/>
      <c r="Y31" s="80"/>
      <c r="Z31" s="79"/>
      <c r="AA31" s="80"/>
      <c r="AB31" s="79"/>
      <c r="AC31" s="80"/>
      <c r="AD31" s="467"/>
      <c r="AE31" s="472"/>
      <c r="AF31" s="79"/>
      <c r="AG31" s="80"/>
      <c r="AH31" s="79"/>
      <c r="AI31" s="80"/>
      <c r="AJ31" s="79"/>
      <c r="AK31" s="80"/>
      <c r="AL31" s="79"/>
      <c r="AM31" s="80"/>
      <c r="AN31" s="79"/>
      <c r="AO31" s="80"/>
      <c r="AP31" s="79"/>
      <c r="AQ31" s="80"/>
      <c r="AR31" s="467"/>
      <c r="AS31" s="472"/>
      <c r="AT31" s="79"/>
      <c r="AU31" s="80"/>
      <c r="AV31" s="79"/>
      <c r="AW31" s="80"/>
      <c r="AX31" s="79"/>
      <c r="AY31" s="80"/>
      <c r="AZ31" s="79"/>
      <c r="BA31" s="80"/>
      <c r="BB31" s="79"/>
      <c r="BC31" s="80"/>
      <c r="BD31" s="79"/>
      <c r="BE31" s="80"/>
      <c r="BF31" s="467"/>
      <c r="BG31" s="472"/>
      <c r="BH31" s="479"/>
      <c r="BI31" s="480"/>
      <c r="BJ31" s="468">
        <f t="shared" si="2"/>
        <v>0</v>
      </c>
      <c r="BK31" s="469">
        <f t="shared" si="3"/>
        <v>0</v>
      </c>
      <c r="BL31" s="453"/>
    </row>
    <row r="32" spans="1:64" ht="15" customHeight="1" x14ac:dyDescent="0.35">
      <c r="A32" s="24"/>
      <c r="B32" s="481" t="s">
        <v>26</v>
      </c>
      <c r="C32" s="24" t="s">
        <v>32</v>
      </c>
      <c r="D32" s="715" t="s">
        <v>33</v>
      </c>
      <c r="E32" s="716"/>
      <c r="F32" s="79"/>
      <c r="G32" s="80"/>
      <c r="H32" s="79"/>
      <c r="I32" s="80"/>
      <c r="J32" s="79"/>
      <c r="K32" s="80"/>
      <c r="L32" s="79"/>
      <c r="M32" s="80"/>
      <c r="N32" s="79"/>
      <c r="O32" s="80"/>
      <c r="P32" s="467"/>
      <c r="Q32" s="472"/>
      <c r="R32" s="467"/>
      <c r="S32" s="472"/>
      <c r="T32" s="79"/>
      <c r="U32" s="80"/>
      <c r="V32" s="79"/>
      <c r="W32" s="80"/>
      <c r="X32" s="79"/>
      <c r="Y32" s="80"/>
      <c r="Z32" s="79"/>
      <c r="AA32" s="80"/>
      <c r="AB32" s="79"/>
      <c r="AC32" s="80"/>
      <c r="AD32" s="467"/>
      <c r="AE32" s="472"/>
      <c r="AF32" s="79"/>
      <c r="AG32" s="80"/>
      <c r="AH32" s="79"/>
      <c r="AI32" s="80"/>
      <c r="AJ32" s="79"/>
      <c r="AK32" s="80"/>
      <c r="AL32" s="79"/>
      <c r="AM32" s="80"/>
      <c r="AN32" s="79"/>
      <c r="AO32" s="80"/>
      <c r="AP32" s="79"/>
      <c r="AQ32" s="80"/>
      <c r="AR32" s="467"/>
      <c r="AS32" s="472"/>
      <c r="AT32" s="79"/>
      <c r="AU32" s="80"/>
      <c r="AV32" s="79"/>
      <c r="AW32" s="80"/>
      <c r="AX32" s="79"/>
      <c r="AY32" s="80"/>
      <c r="AZ32" s="79"/>
      <c r="BA32" s="80"/>
      <c r="BB32" s="79"/>
      <c r="BC32" s="80"/>
      <c r="BD32" s="79"/>
      <c r="BE32" s="80"/>
      <c r="BF32" s="467"/>
      <c r="BG32" s="472"/>
      <c r="BH32" s="479"/>
      <c r="BI32" s="480"/>
      <c r="BJ32" s="468">
        <f t="shared" si="2"/>
        <v>0</v>
      </c>
      <c r="BK32" s="469">
        <f t="shared" si="3"/>
        <v>0</v>
      </c>
      <c r="BL32" s="453"/>
    </row>
    <row r="33" spans="1:64" ht="15" customHeight="1" x14ac:dyDescent="0.35">
      <c r="A33" s="24"/>
      <c r="B33" s="481" t="s">
        <v>26</v>
      </c>
      <c r="C33" s="24" t="s">
        <v>34</v>
      </c>
      <c r="D33" s="715" t="s">
        <v>35</v>
      </c>
      <c r="E33" s="716"/>
      <c r="F33" s="79"/>
      <c r="G33" s="80"/>
      <c r="H33" s="79"/>
      <c r="I33" s="80"/>
      <c r="J33" s="79"/>
      <c r="K33" s="80"/>
      <c r="L33" s="79"/>
      <c r="M33" s="80"/>
      <c r="N33" s="79"/>
      <c r="O33" s="80"/>
      <c r="P33" s="467"/>
      <c r="Q33" s="472"/>
      <c r="R33" s="467"/>
      <c r="S33" s="472"/>
      <c r="T33" s="79"/>
      <c r="U33" s="80"/>
      <c r="V33" s="79"/>
      <c r="W33" s="80"/>
      <c r="X33" s="79"/>
      <c r="Y33" s="80"/>
      <c r="Z33" s="79"/>
      <c r="AA33" s="80"/>
      <c r="AB33" s="79"/>
      <c r="AC33" s="80"/>
      <c r="AD33" s="467"/>
      <c r="AE33" s="472"/>
      <c r="AF33" s="79"/>
      <c r="AG33" s="80"/>
      <c r="AH33" s="79"/>
      <c r="AI33" s="80"/>
      <c r="AJ33" s="79"/>
      <c r="AK33" s="80"/>
      <c r="AL33" s="79"/>
      <c r="AM33" s="80"/>
      <c r="AN33" s="79"/>
      <c r="AO33" s="80"/>
      <c r="AP33" s="79"/>
      <c r="AQ33" s="80"/>
      <c r="AR33" s="467"/>
      <c r="AS33" s="472"/>
      <c r="AT33" s="79"/>
      <c r="AU33" s="80"/>
      <c r="AV33" s="79"/>
      <c r="AW33" s="80"/>
      <c r="AX33" s="79"/>
      <c r="AY33" s="80"/>
      <c r="AZ33" s="79"/>
      <c r="BA33" s="80"/>
      <c r="BB33" s="79"/>
      <c r="BC33" s="80"/>
      <c r="BD33" s="79"/>
      <c r="BE33" s="80"/>
      <c r="BF33" s="467"/>
      <c r="BG33" s="472"/>
      <c r="BH33" s="479"/>
      <c r="BI33" s="480"/>
      <c r="BJ33" s="468">
        <f t="shared" ref="BJ33:BJ64" si="6">SUM(F33:BI33)</f>
        <v>0</v>
      </c>
      <c r="BK33" s="469">
        <f t="shared" ref="BK33:BK64" si="7">COUNT(F33:BI33)</f>
        <v>0</v>
      </c>
      <c r="BL33" s="453"/>
    </row>
    <row r="34" spans="1:64" ht="15" customHeight="1" x14ac:dyDescent="0.35">
      <c r="A34" s="24"/>
      <c r="B34" s="481" t="s">
        <v>26</v>
      </c>
      <c r="C34" s="24" t="s">
        <v>36</v>
      </c>
      <c r="D34" s="715" t="s">
        <v>37</v>
      </c>
      <c r="E34" s="716"/>
      <c r="F34" s="79"/>
      <c r="G34" s="80"/>
      <c r="H34" s="79"/>
      <c r="I34" s="80"/>
      <c r="J34" s="79"/>
      <c r="K34" s="80"/>
      <c r="L34" s="79"/>
      <c r="M34" s="80"/>
      <c r="N34" s="79">
        <v>10</v>
      </c>
      <c r="O34" s="80"/>
      <c r="P34" s="467"/>
      <c r="Q34" s="472"/>
      <c r="R34" s="467"/>
      <c r="S34" s="472"/>
      <c r="T34" s="79"/>
      <c r="U34" s="80"/>
      <c r="V34" s="79"/>
      <c r="W34" s="80"/>
      <c r="X34" s="79"/>
      <c r="Y34" s="80"/>
      <c r="Z34" s="79"/>
      <c r="AA34" s="80"/>
      <c r="AB34" s="79"/>
      <c r="AC34" s="80"/>
      <c r="AD34" s="467"/>
      <c r="AE34" s="472"/>
      <c r="AF34" s="79"/>
      <c r="AG34" s="80"/>
      <c r="AH34" s="79"/>
      <c r="AI34" s="80"/>
      <c r="AJ34" s="79"/>
      <c r="AK34" s="80"/>
      <c r="AL34" s="79"/>
      <c r="AM34" s="80"/>
      <c r="AN34" s="79"/>
      <c r="AO34" s="80"/>
      <c r="AP34" s="79"/>
      <c r="AQ34" s="80"/>
      <c r="AR34" s="467"/>
      <c r="AS34" s="472"/>
      <c r="AT34" s="79"/>
      <c r="AU34" s="80"/>
      <c r="AV34" s="79"/>
      <c r="AW34" s="80"/>
      <c r="AX34" s="79"/>
      <c r="AY34" s="80"/>
      <c r="AZ34" s="79"/>
      <c r="BA34" s="80"/>
      <c r="BB34" s="79"/>
      <c r="BC34" s="80"/>
      <c r="BD34" s="79"/>
      <c r="BE34" s="80"/>
      <c r="BF34" s="467"/>
      <c r="BG34" s="472"/>
      <c r="BH34" s="479"/>
      <c r="BI34" s="480"/>
      <c r="BJ34" s="468">
        <f t="shared" si="6"/>
        <v>10</v>
      </c>
      <c r="BK34" s="469">
        <f t="shared" si="7"/>
        <v>1</v>
      </c>
      <c r="BL34" s="453"/>
    </row>
    <row r="35" spans="1:64" ht="15" customHeight="1" x14ac:dyDescent="0.35">
      <c r="A35" s="24"/>
      <c r="B35" s="481" t="s">
        <v>26</v>
      </c>
      <c r="C35" s="20" t="s">
        <v>38</v>
      </c>
      <c r="D35" s="715" t="s">
        <v>39</v>
      </c>
      <c r="E35" s="716"/>
      <c r="F35" s="79"/>
      <c r="G35" s="80"/>
      <c r="H35" s="79"/>
      <c r="I35" s="80"/>
      <c r="J35" s="79"/>
      <c r="K35" s="80"/>
      <c r="L35" s="79"/>
      <c r="M35" s="80"/>
      <c r="N35" s="79"/>
      <c r="O35" s="80"/>
      <c r="P35" s="467"/>
      <c r="Q35" s="472"/>
      <c r="R35" s="467"/>
      <c r="S35" s="472"/>
      <c r="T35" s="79"/>
      <c r="U35" s="80"/>
      <c r="V35" s="79"/>
      <c r="W35" s="80"/>
      <c r="X35" s="79"/>
      <c r="Y35" s="80"/>
      <c r="Z35" s="79"/>
      <c r="AA35" s="80"/>
      <c r="AB35" s="79"/>
      <c r="AC35" s="80"/>
      <c r="AD35" s="467"/>
      <c r="AE35" s="472"/>
      <c r="AF35" s="79"/>
      <c r="AG35" s="80"/>
      <c r="AH35" s="79"/>
      <c r="AI35" s="80"/>
      <c r="AJ35" s="79"/>
      <c r="AK35" s="80"/>
      <c r="AL35" s="79"/>
      <c r="AM35" s="80"/>
      <c r="AN35" s="79"/>
      <c r="AO35" s="80"/>
      <c r="AP35" s="79"/>
      <c r="AQ35" s="80"/>
      <c r="AR35" s="467"/>
      <c r="AS35" s="472"/>
      <c r="AT35" s="79"/>
      <c r="AU35" s="80"/>
      <c r="AV35" s="79"/>
      <c r="AW35" s="80"/>
      <c r="AX35" s="79"/>
      <c r="AY35" s="80"/>
      <c r="AZ35" s="79"/>
      <c r="BA35" s="80"/>
      <c r="BB35" s="79"/>
      <c r="BC35" s="80"/>
      <c r="BD35" s="79"/>
      <c r="BE35" s="80"/>
      <c r="BF35" s="467"/>
      <c r="BG35" s="472"/>
      <c r="BH35" s="479"/>
      <c r="BI35" s="480"/>
      <c r="BJ35" s="468">
        <f t="shared" si="6"/>
        <v>0</v>
      </c>
      <c r="BK35" s="469">
        <f t="shared" si="7"/>
        <v>0</v>
      </c>
      <c r="BL35" s="453"/>
    </row>
    <row r="36" spans="1:64" ht="15" customHeight="1" x14ac:dyDescent="0.35">
      <c r="A36" s="24"/>
      <c r="B36" s="481" t="s">
        <v>26</v>
      </c>
      <c r="C36" s="24" t="s">
        <v>40</v>
      </c>
      <c r="D36" s="715" t="s">
        <v>41</v>
      </c>
      <c r="E36" s="716"/>
      <c r="F36" s="79"/>
      <c r="G36" s="80"/>
      <c r="H36" s="79"/>
      <c r="I36" s="80"/>
      <c r="J36" s="79"/>
      <c r="K36" s="80"/>
      <c r="L36" s="79"/>
      <c r="M36" s="80"/>
      <c r="N36" s="79">
        <v>15</v>
      </c>
      <c r="O36" s="80"/>
      <c r="P36" s="467"/>
      <c r="Q36" s="472"/>
      <c r="R36" s="467"/>
      <c r="S36" s="472"/>
      <c r="T36" s="79"/>
      <c r="U36" s="80"/>
      <c r="V36" s="79"/>
      <c r="W36" s="80"/>
      <c r="X36" s="79"/>
      <c r="Y36" s="80"/>
      <c r="Z36" s="79"/>
      <c r="AA36" s="80"/>
      <c r="AB36" s="79"/>
      <c r="AC36" s="80"/>
      <c r="AD36" s="467"/>
      <c r="AE36" s="472"/>
      <c r="AF36" s="79"/>
      <c r="AG36" s="80"/>
      <c r="AH36" s="79"/>
      <c r="AI36" s="80"/>
      <c r="AJ36" s="79"/>
      <c r="AK36" s="80"/>
      <c r="AL36" s="79"/>
      <c r="AM36" s="80"/>
      <c r="AN36" s="79"/>
      <c r="AO36" s="80"/>
      <c r="AP36" s="79"/>
      <c r="AQ36" s="80"/>
      <c r="AR36" s="467"/>
      <c r="AS36" s="472"/>
      <c r="AT36" s="79"/>
      <c r="AU36" s="80"/>
      <c r="AV36" s="79"/>
      <c r="AW36" s="80"/>
      <c r="AX36" s="79"/>
      <c r="AY36" s="80"/>
      <c r="AZ36" s="79"/>
      <c r="BA36" s="80"/>
      <c r="BB36" s="79"/>
      <c r="BC36" s="80"/>
      <c r="BD36" s="79"/>
      <c r="BE36" s="80"/>
      <c r="BF36" s="467"/>
      <c r="BG36" s="472"/>
      <c r="BH36" s="479"/>
      <c r="BI36" s="480"/>
      <c r="BJ36" s="468">
        <f t="shared" si="6"/>
        <v>15</v>
      </c>
      <c r="BK36" s="469">
        <f t="shared" si="7"/>
        <v>1</v>
      </c>
      <c r="BL36" s="453"/>
    </row>
    <row r="37" spans="1:64" ht="15" customHeight="1" x14ac:dyDescent="0.35">
      <c r="A37" s="24"/>
      <c r="B37" s="481" t="s">
        <v>26</v>
      </c>
      <c r="C37" s="20" t="s">
        <v>42</v>
      </c>
      <c r="D37" s="715" t="s">
        <v>43</v>
      </c>
      <c r="E37" s="716"/>
      <c r="F37" s="79"/>
      <c r="G37" s="80"/>
      <c r="H37" s="79"/>
      <c r="I37" s="80"/>
      <c r="J37" s="79"/>
      <c r="K37" s="80"/>
      <c r="L37" s="79"/>
      <c r="M37" s="80"/>
      <c r="N37" s="79">
        <v>10</v>
      </c>
      <c r="O37" s="80"/>
      <c r="P37" s="467"/>
      <c r="Q37" s="472"/>
      <c r="R37" s="467"/>
      <c r="S37" s="472"/>
      <c r="T37" s="79"/>
      <c r="U37" s="80"/>
      <c r="V37" s="79"/>
      <c r="W37" s="80"/>
      <c r="X37" s="79"/>
      <c r="Y37" s="80"/>
      <c r="Z37" s="79"/>
      <c r="AA37" s="80"/>
      <c r="AB37" s="79"/>
      <c r="AC37" s="80"/>
      <c r="AD37" s="467"/>
      <c r="AE37" s="472"/>
      <c r="AF37" s="79"/>
      <c r="AG37" s="80"/>
      <c r="AH37" s="79"/>
      <c r="AI37" s="80"/>
      <c r="AJ37" s="79"/>
      <c r="AK37" s="80"/>
      <c r="AL37" s="79"/>
      <c r="AM37" s="80"/>
      <c r="AN37" s="79"/>
      <c r="AO37" s="80"/>
      <c r="AP37" s="79"/>
      <c r="AQ37" s="80"/>
      <c r="AR37" s="467"/>
      <c r="AS37" s="472"/>
      <c r="AT37" s="79"/>
      <c r="AU37" s="80"/>
      <c r="AV37" s="79"/>
      <c r="AW37" s="80"/>
      <c r="AX37" s="79"/>
      <c r="AY37" s="80"/>
      <c r="AZ37" s="79"/>
      <c r="BA37" s="80"/>
      <c r="BB37" s="79"/>
      <c r="BC37" s="80"/>
      <c r="BD37" s="79"/>
      <c r="BE37" s="80"/>
      <c r="BF37" s="467"/>
      <c r="BG37" s="472"/>
      <c r="BH37" s="479"/>
      <c r="BI37" s="480"/>
      <c r="BJ37" s="468">
        <f t="shared" si="6"/>
        <v>10</v>
      </c>
      <c r="BK37" s="469">
        <f t="shared" si="7"/>
        <v>1</v>
      </c>
      <c r="BL37" s="453"/>
    </row>
    <row r="38" spans="1:64" ht="15" customHeight="1" x14ac:dyDescent="0.35">
      <c r="A38" s="24"/>
      <c r="B38" s="481" t="s">
        <v>44</v>
      </c>
      <c r="C38" s="24" t="s">
        <v>45</v>
      </c>
      <c r="D38" s="715" t="s">
        <v>43</v>
      </c>
      <c r="E38" s="716"/>
      <c r="F38" s="79"/>
      <c r="G38" s="80"/>
      <c r="H38" s="79"/>
      <c r="I38" s="80"/>
      <c r="J38" s="79"/>
      <c r="K38" s="80"/>
      <c r="L38" s="79"/>
      <c r="M38" s="80"/>
      <c r="N38" s="79"/>
      <c r="O38" s="80"/>
      <c r="P38" s="467"/>
      <c r="Q38" s="472"/>
      <c r="R38" s="467"/>
      <c r="S38" s="472"/>
      <c r="T38" s="79"/>
      <c r="U38" s="80"/>
      <c r="V38" s="79"/>
      <c r="W38" s="80"/>
      <c r="X38" s="79"/>
      <c r="Y38" s="80"/>
      <c r="Z38" s="79"/>
      <c r="AA38" s="80"/>
      <c r="AB38" s="79"/>
      <c r="AC38" s="80"/>
      <c r="AD38" s="467"/>
      <c r="AE38" s="472"/>
      <c r="AF38" s="79"/>
      <c r="AG38" s="80"/>
      <c r="AH38" s="79"/>
      <c r="AI38" s="80"/>
      <c r="AJ38" s="79"/>
      <c r="AK38" s="80"/>
      <c r="AL38" s="79"/>
      <c r="AM38" s="80"/>
      <c r="AN38" s="79"/>
      <c r="AO38" s="80"/>
      <c r="AP38" s="79"/>
      <c r="AQ38" s="80"/>
      <c r="AR38" s="467"/>
      <c r="AS38" s="472"/>
      <c r="AT38" s="79"/>
      <c r="AU38" s="80"/>
      <c r="AV38" s="79"/>
      <c r="AW38" s="80"/>
      <c r="AX38" s="79"/>
      <c r="AY38" s="80"/>
      <c r="AZ38" s="79"/>
      <c r="BA38" s="80"/>
      <c r="BB38" s="79"/>
      <c r="BC38" s="80"/>
      <c r="BD38" s="79"/>
      <c r="BE38" s="80"/>
      <c r="BF38" s="467"/>
      <c r="BG38" s="472"/>
      <c r="BH38" s="479"/>
      <c r="BI38" s="480"/>
      <c r="BJ38" s="468">
        <f t="shared" si="6"/>
        <v>0</v>
      </c>
      <c r="BK38" s="469">
        <f t="shared" si="7"/>
        <v>0</v>
      </c>
      <c r="BL38" s="453"/>
    </row>
    <row r="39" spans="1:64" ht="15" customHeight="1" x14ac:dyDescent="0.35">
      <c r="A39" s="24"/>
      <c r="B39" s="481" t="s">
        <v>46</v>
      </c>
      <c r="C39" s="24" t="s">
        <v>47</v>
      </c>
      <c r="D39" s="715" t="s">
        <v>48</v>
      </c>
      <c r="E39" s="716"/>
      <c r="F39" s="79"/>
      <c r="G39" s="80"/>
      <c r="H39" s="79"/>
      <c r="I39" s="80"/>
      <c r="J39" s="79"/>
      <c r="K39" s="80"/>
      <c r="L39" s="79"/>
      <c r="M39" s="80"/>
      <c r="N39" s="79"/>
      <c r="O39" s="80"/>
      <c r="P39" s="467"/>
      <c r="Q39" s="472"/>
      <c r="R39" s="467"/>
      <c r="S39" s="472"/>
      <c r="T39" s="79"/>
      <c r="U39" s="80"/>
      <c r="V39" s="79"/>
      <c r="W39" s="80"/>
      <c r="X39" s="79"/>
      <c r="Y39" s="80"/>
      <c r="Z39" s="79"/>
      <c r="AA39" s="80"/>
      <c r="AB39" s="79"/>
      <c r="AC39" s="80"/>
      <c r="AD39" s="467"/>
      <c r="AE39" s="472"/>
      <c r="AF39" s="79"/>
      <c r="AG39" s="80"/>
      <c r="AH39" s="79"/>
      <c r="AI39" s="80"/>
      <c r="AJ39" s="79"/>
      <c r="AK39" s="80"/>
      <c r="AL39" s="79"/>
      <c r="AM39" s="80"/>
      <c r="AN39" s="79"/>
      <c r="AO39" s="80"/>
      <c r="AP39" s="79"/>
      <c r="AQ39" s="80"/>
      <c r="AR39" s="467"/>
      <c r="AS39" s="472"/>
      <c r="AT39" s="79"/>
      <c r="AU39" s="80"/>
      <c r="AV39" s="79"/>
      <c r="AW39" s="80"/>
      <c r="AX39" s="79"/>
      <c r="AY39" s="80"/>
      <c r="AZ39" s="79"/>
      <c r="BA39" s="80"/>
      <c r="BB39" s="79"/>
      <c r="BC39" s="80"/>
      <c r="BD39" s="79"/>
      <c r="BE39" s="80"/>
      <c r="BF39" s="467"/>
      <c r="BG39" s="472"/>
      <c r="BH39" s="479"/>
      <c r="BI39" s="480"/>
      <c r="BJ39" s="468">
        <f t="shared" si="6"/>
        <v>0</v>
      </c>
      <c r="BK39" s="469">
        <f t="shared" si="7"/>
        <v>0</v>
      </c>
      <c r="BL39" s="453"/>
    </row>
    <row r="40" spans="1:64" ht="15" customHeight="1" x14ac:dyDescent="0.35">
      <c r="A40" s="24"/>
      <c r="B40" s="481" t="s">
        <v>26</v>
      </c>
      <c r="C40" s="24" t="s">
        <v>49</v>
      </c>
      <c r="D40" s="715" t="s">
        <v>50</v>
      </c>
      <c r="E40" s="716"/>
      <c r="F40" s="79"/>
      <c r="G40" s="80"/>
      <c r="H40" s="79"/>
      <c r="I40" s="80"/>
      <c r="J40" s="79"/>
      <c r="K40" s="80"/>
      <c r="L40" s="79"/>
      <c r="M40" s="80"/>
      <c r="N40" s="79"/>
      <c r="O40" s="80"/>
      <c r="P40" s="467"/>
      <c r="Q40" s="472"/>
      <c r="R40" s="467"/>
      <c r="S40" s="472"/>
      <c r="T40" s="79"/>
      <c r="U40" s="80"/>
      <c r="V40" s="79"/>
      <c r="W40" s="80"/>
      <c r="X40" s="79"/>
      <c r="Y40" s="80"/>
      <c r="Z40" s="79"/>
      <c r="AA40" s="80"/>
      <c r="AB40" s="79"/>
      <c r="AC40" s="80"/>
      <c r="AD40" s="467"/>
      <c r="AE40" s="472"/>
      <c r="AF40" s="79"/>
      <c r="AG40" s="80"/>
      <c r="AH40" s="79"/>
      <c r="AI40" s="80"/>
      <c r="AJ40" s="79"/>
      <c r="AK40" s="80"/>
      <c r="AL40" s="79"/>
      <c r="AM40" s="80"/>
      <c r="AN40" s="79"/>
      <c r="AO40" s="80"/>
      <c r="AP40" s="79"/>
      <c r="AQ40" s="80"/>
      <c r="AR40" s="467"/>
      <c r="AS40" s="472"/>
      <c r="AT40" s="79"/>
      <c r="AU40" s="80"/>
      <c r="AV40" s="79"/>
      <c r="AW40" s="80"/>
      <c r="AX40" s="79"/>
      <c r="AY40" s="80"/>
      <c r="AZ40" s="79"/>
      <c r="BA40" s="80"/>
      <c r="BB40" s="79"/>
      <c r="BC40" s="80"/>
      <c r="BD40" s="79"/>
      <c r="BE40" s="80"/>
      <c r="BF40" s="467"/>
      <c r="BG40" s="472"/>
      <c r="BH40" s="479"/>
      <c r="BI40" s="480"/>
      <c r="BJ40" s="468">
        <f t="shared" si="6"/>
        <v>0</v>
      </c>
      <c r="BK40" s="469">
        <f t="shared" si="7"/>
        <v>0</v>
      </c>
      <c r="BL40" s="453"/>
    </row>
    <row r="41" spans="1:64" ht="15" customHeight="1" x14ac:dyDescent="0.35">
      <c r="A41" s="24"/>
      <c r="B41" s="481" t="s">
        <v>26</v>
      </c>
      <c r="C41" s="20" t="s">
        <v>51</v>
      </c>
      <c r="D41" s="715" t="s">
        <v>52</v>
      </c>
      <c r="E41" s="716"/>
      <c r="F41" s="79"/>
      <c r="G41" s="80"/>
      <c r="H41" s="79"/>
      <c r="I41" s="80"/>
      <c r="J41" s="79"/>
      <c r="K41" s="80"/>
      <c r="L41" s="79"/>
      <c r="M41" s="80"/>
      <c r="N41" s="79"/>
      <c r="O41" s="80"/>
      <c r="P41" s="467"/>
      <c r="Q41" s="472"/>
      <c r="R41" s="467"/>
      <c r="S41" s="472"/>
      <c r="T41" s="79"/>
      <c r="U41" s="80"/>
      <c r="V41" s="79"/>
      <c r="W41" s="80"/>
      <c r="X41" s="79"/>
      <c r="Y41" s="80"/>
      <c r="Z41" s="79"/>
      <c r="AA41" s="80"/>
      <c r="AB41" s="79"/>
      <c r="AC41" s="80"/>
      <c r="AD41" s="467"/>
      <c r="AE41" s="472"/>
      <c r="AF41" s="79"/>
      <c r="AG41" s="80"/>
      <c r="AH41" s="79"/>
      <c r="AI41" s="80"/>
      <c r="AJ41" s="79"/>
      <c r="AK41" s="80"/>
      <c r="AL41" s="79"/>
      <c r="AM41" s="80"/>
      <c r="AN41" s="79"/>
      <c r="AO41" s="80"/>
      <c r="AP41" s="79"/>
      <c r="AQ41" s="80"/>
      <c r="AR41" s="467"/>
      <c r="AS41" s="472"/>
      <c r="AT41" s="79"/>
      <c r="AU41" s="80"/>
      <c r="AV41" s="79"/>
      <c r="AW41" s="80"/>
      <c r="AX41" s="79"/>
      <c r="AY41" s="80"/>
      <c r="AZ41" s="79"/>
      <c r="BA41" s="80"/>
      <c r="BB41" s="79"/>
      <c r="BC41" s="80"/>
      <c r="BD41" s="79"/>
      <c r="BE41" s="80"/>
      <c r="BF41" s="467"/>
      <c r="BG41" s="472"/>
      <c r="BH41" s="479"/>
      <c r="BI41" s="480"/>
      <c r="BJ41" s="468">
        <f t="shared" si="6"/>
        <v>0</v>
      </c>
      <c r="BK41" s="469">
        <f t="shared" si="7"/>
        <v>0</v>
      </c>
      <c r="BL41" s="453"/>
    </row>
    <row r="42" spans="1:64" ht="15" customHeight="1" x14ac:dyDescent="0.35">
      <c r="A42" s="24"/>
      <c r="B42" s="481" t="s">
        <v>26</v>
      </c>
      <c r="C42" s="24" t="s">
        <v>53</v>
      </c>
      <c r="D42" s="715" t="s">
        <v>54</v>
      </c>
      <c r="E42" s="716"/>
      <c r="F42" s="79"/>
      <c r="G42" s="80"/>
      <c r="H42" s="79"/>
      <c r="I42" s="80"/>
      <c r="J42" s="79"/>
      <c r="K42" s="80"/>
      <c r="L42" s="79"/>
      <c r="M42" s="80"/>
      <c r="N42" s="79"/>
      <c r="O42" s="80"/>
      <c r="P42" s="467"/>
      <c r="Q42" s="472"/>
      <c r="R42" s="467"/>
      <c r="S42" s="472"/>
      <c r="T42" s="79"/>
      <c r="U42" s="80"/>
      <c r="V42" s="79"/>
      <c r="W42" s="80"/>
      <c r="X42" s="79"/>
      <c r="Y42" s="80"/>
      <c r="Z42" s="79"/>
      <c r="AA42" s="80"/>
      <c r="AB42" s="79"/>
      <c r="AC42" s="80"/>
      <c r="AD42" s="467"/>
      <c r="AE42" s="472"/>
      <c r="AF42" s="79"/>
      <c r="AG42" s="80"/>
      <c r="AH42" s="79"/>
      <c r="AI42" s="80"/>
      <c r="AJ42" s="79"/>
      <c r="AK42" s="80"/>
      <c r="AL42" s="79"/>
      <c r="AM42" s="80"/>
      <c r="AN42" s="79"/>
      <c r="AO42" s="80"/>
      <c r="AP42" s="79"/>
      <c r="AQ42" s="80"/>
      <c r="AR42" s="467"/>
      <c r="AS42" s="472"/>
      <c r="AT42" s="79"/>
      <c r="AU42" s="80"/>
      <c r="AV42" s="79"/>
      <c r="AW42" s="80"/>
      <c r="AX42" s="79"/>
      <c r="AY42" s="80"/>
      <c r="AZ42" s="79"/>
      <c r="BA42" s="80"/>
      <c r="BB42" s="79"/>
      <c r="BC42" s="80"/>
      <c r="BD42" s="79"/>
      <c r="BE42" s="80"/>
      <c r="BF42" s="467"/>
      <c r="BG42" s="472"/>
      <c r="BH42" s="479"/>
      <c r="BI42" s="480"/>
      <c r="BJ42" s="468">
        <f t="shared" si="6"/>
        <v>0</v>
      </c>
      <c r="BK42" s="469">
        <f t="shared" si="7"/>
        <v>0</v>
      </c>
      <c r="BL42" s="453"/>
    </row>
    <row r="43" spans="1:64" ht="15" customHeight="1" x14ac:dyDescent="0.35">
      <c r="A43" s="24"/>
      <c r="B43" s="481" t="s">
        <v>26</v>
      </c>
      <c r="C43" s="20" t="s">
        <v>55</v>
      </c>
      <c r="D43" s="715" t="s">
        <v>56</v>
      </c>
      <c r="E43" s="716"/>
      <c r="F43" s="79"/>
      <c r="G43" s="80"/>
      <c r="H43" s="79"/>
      <c r="I43" s="80"/>
      <c r="J43" s="79"/>
      <c r="K43" s="80"/>
      <c r="L43" s="79"/>
      <c r="M43" s="80"/>
      <c r="N43" s="79"/>
      <c r="O43" s="80"/>
      <c r="P43" s="467"/>
      <c r="Q43" s="472"/>
      <c r="R43" s="467"/>
      <c r="S43" s="472"/>
      <c r="T43" s="79"/>
      <c r="U43" s="80"/>
      <c r="V43" s="79"/>
      <c r="W43" s="80"/>
      <c r="X43" s="79"/>
      <c r="Y43" s="80"/>
      <c r="Z43" s="79"/>
      <c r="AA43" s="80"/>
      <c r="AB43" s="79"/>
      <c r="AC43" s="80"/>
      <c r="AD43" s="467"/>
      <c r="AE43" s="472"/>
      <c r="AF43" s="79"/>
      <c r="AG43" s="80"/>
      <c r="AH43" s="79"/>
      <c r="AI43" s="80"/>
      <c r="AJ43" s="79"/>
      <c r="AK43" s="80"/>
      <c r="AL43" s="79"/>
      <c r="AM43" s="80"/>
      <c r="AN43" s="79"/>
      <c r="AO43" s="80"/>
      <c r="AP43" s="79"/>
      <c r="AQ43" s="80"/>
      <c r="AR43" s="467"/>
      <c r="AS43" s="472"/>
      <c r="AT43" s="79"/>
      <c r="AU43" s="80"/>
      <c r="AV43" s="79"/>
      <c r="AW43" s="80"/>
      <c r="AX43" s="79"/>
      <c r="AY43" s="80"/>
      <c r="AZ43" s="79"/>
      <c r="BA43" s="80"/>
      <c r="BB43" s="79"/>
      <c r="BC43" s="80"/>
      <c r="BD43" s="79"/>
      <c r="BE43" s="80"/>
      <c r="BF43" s="467"/>
      <c r="BG43" s="472"/>
      <c r="BH43" s="479"/>
      <c r="BI43" s="480"/>
      <c r="BJ43" s="468">
        <f t="shared" si="6"/>
        <v>0</v>
      </c>
      <c r="BK43" s="469">
        <f t="shared" si="7"/>
        <v>0</v>
      </c>
      <c r="BL43" s="453"/>
    </row>
    <row r="44" spans="1:64" ht="15" customHeight="1" x14ac:dyDescent="0.35">
      <c r="A44" s="24"/>
      <c r="B44" s="481" t="s">
        <v>26</v>
      </c>
      <c r="C44" s="24" t="s">
        <v>57</v>
      </c>
      <c r="D44" s="715" t="s">
        <v>58</v>
      </c>
      <c r="E44" s="716"/>
      <c r="F44" s="79"/>
      <c r="G44" s="80"/>
      <c r="H44" s="79"/>
      <c r="I44" s="80"/>
      <c r="J44" s="79"/>
      <c r="K44" s="80"/>
      <c r="L44" s="79"/>
      <c r="M44" s="80"/>
      <c r="N44" s="79"/>
      <c r="O44" s="80"/>
      <c r="P44" s="467"/>
      <c r="Q44" s="472"/>
      <c r="R44" s="467"/>
      <c r="S44" s="472"/>
      <c r="T44" s="79"/>
      <c r="U44" s="80"/>
      <c r="V44" s="79"/>
      <c r="W44" s="80"/>
      <c r="X44" s="79"/>
      <c r="Y44" s="80"/>
      <c r="Z44" s="79"/>
      <c r="AA44" s="80"/>
      <c r="AB44" s="79"/>
      <c r="AC44" s="80"/>
      <c r="AD44" s="467"/>
      <c r="AE44" s="472"/>
      <c r="AF44" s="79"/>
      <c r="AG44" s="80"/>
      <c r="AH44" s="79"/>
      <c r="AI44" s="80"/>
      <c r="AJ44" s="79"/>
      <c r="AK44" s="80"/>
      <c r="AL44" s="79"/>
      <c r="AM44" s="80"/>
      <c r="AN44" s="79"/>
      <c r="AO44" s="80"/>
      <c r="AP44" s="79"/>
      <c r="AQ44" s="80"/>
      <c r="AR44" s="467"/>
      <c r="AS44" s="472"/>
      <c r="AT44" s="79"/>
      <c r="AU44" s="80"/>
      <c r="AV44" s="79"/>
      <c r="AW44" s="80"/>
      <c r="AX44" s="79"/>
      <c r="AY44" s="80"/>
      <c r="AZ44" s="79"/>
      <c r="BA44" s="80"/>
      <c r="BB44" s="79"/>
      <c r="BC44" s="80"/>
      <c r="BD44" s="79"/>
      <c r="BE44" s="80"/>
      <c r="BF44" s="467"/>
      <c r="BG44" s="472"/>
      <c r="BH44" s="479"/>
      <c r="BI44" s="480"/>
      <c r="BJ44" s="468">
        <f t="shared" si="6"/>
        <v>0</v>
      </c>
      <c r="BK44" s="469">
        <f t="shared" si="7"/>
        <v>0</v>
      </c>
      <c r="BL44" s="453"/>
    </row>
    <row r="45" spans="1:64" ht="15" customHeight="1" x14ac:dyDescent="0.35">
      <c r="A45" s="24"/>
      <c r="B45" s="481" t="s">
        <v>29</v>
      </c>
      <c r="C45" s="24" t="s">
        <v>59</v>
      </c>
      <c r="D45" s="715" t="s">
        <v>60</v>
      </c>
      <c r="E45" s="716"/>
      <c r="F45" s="79"/>
      <c r="G45" s="80"/>
      <c r="H45" s="79"/>
      <c r="I45" s="80"/>
      <c r="J45" s="79"/>
      <c r="K45" s="80"/>
      <c r="L45" s="79"/>
      <c r="M45" s="80"/>
      <c r="N45" s="79"/>
      <c r="O45" s="80"/>
      <c r="P45" s="467"/>
      <c r="Q45" s="472"/>
      <c r="R45" s="467"/>
      <c r="S45" s="472"/>
      <c r="T45" s="79"/>
      <c r="U45" s="80"/>
      <c r="V45" s="79"/>
      <c r="W45" s="80"/>
      <c r="X45" s="79"/>
      <c r="Y45" s="80"/>
      <c r="Z45" s="79"/>
      <c r="AA45" s="80"/>
      <c r="AB45" s="79"/>
      <c r="AC45" s="80"/>
      <c r="AD45" s="467"/>
      <c r="AE45" s="472"/>
      <c r="AF45" s="79"/>
      <c r="AG45" s="80"/>
      <c r="AH45" s="79"/>
      <c r="AI45" s="80"/>
      <c r="AJ45" s="79"/>
      <c r="AK45" s="80"/>
      <c r="AL45" s="79"/>
      <c r="AM45" s="80"/>
      <c r="AN45" s="79"/>
      <c r="AO45" s="80"/>
      <c r="AP45" s="79"/>
      <c r="AQ45" s="80"/>
      <c r="AR45" s="467"/>
      <c r="AS45" s="472"/>
      <c r="AT45" s="79"/>
      <c r="AU45" s="80"/>
      <c r="AV45" s="79"/>
      <c r="AW45" s="80"/>
      <c r="AX45" s="79"/>
      <c r="AY45" s="80"/>
      <c r="AZ45" s="79"/>
      <c r="BA45" s="80"/>
      <c r="BB45" s="79"/>
      <c r="BC45" s="80"/>
      <c r="BD45" s="79"/>
      <c r="BE45" s="80"/>
      <c r="BF45" s="467"/>
      <c r="BG45" s="472"/>
      <c r="BH45" s="479"/>
      <c r="BI45" s="480"/>
      <c r="BJ45" s="468">
        <f t="shared" si="6"/>
        <v>0</v>
      </c>
      <c r="BK45" s="469">
        <f t="shared" si="7"/>
        <v>0</v>
      </c>
      <c r="BL45" s="453"/>
    </row>
    <row r="46" spans="1:64" ht="15" customHeight="1" x14ac:dyDescent="0.35">
      <c r="A46" s="24"/>
      <c r="B46" s="481" t="s">
        <v>46</v>
      </c>
      <c r="C46" s="24" t="s">
        <v>61</v>
      </c>
      <c r="D46" s="715" t="s">
        <v>62</v>
      </c>
      <c r="E46" s="716"/>
      <c r="F46" s="79"/>
      <c r="G46" s="80"/>
      <c r="H46" s="79"/>
      <c r="I46" s="80"/>
      <c r="J46" s="79"/>
      <c r="K46" s="80"/>
      <c r="L46" s="79"/>
      <c r="M46" s="80"/>
      <c r="N46" s="79"/>
      <c r="O46" s="80"/>
      <c r="P46" s="467"/>
      <c r="Q46" s="472"/>
      <c r="R46" s="467"/>
      <c r="S46" s="472"/>
      <c r="T46" s="79"/>
      <c r="U46" s="80"/>
      <c r="V46" s="79"/>
      <c r="W46" s="80"/>
      <c r="X46" s="79"/>
      <c r="Y46" s="80"/>
      <c r="Z46" s="79"/>
      <c r="AA46" s="80"/>
      <c r="AB46" s="79"/>
      <c r="AC46" s="80"/>
      <c r="AD46" s="467"/>
      <c r="AE46" s="472"/>
      <c r="AF46" s="79"/>
      <c r="AG46" s="80"/>
      <c r="AH46" s="79"/>
      <c r="AI46" s="80"/>
      <c r="AJ46" s="79"/>
      <c r="AK46" s="80"/>
      <c r="AL46" s="79"/>
      <c r="AM46" s="80"/>
      <c r="AN46" s="79"/>
      <c r="AO46" s="80"/>
      <c r="AP46" s="79"/>
      <c r="AQ46" s="80"/>
      <c r="AR46" s="467"/>
      <c r="AS46" s="472"/>
      <c r="AT46" s="79"/>
      <c r="AU46" s="80"/>
      <c r="AV46" s="79"/>
      <c r="AW46" s="80"/>
      <c r="AX46" s="79"/>
      <c r="AY46" s="80"/>
      <c r="AZ46" s="79"/>
      <c r="BA46" s="80"/>
      <c r="BB46" s="79"/>
      <c r="BC46" s="80"/>
      <c r="BD46" s="79"/>
      <c r="BE46" s="80"/>
      <c r="BF46" s="467"/>
      <c r="BG46" s="472"/>
      <c r="BH46" s="479"/>
      <c r="BI46" s="480"/>
      <c r="BJ46" s="468">
        <f t="shared" si="6"/>
        <v>0</v>
      </c>
      <c r="BK46" s="469">
        <f t="shared" si="7"/>
        <v>0</v>
      </c>
      <c r="BL46" s="453"/>
    </row>
    <row r="47" spans="1:64" ht="15" customHeight="1" x14ac:dyDescent="0.35">
      <c r="A47" s="24"/>
      <c r="B47" s="481" t="s">
        <v>26</v>
      </c>
      <c r="C47" s="20" t="s">
        <v>63</v>
      </c>
      <c r="D47" s="715" t="s">
        <v>64</v>
      </c>
      <c r="E47" s="716"/>
      <c r="F47" s="79"/>
      <c r="G47" s="80"/>
      <c r="H47" s="79"/>
      <c r="I47" s="80"/>
      <c r="J47" s="79"/>
      <c r="K47" s="80"/>
      <c r="L47" s="79"/>
      <c r="M47" s="80"/>
      <c r="N47" s="79"/>
      <c r="O47" s="80"/>
      <c r="P47" s="467"/>
      <c r="Q47" s="472"/>
      <c r="R47" s="467"/>
      <c r="S47" s="472"/>
      <c r="T47" s="79"/>
      <c r="U47" s="80"/>
      <c r="V47" s="79"/>
      <c r="W47" s="80"/>
      <c r="X47" s="79"/>
      <c r="Y47" s="80"/>
      <c r="Z47" s="79"/>
      <c r="AA47" s="80"/>
      <c r="AB47" s="79"/>
      <c r="AC47" s="80"/>
      <c r="AD47" s="467"/>
      <c r="AE47" s="472"/>
      <c r="AF47" s="79"/>
      <c r="AG47" s="80"/>
      <c r="AH47" s="79"/>
      <c r="AI47" s="80"/>
      <c r="AJ47" s="79"/>
      <c r="AK47" s="80"/>
      <c r="AL47" s="79"/>
      <c r="AM47" s="80"/>
      <c r="AN47" s="79"/>
      <c r="AO47" s="80"/>
      <c r="AP47" s="79"/>
      <c r="AQ47" s="80"/>
      <c r="AR47" s="467"/>
      <c r="AS47" s="472"/>
      <c r="AT47" s="79"/>
      <c r="AU47" s="80"/>
      <c r="AV47" s="79"/>
      <c r="AW47" s="80"/>
      <c r="AX47" s="79"/>
      <c r="AY47" s="80"/>
      <c r="AZ47" s="79"/>
      <c r="BA47" s="80"/>
      <c r="BB47" s="79"/>
      <c r="BC47" s="80"/>
      <c r="BD47" s="79"/>
      <c r="BE47" s="80"/>
      <c r="BF47" s="467"/>
      <c r="BG47" s="472"/>
      <c r="BH47" s="479"/>
      <c r="BI47" s="480"/>
      <c r="BJ47" s="468">
        <f t="shared" si="6"/>
        <v>0</v>
      </c>
      <c r="BK47" s="469">
        <f t="shared" si="7"/>
        <v>0</v>
      </c>
      <c r="BL47" s="453"/>
    </row>
    <row r="48" spans="1:64" ht="15" customHeight="1" x14ac:dyDescent="0.35">
      <c r="A48" s="24"/>
      <c r="B48" s="481" t="s">
        <v>29</v>
      </c>
      <c r="C48" s="24" t="s">
        <v>65</v>
      </c>
      <c r="D48" s="715" t="s">
        <v>66</v>
      </c>
      <c r="E48" s="716"/>
      <c r="F48" s="79"/>
      <c r="G48" s="80"/>
      <c r="H48" s="79"/>
      <c r="I48" s="80"/>
      <c r="J48" s="79"/>
      <c r="K48" s="80"/>
      <c r="L48" s="79"/>
      <c r="M48" s="80"/>
      <c r="N48" s="79"/>
      <c r="O48" s="80"/>
      <c r="P48" s="467"/>
      <c r="Q48" s="472"/>
      <c r="R48" s="467"/>
      <c r="S48" s="472"/>
      <c r="T48" s="79"/>
      <c r="U48" s="80"/>
      <c r="V48" s="79"/>
      <c r="W48" s="80"/>
      <c r="X48" s="79"/>
      <c r="Y48" s="80"/>
      <c r="Z48" s="79"/>
      <c r="AA48" s="80"/>
      <c r="AB48" s="79"/>
      <c r="AC48" s="80"/>
      <c r="AD48" s="467"/>
      <c r="AE48" s="472"/>
      <c r="AF48" s="79"/>
      <c r="AG48" s="80"/>
      <c r="AH48" s="79"/>
      <c r="AI48" s="80"/>
      <c r="AJ48" s="79"/>
      <c r="AK48" s="80"/>
      <c r="AL48" s="79"/>
      <c r="AM48" s="80"/>
      <c r="AN48" s="79"/>
      <c r="AO48" s="80"/>
      <c r="AP48" s="79"/>
      <c r="AQ48" s="80"/>
      <c r="AR48" s="467"/>
      <c r="AS48" s="472"/>
      <c r="AT48" s="79"/>
      <c r="AU48" s="80"/>
      <c r="AV48" s="79"/>
      <c r="AW48" s="80"/>
      <c r="AX48" s="79"/>
      <c r="AY48" s="80"/>
      <c r="AZ48" s="79"/>
      <c r="BA48" s="80"/>
      <c r="BB48" s="79"/>
      <c r="BC48" s="80"/>
      <c r="BD48" s="79"/>
      <c r="BE48" s="80"/>
      <c r="BF48" s="467"/>
      <c r="BG48" s="472"/>
      <c r="BH48" s="479"/>
      <c r="BI48" s="480"/>
      <c r="BJ48" s="468">
        <f t="shared" si="6"/>
        <v>0</v>
      </c>
      <c r="BK48" s="469">
        <f t="shared" si="7"/>
        <v>0</v>
      </c>
      <c r="BL48" s="453"/>
    </row>
    <row r="49" spans="1:64" ht="15" customHeight="1" x14ac:dyDescent="0.35">
      <c r="A49" s="24"/>
      <c r="B49" s="481" t="s">
        <v>26</v>
      </c>
      <c r="C49" s="24" t="s">
        <v>67</v>
      </c>
      <c r="D49" s="715" t="s">
        <v>68</v>
      </c>
      <c r="E49" s="716"/>
      <c r="F49" s="79"/>
      <c r="G49" s="80"/>
      <c r="H49" s="79"/>
      <c r="I49" s="80"/>
      <c r="J49" s="79"/>
      <c r="K49" s="80"/>
      <c r="L49" s="79"/>
      <c r="M49" s="80"/>
      <c r="N49" s="79"/>
      <c r="O49" s="80"/>
      <c r="P49" s="467"/>
      <c r="Q49" s="472"/>
      <c r="R49" s="467"/>
      <c r="S49" s="472"/>
      <c r="T49" s="79"/>
      <c r="U49" s="80"/>
      <c r="V49" s="79"/>
      <c r="W49" s="80"/>
      <c r="X49" s="79"/>
      <c r="Y49" s="80"/>
      <c r="Z49" s="79"/>
      <c r="AA49" s="80"/>
      <c r="AB49" s="79"/>
      <c r="AC49" s="80"/>
      <c r="AD49" s="467"/>
      <c r="AE49" s="472"/>
      <c r="AF49" s="79"/>
      <c r="AG49" s="80"/>
      <c r="AH49" s="79"/>
      <c r="AI49" s="80"/>
      <c r="AJ49" s="79"/>
      <c r="AK49" s="80"/>
      <c r="AL49" s="79"/>
      <c r="AM49" s="80"/>
      <c r="AN49" s="79"/>
      <c r="AO49" s="80"/>
      <c r="AP49" s="79"/>
      <c r="AQ49" s="80"/>
      <c r="AR49" s="467"/>
      <c r="AS49" s="472"/>
      <c r="AT49" s="79"/>
      <c r="AU49" s="80"/>
      <c r="AV49" s="79"/>
      <c r="AW49" s="80"/>
      <c r="AX49" s="79"/>
      <c r="AY49" s="80"/>
      <c r="AZ49" s="79"/>
      <c r="BA49" s="80"/>
      <c r="BB49" s="79"/>
      <c r="BC49" s="80"/>
      <c r="BD49" s="79"/>
      <c r="BE49" s="80"/>
      <c r="BF49" s="467"/>
      <c r="BG49" s="472"/>
      <c r="BH49" s="479"/>
      <c r="BI49" s="480"/>
      <c r="BJ49" s="468">
        <f t="shared" si="6"/>
        <v>0</v>
      </c>
      <c r="BK49" s="469">
        <f t="shared" si="7"/>
        <v>0</v>
      </c>
      <c r="BL49" s="453"/>
    </row>
    <row r="50" spans="1:64" ht="15" customHeight="1" x14ac:dyDescent="0.35">
      <c r="A50" s="24"/>
      <c r="B50" s="481" t="s">
        <v>29</v>
      </c>
      <c r="C50" s="24" t="s">
        <v>69</v>
      </c>
      <c r="D50" s="715" t="s">
        <v>70</v>
      </c>
      <c r="E50" s="716"/>
      <c r="F50" s="79"/>
      <c r="G50" s="80"/>
      <c r="H50" s="79"/>
      <c r="I50" s="80"/>
      <c r="J50" s="79"/>
      <c r="K50" s="80"/>
      <c r="L50" s="79"/>
      <c r="M50" s="80"/>
      <c r="N50" s="79"/>
      <c r="O50" s="80"/>
      <c r="P50" s="467"/>
      <c r="Q50" s="472"/>
      <c r="R50" s="467"/>
      <c r="S50" s="472"/>
      <c r="T50" s="79"/>
      <c r="U50" s="80"/>
      <c r="V50" s="79"/>
      <c r="W50" s="80"/>
      <c r="X50" s="79"/>
      <c r="Y50" s="80"/>
      <c r="Z50" s="79"/>
      <c r="AA50" s="80"/>
      <c r="AB50" s="79"/>
      <c r="AC50" s="80"/>
      <c r="AD50" s="467"/>
      <c r="AE50" s="472"/>
      <c r="AF50" s="79"/>
      <c r="AG50" s="80"/>
      <c r="AH50" s="79"/>
      <c r="AI50" s="80"/>
      <c r="AJ50" s="79"/>
      <c r="AK50" s="80"/>
      <c r="AL50" s="79"/>
      <c r="AM50" s="80"/>
      <c r="AN50" s="79"/>
      <c r="AO50" s="80"/>
      <c r="AP50" s="79"/>
      <c r="AQ50" s="80"/>
      <c r="AR50" s="467"/>
      <c r="AS50" s="472"/>
      <c r="AT50" s="79"/>
      <c r="AU50" s="80"/>
      <c r="AV50" s="79"/>
      <c r="AW50" s="80"/>
      <c r="AX50" s="79"/>
      <c r="AY50" s="80"/>
      <c r="AZ50" s="79"/>
      <c r="BA50" s="80"/>
      <c r="BB50" s="79"/>
      <c r="BC50" s="80"/>
      <c r="BD50" s="79"/>
      <c r="BE50" s="80"/>
      <c r="BF50" s="467"/>
      <c r="BG50" s="472"/>
      <c r="BH50" s="479"/>
      <c r="BI50" s="480"/>
      <c r="BJ50" s="468">
        <f t="shared" si="6"/>
        <v>0</v>
      </c>
      <c r="BK50" s="469">
        <f t="shared" si="7"/>
        <v>0</v>
      </c>
      <c r="BL50" s="453"/>
    </row>
    <row r="51" spans="1:64" ht="15" customHeight="1" x14ac:dyDescent="0.35">
      <c r="A51" s="24"/>
      <c r="B51" s="481" t="s">
        <v>29</v>
      </c>
      <c r="C51" s="24" t="s">
        <v>71</v>
      </c>
      <c r="D51" s="715" t="s">
        <v>72</v>
      </c>
      <c r="E51" s="716"/>
      <c r="F51" s="79"/>
      <c r="G51" s="80"/>
      <c r="H51" s="79"/>
      <c r="I51" s="80"/>
      <c r="J51" s="79"/>
      <c r="K51" s="80"/>
      <c r="L51" s="79"/>
      <c r="M51" s="80"/>
      <c r="N51" s="79"/>
      <c r="O51" s="80"/>
      <c r="P51" s="467"/>
      <c r="Q51" s="472"/>
      <c r="R51" s="467"/>
      <c r="S51" s="472"/>
      <c r="T51" s="79"/>
      <c r="U51" s="80"/>
      <c r="V51" s="79"/>
      <c r="W51" s="80"/>
      <c r="X51" s="79"/>
      <c r="Y51" s="80"/>
      <c r="Z51" s="79"/>
      <c r="AA51" s="80"/>
      <c r="AB51" s="79"/>
      <c r="AC51" s="80"/>
      <c r="AD51" s="467"/>
      <c r="AE51" s="472"/>
      <c r="AF51" s="79"/>
      <c r="AG51" s="80"/>
      <c r="AH51" s="79"/>
      <c r="AI51" s="80"/>
      <c r="AJ51" s="79"/>
      <c r="AK51" s="80"/>
      <c r="AL51" s="79"/>
      <c r="AM51" s="80"/>
      <c r="AN51" s="79"/>
      <c r="AO51" s="80"/>
      <c r="AP51" s="79"/>
      <c r="AQ51" s="80"/>
      <c r="AR51" s="467"/>
      <c r="AS51" s="472"/>
      <c r="AT51" s="79"/>
      <c r="AU51" s="80"/>
      <c r="AV51" s="79"/>
      <c r="AW51" s="80"/>
      <c r="AX51" s="79"/>
      <c r="AY51" s="80"/>
      <c r="AZ51" s="79"/>
      <c r="BA51" s="80"/>
      <c r="BB51" s="79"/>
      <c r="BC51" s="80"/>
      <c r="BD51" s="79"/>
      <c r="BE51" s="80"/>
      <c r="BF51" s="467"/>
      <c r="BG51" s="472"/>
      <c r="BH51" s="479"/>
      <c r="BI51" s="480"/>
      <c r="BJ51" s="468">
        <f t="shared" si="6"/>
        <v>0</v>
      </c>
      <c r="BK51" s="469">
        <f t="shared" si="7"/>
        <v>0</v>
      </c>
      <c r="BL51" s="453"/>
    </row>
    <row r="52" spans="1:64" ht="15" customHeight="1" x14ac:dyDescent="0.35">
      <c r="A52" s="24"/>
      <c r="B52" s="481" t="s">
        <v>29</v>
      </c>
      <c r="C52" s="24" t="s">
        <v>73</v>
      </c>
      <c r="D52" s="715" t="s">
        <v>74</v>
      </c>
      <c r="E52" s="716"/>
      <c r="F52" s="79"/>
      <c r="G52" s="80"/>
      <c r="H52" s="79"/>
      <c r="I52" s="80"/>
      <c r="J52" s="79"/>
      <c r="K52" s="80"/>
      <c r="L52" s="79"/>
      <c r="M52" s="80"/>
      <c r="N52" s="79"/>
      <c r="O52" s="80"/>
      <c r="P52" s="467"/>
      <c r="Q52" s="472"/>
      <c r="R52" s="467"/>
      <c r="S52" s="472"/>
      <c r="T52" s="79"/>
      <c r="U52" s="80"/>
      <c r="V52" s="79"/>
      <c r="W52" s="80"/>
      <c r="X52" s="79"/>
      <c r="Y52" s="80"/>
      <c r="Z52" s="79"/>
      <c r="AA52" s="80"/>
      <c r="AB52" s="79"/>
      <c r="AC52" s="80"/>
      <c r="AD52" s="467"/>
      <c r="AE52" s="472"/>
      <c r="AF52" s="79"/>
      <c r="AG52" s="80"/>
      <c r="AH52" s="79"/>
      <c r="AI52" s="80"/>
      <c r="AJ52" s="79"/>
      <c r="AK52" s="80"/>
      <c r="AL52" s="79"/>
      <c r="AM52" s="80"/>
      <c r="AN52" s="79"/>
      <c r="AO52" s="80"/>
      <c r="AP52" s="79"/>
      <c r="AQ52" s="80"/>
      <c r="AR52" s="467"/>
      <c r="AS52" s="472"/>
      <c r="AT52" s="79"/>
      <c r="AU52" s="80"/>
      <c r="AV52" s="79"/>
      <c r="AW52" s="80"/>
      <c r="AX52" s="79"/>
      <c r="AY52" s="80"/>
      <c r="AZ52" s="79"/>
      <c r="BA52" s="80"/>
      <c r="BB52" s="79"/>
      <c r="BC52" s="80"/>
      <c r="BD52" s="79"/>
      <c r="BE52" s="80"/>
      <c r="BF52" s="467"/>
      <c r="BG52" s="472"/>
      <c r="BH52" s="479"/>
      <c r="BI52" s="480"/>
      <c r="BJ52" s="468">
        <f t="shared" si="6"/>
        <v>0</v>
      </c>
      <c r="BK52" s="469">
        <f t="shared" si="7"/>
        <v>0</v>
      </c>
      <c r="BL52" s="453"/>
    </row>
    <row r="53" spans="1:64" ht="15" customHeight="1" x14ac:dyDescent="0.35">
      <c r="A53" s="24"/>
      <c r="B53" s="481" t="s">
        <v>29</v>
      </c>
      <c r="C53" s="24" t="s">
        <v>75</v>
      </c>
      <c r="D53" s="715" t="s">
        <v>76</v>
      </c>
      <c r="E53" s="716"/>
      <c r="F53" s="79"/>
      <c r="G53" s="80"/>
      <c r="H53" s="79"/>
      <c r="I53" s="80"/>
      <c r="J53" s="79"/>
      <c r="K53" s="80"/>
      <c r="L53" s="79"/>
      <c r="M53" s="80"/>
      <c r="N53" s="79"/>
      <c r="O53" s="80"/>
      <c r="P53" s="467"/>
      <c r="Q53" s="472"/>
      <c r="R53" s="467"/>
      <c r="S53" s="472"/>
      <c r="T53" s="79"/>
      <c r="U53" s="80"/>
      <c r="V53" s="79"/>
      <c r="W53" s="80"/>
      <c r="X53" s="79"/>
      <c r="Y53" s="80"/>
      <c r="Z53" s="79"/>
      <c r="AA53" s="80"/>
      <c r="AB53" s="79"/>
      <c r="AC53" s="80"/>
      <c r="AD53" s="467"/>
      <c r="AE53" s="472"/>
      <c r="AF53" s="79"/>
      <c r="AG53" s="80"/>
      <c r="AH53" s="79"/>
      <c r="AI53" s="80"/>
      <c r="AJ53" s="79"/>
      <c r="AK53" s="80"/>
      <c r="AL53" s="79"/>
      <c r="AM53" s="80"/>
      <c r="AN53" s="79"/>
      <c r="AO53" s="80"/>
      <c r="AP53" s="79"/>
      <c r="AQ53" s="80"/>
      <c r="AR53" s="467"/>
      <c r="AS53" s="472"/>
      <c r="AT53" s="79"/>
      <c r="AU53" s="80"/>
      <c r="AV53" s="79"/>
      <c r="AW53" s="80"/>
      <c r="AX53" s="79"/>
      <c r="AY53" s="80"/>
      <c r="AZ53" s="79"/>
      <c r="BA53" s="80"/>
      <c r="BB53" s="79"/>
      <c r="BC53" s="80"/>
      <c r="BD53" s="79"/>
      <c r="BE53" s="80"/>
      <c r="BF53" s="467"/>
      <c r="BG53" s="472"/>
      <c r="BH53" s="479"/>
      <c r="BI53" s="480"/>
      <c r="BJ53" s="468">
        <f t="shared" si="6"/>
        <v>0</v>
      </c>
      <c r="BK53" s="469">
        <f t="shared" si="7"/>
        <v>0</v>
      </c>
      <c r="BL53" s="453"/>
    </row>
    <row r="54" spans="1:64" ht="15" customHeight="1" x14ac:dyDescent="0.35">
      <c r="A54" s="24"/>
      <c r="B54" s="481" t="s">
        <v>26</v>
      </c>
      <c r="C54" s="20" t="s">
        <v>77</v>
      </c>
      <c r="D54" s="715" t="s">
        <v>78</v>
      </c>
      <c r="E54" s="716"/>
      <c r="F54" s="79"/>
      <c r="G54" s="80"/>
      <c r="H54" s="79"/>
      <c r="I54" s="80"/>
      <c r="J54" s="79"/>
      <c r="K54" s="80"/>
      <c r="L54" s="79"/>
      <c r="M54" s="80"/>
      <c r="N54" s="79"/>
      <c r="O54" s="80"/>
      <c r="P54" s="467"/>
      <c r="Q54" s="472"/>
      <c r="R54" s="467"/>
      <c r="S54" s="472"/>
      <c r="T54" s="79"/>
      <c r="U54" s="80"/>
      <c r="V54" s="79"/>
      <c r="W54" s="80"/>
      <c r="X54" s="79"/>
      <c r="Y54" s="80"/>
      <c r="Z54" s="79"/>
      <c r="AA54" s="80"/>
      <c r="AB54" s="79"/>
      <c r="AC54" s="80"/>
      <c r="AD54" s="467"/>
      <c r="AE54" s="472"/>
      <c r="AF54" s="79"/>
      <c r="AG54" s="80"/>
      <c r="AH54" s="79"/>
      <c r="AI54" s="80"/>
      <c r="AJ54" s="79"/>
      <c r="AK54" s="80"/>
      <c r="AL54" s="79"/>
      <c r="AM54" s="80"/>
      <c r="AN54" s="79"/>
      <c r="AO54" s="80"/>
      <c r="AP54" s="79"/>
      <c r="AQ54" s="80"/>
      <c r="AR54" s="467"/>
      <c r="AS54" s="472"/>
      <c r="AT54" s="79"/>
      <c r="AU54" s="80"/>
      <c r="AV54" s="79"/>
      <c r="AW54" s="80"/>
      <c r="AX54" s="79"/>
      <c r="AY54" s="80"/>
      <c r="AZ54" s="79"/>
      <c r="BA54" s="80"/>
      <c r="BB54" s="79"/>
      <c r="BC54" s="80"/>
      <c r="BD54" s="79"/>
      <c r="BE54" s="80"/>
      <c r="BF54" s="467"/>
      <c r="BG54" s="472"/>
      <c r="BH54" s="479"/>
      <c r="BI54" s="480"/>
      <c r="BJ54" s="468">
        <f t="shared" si="6"/>
        <v>0</v>
      </c>
      <c r="BK54" s="469">
        <f t="shared" si="7"/>
        <v>0</v>
      </c>
      <c r="BL54" s="453"/>
    </row>
    <row r="55" spans="1:64" ht="15" customHeight="1" x14ac:dyDescent="0.35">
      <c r="A55" s="24"/>
      <c r="B55" s="481" t="s">
        <v>29</v>
      </c>
      <c r="C55" s="24" t="s">
        <v>79</v>
      </c>
      <c r="D55" s="715" t="s">
        <v>80</v>
      </c>
      <c r="E55" s="716"/>
      <c r="F55" s="79"/>
      <c r="G55" s="80"/>
      <c r="H55" s="79"/>
      <c r="I55" s="80"/>
      <c r="J55" s="79"/>
      <c r="K55" s="80"/>
      <c r="L55" s="79"/>
      <c r="M55" s="80"/>
      <c r="N55" s="79"/>
      <c r="O55" s="80"/>
      <c r="P55" s="467"/>
      <c r="Q55" s="472"/>
      <c r="R55" s="467"/>
      <c r="S55" s="472"/>
      <c r="T55" s="79"/>
      <c r="U55" s="80"/>
      <c r="V55" s="79"/>
      <c r="W55" s="80"/>
      <c r="X55" s="79"/>
      <c r="Y55" s="80"/>
      <c r="Z55" s="79"/>
      <c r="AA55" s="80"/>
      <c r="AB55" s="79"/>
      <c r="AC55" s="80"/>
      <c r="AD55" s="467"/>
      <c r="AE55" s="472"/>
      <c r="AF55" s="79"/>
      <c r="AG55" s="80"/>
      <c r="AH55" s="79"/>
      <c r="AI55" s="80"/>
      <c r="AJ55" s="79"/>
      <c r="AK55" s="80"/>
      <c r="AL55" s="79"/>
      <c r="AM55" s="80"/>
      <c r="AN55" s="79"/>
      <c r="AO55" s="80"/>
      <c r="AP55" s="79"/>
      <c r="AQ55" s="80"/>
      <c r="AR55" s="467"/>
      <c r="AS55" s="472"/>
      <c r="AT55" s="79"/>
      <c r="AU55" s="80"/>
      <c r="AV55" s="79"/>
      <c r="AW55" s="80"/>
      <c r="AX55" s="79"/>
      <c r="AY55" s="80"/>
      <c r="AZ55" s="79"/>
      <c r="BA55" s="80"/>
      <c r="BB55" s="79"/>
      <c r="BC55" s="80"/>
      <c r="BD55" s="79"/>
      <c r="BE55" s="80"/>
      <c r="BF55" s="467"/>
      <c r="BG55" s="472"/>
      <c r="BH55" s="479"/>
      <c r="BI55" s="480"/>
      <c r="BJ55" s="468">
        <f t="shared" si="6"/>
        <v>0</v>
      </c>
      <c r="BK55" s="469">
        <f t="shared" si="7"/>
        <v>0</v>
      </c>
      <c r="BL55" s="453"/>
    </row>
    <row r="56" spans="1:64" ht="15" customHeight="1" x14ac:dyDescent="0.35">
      <c r="A56" s="24"/>
      <c r="B56" s="481" t="s">
        <v>46</v>
      </c>
      <c r="C56" s="24" t="s">
        <v>81</v>
      </c>
      <c r="D56" s="715" t="s">
        <v>82</v>
      </c>
      <c r="E56" s="716"/>
      <c r="F56" s="79"/>
      <c r="G56" s="80">
        <v>35</v>
      </c>
      <c r="H56" s="79"/>
      <c r="I56" s="80"/>
      <c r="J56" s="79"/>
      <c r="K56" s="80"/>
      <c r="L56" s="79"/>
      <c r="M56" s="80"/>
      <c r="N56" s="79"/>
      <c r="O56" s="80"/>
      <c r="P56" s="467"/>
      <c r="Q56" s="472"/>
      <c r="R56" s="467"/>
      <c r="S56" s="472"/>
      <c r="T56" s="79"/>
      <c r="U56" s="80"/>
      <c r="V56" s="79"/>
      <c r="W56" s="80"/>
      <c r="X56" s="79"/>
      <c r="Y56" s="80"/>
      <c r="Z56" s="79"/>
      <c r="AA56" s="80"/>
      <c r="AB56" s="79"/>
      <c r="AC56" s="80"/>
      <c r="AD56" s="467"/>
      <c r="AE56" s="472"/>
      <c r="AF56" s="79"/>
      <c r="AG56" s="80"/>
      <c r="AH56" s="79"/>
      <c r="AI56" s="80"/>
      <c r="AJ56" s="79"/>
      <c r="AK56" s="80"/>
      <c r="AL56" s="79"/>
      <c r="AM56" s="80"/>
      <c r="AN56" s="79"/>
      <c r="AO56" s="80"/>
      <c r="AP56" s="79"/>
      <c r="AQ56" s="80"/>
      <c r="AR56" s="467"/>
      <c r="AS56" s="472"/>
      <c r="AT56" s="79"/>
      <c r="AU56" s="80"/>
      <c r="AV56" s="79"/>
      <c r="AW56" s="80"/>
      <c r="AX56" s="79"/>
      <c r="AY56" s="80"/>
      <c r="AZ56" s="79"/>
      <c r="BA56" s="80"/>
      <c r="BB56" s="79"/>
      <c r="BC56" s="80"/>
      <c r="BD56" s="79"/>
      <c r="BE56" s="80"/>
      <c r="BF56" s="467"/>
      <c r="BG56" s="472"/>
      <c r="BH56" s="479"/>
      <c r="BI56" s="480"/>
      <c r="BJ56" s="468">
        <f t="shared" si="6"/>
        <v>35</v>
      </c>
      <c r="BK56" s="469">
        <f t="shared" si="7"/>
        <v>1</v>
      </c>
      <c r="BL56" s="453"/>
    </row>
    <row r="57" spans="1:64" ht="15" customHeight="1" x14ac:dyDescent="0.35">
      <c r="A57" s="24"/>
      <c r="B57" s="24"/>
      <c r="C57" s="24"/>
      <c r="D57" s="715" t="s">
        <v>1031</v>
      </c>
      <c r="E57" s="716"/>
      <c r="F57" s="79"/>
      <c r="G57" s="80"/>
      <c r="H57" s="79"/>
      <c r="I57" s="80"/>
      <c r="J57" s="79"/>
      <c r="K57" s="80"/>
      <c r="L57" s="79"/>
      <c r="M57" s="80"/>
      <c r="N57" s="79"/>
      <c r="O57" s="80"/>
      <c r="P57" s="467"/>
      <c r="Q57" s="472"/>
      <c r="R57" s="467"/>
      <c r="S57" s="472"/>
      <c r="T57" s="79"/>
      <c r="U57" s="80"/>
      <c r="V57" s="79"/>
      <c r="W57" s="80"/>
      <c r="X57" s="79">
        <v>120</v>
      </c>
      <c r="Y57" s="80"/>
      <c r="Z57" s="79">
        <v>50</v>
      </c>
      <c r="AA57" s="80"/>
      <c r="AB57" s="79"/>
      <c r="AC57" s="80"/>
      <c r="AD57" s="467"/>
      <c r="AE57" s="472"/>
      <c r="AF57" s="79"/>
      <c r="AG57" s="80"/>
      <c r="AH57" s="79"/>
      <c r="AI57" s="80"/>
      <c r="AJ57" s="79"/>
      <c r="AK57" s="80"/>
      <c r="AL57" s="79"/>
      <c r="AM57" s="80"/>
      <c r="AN57" s="79"/>
      <c r="AO57" s="80"/>
      <c r="AP57" s="79"/>
      <c r="AQ57" s="80"/>
      <c r="AR57" s="467"/>
      <c r="AS57" s="472"/>
      <c r="AT57" s="79"/>
      <c r="AU57" s="80"/>
      <c r="AV57" s="79"/>
      <c r="AW57" s="80"/>
      <c r="AX57" s="79"/>
      <c r="AY57" s="80"/>
      <c r="AZ57" s="79"/>
      <c r="BA57" s="80"/>
      <c r="BB57" s="79"/>
      <c r="BC57" s="80"/>
      <c r="BD57" s="79"/>
      <c r="BE57" s="80"/>
      <c r="BF57" s="467"/>
      <c r="BG57" s="472"/>
      <c r="BH57" s="479"/>
      <c r="BI57" s="480"/>
      <c r="BJ57" s="468">
        <f t="shared" si="6"/>
        <v>170</v>
      </c>
      <c r="BK57" s="469">
        <f t="shared" si="7"/>
        <v>2</v>
      </c>
      <c r="BL57" s="453"/>
    </row>
    <row r="58" spans="1:64" ht="16.5" customHeight="1" x14ac:dyDescent="0.35">
      <c r="A58" s="24"/>
      <c r="B58" s="24"/>
      <c r="C58" s="24">
        <f>SUM(BJ60:BJ84)</f>
        <v>267</v>
      </c>
      <c r="D58" s="725" t="s">
        <v>83</v>
      </c>
      <c r="E58" s="726"/>
      <c r="F58" s="79"/>
      <c r="G58" s="80"/>
      <c r="H58" s="79"/>
      <c r="I58" s="80"/>
      <c r="J58" s="79"/>
      <c r="K58" s="80"/>
      <c r="L58" s="79"/>
      <c r="M58" s="80"/>
      <c r="N58" s="79"/>
      <c r="O58" s="80"/>
      <c r="P58" s="467"/>
      <c r="Q58" s="472"/>
      <c r="R58" s="467"/>
      <c r="S58" s="472"/>
      <c r="T58" s="79"/>
      <c r="U58" s="80"/>
      <c r="V58" s="79"/>
      <c r="W58" s="80"/>
      <c r="X58" s="79"/>
      <c r="Y58" s="80"/>
      <c r="Z58" s="79"/>
      <c r="AA58" s="80"/>
      <c r="AB58" s="79"/>
      <c r="AC58" s="80"/>
      <c r="AD58" s="467"/>
      <c r="AE58" s="472"/>
      <c r="AF58" s="79"/>
      <c r="AG58" s="80"/>
      <c r="AH58" s="79"/>
      <c r="AI58" s="80"/>
      <c r="AJ58" s="79"/>
      <c r="AK58" s="80"/>
      <c r="AL58" s="79"/>
      <c r="AM58" s="80"/>
      <c r="AN58" s="79"/>
      <c r="AO58" s="80"/>
      <c r="AP58" s="79"/>
      <c r="AQ58" s="80"/>
      <c r="AR58" s="467"/>
      <c r="AS58" s="472"/>
      <c r="AT58" s="79"/>
      <c r="AU58" s="80"/>
      <c r="AV58" s="79"/>
      <c r="AW58" s="80"/>
      <c r="AX58" s="79"/>
      <c r="AY58" s="80"/>
      <c r="AZ58" s="79"/>
      <c r="BA58" s="80"/>
      <c r="BB58" s="79"/>
      <c r="BC58" s="80"/>
      <c r="BD58" s="79"/>
      <c r="BE58" s="80"/>
      <c r="BF58" s="467"/>
      <c r="BG58" s="472"/>
      <c r="BH58" s="479"/>
      <c r="BI58" s="480"/>
      <c r="BJ58" s="468">
        <f t="shared" si="6"/>
        <v>0</v>
      </c>
      <c r="BK58" s="469">
        <f t="shared" si="7"/>
        <v>0</v>
      </c>
      <c r="BL58" s="453"/>
    </row>
    <row r="59" spans="1:64" ht="15" customHeight="1" x14ac:dyDescent="0.35">
      <c r="A59" s="24"/>
      <c r="B59" s="481" t="s">
        <v>29</v>
      </c>
      <c r="C59" s="24" t="s">
        <v>84</v>
      </c>
      <c r="D59" s="715" t="s">
        <v>43</v>
      </c>
      <c r="E59" s="716"/>
      <c r="F59" s="79"/>
      <c r="G59" s="80"/>
      <c r="H59" s="79"/>
      <c r="I59" s="80"/>
      <c r="J59" s="79"/>
      <c r="K59" s="80"/>
      <c r="L59" s="79"/>
      <c r="M59" s="80"/>
      <c r="N59" s="79"/>
      <c r="O59" s="80"/>
      <c r="P59" s="467"/>
      <c r="Q59" s="472"/>
      <c r="R59" s="467"/>
      <c r="S59" s="472"/>
      <c r="T59" s="79"/>
      <c r="U59" s="80"/>
      <c r="V59" s="79"/>
      <c r="W59" s="80"/>
      <c r="X59" s="79"/>
      <c r="Y59" s="80"/>
      <c r="Z59" s="79"/>
      <c r="AA59" s="80"/>
      <c r="AB59" s="79"/>
      <c r="AC59" s="80"/>
      <c r="AD59" s="467"/>
      <c r="AE59" s="472"/>
      <c r="AF59" s="79"/>
      <c r="AG59" s="80"/>
      <c r="AH59" s="79"/>
      <c r="AI59" s="80"/>
      <c r="AJ59" s="79"/>
      <c r="AK59" s="80"/>
      <c r="AL59" s="79"/>
      <c r="AM59" s="80"/>
      <c r="AN59" s="79"/>
      <c r="AO59" s="80"/>
      <c r="AP59" s="79"/>
      <c r="AQ59" s="80"/>
      <c r="AR59" s="467"/>
      <c r="AS59" s="472"/>
      <c r="AT59" s="79"/>
      <c r="AU59" s="80"/>
      <c r="AV59" s="79"/>
      <c r="AW59" s="80"/>
      <c r="AX59" s="79"/>
      <c r="AY59" s="80"/>
      <c r="AZ59" s="79"/>
      <c r="BA59" s="80"/>
      <c r="BB59" s="79"/>
      <c r="BC59" s="80"/>
      <c r="BD59" s="79"/>
      <c r="BE59" s="80"/>
      <c r="BF59" s="467"/>
      <c r="BG59" s="472"/>
      <c r="BH59" s="479"/>
      <c r="BI59" s="480"/>
      <c r="BJ59" s="468">
        <f t="shared" si="6"/>
        <v>0</v>
      </c>
      <c r="BK59" s="469">
        <f t="shared" si="7"/>
        <v>0</v>
      </c>
      <c r="BL59" s="453"/>
    </row>
    <row r="60" spans="1:64" ht="15" customHeight="1" x14ac:dyDescent="0.35">
      <c r="A60" s="24"/>
      <c r="B60" s="481" t="s">
        <v>85</v>
      </c>
      <c r="C60" s="24" t="s">
        <v>86</v>
      </c>
      <c r="D60" s="715" t="s">
        <v>87</v>
      </c>
      <c r="E60" s="716"/>
      <c r="F60" s="79"/>
      <c r="G60" s="80"/>
      <c r="H60" s="79"/>
      <c r="I60" s="80"/>
      <c r="J60" s="79"/>
      <c r="K60" s="80"/>
      <c r="L60" s="79"/>
      <c r="M60" s="80"/>
      <c r="N60" s="79"/>
      <c r="O60" s="80"/>
      <c r="P60" s="467"/>
      <c r="Q60" s="472"/>
      <c r="R60" s="467"/>
      <c r="S60" s="472"/>
      <c r="T60" s="79"/>
      <c r="U60" s="80"/>
      <c r="V60" s="79"/>
      <c r="W60" s="80"/>
      <c r="X60" s="79"/>
      <c r="Y60" s="80"/>
      <c r="Z60" s="79"/>
      <c r="AA60" s="80"/>
      <c r="AB60" s="79"/>
      <c r="AC60" s="80"/>
      <c r="AD60" s="467"/>
      <c r="AE60" s="472"/>
      <c r="AF60" s="79"/>
      <c r="AG60" s="80"/>
      <c r="AH60" s="79"/>
      <c r="AI60" s="80"/>
      <c r="AJ60" s="79"/>
      <c r="AK60" s="80"/>
      <c r="AL60" s="79"/>
      <c r="AM60" s="80"/>
      <c r="AN60" s="79"/>
      <c r="AO60" s="80"/>
      <c r="AP60" s="79"/>
      <c r="AQ60" s="80"/>
      <c r="AR60" s="467"/>
      <c r="AS60" s="472"/>
      <c r="AT60" s="79"/>
      <c r="AU60" s="80"/>
      <c r="AV60" s="79"/>
      <c r="AW60" s="80"/>
      <c r="AX60" s="79"/>
      <c r="AY60" s="80"/>
      <c r="AZ60" s="79"/>
      <c r="BA60" s="80"/>
      <c r="BB60" s="79"/>
      <c r="BC60" s="80"/>
      <c r="BD60" s="79"/>
      <c r="BE60" s="80"/>
      <c r="BF60" s="467"/>
      <c r="BG60" s="472"/>
      <c r="BH60" s="479"/>
      <c r="BI60" s="480"/>
      <c r="BJ60" s="468">
        <f t="shared" si="6"/>
        <v>0</v>
      </c>
      <c r="BK60" s="469">
        <f t="shared" si="7"/>
        <v>0</v>
      </c>
      <c r="BL60" s="453"/>
    </row>
    <row r="61" spans="1:64" ht="15" customHeight="1" x14ac:dyDescent="0.35">
      <c r="A61" s="24"/>
      <c r="B61" s="481" t="s">
        <v>85</v>
      </c>
      <c r="C61" s="24" t="s">
        <v>88</v>
      </c>
      <c r="D61" s="715" t="s">
        <v>89</v>
      </c>
      <c r="E61" s="716"/>
      <c r="F61" s="79"/>
      <c r="G61" s="80"/>
      <c r="H61" s="79"/>
      <c r="I61" s="80"/>
      <c r="J61" s="79"/>
      <c r="K61" s="80"/>
      <c r="L61" s="79"/>
      <c r="M61" s="80"/>
      <c r="N61" s="79"/>
      <c r="O61" s="80"/>
      <c r="P61" s="467"/>
      <c r="Q61" s="472"/>
      <c r="R61" s="467"/>
      <c r="S61" s="472"/>
      <c r="T61" s="79"/>
      <c r="U61" s="80"/>
      <c r="V61" s="79"/>
      <c r="W61" s="80"/>
      <c r="X61" s="79"/>
      <c r="Y61" s="80"/>
      <c r="Z61" s="79"/>
      <c r="AA61" s="80"/>
      <c r="AB61" s="79"/>
      <c r="AC61" s="80"/>
      <c r="AD61" s="467"/>
      <c r="AE61" s="472"/>
      <c r="AF61" s="79"/>
      <c r="AG61" s="80"/>
      <c r="AH61" s="79"/>
      <c r="AI61" s="80"/>
      <c r="AJ61" s="79"/>
      <c r="AK61" s="80"/>
      <c r="AL61" s="79"/>
      <c r="AM61" s="80"/>
      <c r="AN61" s="79"/>
      <c r="AO61" s="80"/>
      <c r="AP61" s="79"/>
      <c r="AQ61" s="80"/>
      <c r="AR61" s="467"/>
      <c r="AS61" s="472"/>
      <c r="AT61" s="79"/>
      <c r="AU61" s="80"/>
      <c r="AV61" s="79"/>
      <c r="AW61" s="80"/>
      <c r="AX61" s="79"/>
      <c r="AY61" s="80"/>
      <c r="AZ61" s="79"/>
      <c r="BA61" s="80"/>
      <c r="BB61" s="79"/>
      <c r="BC61" s="80"/>
      <c r="BD61" s="79"/>
      <c r="BE61" s="80"/>
      <c r="BF61" s="467"/>
      <c r="BG61" s="472"/>
      <c r="BH61" s="479"/>
      <c r="BI61" s="480"/>
      <c r="BJ61" s="468">
        <f t="shared" si="6"/>
        <v>0</v>
      </c>
      <c r="BK61" s="469">
        <f t="shared" si="7"/>
        <v>0</v>
      </c>
      <c r="BL61" s="453"/>
    </row>
    <row r="62" spans="1:64" ht="15" customHeight="1" x14ac:dyDescent="0.35">
      <c r="A62" s="24"/>
      <c r="B62" s="481" t="s">
        <v>85</v>
      </c>
      <c r="C62" s="24" t="s">
        <v>90</v>
      </c>
      <c r="D62" s="715" t="s">
        <v>91</v>
      </c>
      <c r="E62" s="716"/>
      <c r="F62" s="79"/>
      <c r="G62" s="80"/>
      <c r="H62" s="79"/>
      <c r="I62" s="80"/>
      <c r="J62" s="79"/>
      <c r="K62" s="80"/>
      <c r="L62" s="79"/>
      <c r="M62" s="80"/>
      <c r="N62" s="79"/>
      <c r="O62" s="80"/>
      <c r="P62" s="467"/>
      <c r="Q62" s="472"/>
      <c r="R62" s="467"/>
      <c r="S62" s="472"/>
      <c r="T62" s="79"/>
      <c r="U62" s="80"/>
      <c r="V62" s="79"/>
      <c r="W62" s="80"/>
      <c r="X62" s="79"/>
      <c r="Y62" s="80"/>
      <c r="Z62" s="79"/>
      <c r="AA62" s="80"/>
      <c r="AB62" s="79"/>
      <c r="AC62" s="80"/>
      <c r="AD62" s="467"/>
      <c r="AE62" s="472"/>
      <c r="AF62" s="79"/>
      <c r="AG62" s="80"/>
      <c r="AH62" s="79"/>
      <c r="AI62" s="80"/>
      <c r="AJ62" s="79"/>
      <c r="AK62" s="80"/>
      <c r="AL62" s="79"/>
      <c r="AM62" s="80"/>
      <c r="AN62" s="79"/>
      <c r="AO62" s="80"/>
      <c r="AP62" s="79"/>
      <c r="AQ62" s="80"/>
      <c r="AR62" s="467"/>
      <c r="AS62" s="472"/>
      <c r="AT62" s="79"/>
      <c r="AU62" s="80"/>
      <c r="AV62" s="79"/>
      <c r="AW62" s="80"/>
      <c r="AX62" s="79"/>
      <c r="AY62" s="80"/>
      <c r="AZ62" s="79"/>
      <c r="BA62" s="80"/>
      <c r="BB62" s="79"/>
      <c r="BC62" s="80"/>
      <c r="BD62" s="79"/>
      <c r="BE62" s="80"/>
      <c r="BF62" s="467"/>
      <c r="BG62" s="472"/>
      <c r="BH62" s="479"/>
      <c r="BI62" s="480"/>
      <c r="BJ62" s="468">
        <f t="shared" si="6"/>
        <v>0</v>
      </c>
      <c r="BK62" s="469">
        <f t="shared" si="7"/>
        <v>0</v>
      </c>
      <c r="BL62" s="453"/>
    </row>
    <row r="63" spans="1:64" ht="15" customHeight="1" x14ac:dyDescent="0.35">
      <c r="A63" s="24"/>
      <c r="B63" s="481" t="s">
        <v>85</v>
      </c>
      <c r="C63" s="24" t="s">
        <v>92</v>
      </c>
      <c r="D63" s="715" t="s">
        <v>93</v>
      </c>
      <c r="E63" s="716"/>
      <c r="F63" s="79"/>
      <c r="G63" s="80"/>
      <c r="H63" s="79"/>
      <c r="I63" s="80"/>
      <c r="J63" s="79"/>
      <c r="K63" s="80"/>
      <c r="L63" s="79"/>
      <c r="M63" s="80"/>
      <c r="N63" s="79"/>
      <c r="O63" s="80"/>
      <c r="P63" s="467"/>
      <c r="Q63" s="472"/>
      <c r="R63" s="467"/>
      <c r="S63" s="472"/>
      <c r="T63" s="79"/>
      <c r="U63" s="80"/>
      <c r="V63" s="79"/>
      <c r="W63" s="80"/>
      <c r="X63" s="79"/>
      <c r="Y63" s="80"/>
      <c r="Z63" s="79"/>
      <c r="AA63" s="80"/>
      <c r="AB63" s="79"/>
      <c r="AC63" s="80"/>
      <c r="AD63" s="467"/>
      <c r="AE63" s="472"/>
      <c r="AF63" s="79"/>
      <c r="AG63" s="80"/>
      <c r="AH63" s="79"/>
      <c r="AI63" s="80"/>
      <c r="AJ63" s="79"/>
      <c r="AK63" s="80"/>
      <c r="AL63" s="79"/>
      <c r="AM63" s="80"/>
      <c r="AN63" s="79"/>
      <c r="AO63" s="80"/>
      <c r="AP63" s="79"/>
      <c r="AQ63" s="80"/>
      <c r="AR63" s="467"/>
      <c r="AS63" s="472"/>
      <c r="AT63" s="79"/>
      <c r="AU63" s="80"/>
      <c r="AV63" s="79"/>
      <c r="AW63" s="80"/>
      <c r="AX63" s="79"/>
      <c r="AY63" s="80"/>
      <c r="AZ63" s="79"/>
      <c r="BA63" s="80"/>
      <c r="BB63" s="79"/>
      <c r="BC63" s="80"/>
      <c r="BD63" s="79"/>
      <c r="BE63" s="80"/>
      <c r="BF63" s="467"/>
      <c r="BG63" s="472"/>
      <c r="BH63" s="479"/>
      <c r="BI63" s="480"/>
      <c r="BJ63" s="468">
        <f t="shared" si="6"/>
        <v>0</v>
      </c>
      <c r="BK63" s="469">
        <f t="shared" si="7"/>
        <v>0</v>
      </c>
      <c r="BL63" s="453"/>
    </row>
    <row r="64" spans="1:64" ht="15" customHeight="1" x14ac:dyDescent="0.35">
      <c r="A64" s="24"/>
      <c r="B64" s="481" t="s">
        <v>85</v>
      </c>
      <c r="C64" s="24" t="s">
        <v>94</v>
      </c>
      <c r="D64" s="715" t="s">
        <v>95</v>
      </c>
      <c r="E64" s="716"/>
      <c r="F64" s="79"/>
      <c r="G64" s="80"/>
      <c r="H64" s="79"/>
      <c r="I64" s="80"/>
      <c r="J64" s="79"/>
      <c r="K64" s="80"/>
      <c r="L64" s="79"/>
      <c r="M64" s="80"/>
      <c r="N64" s="79"/>
      <c r="O64" s="80"/>
      <c r="P64" s="467"/>
      <c r="Q64" s="472"/>
      <c r="R64" s="467"/>
      <c r="S64" s="472"/>
      <c r="T64" s="79"/>
      <c r="U64" s="80"/>
      <c r="V64" s="79"/>
      <c r="W64" s="80"/>
      <c r="X64" s="79"/>
      <c r="Y64" s="80"/>
      <c r="Z64" s="79"/>
      <c r="AA64" s="80"/>
      <c r="AB64" s="79"/>
      <c r="AC64" s="80"/>
      <c r="AD64" s="467"/>
      <c r="AE64" s="472"/>
      <c r="AF64" s="79"/>
      <c r="AG64" s="80"/>
      <c r="AH64" s="79"/>
      <c r="AI64" s="80"/>
      <c r="AJ64" s="79"/>
      <c r="AK64" s="80"/>
      <c r="AL64" s="79"/>
      <c r="AM64" s="80"/>
      <c r="AN64" s="79"/>
      <c r="AO64" s="80"/>
      <c r="AP64" s="79"/>
      <c r="AQ64" s="80"/>
      <c r="AR64" s="467"/>
      <c r="AS64" s="472"/>
      <c r="AT64" s="79"/>
      <c r="AU64" s="80"/>
      <c r="AV64" s="79"/>
      <c r="AW64" s="80"/>
      <c r="AX64" s="79"/>
      <c r="AY64" s="80"/>
      <c r="AZ64" s="79"/>
      <c r="BA64" s="80"/>
      <c r="BB64" s="79"/>
      <c r="BC64" s="80"/>
      <c r="BD64" s="79"/>
      <c r="BE64" s="80"/>
      <c r="BF64" s="467"/>
      <c r="BG64" s="472"/>
      <c r="BH64" s="479"/>
      <c r="BI64" s="480"/>
      <c r="BJ64" s="468">
        <f t="shared" si="6"/>
        <v>0</v>
      </c>
      <c r="BK64" s="469">
        <f t="shared" si="7"/>
        <v>0</v>
      </c>
      <c r="BL64" s="453"/>
    </row>
    <row r="65" spans="1:64" ht="15" customHeight="1" x14ac:dyDescent="0.35">
      <c r="A65" s="24"/>
      <c r="B65" s="481" t="s">
        <v>85</v>
      </c>
      <c r="C65" s="24" t="s">
        <v>96</v>
      </c>
      <c r="D65" s="715" t="s">
        <v>245</v>
      </c>
      <c r="E65" s="716"/>
      <c r="F65" s="79"/>
      <c r="G65" s="80"/>
      <c r="H65" s="79"/>
      <c r="I65" s="80"/>
      <c r="J65" s="79"/>
      <c r="K65" s="80"/>
      <c r="L65" s="79"/>
      <c r="M65" s="80"/>
      <c r="N65" s="79"/>
      <c r="O65" s="80"/>
      <c r="P65" s="467"/>
      <c r="Q65" s="472"/>
      <c r="R65" s="467"/>
      <c r="S65" s="472"/>
      <c r="T65" s="79"/>
      <c r="U65" s="80"/>
      <c r="V65" s="79"/>
      <c r="W65" s="80"/>
      <c r="X65" s="79"/>
      <c r="Y65" s="80"/>
      <c r="Z65" s="79"/>
      <c r="AA65" s="80"/>
      <c r="AB65" s="79"/>
      <c r="AC65" s="80"/>
      <c r="AD65" s="467"/>
      <c r="AE65" s="472"/>
      <c r="AF65" s="79"/>
      <c r="AG65" s="80"/>
      <c r="AH65" s="79"/>
      <c r="AI65" s="80"/>
      <c r="AJ65" s="79"/>
      <c r="AK65" s="80"/>
      <c r="AL65" s="79"/>
      <c r="AM65" s="80"/>
      <c r="AN65" s="79"/>
      <c r="AO65" s="80"/>
      <c r="AP65" s="79"/>
      <c r="AQ65" s="80"/>
      <c r="AR65" s="467"/>
      <c r="AS65" s="472"/>
      <c r="AT65" s="79"/>
      <c r="AU65" s="80"/>
      <c r="AV65" s="79"/>
      <c r="AW65" s="80"/>
      <c r="AX65" s="79"/>
      <c r="AY65" s="80"/>
      <c r="AZ65" s="79"/>
      <c r="BA65" s="80"/>
      <c r="BB65" s="79"/>
      <c r="BC65" s="80"/>
      <c r="BD65" s="79"/>
      <c r="BE65" s="80"/>
      <c r="BF65" s="467"/>
      <c r="BG65" s="472"/>
      <c r="BH65" s="479"/>
      <c r="BI65" s="480"/>
      <c r="BJ65" s="468">
        <f t="shared" ref="BJ65:BJ96" si="8">SUM(F65:BI65)</f>
        <v>0</v>
      </c>
      <c r="BK65" s="469">
        <f t="shared" ref="BK65:BK81" si="9">COUNT(F65:BI65)</f>
        <v>0</v>
      </c>
      <c r="BL65" s="453"/>
    </row>
    <row r="66" spans="1:64" ht="15" customHeight="1" x14ac:dyDescent="0.35">
      <c r="A66" s="24"/>
      <c r="B66" s="481" t="s">
        <v>85</v>
      </c>
      <c r="C66" s="24" t="s">
        <v>98</v>
      </c>
      <c r="D66" s="715" t="s">
        <v>99</v>
      </c>
      <c r="E66" s="716"/>
      <c r="F66" s="79"/>
      <c r="G66" s="80"/>
      <c r="H66" s="79"/>
      <c r="I66" s="80"/>
      <c r="J66" s="79"/>
      <c r="K66" s="80"/>
      <c r="L66" s="79"/>
      <c r="M66" s="80"/>
      <c r="N66" s="79"/>
      <c r="O66" s="80"/>
      <c r="P66" s="467"/>
      <c r="Q66" s="472"/>
      <c r="R66" s="467"/>
      <c r="S66" s="472"/>
      <c r="T66" s="79"/>
      <c r="U66" s="80"/>
      <c r="V66" s="79"/>
      <c r="W66" s="80"/>
      <c r="X66" s="79"/>
      <c r="Y66" s="80"/>
      <c r="Z66" s="79"/>
      <c r="AA66" s="80"/>
      <c r="AB66" s="79"/>
      <c r="AC66" s="80"/>
      <c r="AD66" s="467"/>
      <c r="AE66" s="472"/>
      <c r="AF66" s="79"/>
      <c r="AG66" s="80"/>
      <c r="AH66" s="79"/>
      <c r="AI66" s="80"/>
      <c r="AJ66" s="79"/>
      <c r="AK66" s="80"/>
      <c r="AL66" s="79"/>
      <c r="AM66" s="80"/>
      <c r="AN66" s="79"/>
      <c r="AO66" s="80"/>
      <c r="AP66" s="79"/>
      <c r="AQ66" s="80"/>
      <c r="AR66" s="467"/>
      <c r="AS66" s="472"/>
      <c r="AT66" s="79"/>
      <c r="AU66" s="80"/>
      <c r="AV66" s="79"/>
      <c r="AW66" s="80"/>
      <c r="AX66" s="79"/>
      <c r="AY66" s="80"/>
      <c r="AZ66" s="79"/>
      <c r="BA66" s="80"/>
      <c r="BB66" s="79"/>
      <c r="BC66" s="80"/>
      <c r="BD66" s="79"/>
      <c r="BE66" s="80"/>
      <c r="BF66" s="467"/>
      <c r="BG66" s="472"/>
      <c r="BH66" s="479"/>
      <c r="BI66" s="480"/>
      <c r="BJ66" s="468">
        <f t="shared" si="8"/>
        <v>0</v>
      </c>
      <c r="BK66" s="469">
        <f t="shared" si="9"/>
        <v>0</v>
      </c>
      <c r="BL66" s="453"/>
    </row>
    <row r="67" spans="1:64" ht="15" customHeight="1" x14ac:dyDescent="0.35">
      <c r="A67" s="24"/>
      <c r="B67" s="481" t="s">
        <v>85</v>
      </c>
      <c r="C67" s="24" t="s">
        <v>100</v>
      </c>
      <c r="D67" s="715" t="s">
        <v>101</v>
      </c>
      <c r="E67" s="716"/>
      <c r="F67" s="79"/>
      <c r="G67" s="80"/>
      <c r="H67" s="79"/>
      <c r="I67" s="80"/>
      <c r="J67" s="79"/>
      <c r="K67" s="80"/>
      <c r="L67" s="79"/>
      <c r="M67" s="80"/>
      <c r="N67" s="79"/>
      <c r="O67" s="80"/>
      <c r="P67" s="467"/>
      <c r="Q67" s="472"/>
      <c r="R67" s="467"/>
      <c r="S67" s="472"/>
      <c r="T67" s="79"/>
      <c r="U67" s="80"/>
      <c r="V67" s="79"/>
      <c r="W67" s="80"/>
      <c r="X67" s="79"/>
      <c r="Y67" s="80"/>
      <c r="Z67" s="79"/>
      <c r="AA67" s="80"/>
      <c r="AB67" s="79"/>
      <c r="AC67" s="80"/>
      <c r="AD67" s="467"/>
      <c r="AE67" s="472"/>
      <c r="AF67" s="79"/>
      <c r="AG67" s="80"/>
      <c r="AH67" s="79"/>
      <c r="AI67" s="80"/>
      <c r="AJ67" s="79"/>
      <c r="AK67" s="80"/>
      <c r="AL67" s="79"/>
      <c r="AM67" s="80"/>
      <c r="AN67" s="79"/>
      <c r="AO67" s="80"/>
      <c r="AP67" s="79"/>
      <c r="AQ67" s="80"/>
      <c r="AR67" s="467"/>
      <c r="AS67" s="472"/>
      <c r="AT67" s="79"/>
      <c r="AU67" s="80"/>
      <c r="AV67" s="79"/>
      <c r="AW67" s="80"/>
      <c r="AX67" s="79"/>
      <c r="AY67" s="80"/>
      <c r="AZ67" s="79"/>
      <c r="BA67" s="80"/>
      <c r="BB67" s="79"/>
      <c r="BC67" s="80"/>
      <c r="BD67" s="79"/>
      <c r="BE67" s="80"/>
      <c r="BF67" s="467"/>
      <c r="BG67" s="472"/>
      <c r="BH67" s="479"/>
      <c r="BI67" s="480"/>
      <c r="BJ67" s="468">
        <f t="shared" si="8"/>
        <v>0</v>
      </c>
      <c r="BK67" s="469">
        <f t="shared" si="9"/>
        <v>0</v>
      </c>
      <c r="BL67" s="453"/>
    </row>
    <row r="68" spans="1:64" ht="15" customHeight="1" x14ac:dyDescent="0.35">
      <c r="A68" s="24"/>
      <c r="B68" s="481" t="s">
        <v>29</v>
      </c>
      <c r="C68" s="24" t="s">
        <v>102</v>
      </c>
      <c r="D68" s="715" t="s">
        <v>103</v>
      </c>
      <c r="E68" s="716"/>
      <c r="F68" s="79"/>
      <c r="G68" s="80">
        <v>10</v>
      </c>
      <c r="H68" s="79">
        <v>10</v>
      </c>
      <c r="I68" s="80">
        <v>15</v>
      </c>
      <c r="J68" s="79"/>
      <c r="K68" s="80"/>
      <c r="L68" s="79"/>
      <c r="M68" s="80"/>
      <c r="N68" s="79"/>
      <c r="O68" s="80"/>
      <c r="P68" s="467"/>
      <c r="Q68" s="472"/>
      <c r="R68" s="467"/>
      <c r="S68" s="472"/>
      <c r="T68" s="79"/>
      <c r="U68" s="80"/>
      <c r="V68" s="79"/>
      <c r="W68" s="80"/>
      <c r="X68" s="79">
        <v>7</v>
      </c>
      <c r="Y68" s="80"/>
      <c r="Z68" s="79">
        <v>10</v>
      </c>
      <c r="AA68" s="80"/>
      <c r="AB68" s="79"/>
      <c r="AC68" s="80"/>
      <c r="AD68" s="467"/>
      <c r="AE68" s="472"/>
      <c r="AF68" s="79"/>
      <c r="AG68" s="80"/>
      <c r="AH68" s="79"/>
      <c r="AI68" s="80"/>
      <c r="AJ68" s="79"/>
      <c r="AK68" s="80"/>
      <c r="AL68" s="79"/>
      <c r="AM68" s="80"/>
      <c r="AN68" s="79"/>
      <c r="AO68" s="80"/>
      <c r="AP68" s="79"/>
      <c r="AQ68" s="80"/>
      <c r="AR68" s="467"/>
      <c r="AS68" s="472"/>
      <c r="AT68" s="79"/>
      <c r="AU68" s="80"/>
      <c r="AV68" s="79"/>
      <c r="AW68" s="80"/>
      <c r="AX68" s="79"/>
      <c r="AY68" s="80"/>
      <c r="AZ68" s="79"/>
      <c r="BA68" s="80"/>
      <c r="BB68" s="79"/>
      <c r="BC68" s="80"/>
      <c r="BD68" s="79"/>
      <c r="BE68" s="80"/>
      <c r="BF68" s="467"/>
      <c r="BG68" s="472"/>
      <c r="BH68" s="479"/>
      <c r="BI68" s="480"/>
      <c r="BJ68" s="468">
        <f t="shared" si="8"/>
        <v>52</v>
      </c>
      <c r="BK68" s="469">
        <f t="shared" si="9"/>
        <v>5</v>
      </c>
      <c r="BL68" s="453"/>
    </row>
    <row r="69" spans="1:64" ht="15" customHeight="1" x14ac:dyDescent="0.35">
      <c r="A69" s="24"/>
      <c r="B69" s="481" t="s">
        <v>104</v>
      </c>
      <c r="C69" s="24" t="s">
        <v>105</v>
      </c>
      <c r="D69" s="715" t="s">
        <v>1033</v>
      </c>
      <c r="E69" s="716"/>
      <c r="F69" s="79"/>
      <c r="G69" s="80"/>
      <c r="H69" s="79"/>
      <c r="I69" s="80"/>
      <c r="J69" s="79"/>
      <c r="K69" s="80"/>
      <c r="L69" s="79"/>
      <c r="M69" s="80"/>
      <c r="N69" s="79"/>
      <c r="O69" s="80"/>
      <c r="P69" s="467"/>
      <c r="Q69" s="472"/>
      <c r="R69" s="467"/>
      <c r="S69" s="472"/>
      <c r="T69" s="79"/>
      <c r="U69" s="80"/>
      <c r="V69" s="79"/>
      <c r="W69" s="80"/>
      <c r="X69" s="79"/>
      <c r="Y69" s="80"/>
      <c r="Z69" s="79"/>
      <c r="AA69" s="80"/>
      <c r="AB69" s="79"/>
      <c r="AC69" s="80"/>
      <c r="AD69" s="467"/>
      <c r="AE69" s="472"/>
      <c r="AF69" s="79"/>
      <c r="AG69" s="80"/>
      <c r="AH69" s="79"/>
      <c r="AI69" s="80"/>
      <c r="AJ69" s="79"/>
      <c r="AK69" s="80"/>
      <c r="AL69" s="79"/>
      <c r="AM69" s="80"/>
      <c r="AN69" s="79"/>
      <c r="AO69" s="80"/>
      <c r="AP69" s="79"/>
      <c r="AQ69" s="80"/>
      <c r="AR69" s="467"/>
      <c r="AS69" s="472"/>
      <c r="AT69" s="79"/>
      <c r="AU69" s="80"/>
      <c r="AV69" s="79"/>
      <c r="AW69" s="80"/>
      <c r="AX69" s="79"/>
      <c r="AY69" s="80"/>
      <c r="AZ69" s="79"/>
      <c r="BA69" s="80"/>
      <c r="BB69" s="79"/>
      <c r="BC69" s="80"/>
      <c r="BD69" s="79"/>
      <c r="BE69" s="80"/>
      <c r="BF69" s="467"/>
      <c r="BG69" s="472"/>
      <c r="BH69" s="479"/>
      <c r="BI69" s="480"/>
      <c r="BJ69" s="468">
        <f t="shared" si="8"/>
        <v>0</v>
      </c>
      <c r="BK69" s="469">
        <f t="shared" si="9"/>
        <v>0</v>
      </c>
      <c r="BL69" s="453"/>
    </row>
    <row r="70" spans="1:64" ht="15" customHeight="1" x14ac:dyDescent="0.35">
      <c r="A70" s="24"/>
      <c r="B70" s="481" t="s">
        <v>85</v>
      </c>
      <c r="C70" s="24" t="s">
        <v>107</v>
      </c>
      <c r="D70" s="715" t="s">
        <v>108</v>
      </c>
      <c r="E70" s="716"/>
      <c r="F70" s="79"/>
      <c r="G70" s="80"/>
      <c r="H70" s="79"/>
      <c r="I70" s="80"/>
      <c r="J70" s="79"/>
      <c r="K70" s="80"/>
      <c r="L70" s="79"/>
      <c r="M70" s="80"/>
      <c r="N70" s="79"/>
      <c r="O70" s="80"/>
      <c r="P70" s="467"/>
      <c r="Q70" s="472"/>
      <c r="R70" s="467"/>
      <c r="S70" s="472"/>
      <c r="T70" s="79"/>
      <c r="U70" s="80"/>
      <c r="V70" s="79"/>
      <c r="W70" s="80"/>
      <c r="X70" s="79"/>
      <c r="Y70" s="80"/>
      <c r="Z70" s="79"/>
      <c r="AA70" s="80"/>
      <c r="AB70" s="79"/>
      <c r="AC70" s="80"/>
      <c r="AD70" s="467"/>
      <c r="AE70" s="472"/>
      <c r="AF70" s="79"/>
      <c r="AG70" s="80"/>
      <c r="AH70" s="79"/>
      <c r="AI70" s="80"/>
      <c r="AJ70" s="79"/>
      <c r="AK70" s="80"/>
      <c r="AL70" s="79"/>
      <c r="AM70" s="80"/>
      <c r="AN70" s="79"/>
      <c r="AO70" s="80"/>
      <c r="AP70" s="79"/>
      <c r="AQ70" s="80"/>
      <c r="AR70" s="467"/>
      <c r="AS70" s="472"/>
      <c r="AT70" s="79"/>
      <c r="AU70" s="80"/>
      <c r="AV70" s="79"/>
      <c r="AW70" s="80"/>
      <c r="AX70" s="79"/>
      <c r="AY70" s="80"/>
      <c r="AZ70" s="79"/>
      <c r="BA70" s="80"/>
      <c r="BB70" s="79"/>
      <c r="BC70" s="80"/>
      <c r="BD70" s="79"/>
      <c r="BE70" s="80"/>
      <c r="BF70" s="467"/>
      <c r="BG70" s="472"/>
      <c r="BH70" s="479"/>
      <c r="BI70" s="480"/>
      <c r="BJ70" s="468">
        <f t="shared" si="8"/>
        <v>0</v>
      </c>
      <c r="BK70" s="469">
        <f t="shared" si="9"/>
        <v>0</v>
      </c>
      <c r="BL70" s="453"/>
    </row>
    <row r="71" spans="1:64" ht="15" customHeight="1" x14ac:dyDescent="0.35">
      <c r="A71" s="24"/>
      <c r="B71" s="481" t="s">
        <v>109</v>
      </c>
      <c r="C71" s="24" t="s">
        <v>110</v>
      </c>
      <c r="D71" s="715" t="s">
        <v>111</v>
      </c>
      <c r="E71" s="716"/>
      <c r="F71" s="79"/>
      <c r="G71" s="80"/>
      <c r="H71" s="79"/>
      <c r="I71" s="80"/>
      <c r="J71" s="79"/>
      <c r="K71" s="80"/>
      <c r="L71" s="79"/>
      <c r="M71" s="80"/>
      <c r="N71" s="79"/>
      <c r="O71" s="80"/>
      <c r="P71" s="467"/>
      <c r="Q71" s="472"/>
      <c r="R71" s="467"/>
      <c r="S71" s="472"/>
      <c r="T71" s="79"/>
      <c r="U71" s="80"/>
      <c r="V71" s="79"/>
      <c r="W71" s="80"/>
      <c r="X71" s="79"/>
      <c r="Y71" s="80"/>
      <c r="Z71" s="79"/>
      <c r="AA71" s="80"/>
      <c r="AB71" s="79"/>
      <c r="AC71" s="80"/>
      <c r="AD71" s="467"/>
      <c r="AE71" s="472"/>
      <c r="AF71" s="79"/>
      <c r="AG71" s="80"/>
      <c r="AH71" s="79"/>
      <c r="AI71" s="80"/>
      <c r="AJ71" s="79"/>
      <c r="AK71" s="80"/>
      <c r="AL71" s="79"/>
      <c r="AM71" s="80"/>
      <c r="AN71" s="79"/>
      <c r="AO71" s="80"/>
      <c r="AP71" s="79"/>
      <c r="AQ71" s="80"/>
      <c r="AR71" s="467"/>
      <c r="AS71" s="472"/>
      <c r="AT71" s="79"/>
      <c r="AU71" s="80"/>
      <c r="AV71" s="79"/>
      <c r="AW71" s="80"/>
      <c r="AX71" s="79"/>
      <c r="AY71" s="80"/>
      <c r="AZ71" s="79"/>
      <c r="BA71" s="80"/>
      <c r="BB71" s="79"/>
      <c r="BC71" s="80"/>
      <c r="BD71" s="79"/>
      <c r="BE71" s="80"/>
      <c r="BF71" s="467"/>
      <c r="BG71" s="472"/>
      <c r="BH71" s="479"/>
      <c r="BI71" s="480"/>
      <c r="BJ71" s="468">
        <f t="shared" si="8"/>
        <v>0</v>
      </c>
      <c r="BK71" s="469">
        <f t="shared" si="9"/>
        <v>0</v>
      </c>
      <c r="BL71" s="453"/>
    </row>
    <row r="72" spans="1:64" ht="15" customHeight="1" x14ac:dyDescent="0.35">
      <c r="A72" s="24"/>
      <c r="B72" s="481" t="s">
        <v>26</v>
      </c>
      <c r="C72" s="24" t="s">
        <v>112</v>
      </c>
      <c r="D72" s="715" t="s">
        <v>54</v>
      </c>
      <c r="E72" s="716"/>
      <c r="F72" s="79"/>
      <c r="G72" s="80"/>
      <c r="H72" s="79"/>
      <c r="I72" s="80"/>
      <c r="J72" s="79"/>
      <c r="K72" s="80"/>
      <c r="L72" s="79"/>
      <c r="M72" s="80"/>
      <c r="N72" s="79"/>
      <c r="O72" s="80"/>
      <c r="P72" s="467"/>
      <c r="Q72" s="472"/>
      <c r="R72" s="467"/>
      <c r="S72" s="472"/>
      <c r="T72" s="79"/>
      <c r="U72" s="80"/>
      <c r="V72" s="79"/>
      <c r="W72" s="80"/>
      <c r="X72" s="79"/>
      <c r="Y72" s="80"/>
      <c r="Z72" s="79"/>
      <c r="AA72" s="80"/>
      <c r="AB72" s="79"/>
      <c r="AC72" s="80"/>
      <c r="AD72" s="467"/>
      <c r="AE72" s="472"/>
      <c r="AF72" s="79"/>
      <c r="AG72" s="80"/>
      <c r="AH72" s="79"/>
      <c r="AI72" s="80"/>
      <c r="AJ72" s="79"/>
      <c r="AK72" s="80"/>
      <c r="AL72" s="79"/>
      <c r="AM72" s="80"/>
      <c r="AN72" s="79"/>
      <c r="AO72" s="80"/>
      <c r="AP72" s="79"/>
      <c r="AQ72" s="80"/>
      <c r="AR72" s="467"/>
      <c r="AS72" s="472"/>
      <c r="AT72" s="79"/>
      <c r="AU72" s="80"/>
      <c r="AV72" s="79"/>
      <c r="AW72" s="80"/>
      <c r="AX72" s="79"/>
      <c r="AY72" s="80"/>
      <c r="AZ72" s="79"/>
      <c r="BA72" s="80"/>
      <c r="BB72" s="79"/>
      <c r="BC72" s="80"/>
      <c r="BD72" s="79"/>
      <c r="BE72" s="80"/>
      <c r="BF72" s="467"/>
      <c r="BG72" s="472"/>
      <c r="BH72" s="479"/>
      <c r="BI72" s="480"/>
      <c r="BJ72" s="468">
        <f t="shared" si="8"/>
        <v>0</v>
      </c>
      <c r="BK72" s="469">
        <f t="shared" si="9"/>
        <v>0</v>
      </c>
      <c r="BL72" s="453"/>
    </row>
    <row r="73" spans="1:64" ht="15" customHeight="1" x14ac:dyDescent="0.35">
      <c r="A73" s="24"/>
      <c r="B73" s="481" t="s">
        <v>29</v>
      </c>
      <c r="C73" s="24" t="s">
        <v>113</v>
      </c>
      <c r="D73" s="715" t="s">
        <v>70</v>
      </c>
      <c r="E73" s="716"/>
      <c r="F73" s="79"/>
      <c r="G73" s="80"/>
      <c r="H73" s="79"/>
      <c r="I73" s="80"/>
      <c r="J73" s="79"/>
      <c r="K73" s="80"/>
      <c r="L73" s="79"/>
      <c r="M73" s="80"/>
      <c r="N73" s="79"/>
      <c r="O73" s="80"/>
      <c r="P73" s="467"/>
      <c r="Q73" s="472"/>
      <c r="R73" s="467"/>
      <c r="S73" s="472"/>
      <c r="T73" s="79"/>
      <c r="U73" s="80"/>
      <c r="V73" s="79"/>
      <c r="W73" s="80"/>
      <c r="X73" s="79"/>
      <c r="Y73" s="80"/>
      <c r="Z73" s="79"/>
      <c r="AA73" s="80"/>
      <c r="AB73" s="79"/>
      <c r="AC73" s="80"/>
      <c r="AD73" s="467"/>
      <c r="AE73" s="472"/>
      <c r="AF73" s="79"/>
      <c r="AG73" s="80"/>
      <c r="AH73" s="79"/>
      <c r="AI73" s="80"/>
      <c r="AJ73" s="79"/>
      <c r="AK73" s="80"/>
      <c r="AL73" s="79"/>
      <c r="AM73" s="80"/>
      <c r="AN73" s="79"/>
      <c r="AO73" s="80"/>
      <c r="AP73" s="79"/>
      <c r="AQ73" s="80"/>
      <c r="AR73" s="467"/>
      <c r="AS73" s="472"/>
      <c r="AT73" s="79"/>
      <c r="AU73" s="80"/>
      <c r="AV73" s="79"/>
      <c r="AW73" s="80"/>
      <c r="AX73" s="79"/>
      <c r="AY73" s="80"/>
      <c r="AZ73" s="79"/>
      <c r="BA73" s="80"/>
      <c r="BB73" s="79"/>
      <c r="BC73" s="80"/>
      <c r="BD73" s="79"/>
      <c r="BE73" s="80"/>
      <c r="BF73" s="467"/>
      <c r="BG73" s="472"/>
      <c r="BH73" s="479"/>
      <c r="BI73" s="480"/>
      <c r="BJ73" s="468">
        <f t="shared" si="8"/>
        <v>0</v>
      </c>
      <c r="BK73" s="469">
        <f t="shared" si="9"/>
        <v>0</v>
      </c>
      <c r="BL73" s="453"/>
    </row>
    <row r="74" spans="1:64" ht="15" customHeight="1" x14ac:dyDescent="0.35">
      <c r="A74" s="24"/>
      <c r="B74" s="481" t="s">
        <v>29</v>
      </c>
      <c r="C74" s="24" t="s">
        <v>114</v>
      </c>
      <c r="D74" s="715" t="s">
        <v>72</v>
      </c>
      <c r="E74" s="716"/>
      <c r="F74" s="79"/>
      <c r="G74" s="80"/>
      <c r="H74" s="79"/>
      <c r="I74" s="80"/>
      <c r="J74" s="79"/>
      <c r="K74" s="80"/>
      <c r="L74" s="79"/>
      <c r="M74" s="80"/>
      <c r="N74" s="79"/>
      <c r="O74" s="80"/>
      <c r="P74" s="467"/>
      <c r="Q74" s="472"/>
      <c r="R74" s="467"/>
      <c r="S74" s="472"/>
      <c r="T74" s="79"/>
      <c r="U74" s="80"/>
      <c r="V74" s="79"/>
      <c r="W74" s="80"/>
      <c r="X74" s="79"/>
      <c r="Y74" s="80"/>
      <c r="Z74" s="79"/>
      <c r="AA74" s="80"/>
      <c r="AB74" s="79"/>
      <c r="AC74" s="80"/>
      <c r="AD74" s="467"/>
      <c r="AE74" s="472"/>
      <c r="AF74" s="79"/>
      <c r="AG74" s="80"/>
      <c r="AH74" s="79"/>
      <c r="AI74" s="80"/>
      <c r="AJ74" s="79"/>
      <c r="AK74" s="80"/>
      <c r="AL74" s="79"/>
      <c r="AM74" s="80"/>
      <c r="AN74" s="79"/>
      <c r="AO74" s="80"/>
      <c r="AP74" s="79"/>
      <c r="AQ74" s="80"/>
      <c r="AR74" s="467"/>
      <c r="AS74" s="472"/>
      <c r="AT74" s="79"/>
      <c r="AU74" s="80"/>
      <c r="AV74" s="79"/>
      <c r="AW74" s="80"/>
      <c r="AX74" s="79"/>
      <c r="AY74" s="80"/>
      <c r="AZ74" s="79"/>
      <c r="BA74" s="80"/>
      <c r="BB74" s="79"/>
      <c r="BC74" s="80"/>
      <c r="BD74" s="79"/>
      <c r="BE74" s="80"/>
      <c r="BF74" s="467"/>
      <c r="BG74" s="472"/>
      <c r="BH74" s="479"/>
      <c r="BI74" s="480"/>
      <c r="BJ74" s="468">
        <f t="shared" si="8"/>
        <v>0</v>
      </c>
      <c r="BK74" s="469">
        <f t="shared" si="9"/>
        <v>0</v>
      </c>
      <c r="BL74" s="453"/>
    </row>
    <row r="75" spans="1:64" ht="15" customHeight="1" x14ac:dyDescent="0.35">
      <c r="A75" s="24"/>
      <c r="B75" s="481" t="s">
        <v>44</v>
      </c>
      <c r="C75" s="24" t="s">
        <v>115</v>
      </c>
      <c r="D75" s="715" t="s">
        <v>72</v>
      </c>
      <c r="E75" s="716"/>
      <c r="F75" s="79"/>
      <c r="G75" s="80"/>
      <c r="H75" s="79"/>
      <c r="I75" s="80"/>
      <c r="J75" s="79"/>
      <c r="K75" s="80"/>
      <c r="L75" s="79"/>
      <c r="M75" s="80"/>
      <c r="N75" s="79"/>
      <c r="O75" s="80"/>
      <c r="P75" s="467"/>
      <c r="Q75" s="472"/>
      <c r="R75" s="467"/>
      <c r="S75" s="472"/>
      <c r="T75" s="79"/>
      <c r="U75" s="80"/>
      <c r="V75" s="79"/>
      <c r="W75" s="80"/>
      <c r="X75" s="79"/>
      <c r="Y75" s="80"/>
      <c r="Z75" s="79"/>
      <c r="AA75" s="80"/>
      <c r="AB75" s="79"/>
      <c r="AC75" s="80"/>
      <c r="AD75" s="467"/>
      <c r="AE75" s="472"/>
      <c r="AF75" s="79"/>
      <c r="AG75" s="80"/>
      <c r="AH75" s="79"/>
      <c r="AI75" s="80"/>
      <c r="AJ75" s="79"/>
      <c r="AK75" s="80"/>
      <c r="AL75" s="79"/>
      <c r="AM75" s="80"/>
      <c r="AN75" s="79"/>
      <c r="AO75" s="80"/>
      <c r="AP75" s="79"/>
      <c r="AQ75" s="80"/>
      <c r="AR75" s="467"/>
      <c r="AS75" s="472"/>
      <c r="AT75" s="79"/>
      <c r="AU75" s="80"/>
      <c r="AV75" s="79"/>
      <c r="AW75" s="80"/>
      <c r="AX75" s="79"/>
      <c r="AY75" s="80"/>
      <c r="AZ75" s="79"/>
      <c r="BA75" s="80"/>
      <c r="BB75" s="79"/>
      <c r="BC75" s="80"/>
      <c r="BD75" s="79"/>
      <c r="BE75" s="80"/>
      <c r="BF75" s="467"/>
      <c r="BG75" s="472"/>
      <c r="BH75" s="479"/>
      <c r="BI75" s="480"/>
      <c r="BJ75" s="468">
        <f t="shared" si="8"/>
        <v>0</v>
      </c>
      <c r="BK75" s="469">
        <f t="shared" si="9"/>
        <v>0</v>
      </c>
      <c r="BL75" s="453"/>
    </row>
    <row r="76" spans="1:64" ht="15" customHeight="1" x14ac:dyDescent="0.35">
      <c r="A76" s="24"/>
      <c r="B76" s="481" t="s">
        <v>29</v>
      </c>
      <c r="C76" s="24" t="s">
        <v>116</v>
      </c>
      <c r="D76" s="715" t="s">
        <v>74</v>
      </c>
      <c r="E76" s="716"/>
      <c r="F76" s="79"/>
      <c r="G76" s="80"/>
      <c r="H76" s="79"/>
      <c r="I76" s="80"/>
      <c r="J76" s="79"/>
      <c r="K76" s="80"/>
      <c r="L76" s="79"/>
      <c r="M76" s="80"/>
      <c r="N76" s="79"/>
      <c r="O76" s="80"/>
      <c r="P76" s="467"/>
      <c r="Q76" s="472"/>
      <c r="R76" s="467"/>
      <c r="S76" s="472"/>
      <c r="T76" s="79"/>
      <c r="U76" s="80"/>
      <c r="V76" s="79"/>
      <c r="W76" s="80"/>
      <c r="X76" s="79"/>
      <c r="Y76" s="80"/>
      <c r="Z76" s="79"/>
      <c r="AA76" s="80"/>
      <c r="AB76" s="79"/>
      <c r="AC76" s="80"/>
      <c r="AD76" s="467"/>
      <c r="AE76" s="472"/>
      <c r="AF76" s="79"/>
      <c r="AG76" s="80"/>
      <c r="AH76" s="79"/>
      <c r="AI76" s="80"/>
      <c r="AJ76" s="79"/>
      <c r="AK76" s="80"/>
      <c r="AL76" s="79"/>
      <c r="AM76" s="80"/>
      <c r="AN76" s="79"/>
      <c r="AO76" s="80"/>
      <c r="AP76" s="79"/>
      <c r="AQ76" s="80"/>
      <c r="AR76" s="467"/>
      <c r="AS76" s="472"/>
      <c r="AT76" s="79"/>
      <c r="AU76" s="80"/>
      <c r="AV76" s="79"/>
      <c r="AW76" s="80"/>
      <c r="AX76" s="79"/>
      <c r="AY76" s="80"/>
      <c r="AZ76" s="79"/>
      <c r="BA76" s="80"/>
      <c r="BB76" s="79"/>
      <c r="BC76" s="80"/>
      <c r="BD76" s="79"/>
      <c r="BE76" s="80"/>
      <c r="BF76" s="467"/>
      <c r="BG76" s="472"/>
      <c r="BH76" s="479"/>
      <c r="BI76" s="480"/>
      <c r="BJ76" s="468">
        <f t="shared" si="8"/>
        <v>0</v>
      </c>
      <c r="BK76" s="469">
        <f t="shared" si="9"/>
        <v>0</v>
      </c>
      <c r="BL76" s="453"/>
    </row>
    <row r="77" spans="1:64" ht="15" customHeight="1" x14ac:dyDescent="0.35">
      <c r="A77" s="24"/>
      <c r="B77" s="481" t="s">
        <v>29</v>
      </c>
      <c r="C77" s="24" t="s">
        <v>117</v>
      </c>
      <c r="D77" s="715" t="s">
        <v>76</v>
      </c>
      <c r="E77" s="716"/>
      <c r="F77" s="79"/>
      <c r="G77" s="80"/>
      <c r="H77" s="79"/>
      <c r="I77" s="80"/>
      <c r="J77" s="79"/>
      <c r="K77" s="80"/>
      <c r="L77" s="79"/>
      <c r="M77" s="80"/>
      <c r="N77" s="79"/>
      <c r="O77" s="80"/>
      <c r="P77" s="467"/>
      <c r="Q77" s="472"/>
      <c r="R77" s="467"/>
      <c r="S77" s="472"/>
      <c r="T77" s="79"/>
      <c r="U77" s="80"/>
      <c r="V77" s="79"/>
      <c r="W77" s="80"/>
      <c r="X77" s="79"/>
      <c r="Y77" s="80"/>
      <c r="Z77" s="79"/>
      <c r="AA77" s="80"/>
      <c r="AB77" s="79"/>
      <c r="AC77" s="80"/>
      <c r="AD77" s="467"/>
      <c r="AE77" s="472"/>
      <c r="AF77" s="79"/>
      <c r="AG77" s="80"/>
      <c r="AH77" s="79"/>
      <c r="AI77" s="80"/>
      <c r="AJ77" s="79"/>
      <c r="AK77" s="80"/>
      <c r="AL77" s="79"/>
      <c r="AM77" s="80"/>
      <c r="AN77" s="79"/>
      <c r="AO77" s="80"/>
      <c r="AP77" s="79"/>
      <c r="AQ77" s="80"/>
      <c r="AR77" s="467"/>
      <c r="AS77" s="472"/>
      <c r="AT77" s="79"/>
      <c r="AU77" s="80"/>
      <c r="AV77" s="79"/>
      <c r="AW77" s="80"/>
      <c r="AX77" s="79"/>
      <c r="AY77" s="80"/>
      <c r="AZ77" s="79"/>
      <c r="BA77" s="80"/>
      <c r="BB77" s="79"/>
      <c r="BC77" s="80"/>
      <c r="BD77" s="79"/>
      <c r="BE77" s="80"/>
      <c r="BF77" s="467"/>
      <c r="BG77" s="472"/>
      <c r="BH77" s="479"/>
      <c r="BI77" s="480"/>
      <c r="BJ77" s="468">
        <f t="shared" si="8"/>
        <v>0</v>
      </c>
      <c r="BK77" s="469">
        <f t="shared" si="9"/>
        <v>0</v>
      </c>
      <c r="BL77" s="453"/>
    </row>
    <row r="78" spans="1:64" ht="15" customHeight="1" x14ac:dyDescent="0.35">
      <c r="A78" s="24"/>
      <c r="B78" s="481" t="s">
        <v>44</v>
      </c>
      <c r="C78" s="24" t="s">
        <v>118</v>
      </c>
      <c r="D78" s="715" t="s">
        <v>76</v>
      </c>
      <c r="E78" s="716"/>
      <c r="F78" s="79"/>
      <c r="G78" s="80"/>
      <c r="H78" s="79"/>
      <c r="I78" s="80"/>
      <c r="J78" s="79"/>
      <c r="K78" s="80"/>
      <c r="L78" s="79"/>
      <c r="M78" s="80"/>
      <c r="N78" s="79"/>
      <c r="O78" s="80"/>
      <c r="P78" s="467"/>
      <c r="Q78" s="472"/>
      <c r="R78" s="467"/>
      <c r="S78" s="472"/>
      <c r="T78" s="79"/>
      <c r="U78" s="80"/>
      <c r="V78" s="79"/>
      <c r="W78" s="80"/>
      <c r="X78" s="79"/>
      <c r="Y78" s="80"/>
      <c r="Z78" s="79"/>
      <c r="AA78" s="80"/>
      <c r="AB78" s="79"/>
      <c r="AC78" s="80"/>
      <c r="AD78" s="467"/>
      <c r="AE78" s="472"/>
      <c r="AF78" s="79"/>
      <c r="AG78" s="80"/>
      <c r="AH78" s="79"/>
      <c r="AI78" s="80"/>
      <c r="AJ78" s="79"/>
      <c r="AK78" s="80"/>
      <c r="AL78" s="79"/>
      <c r="AM78" s="80"/>
      <c r="AN78" s="79"/>
      <c r="AO78" s="80"/>
      <c r="AP78" s="79"/>
      <c r="AQ78" s="80"/>
      <c r="AR78" s="467"/>
      <c r="AS78" s="472"/>
      <c r="AT78" s="79"/>
      <c r="AU78" s="80"/>
      <c r="AV78" s="79"/>
      <c r="AW78" s="80"/>
      <c r="AX78" s="79"/>
      <c r="AY78" s="80"/>
      <c r="AZ78" s="79"/>
      <c r="BA78" s="80"/>
      <c r="BB78" s="79"/>
      <c r="BC78" s="80"/>
      <c r="BD78" s="79"/>
      <c r="BE78" s="80"/>
      <c r="BF78" s="467"/>
      <c r="BG78" s="472"/>
      <c r="BH78" s="479"/>
      <c r="BI78" s="480"/>
      <c r="BJ78" s="468">
        <f t="shared" si="8"/>
        <v>0</v>
      </c>
      <c r="BK78" s="469">
        <f t="shared" si="9"/>
        <v>0</v>
      </c>
      <c r="BL78" s="453"/>
    </row>
    <row r="79" spans="1:64" ht="15" customHeight="1" x14ac:dyDescent="0.35">
      <c r="A79" s="24"/>
      <c r="B79" s="481" t="s">
        <v>109</v>
      </c>
      <c r="C79" s="24" t="s">
        <v>119</v>
      </c>
      <c r="D79" s="715" t="s">
        <v>120</v>
      </c>
      <c r="E79" s="716"/>
      <c r="F79" s="79"/>
      <c r="G79" s="80"/>
      <c r="H79" s="79"/>
      <c r="I79" s="80"/>
      <c r="J79" s="79"/>
      <c r="K79" s="80"/>
      <c r="L79" s="79"/>
      <c r="M79" s="80"/>
      <c r="N79" s="79"/>
      <c r="O79" s="80"/>
      <c r="P79" s="467"/>
      <c r="Q79" s="472"/>
      <c r="R79" s="467"/>
      <c r="S79" s="472"/>
      <c r="T79" s="79"/>
      <c r="U79" s="80"/>
      <c r="V79" s="79"/>
      <c r="W79" s="80"/>
      <c r="X79" s="79"/>
      <c r="Y79" s="80"/>
      <c r="Z79" s="79"/>
      <c r="AA79" s="80"/>
      <c r="AB79" s="79"/>
      <c r="AC79" s="80"/>
      <c r="AD79" s="467"/>
      <c r="AE79" s="472"/>
      <c r="AF79" s="79"/>
      <c r="AG79" s="80"/>
      <c r="AH79" s="79"/>
      <c r="AI79" s="80"/>
      <c r="AJ79" s="79"/>
      <c r="AK79" s="80"/>
      <c r="AL79" s="79"/>
      <c r="AM79" s="80"/>
      <c r="AN79" s="79"/>
      <c r="AO79" s="80"/>
      <c r="AP79" s="79"/>
      <c r="AQ79" s="80"/>
      <c r="AR79" s="467"/>
      <c r="AS79" s="472"/>
      <c r="AT79" s="79"/>
      <c r="AU79" s="80"/>
      <c r="AV79" s="79"/>
      <c r="AW79" s="80"/>
      <c r="AX79" s="79"/>
      <c r="AY79" s="80"/>
      <c r="AZ79" s="79"/>
      <c r="BA79" s="80"/>
      <c r="BB79" s="79"/>
      <c r="BC79" s="80"/>
      <c r="BD79" s="79"/>
      <c r="BE79" s="80"/>
      <c r="BF79" s="467"/>
      <c r="BG79" s="472"/>
      <c r="BH79" s="479"/>
      <c r="BI79" s="480"/>
      <c r="BJ79" s="468">
        <f t="shared" si="8"/>
        <v>0</v>
      </c>
      <c r="BK79" s="469">
        <f t="shared" si="9"/>
        <v>0</v>
      </c>
      <c r="BL79" s="453"/>
    </row>
    <row r="80" spans="1:64" ht="15" customHeight="1" x14ac:dyDescent="0.35">
      <c r="A80" s="24"/>
      <c r="B80" s="481" t="s">
        <v>29</v>
      </c>
      <c r="C80" s="24" t="s">
        <v>121</v>
      </c>
      <c r="D80" s="715" t="s">
        <v>122</v>
      </c>
      <c r="E80" s="716"/>
      <c r="F80" s="79"/>
      <c r="G80" s="80"/>
      <c r="H80" s="79"/>
      <c r="I80" s="80"/>
      <c r="J80" s="79"/>
      <c r="K80" s="80"/>
      <c r="L80" s="79"/>
      <c r="M80" s="80"/>
      <c r="N80" s="79"/>
      <c r="O80" s="80"/>
      <c r="P80" s="467"/>
      <c r="Q80" s="472"/>
      <c r="R80" s="467"/>
      <c r="S80" s="472"/>
      <c r="T80" s="79"/>
      <c r="U80" s="80"/>
      <c r="V80" s="79"/>
      <c r="W80" s="80"/>
      <c r="X80" s="79"/>
      <c r="Y80" s="80"/>
      <c r="Z80" s="79"/>
      <c r="AA80" s="80"/>
      <c r="AB80" s="79"/>
      <c r="AC80" s="80"/>
      <c r="AD80" s="467"/>
      <c r="AE80" s="472"/>
      <c r="AF80" s="79"/>
      <c r="AG80" s="80"/>
      <c r="AH80" s="79"/>
      <c r="AI80" s="80"/>
      <c r="AJ80" s="79"/>
      <c r="AK80" s="80"/>
      <c r="AL80" s="79"/>
      <c r="AM80" s="80"/>
      <c r="AN80" s="79"/>
      <c r="AO80" s="80"/>
      <c r="AP80" s="79"/>
      <c r="AQ80" s="80"/>
      <c r="AR80" s="467"/>
      <c r="AS80" s="472"/>
      <c r="AT80" s="79"/>
      <c r="AU80" s="80"/>
      <c r="AV80" s="79"/>
      <c r="AW80" s="80"/>
      <c r="AX80" s="79"/>
      <c r="AY80" s="80"/>
      <c r="AZ80" s="79"/>
      <c r="BA80" s="80"/>
      <c r="BB80" s="79"/>
      <c r="BC80" s="80"/>
      <c r="BD80" s="79"/>
      <c r="BE80" s="80"/>
      <c r="BF80" s="467"/>
      <c r="BG80" s="472"/>
      <c r="BH80" s="479"/>
      <c r="BI80" s="480"/>
      <c r="BJ80" s="468">
        <f t="shared" si="8"/>
        <v>0</v>
      </c>
      <c r="BK80" s="469">
        <f t="shared" si="9"/>
        <v>0</v>
      </c>
      <c r="BL80" s="453"/>
    </row>
    <row r="81" spans="1:64" ht="15" customHeight="1" x14ac:dyDescent="0.35">
      <c r="A81" s="24"/>
      <c r="B81" s="481" t="s">
        <v>109</v>
      </c>
      <c r="C81" s="24" t="s">
        <v>123</v>
      </c>
      <c r="D81" s="715" t="s">
        <v>124</v>
      </c>
      <c r="E81" s="716"/>
      <c r="F81" s="79"/>
      <c r="G81" s="80"/>
      <c r="H81" s="79"/>
      <c r="I81" s="80"/>
      <c r="J81" s="79"/>
      <c r="K81" s="80"/>
      <c r="L81" s="79"/>
      <c r="M81" s="80"/>
      <c r="N81" s="79"/>
      <c r="O81" s="80"/>
      <c r="P81" s="467"/>
      <c r="Q81" s="472"/>
      <c r="R81" s="467"/>
      <c r="S81" s="472"/>
      <c r="T81" s="79"/>
      <c r="U81" s="80"/>
      <c r="V81" s="79"/>
      <c r="W81" s="80"/>
      <c r="X81" s="79"/>
      <c r="Y81" s="80"/>
      <c r="Z81" s="79"/>
      <c r="AA81" s="80"/>
      <c r="AB81" s="79"/>
      <c r="AC81" s="80"/>
      <c r="AD81" s="467"/>
      <c r="AE81" s="472"/>
      <c r="AF81" s="79"/>
      <c r="AG81" s="80"/>
      <c r="AH81" s="79"/>
      <c r="AI81" s="80"/>
      <c r="AJ81" s="79"/>
      <c r="AK81" s="80"/>
      <c r="AL81" s="79"/>
      <c r="AM81" s="80"/>
      <c r="AN81" s="79"/>
      <c r="AO81" s="80"/>
      <c r="AP81" s="79"/>
      <c r="AQ81" s="80"/>
      <c r="AR81" s="467"/>
      <c r="AS81" s="472"/>
      <c r="AT81" s="79"/>
      <c r="AU81" s="80"/>
      <c r="AV81" s="79"/>
      <c r="AW81" s="80"/>
      <c r="AX81" s="79"/>
      <c r="AY81" s="80"/>
      <c r="AZ81" s="79"/>
      <c r="BA81" s="80"/>
      <c r="BB81" s="79"/>
      <c r="BC81" s="80"/>
      <c r="BD81" s="79"/>
      <c r="BE81" s="80"/>
      <c r="BF81" s="467"/>
      <c r="BG81" s="472"/>
      <c r="BH81" s="479"/>
      <c r="BI81" s="480"/>
      <c r="BJ81" s="468">
        <f t="shared" si="8"/>
        <v>0</v>
      </c>
      <c r="BK81" s="469">
        <f t="shared" si="9"/>
        <v>0</v>
      </c>
      <c r="BL81" s="453"/>
    </row>
    <row r="82" spans="1:64" ht="15" customHeight="1" x14ac:dyDescent="0.35">
      <c r="A82" s="24"/>
      <c r="B82" s="481" t="s">
        <v>109</v>
      </c>
      <c r="C82" s="24" t="s">
        <v>159</v>
      </c>
      <c r="D82" s="715" t="s">
        <v>160</v>
      </c>
      <c r="E82" s="716"/>
      <c r="F82" s="79"/>
      <c r="G82" s="80"/>
      <c r="H82" s="79">
        <v>35</v>
      </c>
      <c r="I82" s="80"/>
      <c r="J82" s="79">
        <v>60</v>
      </c>
      <c r="K82" s="80"/>
      <c r="L82" s="79"/>
      <c r="M82" s="80"/>
      <c r="N82" s="79"/>
      <c r="O82" s="80"/>
      <c r="P82" s="467"/>
      <c r="Q82" s="472"/>
      <c r="R82" s="467"/>
      <c r="S82" s="472"/>
      <c r="T82" s="79"/>
      <c r="U82" s="80"/>
      <c r="V82" s="79"/>
      <c r="W82" s="80"/>
      <c r="X82" s="79"/>
      <c r="Y82" s="80"/>
      <c r="Z82" s="79">
        <v>60</v>
      </c>
      <c r="AA82" s="80"/>
      <c r="AB82" s="79"/>
      <c r="AC82" s="80"/>
      <c r="AD82" s="467"/>
      <c r="AE82" s="472"/>
      <c r="AF82" s="79">
        <v>60</v>
      </c>
      <c r="AG82" s="80"/>
      <c r="AH82" s="79"/>
      <c r="AI82" s="80"/>
      <c r="AJ82" s="79"/>
      <c r="AK82" s="80"/>
      <c r="AL82" s="79"/>
      <c r="AM82" s="80"/>
      <c r="AN82" s="79"/>
      <c r="AO82" s="80"/>
      <c r="AP82" s="79"/>
      <c r="AQ82" s="80"/>
      <c r="AR82" s="467"/>
      <c r="AS82" s="472"/>
      <c r="AT82" s="79"/>
      <c r="AU82" s="80"/>
      <c r="AV82" s="79"/>
      <c r="AW82" s="80"/>
      <c r="AX82" s="79"/>
      <c r="AY82" s="80"/>
      <c r="AZ82" s="79"/>
      <c r="BA82" s="80"/>
      <c r="BB82" s="79"/>
      <c r="BC82" s="80"/>
      <c r="BD82" s="79"/>
      <c r="BE82" s="80"/>
      <c r="BF82" s="467"/>
      <c r="BG82" s="472"/>
      <c r="BH82" s="479"/>
      <c r="BI82" s="480"/>
      <c r="BJ82" s="468">
        <f t="shared" si="8"/>
        <v>215</v>
      </c>
      <c r="BK82" s="469"/>
      <c r="BL82" s="453"/>
    </row>
    <row r="83" spans="1:64" ht="15" customHeight="1" x14ac:dyDescent="0.35">
      <c r="A83" s="24"/>
      <c r="B83" s="481" t="s">
        <v>104</v>
      </c>
      <c r="C83" s="24" t="s">
        <v>125</v>
      </c>
      <c r="D83" s="715" t="s">
        <v>126</v>
      </c>
      <c r="E83" s="716"/>
      <c r="F83" s="79"/>
      <c r="G83" s="80"/>
      <c r="H83" s="79"/>
      <c r="I83" s="80"/>
      <c r="J83" s="79"/>
      <c r="K83" s="80"/>
      <c r="L83" s="79"/>
      <c r="M83" s="80"/>
      <c r="N83" s="79"/>
      <c r="O83" s="80"/>
      <c r="P83" s="467"/>
      <c r="Q83" s="472"/>
      <c r="R83" s="467"/>
      <c r="S83" s="472"/>
      <c r="T83" s="79"/>
      <c r="U83" s="80"/>
      <c r="V83" s="79"/>
      <c r="W83" s="80"/>
      <c r="X83" s="79"/>
      <c r="Y83" s="80"/>
      <c r="Z83" s="79"/>
      <c r="AA83" s="80"/>
      <c r="AB83" s="79"/>
      <c r="AC83" s="80"/>
      <c r="AD83" s="467"/>
      <c r="AE83" s="472"/>
      <c r="AF83" s="79"/>
      <c r="AG83" s="80"/>
      <c r="AH83" s="79"/>
      <c r="AI83" s="80"/>
      <c r="AJ83" s="79"/>
      <c r="AK83" s="80"/>
      <c r="AL83" s="79"/>
      <c r="AM83" s="80"/>
      <c r="AN83" s="79"/>
      <c r="AO83" s="80"/>
      <c r="AP83" s="79"/>
      <c r="AQ83" s="80"/>
      <c r="AR83" s="467"/>
      <c r="AS83" s="472"/>
      <c r="AT83" s="79"/>
      <c r="AU83" s="80"/>
      <c r="AV83" s="79"/>
      <c r="AW83" s="80"/>
      <c r="AX83" s="79"/>
      <c r="AY83" s="80"/>
      <c r="AZ83" s="79"/>
      <c r="BA83" s="80"/>
      <c r="BB83" s="79"/>
      <c r="BC83" s="80"/>
      <c r="BD83" s="79"/>
      <c r="BE83" s="80"/>
      <c r="BF83" s="467"/>
      <c r="BG83" s="472"/>
      <c r="BH83" s="479"/>
      <c r="BI83" s="480"/>
      <c r="BJ83" s="468">
        <f t="shared" si="8"/>
        <v>0</v>
      </c>
      <c r="BK83" s="469">
        <f t="shared" ref="BK83:BK106" si="10">COUNT(F83:BI83)</f>
        <v>0</v>
      </c>
      <c r="BL83" s="453"/>
    </row>
    <row r="84" spans="1:64" ht="15" customHeight="1" x14ac:dyDescent="0.35">
      <c r="A84" s="24"/>
      <c r="B84" s="481"/>
      <c r="C84" s="24"/>
      <c r="D84" s="715"/>
      <c r="E84" s="716"/>
      <c r="F84" s="79"/>
      <c r="G84" s="80"/>
      <c r="H84" s="79"/>
      <c r="I84" s="80"/>
      <c r="J84" s="79"/>
      <c r="K84" s="80"/>
      <c r="L84" s="79"/>
      <c r="M84" s="80"/>
      <c r="N84" s="79"/>
      <c r="O84" s="80"/>
      <c r="P84" s="467"/>
      <c r="Q84" s="472"/>
      <c r="R84" s="467"/>
      <c r="S84" s="472"/>
      <c r="T84" s="79"/>
      <c r="U84" s="80"/>
      <c r="V84" s="79"/>
      <c r="W84" s="80"/>
      <c r="X84" s="79"/>
      <c r="Y84" s="80"/>
      <c r="Z84" s="79"/>
      <c r="AA84" s="80"/>
      <c r="AB84" s="79"/>
      <c r="AC84" s="80"/>
      <c r="AD84" s="467"/>
      <c r="AE84" s="472"/>
      <c r="AF84" s="79"/>
      <c r="AG84" s="80"/>
      <c r="AH84" s="79"/>
      <c r="AI84" s="80"/>
      <c r="AJ84" s="79"/>
      <c r="AK84" s="80"/>
      <c r="AL84" s="79"/>
      <c r="AM84" s="80"/>
      <c r="AN84" s="79"/>
      <c r="AO84" s="80"/>
      <c r="AP84" s="79"/>
      <c r="AQ84" s="80"/>
      <c r="AR84" s="467"/>
      <c r="AS84" s="472"/>
      <c r="AT84" s="79"/>
      <c r="AU84" s="80"/>
      <c r="AV84" s="79"/>
      <c r="AW84" s="80"/>
      <c r="AX84" s="79"/>
      <c r="AY84" s="80"/>
      <c r="AZ84" s="79"/>
      <c r="BA84" s="80"/>
      <c r="BB84" s="79"/>
      <c r="BC84" s="80"/>
      <c r="BD84" s="79"/>
      <c r="BE84" s="80"/>
      <c r="BF84" s="467"/>
      <c r="BG84" s="472"/>
      <c r="BH84" s="479"/>
      <c r="BI84" s="480"/>
      <c r="BJ84" s="468">
        <f t="shared" si="8"/>
        <v>0</v>
      </c>
      <c r="BK84" s="469">
        <f t="shared" si="10"/>
        <v>0</v>
      </c>
      <c r="BL84" s="453"/>
    </row>
    <row r="85" spans="1:64" ht="15" customHeight="1" x14ac:dyDescent="0.35">
      <c r="A85" s="24"/>
      <c r="B85" s="481"/>
      <c r="C85" s="24">
        <f>SUM(BJ86:BJ88)</f>
        <v>0</v>
      </c>
      <c r="D85" s="725" t="s">
        <v>127</v>
      </c>
      <c r="E85" s="726"/>
      <c r="F85" s="79"/>
      <c r="G85" s="80"/>
      <c r="H85" s="79"/>
      <c r="I85" s="80"/>
      <c r="J85" s="79"/>
      <c r="K85" s="80"/>
      <c r="L85" s="79"/>
      <c r="M85" s="80"/>
      <c r="N85" s="79"/>
      <c r="O85" s="80"/>
      <c r="P85" s="467"/>
      <c r="Q85" s="472"/>
      <c r="R85" s="467"/>
      <c r="S85" s="472"/>
      <c r="T85" s="79"/>
      <c r="U85" s="80"/>
      <c r="V85" s="79"/>
      <c r="W85" s="80"/>
      <c r="X85" s="79"/>
      <c r="Y85" s="80"/>
      <c r="Z85" s="79"/>
      <c r="AA85" s="80"/>
      <c r="AB85" s="79"/>
      <c r="AC85" s="80"/>
      <c r="AD85" s="467"/>
      <c r="AE85" s="472"/>
      <c r="AF85" s="79"/>
      <c r="AG85" s="80"/>
      <c r="AH85" s="79"/>
      <c r="AI85" s="80"/>
      <c r="AJ85" s="79"/>
      <c r="AK85" s="80"/>
      <c r="AL85" s="79"/>
      <c r="AM85" s="80"/>
      <c r="AN85" s="79"/>
      <c r="AO85" s="80"/>
      <c r="AP85" s="79"/>
      <c r="AQ85" s="80"/>
      <c r="AR85" s="467"/>
      <c r="AS85" s="472"/>
      <c r="AT85" s="79"/>
      <c r="AU85" s="80"/>
      <c r="AV85" s="79"/>
      <c r="AW85" s="80"/>
      <c r="AX85" s="79"/>
      <c r="AY85" s="80"/>
      <c r="AZ85" s="79"/>
      <c r="BA85" s="80"/>
      <c r="BB85" s="79"/>
      <c r="BC85" s="80"/>
      <c r="BD85" s="79"/>
      <c r="BE85" s="80"/>
      <c r="BF85" s="467"/>
      <c r="BG85" s="472"/>
      <c r="BH85" s="479"/>
      <c r="BI85" s="480"/>
      <c r="BJ85" s="468">
        <f t="shared" si="8"/>
        <v>0</v>
      </c>
      <c r="BK85" s="469">
        <f t="shared" si="10"/>
        <v>0</v>
      </c>
      <c r="BL85" s="453"/>
    </row>
    <row r="86" spans="1:64" ht="15" customHeight="1" x14ac:dyDescent="0.35">
      <c r="A86" s="24"/>
      <c r="B86" s="481" t="s">
        <v>85</v>
      </c>
      <c r="C86" s="24" t="s">
        <v>128</v>
      </c>
      <c r="D86" s="715" t="s">
        <v>129</v>
      </c>
      <c r="E86" s="716"/>
      <c r="F86" s="79"/>
      <c r="G86" s="80"/>
      <c r="H86" s="79"/>
      <c r="I86" s="80"/>
      <c r="J86" s="79"/>
      <c r="K86" s="80"/>
      <c r="L86" s="79"/>
      <c r="M86" s="80"/>
      <c r="N86" s="79"/>
      <c r="O86" s="80"/>
      <c r="P86" s="467"/>
      <c r="Q86" s="472"/>
      <c r="R86" s="467"/>
      <c r="S86" s="472"/>
      <c r="T86" s="79"/>
      <c r="U86" s="80"/>
      <c r="V86" s="79"/>
      <c r="W86" s="80"/>
      <c r="X86" s="79"/>
      <c r="Y86" s="80"/>
      <c r="Z86" s="79"/>
      <c r="AA86" s="80"/>
      <c r="AB86" s="79"/>
      <c r="AC86" s="80"/>
      <c r="AD86" s="467"/>
      <c r="AE86" s="472"/>
      <c r="AF86" s="79"/>
      <c r="AG86" s="80"/>
      <c r="AH86" s="79"/>
      <c r="AI86" s="80"/>
      <c r="AJ86" s="79"/>
      <c r="AK86" s="80"/>
      <c r="AL86" s="79"/>
      <c r="AM86" s="80"/>
      <c r="AN86" s="79"/>
      <c r="AO86" s="80"/>
      <c r="AP86" s="79"/>
      <c r="AQ86" s="80"/>
      <c r="AR86" s="467"/>
      <c r="AS86" s="472"/>
      <c r="AT86" s="79"/>
      <c r="AU86" s="80"/>
      <c r="AV86" s="79"/>
      <c r="AW86" s="80"/>
      <c r="AX86" s="79"/>
      <c r="AY86" s="80"/>
      <c r="AZ86" s="79"/>
      <c r="BA86" s="80"/>
      <c r="BB86" s="79"/>
      <c r="BC86" s="80"/>
      <c r="BD86" s="79"/>
      <c r="BE86" s="80"/>
      <c r="BF86" s="467"/>
      <c r="BG86" s="472"/>
      <c r="BH86" s="479"/>
      <c r="BI86" s="480"/>
      <c r="BJ86" s="468">
        <f t="shared" si="8"/>
        <v>0</v>
      </c>
      <c r="BK86" s="469">
        <f t="shared" si="10"/>
        <v>0</v>
      </c>
      <c r="BL86" s="453"/>
    </row>
    <row r="87" spans="1:64" ht="15" customHeight="1" x14ac:dyDescent="0.35">
      <c r="A87" s="24"/>
      <c r="B87" s="481"/>
      <c r="C87" s="24"/>
      <c r="D87" s="715"/>
      <c r="E87" s="716"/>
      <c r="F87" s="79"/>
      <c r="G87" s="80"/>
      <c r="H87" s="79"/>
      <c r="I87" s="80"/>
      <c r="J87" s="79"/>
      <c r="K87" s="80"/>
      <c r="L87" s="79"/>
      <c r="M87" s="80"/>
      <c r="N87" s="79"/>
      <c r="O87" s="80"/>
      <c r="P87" s="467"/>
      <c r="Q87" s="472"/>
      <c r="R87" s="467"/>
      <c r="S87" s="472"/>
      <c r="T87" s="79"/>
      <c r="U87" s="80"/>
      <c r="V87" s="79"/>
      <c r="W87" s="80"/>
      <c r="X87" s="79"/>
      <c r="Y87" s="80"/>
      <c r="Z87" s="79"/>
      <c r="AA87" s="80"/>
      <c r="AB87" s="79"/>
      <c r="AC87" s="80"/>
      <c r="AD87" s="467"/>
      <c r="AE87" s="472"/>
      <c r="AF87" s="79"/>
      <c r="AG87" s="80"/>
      <c r="AH87" s="79"/>
      <c r="AI87" s="80"/>
      <c r="AJ87" s="79"/>
      <c r="AK87" s="80"/>
      <c r="AL87" s="79"/>
      <c r="AM87" s="80"/>
      <c r="AN87" s="79"/>
      <c r="AO87" s="80"/>
      <c r="AP87" s="79"/>
      <c r="AQ87" s="80"/>
      <c r="AR87" s="467"/>
      <c r="AS87" s="472"/>
      <c r="AT87" s="79"/>
      <c r="AU87" s="80"/>
      <c r="AV87" s="79"/>
      <c r="AW87" s="80"/>
      <c r="AX87" s="79"/>
      <c r="AY87" s="80"/>
      <c r="AZ87" s="79"/>
      <c r="BA87" s="80"/>
      <c r="BB87" s="79"/>
      <c r="BC87" s="80"/>
      <c r="BD87" s="79"/>
      <c r="BE87" s="80"/>
      <c r="BF87" s="467"/>
      <c r="BG87" s="472"/>
      <c r="BH87" s="479"/>
      <c r="BI87" s="480"/>
      <c r="BJ87" s="468">
        <f t="shared" si="8"/>
        <v>0</v>
      </c>
      <c r="BK87" s="469">
        <f t="shared" si="10"/>
        <v>0</v>
      </c>
      <c r="BL87" s="453"/>
    </row>
    <row r="88" spans="1:64" ht="15" customHeight="1" x14ac:dyDescent="0.35">
      <c r="A88" s="24"/>
      <c r="B88" s="481"/>
      <c r="C88" s="24"/>
      <c r="D88" s="715"/>
      <c r="E88" s="716"/>
      <c r="F88" s="79"/>
      <c r="G88" s="80"/>
      <c r="H88" s="79"/>
      <c r="I88" s="80"/>
      <c r="J88" s="79"/>
      <c r="K88" s="80"/>
      <c r="L88" s="79"/>
      <c r="M88" s="80"/>
      <c r="N88" s="79"/>
      <c r="O88" s="80"/>
      <c r="P88" s="467"/>
      <c r="Q88" s="472"/>
      <c r="R88" s="467"/>
      <c r="S88" s="472"/>
      <c r="T88" s="79"/>
      <c r="U88" s="80"/>
      <c r="V88" s="79"/>
      <c r="W88" s="80"/>
      <c r="X88" s="79"/>
      <c r="Y88" s="80"/>
      <c r="Z88" s="79"/>
      <c r="AA88" s="80"/>
      <c r="AB88" s="79"/>
      <c r="AC88" s="80"/>
      <c r="AD88" s="467"/>
      <c r="AE88" s="472"/>
      <c r="AF88" s="79"/>
      <c r="AG88" s="80"/>
      <c r="AH88" s="79"/>
      <c r="AI88" s="80"/>
      <c r="AJ88" s="79"/>
      <c r="AK88" s="80"/>
      <c r="AL88" s="79"/>
      <c r="AM88" s="80"/>
      <c r="AN88" s="79"/>
      <c r="AO88" s="80"/>
      <c r="AP88" s="79"/>
      <c r="AQ88" s="80"/>
      <c r="AR88" s="467"/>
      <c r="AS88" s="472"/>
      <c r="AT88" s="79"/>
      <c r="AU88" s="80"/>
      <c r="AV88" s="79"/>
      <c r="AW88" s="80"/>
      <c r="AX88" s="79"/>
      <c r="AY88" s="80"/>
      <c r="AZ88" s="79"/>
      <c r="BA88" s="80"/>
      <c r="BB88" s="79"/>
      <c r="BC88" s="80"/>
      <c r="BD88" s="79"/>
      <c r="BE88" s="80"/>
      <c r="BF88" s="467"/>
      <c r="BG88" s="472"/>
      <c r="BH88" s="479"/>
      <c r="BI88" s="480"/>
      <c r="BJ88" s="468">
        <f t="shared" si="8"/>
        <v>0</v>
      </c>
      <c r="BK88" s="469">
        <f t="shared" si="10"/>
        <v>0</v>
      </c>
      <c r="BL88" s="453"/>
    </row>
    <row r="89" spans="1:64" ht="15" customHeight="1" x14ac:dyDescent="0.35">
      <c r="A89" s="24"/>
      <c r="B89" s="481"/>
      <c r="C89" s="24">
        <f>SUM(BJ90:BJ92)</f>
        <v>0</v>
      </c>
      <c r="D89" s="725" t="s">
        <v>130</v>
      </c>
      <c r="E89" s="726"/>
      <c r="F89" s="79"/>
      <c r="G89" s="80"/>
      <c r="H89" s="79"/>
      <c r="I89" s="80"/>
      <c r="J89" s="79"/>
      <c r="K89" s="80"/>
      <c r="L89" s="79"/>
      <c r="M89" s="80"/>
      <c r="N89" s="79"/>
      <c r="O89" s="80"/>
      <c r="P89" s="467"/>
      <c r="Q89" s="472"/>
      <c r="R89" s="467"/>
      <c r="S89" s="472"/>
      <c r="T89" s="79"/>
      <c r="U89" s="80"/>
      <c r="V89" s="79"/>
      <c r="W89" s="80"/>
      <c r="X89" s="79"/>
      <c r="Y89" s="80"/>
      <c r="Z89" s="79"/>
      <c r="AA89" s="80"/>
      <c r="AB89" s="79"/>
      <c r="AC89" s="80"/>
      <c r="AD89" s="467"/>
      <c r="AE89" s="472"/>
      <c r="AF89" s="79"/>
      <c r="AG89" s="80"/>
      <c r="AH89" s="79"/>
      <c r="AI89" s="80"/>
      <c r="AJ89" s="79"/>
      <c r="AK89" s="80"/>
      <c r="AL89" s="79"/>
      <c r="AM89" s="80"/>
      <c r="AN89" s="79"/>
      <c r="AO89" s="80"/>
      <c r="AP89" s="79"/>
      <c r="AQ89" s="80"/>
      <c r="AR89" s="467"/>
      <c r="AS89" s="472"/>
      <c r="AT89" s="79"/>
      <c r="AU89" s="80"/>
      <c r="AV89" s="79"/>
      <c r="AW89" s="80"/>
      <c r="AX89" s="79"/>
      <c r="AY89" s="80"/>
      <c r="AZ89" s="79"/>
      <c r="BA89" s="80"/>
      <c r="BB89" s="79"/>
      <c r="BC89" s="80"/>
      <c r="BD89" s="79"/>
      <c r="BE89" s="80"/>
      <c r="BF89" s="467"/>
      <c r="BG89" s="472"/>
      <c r="BH89" s="479"/>
      <c r="BI89" s="480"/>
      <c r="BJ89" s="468">
        <f t="shared" si="8"/>
        <v>0</v>
      </c>
      <c r="BK89" s="469">
        <f t="shared" si="10"/>
        <v>0</v>
      </c>
      <c r="BL89" s="453"/>
    </row>
    <row r="90" spans="1:64" ht="15" customHeight="1" x14ac:dyDescent="0.35">
      <c r="A90" s="24"/>
      <c r="B90" s="481" t="s">
        <v>85</v>
      </c>
      <c r="C90" s="24" t="s">
        <v>131</v>
      </c>
      <c r="D90" s="715" t="s">
        <v>132</v>
      </c>
      <c r="E90" s="716"/>
      <c r="F90" s="79"/>
      <c r="G90" s="80"/>
      <c r="H90" s="79"/>
      <c r="I90" s="80"/>
      <c r="J90" s="79"/>
      <c r="K90" s="80"/>
      <c r="L90" s="79"/>
      <c r="M90" s="80"/>
      <c r="N90" s="79"/>
      <c r="O90" s="80"/>
      <c r="P90" s="467"/>
      <c r="Q90" s="472"/>
      <c r="R90" s="467"/>
      <c r="S90" s="472"/>
      <c r="T90" s="79"/>
      <c r="U90" s="80"/>
      <c r="V90" s="79"/>
      <c r="W90" s="80"/>
      <c r="X90" s="79"/>
      <c r="Y90" s="80"/>
      <c r="Z90" s="79"/>
      <c r="AA90" s="80"/>
      <c r="AB90" s="79"/>
      <c r="AC90" s="80"/>
      <c r="AD90" s="467"/>
      <c r="AE90" s="472"/>
      <c r="AF90" s="79"/>
      <c r="AG90" s="80"/>
      <c r="AH90" s="79"/>
      <c r="AI90" s="80"/>
      <c r="AJ90" s="79"/>
      <c r="AK90" s="80"/>
      <c r="AL90" s="79"/>
      <c r="AM90" s="80"/>
      <c r="AN90" s="79"/>
      <c r="AO90" s="80"/>
      <c r="AP90" s="79"/>
      <c r="AQ90" s="80"/>
      <c r="AR90" s="467"/>
      <c r="AS90" s="472"/>
      <c r="AT90" s="79"/>
      <c r="AU90" s="80"/>
      <c r="AV90" s="79"/>
      <c r="AW90" s="80"/>
      <c r="AX90" s="79"/>
      <c r="AY90" s="80"/>
      <c r="AZ90" s="79"/>
      <c r="BA90" s="80"/>
      <c r="BB90" s="79"/>
      <c r="BC90" s="80"/>
      <c r="BD90" s="79"/>
      <c r="BE90" s="80"/>
      <c r="BF90" s="467"/>
      <c r="BG90" s="472"/>
      <c r="BH90" s="479"/>
      <c r="BI90" s="480"/>
      <c r="BJ90" s="468">
        <f t="shared" si="8"/>
        <v>0</v>
      </c>
      <c r="BK90" s="469">
        <f t="shared" si="10"/>
        <v>0</v>
      </c>
      <c r="BL90" s="453"/>
    </row>
    <row r="91" spans="1:64" ht="15" customHeight="1" x14ac:dyDescent="0.35">
      <c r="A91" s="24"/>
      <c r="B91" s="481"/>
      <c r="C91" s="24"/>
      <c r="D91" s="715"/>
      <c r="E91" s="716"/>
      <c r="F91" s="79"/>
      <c r="G91" s="80"/>
      <c r="H91" s="79"/>
      <c r="I91" s="80"/>
      <c r="J91" s="79"/>
      <c r="K91" s="80"/>
      <c r="L91" s="79"/>
      <c r="M91" s="80"/>
      <c r="N91" s="79"/>
      <c r="O91" s="80"/>
      <c r="P91" s="467"/>
      <c r="Q91" s="472"/>
      <c r="R91" s="467"/>
      <c r="S91" s="472"/>
      <c r="T91" s="79"/>
      <c r="U91" s="80"/>
      <c r="V91" s="79"/>
      <c r="W91" s="80"/>
      <c r="X91" s="79"/>
      <c r="Y91" s="80"/>
      <c r="Z91" s="79"/>
      <c r="AA91" s="80"/>
      <c r="AB91" s="79"/>
      <c r="AC91" s="80"/>
      <c r="AD91" s="467"/>
      <c r="AE91" s="472"/>
      <c r="AF91" s="79"/>
      <c r="AG91" s="80"/>
      <c r="AH91" s="79"/>
      <c r="AI91" s="80"/>
      <c r="AJ91" s="79"/>
      <c r="AK91" s="80"/>
      <c r="AL91" s="79"/>
      <c r="AM91" s="80"/>
      <c r="AN91" s="79"/>
      <c r="AO91" s="80"/>
      <c r="AP91" s="79"/>
      <c r="AQ91" s="80"/>
      <c r="AR91" s="467"/>
      <c r="AS91" s="472"/>
      <c r="AT91" s="79"/>
      <c r="AU91" s="80"/>
      <c r="AV91" s="79"/>
      <c r="AW91" s="80"/>
      <c r="AX91" s="79"/>
      <c r="AY91" s="80"/>
      <c r="AZ91" s="79"/>
      <c r="BA91" s="80"/>
      <c r="BB91" s="79"/>
      <c r="BC91" s="80"/>
      <c r="BD91" s="79"/>
      <c r="BE91" s="80"/>
      <c r="BF91" s="467"/>
      <c r="BG91" s="472"/>
      <c r="BH91" s="479"/>
      <c r="BI91" s="480"/>
      <c r="BJ91" s="468">
        <f t="shared" si="8"/>
        <v>0</v>
      </c>
      <c r="BK91" s="469">
        <f t="shared" si="10"/>
        <v>0</v>
      </c>
      <c r="BL91" s="453"/>
    </row>
    <row r="92" spans="1:64" ht="15" customHeight="1" x14ac:dyDescent="0.35">
      <c r="A92" s="24"/>
      <c r="B92" s="481"/>
      <c r="C92" s="24"/>
      <c r="D92" s="715"/>
      <c r="E92" s="716"/>
      <c r="F92" s="79"/>
      <c r="G92" s="80"/>
      <c r="H92" s="79"/>
      <c r="I92" s="80"/>
      <c r="J92" s="79"/>
      <c r="K92" s="80"/>
      <c r="L92" s="79"/>
      <c r="M92" s="80"/>
      <c r="N92" s="79"/>
      <c r="O92" s="80"/>
      <c r="P92" s="467"/>
      <c r="Q92" s="472"/>
      <c r="R92" s="467"/>
      <c r="S92" s="472"/>
      <c r="T92" s="79"/>
      <c r="U92" s="80"/>
      <c r="V92" s="79"/>
      <c r="W92" s="80"/>
      <c r="X92" s="79"/>
      <c r="Y92" s="80"/>
      <c r="Z92" s="79"/>
      <c r="AA92" s="80"/>
      <c r="AB92" s="79"/>
      <c r="AC92" s="80"/>
      <c r="AD92" s="467"/>
      <c r="AE92" s="472"/>
      <c r="AF92" s="79"/>
      <c r="AG92" s="80"/>
      <c r="AH92" s="79"/>
      <c r="AI92" s="80"/>
      <c r="AJ92" s="79"/>
      <c r="AK92" s="80"/>
      <c r="AL92" s="79"/>
      <c r="AM92" s="80"/>
      <c r="AN92" s="79"/>
      <c r="AO92" s="80"/>
      <c r="AP92" s="79"/>
      <c r="AQ92" s="80"/>
      <c r="AR92" s="467"/>
      <c r="AS92" s="472"/>
      <c r="AT92" s="79"/>
      <c r="AU92" s="80"/>
      <c r="AV92" s="79"/>
      <c r="AW92" s="80"/>
      <c r="AX92" s="79"/>
      <c r="AY92" s="80"/>
      <c r="AZ92" s="79"/>
      <c r="BA92" s="80"/>
      <c r="BB92" s="79"/>
      <c r="BC92" s="80"/>
      <c r="BD92" s="79"/>
      <c r="BE92" s="80"/>
      <c r="BF92" s="467"/>
      <c r="BG92" s="472"/>
      <c r="BH92" s="479"/>
      <c r="BI92" s="480"/>
      <c r="BJ92" s="468">
        <f t="shared" si="8"/>
        <v>0</v>
      </c>
      <c r="BK92" s="469">
        <f t="shared" si="10"/>
        <v>0</v>
      </c>
      <c r="BL92" s="453"/>
    </row>
    <row r="93" spans="1:64" ht="15" customHeight="1" x14ac:dyDescent="0.35">
      <c r="A93" s="24"/>
      <c r="B93" s="481"/>
      <c r="C93" s="24">
        <f>SUM(BJ94:BJ100)</f>
        <v>0</v>
      </c>
      <c r="D93" s="725" t="s">
        <v>133</v>
      </c>
      <c r="E93" s="726"/>
      <c r="F93" s="79"/>
      <c r="G93" s="80"/>
      <c r="H93" s="79"/>
      <c r="I93" s="80"/>
      <c r="J93" s="79"/>
      <c r="K93" s="80"/>
      <c r="L93" s="79"/>
      <c r="M93" s="80"/>
      <c r="N93" s="79"/>
      <c r="O93" s="80"/>
      <c r="P93" s="467"/>
      <c r="Q93" s="472"/>
      <c r="R93" s="467"/>
      <c r="S93" s="472"/>
      <c r="T93" s="79"/>
      <c r="U93" s="80"/>
      <c r="V93" s="79"/>
      <c r="W93" s="80"/>
      <c r="X93" s="79"/>
      <c r="Y93" s="80"/>
      <c r="Z93" s="79"/>
      <c r="AA93" s="80"/>
      <c r="AB93" s="79"/>
      <c r="AC93" s="80"/>
      <c r="AD93" s="467"/>
      <c r="AE93" s="472"/>
      <c r="AF93" s="79"/>
      <c r="AG93" s="80"/>
      <c r="AH93" s="79"/>
      <c r="AI93" s="80"/>
      <c r="AJ93" s="79"/>
      <c r="AK93" s="80"/>
      <c r="AL93" s="79"/>
      <c r="AM93" s="80"/>
      <c r="AN93" s="79"/>
      <c r="AO93" s="80"/>
      <c r="AP93" s="79"/>
      <c r="AQ93" s="80"/>
      <c r="AR93" s="467"/>
      <c r="AS93" s="472"/>
      <c r="AT93" s="79"/>
      <c r="AU93" s="80"/>
      <c r="AV93" s="79"/>
      <c r="AW93" s="80"/>
      <c r="AX93" s="79"/>
      <c r="AY93" s="80"/>
      <c r="AZ93" s="79"/>
      <c r="BA93" s="80"/>
      <c r="BB93" s="79"/>
      <c r="BC93" s="80"/>
      <c r="BD93" s="79"/>
      <c r="BE93" s="80"/>
      <c r="BF93" s="467"/>
      <c r="BG93" s="472"/>
      <c r="BH93" s="479"/>
      <c r="BI93" s="480"/>
      <c r="BJ93" s="468">
        <f t="shared" si="8"/>
        <v>0</v>
      </c>
      <c r="BK93" s="469">
        <f t="shared" si="10"/>
        <v>0</v>
      </c>
      <c r="BL93" s="453"/>
    </row>
    <row r="94" spans="1:64" ht="15" customHeight="1" x14ac:dyDescent="0.35">
      <c r="A94" s="24"/>
      <c r="B94" s="481" t="s">
        <v>44</v>
      </c>
      <c r="C94" s="24" t="s">
        <v>134</v>
      </c>
      <c r="D94" s="715" t="s">
        <v>135</v>
      </c>
      <c r="E94" s="716"/>
      <c r="F94" s="79"/>
      <c r="G94" s="80"/>
      <c r="H94" s="79"/>
      <c r="I94" s="80"/>
      <c r="J94" s="79"/>
      <c r="K94" s="80"/>
      <c r="L94" s="79"/>
      <c r="M94" s="80"/>
      <c r="N94" s="79"/>
      <c r="O94" s="80"/>
      <c r="P94" s="467"/>
      <c r="Q94" s="472"/>
      <c r="R94" s="467"/>
      <c r="S94" s="472"/>
      <c r="T94" s="79"/>
      <c r="U94" s="80"/>
      <c r="V94" s="79"/>
      <c r="W94" s="80"/>
      <c r="X94" s="79"/>
      <c r="Y94" s="80"/>
      <c r="Z94" s="79"/>
      <c r="AA94" s="80"/>
      <c r="AB94" s="79"/>
      <c r="AC94" s="80"/>
      <c r="AD94" s="467"/>
      <c r="AE94" s="472"/>
      <c r="AF94" s="79"/>
      <c r="AG94" s="80"/>
      <c r="AH94" s="79"/>
      <c r="AI94" s="80"/>
      <c r="AJ94" s="79"/>
      <c r="AK94" s="80"/>
      <c r="AL94" s="79"/>
      <c r="AM94" s="80"/>
      <c r="AN94" s="79"/>
      <c r="AO94" s="80"/>
      <c r="AP94" s="79"/>
      <c r="AQ94" s="80"/>
      <c r="AR94" s="467"/>
      <c r="AS94" s="472"/>
      <c r="AT94" s="79"/>
      <c r="AU94" s="80"/>
      <c r="AV94" s="79"/>
      <c r="AW94" s="80"/>
      <c r="AX94" s="79"/>
      <c r="AY94" s="80"/>
      <c r="AZ94" s="79"/>
      <c r="BA94" s="80"/>
      <c r="BB94" s="79"/>
      <c r="BC94" s="80"/>
      <c r="BD94" s="79"/>
      <c r="BE94" s="80"/>
      <c r="BF94" s="467"/>
      <c r="BG94" s="472"/>
      <c r="BH94" s="479"/>
      <c r="BI94" s="480"/>
      <c r="BJ94" s="468">
        <f t="shared" si="8"/>
        <v>0</v>
      </c>
      <c r="BK94" s="469">
        <f t="shared" si="10"/>
        <v>0</v>
      </c>
      <c r="BL94" s="453"/>
    </row>
    <row r="95" spans="1:64" ht="15" customHeight="1" x14ac:dyDescent="0.35">
      <c r="A95" s="24"/>
      <c r="B95" s="481" t="s">
        <v>44</v>
      </c>
      <c r="C95" s="24" t="s">
        <v>136</v>
      </c>
      <c r="D95" s="715" t="s">
        <v>137</v>
      </c>
      <c r="E95" s="716"/>
      <c r="F95" s="79"/>
      <c r="G95" s="80"/>
      <c r="H95" s="79"/>
      <c r="I95" s="80"/>
      <c r="J95" s="79"/>
      <c r="K95" s="80"/>
      <c r="L95" s="79"/>
      <c r="M95" s="80"/>
      <c r="N95" s="79"/>
      <c r="O95" s="80"/>
      <c r="P95" s="467"/>
      <c r="Q95" s="472"/>
      <c r="R95" s="467"/>
      <c r="S95" s="472"/>
      <c r="T95" s="79"/>
      <c r="U95" s="80"/>
      <c r="V95" s="79"/>
      <c r="W95" s="80"/>
      <c r="X95" s="79"/>
      <c r="Y95" s="80"/>
      <c r="Z95" s="79"/>
      <c r="AA95" s="80"/>
      <c r="AB95" s="79"/>
      <c r="AC95" s="80"/>
      <c r="AD95" s="467"/>
      <c r="AE95" s="472"/>
      <c r="AF95" s="79"/>
      <c r="AG95" s="80"/>
      <c r="AH95" s="79"/>
      <c r="AI95" s="80"/>
      <c r="AJ95" s="79"/>
      <c r="AK95" s="80"/>
      <c r="AL95" s="79"/>
      <c r="AM95" s="80"/>
      <c r="AN95" s="79"/>
      <c r="AO95" s="80"/>
      <c r="AP95" s="79"/>
      <c r="AQ95" s="80"/>
      <c r="AR95" s="467"/>
      <c r="AS95" s="472"/>
      <c r="AT95" s="79"/>
      <c r="AU95" s="80"/>
      <c r="AV95" s="79"/>
      <c r="AW95" s="80"/>
      <c r="AX95" s="79"/>
      <c r="AY95" s="80"/>
      <c r="AZ95" s="79"/>
      <c r="BA95" s="80"/>
      <c r="BB95" s="79"/>
      <c r="BC95" s="80"/>
      <c r="BD95" s="79"/>
      <c r="BE95" s="80"/>
      <c r="BF95" s="467"/>
      <c r="BG95" s="472"/>
      <c r="BH95" s="479"/>
      <c r="BI95" s="480"/>
      <c r="BJ95" s="468">
        <f t="shared" si="8"/>
        <v>0</v>
      </c>
      <c r="BK95" s="469">
        <f t="shared" si="10"/>
        <v>0</v>
      </c>
      <c r="BL95" s="453"/>
    </row>
    <row r="96" spans="1:64" ht="15" customHeight="1" x14ac:dyDescent="0.35">
      <c r="A96" s="24"/>
      <c r="B96" s="481" t="s">
        <v>44</v>
      </c>
      <c r="C96" s="24" t="s">
        <v>138</v>
      </c>
      <c r="D96" s="715" t="s">
        <v>139</v>
      </c>
      <c r="E96" s="716"/>
      <c r="F96" s="79"/>
      <c r="G96" s="80"/>
      <c r="H96" s="79"/>
      <c r="I96" s="80"/>
      <c r="J96" s="79"/>
      <c r="K96" s="80"/>
      <c r="L96" s="79"/>
      <c r="M96" s="80"/>
      <c r="N96" s="79"/>
      <c r="O96" s="80"/>
      <c r="P96" s="467"/>
      <c r="Q96" s="472"/>
      <c r="R96" s="467"/>
      <c r="S96" s="472"/>
      <c r="T96" s="79"/>
      <c r="U96" s="80"/>
      <c r="V96" s="79"/>
      <c r="W96" s="80"/>
      <c r="X96" s="79"/>
      <c r="Y96" s="80"/>
      <c r="Z96" s="79"/>
      <c r="AA96" s="80"/>
      <c r="AB96" s="79"/>
      <c r="AC96" s="80"/>
      <c r="AD96" s="467"/>
      <c r="AE96" s="472"/>
      <c r="AF96" s="79"/>
      <c r="AG96" s="80"/>
      <c r="AH96" s="79"/>
      <c r="AI96" s="80"/>
      <c r="AJ96" s="79"/>
      <c r="AK96" s="80"/>
      <c r="AL96" s="79"/>
      <c r="AM96" s="80"/>
      <c r="AN96" s="79"/>
      <c r="AO96" s="80"/>
      <c r="AP96" s="79"/>
      <c r="AQ96" s="80"/>
      <c r="AR96" s="467"/>
      <c r="AS96" s="472"/>
      <c r="AT96" s="79"/>
      <c r="AU96" s="80"/>
      <c r="AV96" s="79"/>
      <c r="AW96" s="80"/>
      <c r="AX96" s="79"/>
      <c r="AY96" s="80"/>
      <c r="AZ96" s="79"/>
      <c r="BA96" s="80"/>
      <c r="BB96" s="79"/>
      <c r="BC96" s="80"/>
      <c r="BD96" s="79"/>
      <c r="BE96" s="80"/>
      <c r="BF96" s="467"/>
      <c r="BG96" s="472"/>
      <c r="BH96" s="479"/>
      <c r="BI96" s="480"/>
      <c r="BJ96" s="468">
        <f t="shared" si="8"/>
        <v>0</v>
      </c>
      <c r="BK96" s="469">
        <f t="shared" si="10"/>
        <v>0</v>
      </c>
      <c r="BL96" s="453"/>
    </row>
    <row r="97" spans="1:64" ht="15.75" customHeight="1" x14ac:dyDescent="0.35">
      <c r="A97" s="24"/>
      <c r="B97" s="481" t="s">
        <v>44</v>
      </c>
      <c r="C97" s="24" t="s">
        <v>140</v>
      </c>
      <c r="D97" s="715" t="s">
        <v>141</v>
      </c>
      <c r="E97" s="716"/>
      <c r="F97" s="79"/>
      <c r="G97" s="80"/>
      <c r="H97" s="79"/>
      <c r="I97" s="80"/>
      <c r="J97" s="79"/>
      <c r="K97" s="80"/>
      <c r="L97" s="79"/>
      <c r="M97" s="80"/>
      <c r="N97" s="79"/>
      <c r="O97" s="80"/>
      <c r="P97" s="467"/>
      <c r="Q97" s="472"/>
      <c r="R97" s="467"/>
      <c r="S97" s="472"/>
      <c r="T97" s="79"/>
      <c r="U97" s="80"/>
      <c r="V97" s="79"/>
      <c r="W97" s="80"/>
      <c r="X97" s="79"/>
      <c r="Y97" s="80"/>
      <c r="Z97" s="79"/>
      <c r="AA97" s="80"/>
      <c r="AB97" s="79"/>
      <c r="AC97" s="80"/>
      <c r="AD97" s="467"/>
      <c r="AE97" s="472"/>
      <c r="AF97" s="79"/>
      <c r="AG97" s="80"/>
      <c r="AH97" s="79"/>
      <c r="AI97" s="80"/>
      <c r="AJ97" s="79"/>
      <c r="AK97" s="80"/>
      <c r="AL97" s="79"/>
      <c r="AM97" s="80"/>
      <c r="AN97" s="79"/>
      <c r="AO97" s="80"/>
      <c r="AP97" s="79"/>
      <c r="AQ97" s="80"/>
      <c r="AR97" s="467"/>
      <c r="AS97" s="472"/>
      <c r="AT97" s="79"/>
      <c r="AU97" s="80"/>
      <c r="AV97" s="79"/>
      <c r="AW97" s="80"/>
      <c r="AX97" s="79"/>
      <c r="AY97" s="80"/>
      <c r="AZ97" s="79"/>
      <c r="BA97" s="80"/>
      <c r="BB97" s="79"/>
      <c r="BC97" s="80"/>
      <c r="BD97" s="79"/>
      <c r="BE97" s="80"/>
      <c r="BF97" s="467"/>
      <c r="BG97" s="472"/>
      <c r="BH97" s="479"/>
      <c r="BI97" s="480"/>
      <c r="BJ97" s="468">
        <f t="shared" ref="BJ97:BJ115" si="11">SUM(F97:BI97)</f>
        <v>0</v>
      </c>
      <c r="BK97" s="469">
        <f t="shared" si="10"/>
        <v>0</v>
      </c>
      <c r="BL97" s="453"/>
    </row>
    <row r="98" spans="1:64" ht="15" customHeight="1" x14ac:dyDescent="0.35">
      <c r="A98" s="24"/>
      <c r="B98" s="481" t="s">
        <v>44</v>
      </c>
      <c r="C98" s="24" t="s">
        <v>142</v>
      </c>
      <c r="D98" s="715" t="s">
        <v>143</v>
      </c>
      <c r="E98" s="716"/>
      <c r="F98" s="79"/>
      <c r="G98" s="80"/>
      <c r="H98" s="79"/>
      <c r="I98" s="80"/>
      <c r="J98" s="79"/>
      <c r="K98" s="80"/>
      <c r="L98" s="79"/>
      <c r="M98" s="80"/>
      <c r="N98" s="79"/>
      <c r="O98" s="80"/>
      <c r="P98" s="467"/>
      <c r="Q98" s="472"/>
      <c r="R98" s="467"/>
      <c r="S98" s="472"/>
      <c r="T98" s="79"/>
      <c r="U98" s="80"/>
      <c r="V98" s="79"/>
      <c r="W98" s="80"/>
      <c r="X98" s="79"/>
      <c r="Y98" s="80"/>
      <c r="Z98" s="79"/>
      <c r="AA98" s="80"/>
      <c r="AB98" s="79"/>
      <c r="AC98" s="80"/>
      <c r="AD98" s="467"/>
      <c r="AE98" s="472"/>
      <c r="AF98" s="79"/>
      <c r="AG98" s="80"/>
      <c r="AH98" s="79"/>
      <c r="AI98" s="80"/>
      <c r="AJ98" s="79"/>
      <c r="AK98" s="80"/>
      <c r="AL98" s="79"/>
      <c r="AM98" s="80"/>
      <c r="AN98" s="79"/>
      <c r="AO98" s="80"/>
      <c r="AP98" s="79"/>
      <c r="AQ98" s="80"/>
      <c r="AR98" s="467"/>
      <c r="AS98" s="472"/>
      <c r="AT98" s="79"/>
      <c r="AU98" s="80"/>
      <c r="AV98" s="79"/>
      <c r="AW98" s="80"/>
      <c r="AX98" s="79"/>
      <c r="AY98" s="80"/>
      <c r="AZ98" s="79"/>
      <c r="BA98" s="80"/>
      <c r="BB98" s="79"/>
      <c r="BC98" s="80"/>
      <c r="BD98" s="79"/>
      <c r="BE98" s="80"/>
      <c r="BF98" s="467"/>
      <c r="BG98" s="472"/>
      <c r="BH98" s="479"/>
      <c r="BI98" s="480"/>
      <c r="BJ98" s="468">
        <f t="shared" si="11"/>
        <v>0</v>
      </c>
      <c r="BK98" s="469">
        <f t="shared" si="10"/>
        <v>0</v>
      </c>
      <c r="BL98" s="453"/>
    </row>
    <row r="99" spans="1:64" ht="15" customHeight="1" x14ac:dyDescent="0.35">
      <c r="A99" s="24"/>
      <c r="B99" s="481" t="s">
        <v>85</v>
      </c>
      <c r="C99" s="24" t="s">
        <v>144</v>
      </c>
      <c r="D99" s="715" t="s">
        <v>143</v>
      </c>
      <c r="E99" s="716"/>
      <c r="F99" s="79"/>
      <c r="G99" s="80"/>
      <c r="H99" s="79"/>
      <c r="I99" s="80"/>
      <c r="J99" s="79"/>
      <c r="K99" s="80"/>
      <c r="L99" s="79"/>
      <c r="M99" s="80"/>
      <c r="N99" s="79"/>
      <c r="O99" s="80"/>
      <c r="P99" s="467"/>
      <c r="Q99" s="472"/>
      <c r="R99" s="467"/>
      <c r="S99" s="472"/>
      <c r="T99" s="79"/>
      <c r="U99" s="80"/>
      <c r="V99" s="79"/>
      <c r="W99" s="80"/>
      <c r="X99" s="79"/>
      <c r="Y99" s="80"/>
      <c r="Z99" s="79"/>
      <c r="AA99" s="80"/>
      <c r="AB99" s="79"/>
      <c r="AC99" s="80"/>
      <c r="AD99" s="467"/>
      <c r="AE99" s="472"/>
      <c r="AF99" s="79"/>
      <c r="AG99" s="80"/>
      <c r="AH99" s="79"/>
      <c r="AI99" s="80"/>
      <c r="AJ99" s="79"/>
      <c r="AK99" s="80"/>
      <c r="AL99" s="79"/>
      <c r="AM99" s="80"/>
      <c r="AN99" s="79"/>
      <c r="AO99" s="80"/>
      <c r="AP99" s="79"/>
      <c r="AQ99" s="80"/>
      <c r="AR99" s="467"/>
      <c r="AS99" s="472"/>
      <c r="AT99" s="79"/>
      <c r="AU99" s="80"/>
      <c r="AV99" s="79"/>
      <c r="AW99" s="80"/>
      <c r="AX99" s="79"/>
      <c r="AY99" s="80"/>
      <c r="AZ99" s="79"/>
      <c r="BA99" s="80"/>
      <c r="BB99" s="79"/>
      <c r="BC99" s="80"/>
      <c r="BD99" s="79"/>
      <c r="BE99" s="80"/>
      <c r="BF99" s="467"/>
      <c r="BG99" s="472"/>
      <c r="BH99" s="479"/>
      <c r="BI99" s="480"/>
      <c r="BJ99" s="468">
        <f t="shared" si="11"/>
        <v>0</v>
      </c>
      <c r="BK99" s="469">
        <f t="shared" si="10"/>
        <v>0</v>
      </c>
      <c r="BL99" s="453"/>
    </row>
    <row r="100" spans="1:64" ht="15.75" customHeight="1" x14ac:dyDescent="0.35">
      <c r="A100" s="24"/>
      <c r="B100" s="481"/>
      <c r="C100" s="24"/>
      <c r="D100" s="715"/>
      <c r="E100" s="716"/>
      <c r="F100" s="79"/>
      <c r="G100" s="80"/>
      <c r="H100" s="79"/>
      <c r="I100" s="80"/>
      <c r="J100" s="79"/>
      <c r="K100" s="80"/>
      <c r="L100" s="79"/>
      <c r="M100" s="80"/>
      <c r="N100" s="79"/>
      <c r="O100" s="80"/>
      <c r="P100" s="467"/>
      <c r="Q100" s="472"/>
      <c r="R100" s="467"/>
      <c r="S100" s="472"/>
      <c r="T100" s="79"/>
      <c r="U100" s="80"/>
      <c r="V100" s="79"/>
      <c r="W100" s="80"/>
      <c r="X100" s="79"/>
      <c r="Y100" s="80"/>
      <c r="Z100" s="79"/>
      <c r="AA100" s="80"/>
      <c r="AB100" s="79"/>
      <c r="AC100" s="80"/>
      <c r="AD100" s="467"/>
      <c r="AE100" s="472"/>
      <c r="AF100" s="79"/>
      <c r="AG100" s="80"/>
      <c r="AH100" s="79"/>
      <c r="AI100" s="80"/>
      <c r="AJ100" s="79"/>
      <c r="AK100" s="80"/>
      <c r="AL100" s="79"/>
      <c r="AM100" s="80"/>
      <c r="AN100" s="79"/>
      <c r="AO100" s="80"/>
      <c r="AP100" s="79"/>
      <c r="AQ100" s="80"/>
      <c r="AR100" s="467"/>
      <c r="AS100" s="472"/>
      <c r="AT100" s="79"/>
      <c r="AU100" s="80"/>
      <c r="AV100" s="79"/>
      <c r="AW100" s="80"/>
      <c r="AX100" s="79"/>
      <c r="AY100" s="80"/>
      <c r="AZ100" s="79"/>
      <c r="BA100" s="80"/>
      <c r="BB100" s="79"/>
      <c r="BC100" s="80"/>
      <c r="BD100" s="79"/>
      <c r="BE100" s="80"/>
      <c r="BF100" s="467"/>
      <c r="BG100" s="472"/>
      <c r="BH100" s="479"/>
      <c r="BI100" s="480"/>
      <c r="BJ100" s="468">
        <f t="shared" si="11"/>
        <v>0</v>
      </c>
      <c r="BK100" s="469">
        <f t="shared" si="10"/>
        <v>0</v>
      </c>
      <c r="BL100" s="453"/>
    </row>
    <row r="101" spans="1:64" ht="15.75" customHeight="1" x14ac:dyDescent="0.35">
      <c r="A101" s="24"/>
      <c r="B101" s="481"/>
      <c r="C101" s="24">
        <f>SUM(BJ102:BJ106)</f>
        <v>123</v>
      </c>
      <c r="D101" s="725" t="s">
        <v>145</v>
      </c>
      <c r="E101" s="726"/>
      <c r="F101" s="79"/>
      <c r="G101" s="80"/>
      <c r="H101" s="79"/>
      <c r="I101" s="80"/>
      <c r="J101" s="79"/>
      <c r="K101" s="80"/>
      <c r="L101" s="79"/>
      <c r="M101" s="80"/>
      <c r="N101" s="79"/>
      <c r="O101" s="80"/>
      <c r="P101" s="467"/>
      <c r="Q101" s="472"/>
      <c r="R101" s="467"/>
      <c r="S101" s="472"/>
      <c r="T101" s="79"/>
      <c r="U101" s="80"/>
      <c r="V101" s="79"/>
      <c r="W101" s="80"/>
      <c r="X101" s="79"/>
      <c r="Y101" s="80"/>
      <c r="Z101" s="79"/>
      <c r="AA101" s="80"/>
      <c r="AB101" s="79"/>
      <c r="AC101" s="80"/>
      <c r="AD101" s="467"/>
      <c r="AE101" s="472"/>
      <c r="AF101" s="79"/>
      <c r="AG101" s="80"/>
      <c r="AH101" s="79"/>
      <c r="AI101" s="80"/>
      <c r="AJ101" s="79"/>
      <c r="AK101" s="80"/>
      <c r="AL101" s="79"/>
      <c r="AM101" s="80"/>
      <c r="AN101" s="79"/>
      <c r="AO101" s="80"/>
      <c r="AP101" s="79"/>
      <c r="AQ101" s="80"/>
      <c r="AR101" s="467"/>
      <c r="AS101" s="472"/>
      <c r="AT101" s="79"/>
      <c r="AU101" s="80"/>
      <c r="AV101" s="79"/>
      <c r="AW101" s="80"/>
      <c r="AX101" s="79"/>
      <c r="AY101" s="80"/>
      <c r="AZ101" s="79"/>
      <c r="BA101" s="80"/>
      <c r="BB101" s="79"/>
      <c r="BC101" s="80"/>
      <c r="BD101" s="79"/>
      <c r="BE101" s="80"/>
      <c r="BF101" s="467"/>
      <c r="BG101" s="472"/>
      <c r="BH101" s="479"/>
      <c r="BI101" s="480"/>
      <c r="BJ101" s="468">
        <f t="shared" si="11"/>
        <v>0</v>
      </c>
      <c r="BK101" s="469">
        <f t="shared" si="10"/>
        <v>0</v>
      </c>
      <c r="BL101" s="453"/>
    </row>
    <row r="102" spans="1:64" ht="15" customHeight="1" x14ac:dyDescent="0.35">
      <c r="A102" s="24"/>
      <c r="B102" s="481" t="s">
        <v>85</v>
      </c>
      <c r="C102" s="24" t="s">
        <v>146</v>
      </c>
      <c r="D102" s="715" t="s">
        <v>147</v>
      </c>
      <c r="E102" s="716"/>
      <c r="F102" s="79"/>
      <c r="G102" s="80"/>
      <c r="H102" s="79"/>
      <c r="I102" s="80"/>
      <c r="J102" s="79"/>
      <c r="K102" s="80"/>
      <c r="L102" s="79"/>
      <c r="M102" s="80"/>
      <c r="N102" s="79"/>
      <c r="O102" s="80"/>
      <c r="P102" s="467"/>
      <c r="Q102" s="472"/>
      <c r="R102" s="467"/>
      <c r="S102" s="472"/>
      <c r="T102" s="79"/>
      <c r="U102" s="80"/>
      <c r="V102" s="79"/>
      <c r="W102" s="80"/>
      <c r="X102" s="79"/>
      <c r="Y102" s="80"/>
      <c r="Z102" s="79"/>
      <c r="AA102" s="80"/>
      <c r="AB102" s="79"/>
      <c r="AC102" s="80"/>
      <c r="AD102" s="467"/>
      <c r="AE102" s="472"/>
      <c r="AF102" s="79"/>
      <c r="AG102" s="80"/>
      <c r="AH102" s="79"/>
      <c r="AI102" s="80"/>
      <c r="AJ102" s="79"/>
      <c r="AK102" s="80"/>
      <c r="AL102" s="79"/>
      <c r="AM102" s="80"/>
      <c r="AN102" s="79"/>
      <c r="AO102" s="80"/>
      <c r="AP102" s="79"/>
      <c r="AQ102" s="80"/>
      <c r="AR102" s="467"/>
      <c r="AS102" s="472"/>
      <c r="AT102" s="79"/>
      <c r="AU102" s="80"/>
      <c r="AV102" s="79"/>
      <c r="AW102" s="80"/>
      <c r="AX102" s="79"/>
      <c r="AY102" s="80"/>
      <c r="AZ102" s="79"/>
      <c r="BA102" s="80"/>
      <c r="BB102" s="79"/>
      <c r="BC102" s="80"/>
      <c r="BD102" s="79"/>
      <c r="BE102" s="80"/>
      <c r="BF102" s="467"/>
      <c r="BG102" s="472"/>
      <c r="BH102" s="479"/>
      <c r="BI102" s="480"/>
      <c r="BJ102" s="468">
        <f t="shared" si="11"/>
        <v>0</v>
      </c>
      <c r="BK102" s="469">
        <f t="shared" si="10"/>
        <v>0</v>
      </c>
      <c r="BL102" s="453"/>
    </row>
    <row r="103" spans="1:64" ht="15" customHeight="1" x14ac:dyDescent="0.35">
      <c r="A103" s="24"/>
      <c r="B103" s="481" t="s">
        <v>44</v>
      </c>
      <c r="C103" s="24" t="s">
        <v>148</v>
      </c>
      <c r="D103" s="715" t="s">
        <v>137</v>
      </c>
      <c r="E103" s="716"/>
      <c r="F103" s="79"/>
      <c r="G103" s="80"/>
      <c r="H103" s="79"/>
      <c r="I103" s="80"/>
      <c r="J103" s="79"/>
      <c r="K103" s="80"/>
      <c r="L103" s="79"/>
      <c r="M103" s="80"/>
      <c r="N103" s="79"/>
      <c r="O103" s="80"/>
      <c r="P103" s="467"/>
      <c r="Q103" s="472"/>
      <c r="R103" s="467"/>
      <c r="S103" s="472"/>
      <c r="T103" s="79"/>
      <c r="U103" s="80"/>
      <c r="V103" s="79"/>
      <c r="W103" s="80"/>
      <c r="X103" s="79"/>
      <c r="Y103" s="80"/>
      <c r="Z103" s="79"/>
      <c r="AA103" s="80"/>
      <c r="AB103" s="79"/>
      <c r="AC103" s="80"/>
      <c r="AD103" s="467"/>
      <c r="AE103" s="472"/>
      <c r="AF103" s="79"/>
      <c r="AG103" s="80"/>
      <c r="AH103" s="79"/>
      <c r="AI103" s="80"/>
      <c r="AJ103" s="79"/>
      <c r="AK103" s="80"/>
      <c r="AL103" s="79"/>
      <c r="AM103" s="80"/>
      <c r="AN103" s="79"/>
      <c r="AO103" s="80"/>
      <c r="AP103" s="79"/>
      <c r="AQ103" s="80"/>
      <c r="AR103" s="467"/>
      <c r="AS103" s="472"/>
      <c r="AT103" s="79"/>
      <c r="AU103" s="80"/>
      <c r="AV103" s="79"/>
      <c r="AW103" s="80"/>
      <c r="AX103" s="79"/>
      <c r="AY103" s="80"/>
      <c r="AZ103" s="79"/>
      <c r="BA103" s="80"/>
      <c r="BB103" s="79"/>
      <c r="BC103" s="80"/>
      <c r="BD103" s="79"/>
      <c r="BE103" s="80"/>
      <c r="BF103" s="467"/>
      <c r="BG103" s="472"/>
      <c r="BH103" s="479"/>
      <c r="BI103" s="480"/>
      <c r="BJ103" s="468">
        <f t="shared" si="11"/>
        <v>0</v>
      </c>
      <c r="BK103" s="469">
        <f t="shared" si="10"/>
        <v>0</v>
      </c>
      <c r="BL103" s="453"/>
    </row>
    <row r="104" spans="1:64" ht="15" customHeight="1" x14ac:dyDescent="0.35">
      <c r="A104" s="24"/>
      <c r="B104" s="481" t="s">
        <v>44</v>
      </c>
      <c r="C104" s="24" t="s">
        <v>149</v>
      </c>
      <c r="D104" s="715" t="s">
        <v>150</v>
      </c>
      <c r="E104" s="716"/>
      <c r="F104" s="79"/>
      <c r="G104" s="80"/>
      <c r="H104" s="79"/>
      <c r="I104" s="80"/>
      <c r="J104" s="79"/>
      <c r="K104" s="80"/>
      <c r="L104" s="79"/>
      <c r="M104" s="80"/>
      <c r="N104" s="79"/>
      <c r="O104" s="80"/>
      <c r="P104" s="467"/>
      <c r="Q104" s="472"/>
      <c r="R104" s="467"/>
      <c r="S104" s="472"/>
      <c r="T104" s="79"/>
      <c r="U104" s="80"/>
      <c r="V104" s="79"/>
      <c r="W104" s="80"/>
      <c r="X104" s="79"/>
      <c r="Y104" s="80"/>
      <c r="Z104" s="79"/>
      <c r="AA104" s="80"/>
      <c r="AB104" s="79"/>
      <c r="AC104" s="80"/>
      <c r="AD104" s="467"/>
      <c r="AE104" s="472"/>
      <c r="AF104" s="79"/>
      <c r="AG104" s="80"/>
      <c r="AH104" s="79"/>
      <c r="AI104" s="80"/>
      <c r="AJ104" s="79"/>
      <c r="AK104" s="80"/>
      <c r="AL104" s="79"/>
      <c r="AM104" s="80"/>
      <c r="AN104" s="79"/>
      <c r="AO104" s="80"/>
      <c r="AP104" s="79"/>
      <c r="AQ104" s="80"/>
      <c r="AR104" s="467"/>
      <c r="AS104" s="472"/>
      <c r="AT104" s="79">
        <v>62</v>
      </c>
      <c r="AU104" s="80"/>
      <c r="AV104" s="79">
        <v>43</v>
      </c>
      <c r="AW104" s="80"/>
      <c r="AX104" s="79">
        <v>18</v>
      </c>
      <c r="AY104" s="80"/>
      <c r="AZ104" s="79"/>
      <c r="BA104" s="80"/>
      <c r="BB104" s="79"/>
      <c r="BC104" s="80"/>
      <c r="BD104" s="79"/>
      <c r="BE104" s="80"/>
      <c r="BF104" s="467"/>
      <c r="BG104" s="472"/>
      <c r="BH104" s="479"/>
      <c r="BI104" s="480"/>
      <c r="BJ104" s="468">
        <f t="shared" si="11"/>
        <v>123</v>
      </c>
      <c r="BK104" s="469">
        <f t="shared" si="10"/>
        <v>3</v>
      </c>
      <c r="BL104" s="453"/>
    </row>
    <row r="105" spans="1:64" ht="15" customHeight="1" x14ac:dyDescent="0.35">
      <c r="A105" s="24"/>
      <c r="B105" s="24"/>
      <c r="C105" s="24"/>
      <c r="D105" s="715"/>
      <c r="E105" s="716"/>
      <c r="F105" s="79"/>
      <c r="G105" s="80"/>
      <c r="H105" s="79"/>
      <c r="I105" s="80"/>
      <c r="J105" s="79"/>
      <c r="K105" s="80"/>
      <c r="L105" s="79"/>
      <c r="M105" s="80"/>
      <c r="N105" s="79"/>
      <c r="O105" s="80"/>
      <c r="P105" s="467"/>
      <c r="Q105" s="472"/>
      <c r="R105" s="467"/>
      <c r="S105" s="472"/>
      <c r="T105" s="79"/>
      <c r="U105" s="80"/>
      <c r="V105" s="79"/>
      <c r="W105" s="80"/>
      <c r="X105" s="79"/>
      <c r="Y105" s="80"/>
      <c r="Z105" s="79"/>
      <c r="AA105" s="80"/>
      <c r="AB105" s="79"/>
      <c r="AC105" s="80"/>
      <c r="AD105" s="467"/>
      <c r="AE105" s="472"/>
      <c r="AF105" s="79"/>
      <c r="AG105" s="80"/>
      <c r="AH105" s="79"/>
      <c r="AI105" s="80"/>
      <c r="AJ105" s="79"/>
      <c r="AK105" s="80"/>
      <c r="AL105" s="79"/>
      <c r="AM105" s="80"/>
      <c r="AN105" s="79"/>
      <c r="AO105" s="80"/>
      <c r="AP105" s="79"/>
      <c r="AQ105" s="80"/>
      <c r="AR105" s="467"/>
      <c r="AS105" s="472"/>
      <c r="AT105" s="79"/>
      <c r="AU105" s="80"/>
      <c r="AV105" s="79"/>
      <c r="AW105" s="80"/>
      <c r="AX105" s="79"/>
      <c r="AY105" s="80"/>
      <c r="AZ105" s="79"/>
      <c r="BA105" s="80"/>
      <c r="BB105" s="79"/>
      <c r="BC105" s="80"/>
      <c r="BD105" s="79"/>
      <c r="BE105" s="80"/>
      <c r="BF105" s="467"/>
      <c r="BG105" s="472"/>
      <c r="BH105" s="479"/>
      <c r="BI105" s="480"/>
      <c r="BJ105" s="468">
        <f t="shared" si="11"/>
        <v>0</v>
      </c>
      <c r="BK105" s="469">
        <f t="shared" si="10"/>
        <v>0</v>
      </c>
      <c r="BL105" s="453"/>
    </row>
    <row r="106" spans="1:64" ht="15" customHeight="1" x14ac:dyDescent="0.35">
      <c r="A106" s="24"/>
      <c r="B106" s="24"/>
      <c r="C106" s="24"/>
      <c r="D106" s="715"/>
      <c r="E106" s="716"/>
      <c r="F106" s="79"/>
      <c r="G106" s="80"/>
      <c r="H106" s="79"/>
      <c r="I106" s="80"/>
      <c r="J106" s="79"/>
      <c r="K106" s="80"/>
      <c r="L106" s="79"/>
      <c r="M106" s="80"/>
      <c r="N106" s="79"/>
      <c r="O106" s="80"/>
      <c r="P106" s="467"/>
      <c r="Q106" s="472"/>
      <c r="R106" s="467"/>
      <c r="S106" s="472"/>
      <c r="T106" s="79"/>
      <c r="U106" s="80"/>
      <c r="V106" s="79"/>
      <c r="W106" s="80"/>
      <c r="X106" s="79"/>
      <c r="Y106" s="80"/>
      <c r="Z106" s="79"/>
      <c r="AA106" s="80"/>
      <c r="AB106" s="79"/>
      <c r="AC106" s="80"/>
      <c r="AD106" s="467"/>
      <c r="AE106" s="472"/>
      <c r="AF106" s="79"/>
      <c r="AG106" s="80"/>
      <c r="AH106" s="79"/>
      <c r="AI106" s="80"/>
      <c r="AJ106" s="79"/>
      <c r="AK106" s="80"/>
      <c r="AL106" s="79"/>
      <c r="AM106" s="80"/>
      <c r="AN106" s="79"/>
      <c r="AO106" s="80"/>
      <c r="AP106" s="79"/>
      <c r="AQ106" s="80"/>
      <c r="AR106" s="467"/>
      <c r="AS106" s="472"/>
      <c r="AT106" s="79"/>
      <c r="AU106" s="80"/>
      <c r="AV106" s="79"/>
      <c r="AW106" s="80"/>
      <c r="AX106" s="79"/>
      <c r="AY106" s="80"/>
      <c r="AZ106" s="79"/>
      <c r="BA106" s="80"/>
      <c r="BB106" s="79"/>
      <c r="BC106" s="80"/>
      <c r="BD106" s="79"/>
      <c r="BE106" s="80"/>
      <c r="BF106" s="467"/>
      <c r="BG106" s="472"/>
      <c r="BH106" s="479"/>
      <c r="BI106" s="480"/>
      <c r="BJ106" s="468">
        <f t="shared" si="11"/>
        <v>0</v>
      </c>
      <c r="BK106" s="469">
        <f t="shared" si="10"/>
        <v>0</v>
      </c>
      <c r="BL106" s="453"/>
    </row>
    <row r="107" spans="1:64" ht="21" x14ac:dyDescent="0.35">
      <c r="A107" s="31"/>
      <c r="B107" s="482"/>
      <c r="C107" s="482"/>
      <c r="D107" s="717" t="s">
        <v>151</v>
      </c>
      <c r="E107" s="718"/>
      <c r="F107" s="483"/>
      <c r="G107" s="484"/>
      <c r="H107" s="483"/>
      <c r="I107" s="484"/>
      <c r="J107" s="483"/>
      <c r="K107" s="484"/>
      <c r="L107" s="483"/>
      <c r="M107" s="484"/>
      <c r="N107" s="483"/>
      <c r="O107" s="484"/>
      <c r="P107" s="467"/>
      <c r="Q107" s="472"/>
      <c r="R107" s="467"/>
      <c r="S107" s="472"/>
      <c r="T107" s="483"/>
      <c r="U107" s="484"/>
      <c r="V107" s="483"/>
      <c r="W107" s="484"/>
      <c r="X107" s="483"/>
      <c r="Y107" s="484"/>
      <c r="Z107" s="483"/>
      <c r="AA107" s="484"/>
      <c r="AB107" s="483"/>
      <c r="AC107" s="484"/>
      <c r="AD107" s="467"/>
      <c r="AE107" s="472"/>
      <c r="AF107" s="483"/>
      <c r="AG107" s="484"/>
      <c r="AH107" s="483"/>
      <c r="AI107" s="484"/>
      <c r="AJ107" s="483"/>
      <c r="AK107" s="484"/>
      <c r="AL107" s="483"/>
      <c r="AM107" s="484"/>
      <c r="AN107" s="483"/>
      <c r="AO107" s="484"/>
      <c r="AP107" s="483"/>
      <c r="AQ107" s="484"/>
      <c r="AR107" s="467"/>
      <c r="AS107" s="472"/>
      <c r="AT107" s="483"/>
      <c r="AU107" s="484"/>
      <c r="AV107" s="483"/>
      <c r="AW107" s="484"/>
      <c r="AX107" s="483"/>
      <c r="AY107" s="484"/>
      <c r="AZ107" s="483"/>
      <c r="BA107" s="484"/>
      <c r="BB107" s="483"/>
      <c r="BC107" s="484"/>
      <c r="BD107" s="483"/>
      <c r="BE107" s="484"/>
      <c r="BF107" s="467"/>
      <c r="BG107" s="472"/>
      <c r="BH107" s="483"/>
      <c r="BI107" s="484"/>
      <c r="BJ107" s="468">
        <f t="shared" si="11"/>
        <v>0</v>
      </c>
      <c r="BK107" s="469"/>
      <c r="BL107" s="453"/>
    </row>
    <row r="108" spans="1:64" ht="21" x14ac:dyDescent="0.35">
      <c r="A108" s="31"/>
      <c r="B108" s="482"/>
      <c r="C108" s="482"/>
      <c r="D108" s="709" t="s">
        <v>152</v>
      </c>
      <c r="E108" s="710"/>
      <c r="F108" s="485"/>
      <c r="G108" s="486"/>
      <c r="H108" s="485"/>
      <c r="I108" s="486"/>
      <c r="J108" s="485"/>
      <c r="K108" s="486"/>
      <c r="L108" s="485"/>
      <c r="M108" s="486"/>
      <c r="N108" s="485"/>
      <c r="O108" s="486"/>
      <c r="P108" s="467"/>
      <c r="Q108" s="472"/>
      <c r="R108" s="467"/>
      <c r="S108" s="472"/>
      <c r="T108" s="485"/>
      <c r="U108" s="486"/>
      <c r="V108" s="485"/>
      <c r="W108" s="486"/>
      <c r="X108" s="485"/>
      <c r="Y108" s="486"/>
      <c r="Z108" s="485"/>
      <c r="AA108" s="486"/>
      <c r="AB108" s="485"/>
      <c r="AC108" s="486"/>
      <c r="AD108" s="467"/>
      <c r="AE108" s="472"/>
      <c r="AF108" s="485"/>
      <c r="AG108" s="486"/>
      <c r="AH108" s="485"/>
      <c r="AI108" s="486"/>
      <c r="AJ108" s="485"/>
      <c r="AK108" s="486"/>
      <c r="AL108" s="485"/>
      <c r="AM108" s="486"/>
      <c r="AN108" s="485"/>
      <c r="AO108" s="486"/>
      <c r="AP108" s="485"/>
      <c r="AQ108" s="486"/>
      <c r="AR108" s="467"/>
      <c r="AS108" s="472"/>
      <c r="AT108" s="485"/>
      <c r="AU108" s="486"/>
      <c r="AV108" s="485"/>
      <c r="AW108" s="486"/>
      <c r="AX108" s="485"/>
      <c r="AY108" s="486"/>
      <c r="AZ108" s="485"/>
      <c r="BA108" s="486"/>
      <c r="BB108" s="485"/>
      <c r="BC108" s="486"/>
      <c r="BD108" s="485"/>
      <c r="BE108" s="486"/>
      <c r="BF108" s="467"/>
      <c r="BG108" s="472"/>
      <c r="BH108" s="485"/>
      <c r="BI108" s="486"/>
      <c r="BJ108" s="468">
        <f t="shared" si="11"/>
        <v>0</v>
      </c>
      <c r="BK108" s="469"/>
      <c r="BL108" s="453"/>
    </row>
    <row r="109" spans="1:64" s="1" customFormat="1" ht="23.25" x14ac:dyDescent="0.35">
      <c r="A109" s="36"/>
      <c r="B109" s="487"/>
      <c r="C109" s="487"/>
      <c r="D109" s="657" t="s">
        <v>1041</v>
      </c>
      <c r="E109" s="658"/>
      <c r="F109" s="599">
        <v>6</v>
      </c>
      <c r="G109" s="599">
        <v>6</v>
      </c>
      <c r="H109" s="599">
        <v>6</v>
      </c>
      <c r="I109" s="599">
        <v>6</v>
      </c>
      <c r="J109" s="599">
        <v>6</v>
      </c>
      <c r="K109" s="599">
        <v>6</v>
      </c>
      <c r="L109" s="599"/>
      <c r="M109" s="89"/>
      <c r="N109" s="599">
        <v>6</v>
      </c>
      <c r="O109" s="89"/>
      <c r="P109" s="467"/>
      <c r="Q109" s="472"/>
      <c r="R109" s="467"/>
      <c r="S109" s="472"/>
      <c r="T109" s="599">
        <v>6</v>
      </c>
      <c r="U109" s="89"/>
      <c r="V109" s="599">
        <v>6</v>
      </c>
      <c r="W109" s="89"/>
      <c r="X109" s="599">
        <v>6</v>
      </c>
      <c r="Y109" s="89"/>
      <c r="Z109" s="599">
        <v>6</v>
      </c>
      <c r="AA109" s="89"/>
      <c r="AB109" s="599">
        <v>6</v>
      </c>
      <c r="AC109" s="89"/>
      <c r="AD109" s="467"/>
      <c r="AE109" s="472"/>
      <c r="AF109" s="599">
        <v>6</v>
      </c>
      <c r="AG109" s="599"/>
      <c r="AH109" s="599">
        <v>6</v>
      </c>
      <c r="AI109" s="89"/>
      <c r="AJ109" s="89"/>
      <c r="AK109" s="89"/>
      <c r="AL109" s="89"/>
      <c r="AM109" s="89"/>
      <c r="AN109" s="89"/>
      <c r="AO109" s="89"/>
      <c r="AP109" s="89"/>
      <c r="AQ109" s="89"/>
      <c r="AR109" s="467"/>
      <c r="AS109" s="472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467"/>
      <c r="BG109" s="472"/>
      <c r="BH109" s="488"/>
      <c r="BI109" s="489"/>
      <c r="BJ109" s="468">
        <f t="shared" si="11"/>
        <v>84</v>
      </c>
      <c r="BK109" s="490"/>
      <c r="BL109" s="491"/>
    </row>
    <row r="110" spans="1:64" s="1" customFormat="1" ht="21" x14ac:dyDescent="0.35">
      <c r="A110" s="36"/>
      <c r="B110" s="487"/>
      <c r="C110" s="487"/>
      <c r="D110" s="711" t="s">
        <v>154</v>
      </c>
      <c r="E110" s="712"/>
      <c r="F110" s="470"/>
      <c r="G110" s="471"/>
      <c r="H110" s="470"/>
      <c r="I110" s="471"/>
      <c r="J110" s="470"/>
      <c r="K110" s="471"/>
      <c r="L110" s="470"/>
      <c r="M110" s="471"/>
      <c r="N110" s="470"/>
      <c r="O110" s="471"/>
      <c r="P110" s="467"/>
      <c r="Q110" s="472"/>
      <c r="R110" s="467"/>
      <c r="S110" s="472"/>
      <c r="T110" s="470"/>
      <c r="U110" s="471"/>
      <c r="V110" s="470"/>
      <c r="W110" s="471"/>
      <c r="X110" s="470"/>
      <c r="Y110" s="471"/>
      <c r="Z110" s="470"/>
      <c r="AA110" s="471"/>
      <c r="AB110" s="470"/>
      <c r="AC110" s="471"/>
      <c r="AD110" s="467"/>
      <c r="AE110" s="472"/>
      <c r="AF110" s="470"/>
      <c r="AG110" s="471"/>
      <c r="AH110" s="470"/>
      <c r="AI110" s="471"/>
      <c r="AJ110" s="470"/>
      <c r="AK110" s="471"/>
      <c r="AL110" s="470"/>
      <c r="AM110" s="471"/>
      <c r="AN110" s="470"/>
      <c r="AO110" s="471"/>
      <c r="AP110" s="470"/>
      <c r="AQ110" s="471"/>
      <c r="AR110" s="467"/>
      <c r="AS110" s="472"/>
      <c r="AT110" s="470"/>
      <c r="AU110" s="471"/>
      <c r="AV110" s="470"/>
      <c r="AW110" s="471"/>
      <c r="AX110" s="470"/>
      <c r="AY110" s="471"/>
      <c r="AZ110" s="470"/>
      <c r="BA110" s="471"/>
      <c r="BB110" s="470"/>
      <c r="BC110" s="471"/>
      <c r="BD110" s="470"/>
      <c r="BE110" s="471"/>
      <c r="BF110" s="467"/>
      <c r="BG110" s="472"/>
      <c r="BH110" s="470"/>
      <c r="BI110" s="471"/>
      <c r="BJ110" s="468">
        <f t="shared" si="11"/>
        <v>0</v>
      </c>
      <c r="BK110" s="490"/>
      <c r="BL110" s="491"/>
    </row>
    <row r="111" spans="1:64" s="1" customFormat="1" ht="21" x14ac:dyDescent="0.35">
      <c r="A111" s="36"/>
      <c r="B111" s="487"/>
      <c r="C111" s="487"/>
      <c r="D111" s="711" t="s">
        <v>155</v>
      </c>
      <c r="E111" s="712"/>
      <c r="F111" s="470">
        <f t="shared" ref="F111:BI111" si="12">(F109*60)+F110</f>
        <v>360</v>
      </c>
      <c r="G111" s="471">
        <f t="shared" si="12"/>
        <v>360</v>
      </c>
      <c r="H111" s="470">
        <f t="shared" si="12"/>
        <v>360</v>
      </c>
      <c r="I111" s="471">
        <f t="shared" si="12"/>
        <v>360</v>
      </c>
      <c r="J111" s="470">
        <f t="shared" si="12"/>
        <v>360</v>
      </c>
      <c r="K111" s="471">
        <f t="shared" si="12"/>
        <v>360</v>
      </c>
      <c r="L111" s="470">
        <f t="shared" si="12"/>
        <v>0</v>
      </c>
      <c r="M111" s="471">
        <f t="shared" si="12"/>
        <v>0</v>
      </c>
      <c r="N111" s="470">
        <f>(N109*60)+N110</f>
        <v>360</v>
      </c>
      <c r="O111" s="471">
        <f t="shared" si="12"/>
        <v>0</v>
      </c>
      <c r="P111" s="467">
        <f t="shared" si="12"/>
        <v>0</v>
      </c>
      <c r="Q111" s="472">
        <f t="shared" si="12"/>
        <v>0</v>
      </c>
      <c r="R111" s="467">
        <f>(R109*60)+R110</f>
        <v>0</v>
      </c>
      <c r="S111" s="472">
        <f>(S109*60)+S110</f>
        <v>0</v>
      </c>
      <c r="T111" s="470">
        <f t="shared" si="12"/>
        <v>360</v>
      </c>
      <c r="U111" s="471">
        <f t="shared" si="12"/>
        <v>0</v>
      </c>
      <c r="V111" s="470">
        <f t="shared" si="12"/>
        <v>360</v>
      </c>
      <c r="W111" s="471">
        <f t="shared" si="12"/>
        <v>0</v>
      </c>
      <c r="X111" s="470">
        <f t="shared" si="12"/>
        <v>360</v>
      </c>
      <c r="Y111" s="471">
        <f t="shared" si="12"/>
        <v>0</v>
      </c>
      <c r="Z111" s="470">
        <f t="shared" si="12"/>
        <v>360</v>
      </c>
      <c r="AA111" s="471">
        <f t="shared" si="12"/>
        <v>0</v>
      </c>
      <c r="AB111" s="470">
        <f t="shared" si="12"/>
        <v>360</v>
      </c>
      <c r="AC111" s="471">
        <f t="shared" si="12"/>
        <v>0</v>
      </c>
      <c r="AD111" s="467">
        <f t="shared" si="12"/>
        <v>0</v>
      </c>
      <c r="AE111" s="472">
        <f t="shared" si="12"/>
        <v>0</v>
      </c>
      <c r="AF111" s="470">
        <f t="shared" si="12"/>
        <v>360</v>
      </c>
      <c r="AG111" s="471">
        <f t="shared" si="12"/>
        <v>0</v>
      </c>
      <c r="AH111" s="470">
        <f t="shared" si="12"/>
        <v>360</v>
      </c>
      <c r="AI111" s="471">
        <f t="shared" si="12"/>
        <v>0</v>
      </c>
      <c r="AJ111" s="470">
        <f t="shared" si="12"/>
        <v>0</v>
      </c>
      <c r="AK111" s="471">
        <f t="shared" si="12"/>
        <v>0</v>
      </c>
      <c r="AL111" s="470">
        <f t="shared" si="12"/>
        <v>0</v>
      </c>
      <c r="AM111" s="471">
        <f t="shared" si="12"/>
        <v>0</v>
      </c>
      <c r="AN111" s="470">
        <f t="shared" si="12"/>
        <v>0</v>
      </c>
      <c r="AO111" s="471">
        <f t="shared" si="12"/>
        <v>0</v>
      </c>
      <c r="AP111" s="470">
        <f t="shared" si="12"/>
        <v>0</v>
      </c>
      <c r="AQ111" s="471">
        <f t="shared" si="12"/>
        <v>0</v>
      </c>
      <c r="AR111" s="467">
        <f t="shared" si="12"/>
        <v>0</v>
      </c>
      <c r="AS111" s="472">
        <f t="shared" si="12"/>
        <v>0</v>
      </c>
      <c r="AT111" s="470">
        <f t="shared" si="12"/>
        <v>0</v>
      </c>
      <c r="AU111" s="471">
        <f t="shared" si="12"/>
        <v>0</v>
      </c>
      <c r="AV111" s="470">
        <f t="shared" si="12"/>
        <v>0</v>
      </c>
      <c r="AW111" s="471">
        <f t="shared" si="12"/>
        <v>0</v>
      </c>
      <c r="AX111" s="470">
        <f t="shared" si="12"/>
        <v>0</v>
      </c>
      <c r="AY111" s="471">
        <f t="shared" si="12"/>
        <v>0</v>
      </c>
      <c r="AZ111" s="470">
        <f t="shared" si="12"/>
        <v>0</v>
      </c>
      <c r="BA111" s="471">
        <f t="shared" si="12"/>
        <v>0</v>
      </c>
      <c r="BB111" s="470">
        <f t="shared" si="12"/>
        <v>0</v>
      </c>
      <c r="BC111" s="471">
        <f t="shared" si="12"/>
        <v>0</v>
      </c>
      <c r="BD111" s="470">
        <f t="shared" si="12"/>
        <v>0</v>
      </c>
      <c r="BE111" s="471">
        <f t="shared" si="12"/>
        <v>0</v>
      </c>
      <c r="BF111" s="467">
        <f t="shared" si="12"/>
        <v>0</v>
      </c>
      <c r="BG111" s="472">
        <f t="shared" si="12"/>
        <v>0</v>
      </c>
      <c r="BH111" s="470">
        <f t="shared" si="12"/>
        <v>0</v>
      </c>
      <c r="BI111" s="471">
        <f t="shared" si="12"/>
        <v>0</v>
      </c>
      <c r="BJ111" s="468">
        <f t="shared" si="11"/>
        <v>5040</v>
      </c>
      <c r="BK111" s="490"/>
      <c r="BL111" s="491"/>
    </row>
    <row r="112" spans="1:64" s="1" customFormat="1" ht="21" x14ac:dyDescent="0.35">
      <c r="A112" s="36"/>
      <c r="B112" s="487"/>
      <c r="C112" s="487"/>
      <c r="D112" s="711" t="s">
        <v>156</v>
      </c>
      <c r="E112" s="712"/>
      <c r="F112" s="470">
        <f t="shared" ref="F112:BI112" si="13">F111-F113</f>
        <v>360</v>
      </c>
      <c r="G112" s="471">
        <f t="shared" si="13"/>
        <v>306</v>
      </c>
      <c r="H112" s="470">
        <f t="shared" si="13"/>
        <v>360</v>
      </c>
      <c r="I112" s="471">
        <f t="shared" si="13"/>
        <v>360</v>
      </c>
      <c r="J112" s="470">
        <f t="shared" si="13"/>
        <v>360</v>
      </c>
      <c r="K112" s="471">
        <f t="shared" si="13"/>
        <v>180</v>
      </c>
      <c r="L112" s="470">
        <f t="shared" si="13"/>
        <v>0</v>
      </c>
      <c r="M112" s="471">
        <f t="shared" si="13"/>
        <v>0</v>
      </c>
      <c r="N112" s="470">
        <f>N111-N113</f>
        <v>90</v>
      </c>
      <c r="O112" s="471">
        <f t="shared" si="13"/>
        <v>0</v>
      </c>
      <c r="P112" s="485">
        <f t="shared" si="13"/>
        <v>0</v>
      </c>
      <c r="Q112" s="492">
        <f t="shared" si="13"/>
        <v>0</v>
      </c>
      <c r="R112" s="485">
        <f>R111-R113</f>
        <v>0</v>
      </c>
      <c r="S112" s="492">
        <f>S111-S113</f>
        <v>0</v>
      </c>
      <c r="T112" s="470">
        <f t="shared" si="13"/>
        <v>30</v>
      </c>
      <c r="U112" s="471">
        <f t="shared" si="13"/>
        <v>0</v>
      </c>
      <c r="V112" s="470">
        <f t="shared" si="13"/>
        <v>150</v>
      </c>
      <c r="W112" s="471">
        <f t="shared" si="13"/>
        <v>0</v>
      </c>
      <c r="X112" s="470">
        <f t="shared" si="13"/>
        <v>240</v>
      </c>
      <c r="Y112" s="471">
        <f t="shared" si="13"/>
        <v>0</v>
      </c>
      <c r="Z112" s="470">
        <f t="shared" si="13"/>
        <v>360</v>
      </c>
      <c r="AA112" s="471">
        <f t="shared" si="13"/>
        <v>0</v>
      </c>
      <c r="AB112" s="470">
        <f t="shared" si="13"/>
        <v>330</v>
      </c>
      <c r="AC112" s="471">
        <f t="shared" si="13"/>
        <v>0</v>
      </c>
      <c r="AD112" s="485">
        <f t="shared" si="13"/>
        <v>0</v>
      </c>
      <c r="AE112" s="492">
        <f t="shared" si="13"/>
        <v>0</v>
      </c>
      <c r="AF112" s="470">
        <f t="shared" si="13"/>
        <v>170</v>
      </c>
      <c r="AG112" s="471">
        <f t="shared" si="13"/>
        <v>0</v>
      </c>
      <c r="AH112" s="470">
        <f t="shared" si="13"/>
        <v>90</v>
      </c>
      <c r="AI112" s="471">
        <f t="shared" si="13"/>
        <v>0</v>
      </c>
      <c r="AJ112" s="470">
        <f t="shared" si="13"/>
        <v>0</v>
      </c>
      <c r="AK112" s="471">
        <f t="shared" si="13"/>
        <v>0</v>
      </c>
      <c r="AL112" s="470">
        <f t="shared" si="13"/>
        <v>0</v>
      </c>
      <c r="AM112" s="471">
        <f t="shared" si="13"/>
        <v>0</v>
      </c>
      <c r="AN112" s="470">
        <f t="shared" si="13"/>
        <v>0</v>
      </c>
      <c r="AO112" s="471">
        <f t="shared" si="13"/>
        <v>0</v>
      </c>
      <c r="AP112" s="470">
        <f t="shared" si="13"/>
        <v>0</v>
      </c>
      <c r="AQ112" s="471">
        <f t="shared" si="13"/>
        <v>0</v>
      </c>
      <c r="AR112" s="485">
        <f t="shared" si="13"/>
        <v>0</v>
      </c>
      <c r="AS112" s="492">
        <f t="shared" si="13"/>
        <v>0</v>
      </c>
      <c r="AT112" s="470">
        <f t="shared" si="13"/>
        <v>0</v>
      </c>
      <c r="AU112" s="471">
        <f t="shared" si="13"/>
        <v>0</v>
      </c>
      <c r="AV112" s="470">
        <f t="shared" si="13"/>
        <v>0</v>
      </c>
      <c r="AW112" s="471">
        <f t="shared" si="13"/>
        <v>0</v>
      </c>
      <c r="AX112" s="470">
        <f t="shared" si="13"/>
        <v>0</v>
      </c>
      <c r="AY112" s="471">
        <f t="shared" si="13"/>
        <v>0</v>
      </c>
      <c r="AZ112" s="470">
        <f t="shared" si="13"/>
        <v>0</v>
      </c>
      <c r="BA112" s="471">
        <f t="shared" si="13"/>
        <v>0</v>
      </c>
      <c r="BB112" s="470">
        <f t="shared" si="13"/>
        <v>0</v>
      </c>
      <c r="BC112" s="471">
        <f t="shared" si="13"/>
        <v>0</v>
      </c>
      <c r="BD112" s="470">
        <f t="shared" si="13"/>
        <v>0</v>
      </c>
      <c r="BE112" s="471">
        <f t="shared" si="13"/>
        <v>0</v>
      </c>
      <c r="BF112" s="485">
        <f t="shared" si="13"/>
        <v>0</v>
      </c>
      <c r="BG112" s="492">
        <f t="shared" si="13"/>
        <v>0</v>
      </c>
      <c r="BH112" s="470">
        <f t="shared" si="13"/>
        <v>0</v>
      </c>
      <c r="BI112" s="471">
        <f t="shared" si="13"/>
        <v>0</v>
      </c>
      <c r="BJ112" s="468">
        <f t="shared" si="11"/>
        <v>3386</v>
      </c>
      <c r="BK112" s="490"/>
      <c r="BL112" s="491"/>
    </row>
    <row r="113" spans="1:64" s="1" customFormat="1" ht="21" x14ac:dyDescent="0.35">
      <c r="A113" s="39"/>
      <c r="B113" s="493"/>
      <c r="C113" s="493"/>
      <c r="D113" s="713" t="s">
        <v>157</v>
      </c>
      <c r="E113" s="714"/>
      <c r="F113" s="494">
        <f t="shared" ref="F113:BI113" si="14">SUM(F114:F115)</f>
        <v>0</v>
      </c>
      <c r="G113" s="495">
        <f t="shared" si="14"/>
        <v>54</v>
      </c>
      <c r="H113" s="494">
        <f t="shared" si="14"/>
        <v>0</v>
      </c>
      <c r="I113" s="495">
        <f t="shared" si="14"/>
        <v>0</v>
      </c>
      <c r="J113" s="494">
        <f t="shared" si="14"/>
        <v>0</v>
      </c>
      <c r="K113" s="495">
        <f t="shared" si="14"/>
        <v>180</v>
      </c>
      <c r="L113" s="494">
        <f t="shared" si="14"/>
        <v>0</v>
      </c>
      <c r="M113" s="495">
        <f t="shared" si="14"/>
        <v>0</v>
      </c>
      <c r="N113" s="494">
        <f>SUM(N114:N115)</f>
        <v>270</v>
      </c>
      <c r="O113" s="495">
        <f t="shared" si="14"/>
        <v>0</v>
      </c>
      <c r="P113" s="467">
        <f t="shared" si="14"/>
        <v>0</v>
      </c>
      <c r="Q113" s="472">
        <f t="shared" si="14"/>
        <v>0</v>
      </c>
      <c r="R113" s="467">
        <f>SUM(R114:R115)</f>
        <v>0</v>
      </c>
      <c r="S113" s="472">
        <f>SUM(S114:S115)</f>
        <v>0</v>
      </c>
      <c r="T113" s="494">
        <f t="shared" si="14"/>
        <v>330</v>
      </c>
      <c r="U113" s="495">
        <f t="shared" si="14"/>
        <v>0</v>
      </c>
      <c r="V113" s="494">
        <f t="shared" si="14"/>
        <v>210</v>
      </c>
      <c r="W113" s="495">
        <f t="shared" si="14"/>
        <v>0</v>
      </c>
      <c r="X113" s="494">
        <f t="shared" si="14"/>
        <v>120</v>
      </c>
      <c r="Y113" s="495">
        <f t="shared" si="14"/>
        <v>0</v>
      </c>
      <c r="Z113" s="494">
        <f t="shared" si="14"/>
        <v>0</v>
      </c>
      <c r="AA113" s="495">
        <f t="shared" si="14"/>
        <v>0</v>
      </c>
      <c r="AB113" s="494">
        <f t="shared" si="14"/>
        <v>30</v>
      </c>
      <c r="AC113" s="495">
        <f t="shared" si="14"/>
        <v>0</v>
      </c>
      <c r="AD113" s="467">
        <f t="shared" si="14"/>
        <v>0</v>
      </c>
      <c r="AE113" s="472">
        <f t="shared" si="14"/>
        <v>0</v>
      </c>
      <c r="AF113" s="494">
        <f t="shared" si="14"/>
        <v>190</v>
      </c>
      <c r="AG113" s="495">
        <f t="shared" si="14"/>
        <v>0</v>
      </c>
      <c r="AH113" s="494">
        <f t="shared" si="14"/>
        <v>270</v>
      </c>
      <c r="AI113" s="495">
        <f t="shared" si="14"/>
        <v>0</v>
      </c>
      <c r="AJ113" s="494">
        <f t="shared" si="14"/>
        <v>0</v>
      </c>
      <c r="AK113" s="495">
        <f t="shared" si="14"/>
        <v>0</v>
      </c>
      <c r="AL113" s="494">
        <f t="shared" si="14"/>
        <v>0</v>
      </c>
      <c r="AM113" s="495">
        <f t="shared" si="14"/>
        <v>0</v>
      </c>
      <c r="AN113" s="494">
        <f t="shared" si="14"/>
        <v>0</v>
      </c>
      <c r="AO113" s="495">
        <f t="shared" si="14"/>
        <v>0</v>
      </c>
      <c r="AP113" s="494">
        <f t="shared" si="14"/>
        <v>0</v>
      </c>
      <c r="AQ113" s="495">
        <f t="shared" si="14"/>
        <v>0</v>
      </c>
      <c r="AR113" s="467">
        <f t="shared" si="14"/>
        <v>0</v>
      </c>
      <c r="AS113" s="472">
        <f t="shared" si="14"/>
        <v>0</v>
      </c>
      <c r="AT113" s="494">
        <f t="shared" si="14"/>
        <v>0</v>
      </c>
      <c r="AU113" s="495">
        <f t="shared" si="14"/>
        <v>0</v>
      </c>
      <c r="AV113" s="494">
        <f t="shared" si="14"/>
        <v>0</v>
      </c>
      <c r="AW113" s="495">
        <f t="shared" si="14"/>
        <v>0</v>
      </c>
      <c r="AX113" s="494">
        <f t="shared" si="14"/>
        <v>0</v>
      </c>
      <c r="AY113" s="495">
        <f t="shared" si="14"/>
        <v>0</v>
      </c>
      <c r="AZ113" s="494">
        <f t="shared" si="14"/>
        <v>0</v>
      </c>
      <c r="BA113" s="495">
        <f t="shared" si="14"/>
        <v>0</v>
      </c>
      <c r="BB113" s="494">
        <f t="shared" si="14"/>
        <v>0</v>
      </c>
      <c r="BC113" s="495">
        <f t="shared" si="14"/>
        <v>0</v>
      </c>
      <c r="BD113" s="494">
        <f t="shared" si="14"/>
        <v>0</v>
      </c>
      <c r="BE113" s="495">
        <f t="shared" si="14"/>
        <v>0</v>
      </c>
      <c r="BF113" s="467">
        <f t="shared" si="14"/>
        <v>0</v>
      </c>
      <c r="BG113" s="472">
        <f t="shared" si="14"/>
        <v>0</v>
      </c>
      <c r="BH113" s="494">
        <f t="shared" si="14"/>
        <v>0</v>
      </c>
      <c r="BI113" s="495">
        <f t="shared" si="14"/>
        <v>0</v>
      </c>
      <c r="BJ113" s="468">
        <f t="shared" si="11"/>
        <v>1654</v>
      </c>
      <c r="BK113" s="490"/>
      <c r="BL113" s="491"/>
    </row>
    <row r="114" spans="1:64" s="1" customFormat="1" ht="21" x14ac:dyDescent="0.35">
      <c r="A114" s="42"/>
      <c r="B114" s="24"/>
      <c r="C114" s="24"/>
      <c r="D114" s="721" t="s">
        <v>158</v>
      </c>
      <c r="E114" s="722"/>
      <c r="F114" s="599"/>
      <c r="G114" s="599">
        <v>54</v>
      </c>
      <c r="H114" s="599"/>
      <c r="I114" s="599"/>
      <c r="J114" s="599"/>
      <c r="K114" s="90">
        <v>180</v>
      </c>
      <c r="L114" s="89"/>
      <c r="M114" s="90"/>
      <c r="N114" s="599">
        <f>4*60+30</f>
        <v>270</v>
      </c>
      <c r="O114" s="90"/>
      <c r="P114" s="467"/>
      <c r="Q114" s="472"/>
      <c r="R114" s="467"/>
      <c r="S114" s="472"/>
      <c r="T114" s="599">
        <f>5*60+30</f>
        <v>330</v>
      </c>
      <c r="U114" s="604"/>
      <c r="V114" s="599">
        <v>180</v>
      </c>
      <c r="W114" s="604"/>
      <c r="X114" s="599">
        <v>120</v>
      </c>
      <c r="Y114" s="90"/>
      <c r="Z114" s="89"/>
      <c r="AA114" s="90"/>
      <c r="AB114" s="89"/>
      <c r="AC114" s="90"/>
      <c r="AD114" s="467"/>
      <c r="AE114" s="472"/>
      <c r="AF114" s="599">
        <v>70</v>
      </c>
      <c r="AG114" s="90"/>
      <c r="AH114" s="89"/>
      <c r="AI114" s="90"/>
      <c r="AJ114" s="89"/>
      <c r="AK114" s="90"/>
      <c r="AL114" s="89"/>
      <c r="AM114" s="90"/>
      <c r="AN114" s="89"/>
      <c r="AO114" s="90"/>
      <c r="AP114" s="89"/>
      <c r="AQ114" s="90"/>
      <c r="AR114" s="467"/>
      <c r="AS114" s="472"/>
      <c r="AT114" s="89"/>
      <c r="AU114" s="90"/>
      <c r="AV114" s="89"/>
      <c r="AW114" s="90"/>
      <c r="AX114" s="89"/>
      <c r="AY114" s="90"/>
      <c r="AZ114" s="89"/>
      <c r="BA114" s="90"/>
      <c r="BB114" s="89"/>
      <c r="BC114" s="90"/>
      <c r="BD114" s="89"/>
      <c r="BE114" s="90"/>
      <c r="BF114" s="467"/>
      <c r="BG114" s="472"/>
      <c r="BH114" s="488"/>
      <c r="BI114" s="489"/>
      <c r="BJ114" s="468">
        <f t="shared" si="11"/>
        <v>1204</v>
      </c>
      <c r="BK114" s="490"/>
      <c r="BL114" s="491"/>
    </row>
    <row r="115" spans="1:64" s="1" customFormat="1" ht="21" x14ac:dyDescent="0.35">
      <c r="A115" s="42"/>
      <c r="B115" s="24"/>
      <c r="C115" s="24"/>
      <c r="D115" s="721" t="s">
        <v>161</v>
      </c>
      <c r="E115" s="722"/>
      <c r="F115" s="488"/>
      <c r="G115" s="599"/>
      <c r="H115" s="599"/>
      <c r="I115" s="599"/>
      <c r="J115" s="599"/>
      <c r="K115" s="489"/>
      <c r="L115" s="488"/>
      <c r="M115" s="489"/>
      <c r="N115" s="599"/>
      <c r="O115" s="489"/>
      <c r="P115" s="467"/>
      <c r="Q115" s="472"/>
      <c r="R115" s="467"/>
      <c r="S115" s="472"/>
      <c r="T115" s="601"/>
      <c r="U115" s="634"/>
      <c r="V115" s="601">
        <v>30</v>
      </c>
      <c r="W115" s="634"/>
      <c r="X115" s="601"/>
      <c r="Y115" s="489"/>
      <c r="Z115" s="488"/>
      <c r="AA115" s="489"/>
      <c r="AB115" s="488">
        <v>30</v>
      </c>
      <c r="AC115" s="489"/>
      <c r="AD115" s="467"/>
      <c r="AE115" s="472"/>
      <c r="AF115" s="488">
        <v>120</v>
      </c>
      <c r="AG115" s="489"/>
      <c r="AH115" s="488">
        <f>4*60+30</f>
        <v>270</v>
      </c>
      <c r="AI115" s="489"/>
      <c r="AJ115" s="488"/>
      <c r="AK115" s="489"/>
      <c r="AL115" s="488"/>
      <c r="AM115" s="489"/>
      <c r="AN115" s="488"/>
      <c r="AO115" s="489"/>
      <c r="AP115" s="488"/>
      <c r="AQ115" s="489"/>
      <c r="AR115" s="467"/>
      <c r="AS115" s="472"/>
      <c r="AT115" s="488"/>
      <c r="AU115" s="489"/>
      <c r="AV115" s="488"/>
      <c r="AW115" s="489"/>
      <c r="AX115" s="488"/>
      <c r="AY115" s="489"/>
      <c r="AZ115" s="488"/>
      <c r="BA115" s="489"/>
      <c r="BB115" s="488"/>
      <c r="BC115" s="489"/>
      <c r="BD115" s="488"/>
      <c r="BE115" s="489"/>
      <c r="BF115" s="467"/>
      <c r="BG115" s="472"/>
      <c r="BH115" s="488"/>
      <c r="BI115" s="489"/>
      <c r="BJ115" s="468">
        <f t="shared" si="11"/>
        <v>450</v>
      </c>
      <c r="BK115" s="490"/>
      <c r="BL115" s="491"/>
    </row>
    <row r="116" spans="1:64" ht="21" x14ac:dyDescent="0.35">
      <c r="A116" s="44"/>
      <c r="B116" s="496"/>
      <c r="C116" s="496"/>
      <c r="D116" s="723" t="s">
        <v>162</v>
      </c>
      <c r="E116" s="724"/>
      <c r="F116" s="483">
        <f t="shared" ref="F116:K116" si="15">F111-F113-F28</f>
        <v>360</v>
      </c>
      <c r="G116" s="483">
        <f t="shared" si="15"/>
        <v>261</v>
      </c>
      <c r="H116" s="483">
        <f t="shared" si="15"/>
        <v>315</v>
      </c>
      <c r="I116" s="483">
        <f t="shared" si="15"/>
        <v>345</v>
      </c>
      <c r="J116" s="483">
        <f t="shared" si="15"/>
        <v>300</v>
      </c>
      <c r="K116" s="483">
        <f t="shared" si="15"/>
        <v>180</v>
      </c>
      <c r="L116" s="483"/>
      <c r="M116" s="483"/>
      <c r="N116" s="483">
        <f>N111-N113-N28</f>
        <v>55</v>
      </c>
      <c r="O116" s="483"/>
      <c r="P116" s="483"/>
      <c r="Q116" s="483"/>
      <c r="R116" s="483"/>
      <c r="S116" s="483"/>
      <c r="T116" s="483">
        <f>T111-T113-T28</f>
        <v>30</v>
      </c>
      <c r="U116" s="483"/>
      <c r="V116" s="483">
        <f>V111-V113-V28</f>
        <v>150</v>
      </c>
      <c r="W116" s="483"/>
      <c r="X116" s="483">
        <f>X111-X113-X28</f>
        <v>113</v>
      </c>
      <c r="Y116" s="483"/>
      <c r="Z116" s="483">
        <f>Z111-Z113-Z28</f>
        <v>240</v>
      </c>
      <c r="AA116" s="483"/>
      <c r="AB116" s="483">
        <f>AB111-AB113-AB28</f>
        <v>330</v>
      </c>
      <c r="AC116" s="483"/>
      <c r="AD116" s="483"/>
      <c r="AE116" s="483"/>
      <c r="AF116" s="483">
        <f>AF111-AF113-AF28</f>
        <v>110</v>
      </c>
      <c r="AG116" s="483"/>
      <c r="AH116" s="483">
        <f>AH111-AH113-AH28</f>
        <v>90</v>
      </c>
      <c r="AI116" s="483"/>
      <c r="AJ116" s="483"/>
      <c r="AK116" s="483"/>
      <c r="AL116" s="483"/>
      <c r="AM116" s="483"/>
      <c r="AN116" s="483"/>
      <c r="AO116" s="483"/>
      <c r="AP116" s="483"/>
      <c r="AQ116" s="483"/>
      <c r="AR116" s="483"/>
      <c r="AS116" s="483"/>
      <c r="AT116" s="483"/>
      <c r="AU116" s="483"/>
      <c r="AV116" s="483"/>
      <c r="AW116" s="483"/>
      <c r="AX116" s="483"/>
      <c r="AY116" s="483"/>
      <c r="AZ116" s="483"/>
      <c r="BA116" s="483"/>
      <c r="BB116" s="483"/>
      <c r="BC116" s="483"/>
      <c r="BD116" s="483"/>
      <c r="BE116" s="483"/>
      <c r="BF116" s="483"/>
      <c r="BG116" s="483"/>
      <c r="BH116" s="483"/>
      <c r="BI116" s="483"/>
      <c r="BJ116" s="497">
        <f>BJ111-BJ113-BJ28</f>
        <v>2756</v>
      </c>
      <c r="BK116" s="469"/>
      <c r="BL116" s="453"/>
    </row>
    <row r="117" spans="1:64" ht="21" x14ac:dyDescent="0.35">
      <c r="A117" s="44"/>
      <c r="B117" s="496"/>
      <c r="C117" s="496"/>
      <c r="D117" s="723" t="s">
        <v>163</v>
      </c>
      <c r="E117" s="724"/>
      <c r="F117" s="498">
        <f t="shared" ref="F117:K117" si="16">IFERROR(SUMPRODUCT(F5:F17/$E$5:$E$17),0)</f>
        <v>272.5</v>
      </c>
      <c r="G117" s="498">
        <f t="shared" si="16"/>
        <v>204.3</v>
      </c>
      <c r="H117" s="498">
        <f t="shared" si="16"/>
        <v>260.92500000000001</v>
      </c>
      <c r="I117" s="498">
        <f t="shared" si="16"/>
        <v>226.75</v>
      </c>
      <c r="J117" s="498">
        <f t="shared" si="16"/>
        <v>288.75</v>
      </c>
      <c r="K117" s="498">
        <f t="shared" si="16"/>
        <v>164.375</v>
      </c>
      <c r="L117" s="498"/>
      <c r="M117" s="498"/>
      <c r="N117" s="498">
        <f>IFERROR(SUMPRODUCT(N5:N17/$E$5:$E$17),0)</f>
        <v>53.174999999999997</v>
      </c>
      <c r="O117" s="498"/>
      <c r="P117" s="498"/>
      <c r="Q117" s="498"/>
      <c r="R117" s="498"/>
      <c r="S117" s="498"/>
      <c r="T117" s="498">
        <f>IFERROR(SUMPRODUCT(T5:T17/$E$5:$E$17),0)</f>
        <v>21.75</v>
      </c>
      <c r="U117" s="498"/>
      <c r="V117" s="498">
        <f>IFERROR(SUMPRODUCT(V5:V17/$E$5:$E$17),0)</f>
        <v>123.325</v>
      </c>
      <c r="W117" s="498"/>
      <c r="X117" s="498">
        <f>IFERROR(SUMPRODUCT(X5:X17/$E$5:$E$17),0)</f>
        <v>106.57142857142857</v>
      </c>
      <c r="Y117" s="498"/>
      <c r="Z117" s="498">
        <f>IFERROR(SUMPRODUCT(Z5:Z17/$E$5:$E$17),0)</f>
        <v>211.57142857142856</v>
      </c>
      <c r="AA117" s="498"/>
      <c r="AB117" s="498">
        <f>IFERROR(SUMPRODUCT(AB5:AB17/$E$5:$E$17),0)</f>
        <v>308.57142857142856</v>
      </c>
      <c r="AC117" s="498"/>
      <c r="AD117" s="498"/>
      <c r="AE117" s="498"/>
      <c r="AF117" s="498">
        <f>IFERROR(SUMPRODUCT(AF5:AF17/$E$5:$E$17),0)</f>
        <v>97.857142857142847</v>
      </c>
      <c r="AG117" s="498"/>
      <c r="AH117" s="498">
        <f>IFERROR(SUMPRODUCT(AH5:AH17/$E$5:$E$17),0)</f>
        <v>82.428571428571431</v>
      </c>
      <c r="AI117" s="498"/>
      <c r="AJ117" s="498"/>
      <c r="AK117" s="498"/>
      <c r="AL117" s="498"/>
      <c r="AM117" s="498"/>
      <c r="AN117" s="498"/>
      <c r="AO117" s="498"/>
      <c r="AP117" s="498"/>
      <c r="AQ117" s="498"/>
      <c r="AR117" s="498"/>
      <c r="AS117" s="498"/>
      <c r="AT117" s="498"/>
      <c r="AU117" s="498"/>
      <c r="AV117" s="498"/>
      <c r="AW117" s="498"/>
      <c r="AX117" s="498"/>
      <c r="AY117" s="498"/>
      <c r="AZ117" s="498"/>
      <c r="BA117" s="498"/>
      <c r="BB117" s="498"/>
      <c r="BC117" s="498"/>
      <c r="BD117" s="498"/>
      <c r="BE117" s="498"/>
      <c r="BF117" s="498"/>
      <c r="BG117" s="498"/>
      <c r="BH117" s="498"/>
      <c r="BI117" s="498"/>
      <c r="BJ117" s="497">
        <f>IFERROR(SUMPRODUCT(BJ5:BJ17/$E$5:$E$17),0)</f>
        <v>2422.8500000000008</v>
      </c>
      <c r="BK117" s="469"/>
      <c r="BL117" s="453"/>
    </row>
    <row r="118" spans="1:64" ht="21" x14ac:dyDescent="0.35">
      <c r="A118" s="44"/>
      <c r="B118" s="496"/>
      <c r="C118" s="496"/>
      <c r="D118" s="723" t="s">
        <v>164</v>
      </c>
      <c r="E118" s="724"/>
      <c r="F118" s="498">
        <f t="shared" ref="F118:K118" si="17">F116-F117</f>
        <v>87.5</v>
      </c>
      <c r="G118" s="498">
        <f t="shared" si="17"/>
        <v>56.699999999999989</v>
      </c>
      <c r="H118" s="498">
        <f t="shared" si="17"/>
        <v>54.074999999999989</v>
      </c>
      <c r="I118" s="498">
        <f t="shared" si="17"/>
        <v>118.25</v>
      </c>
      <c r="J118" s="498">
        <f t="shared" si="17"/>
        <v>11.25</v>
      </c>
      <c r="K118" s="498">
        <f t="shared" si="17"/>
        <v>15.625</v>
      </c>
      <c r="L118" s="498"/>
      <c r="M118" s="498"/>
      <c r="N118" s="498">
        <f>N116-N117</f>
        <v>1.8250000000000028</v>
      </c>
      <c r="O118" s="498"/>
      <c r="P118" s="498"/>
      <c r="Q118" s="498"/>
      <c r="R118" s="498"/>
      <c r="S118" s="498"/>
      <c r="T118" s="498">
        <f>T116-T117</f>
        <v>8.25</v>
      </c>
      <c r="U118" s="498"/>
      <c r="V118" s="498">
        <f>V116-V117</f>
        <v>26.674999999999997</v>
      </c>
      <c r="W118" s="498"/>
      <c r="X118" s="498">
        <f>X116-X117</f>
        <v>6.4285714285714306</v>
      </c>
      <c r="Y118" s="498"/>
      <c r="Z118" s="498">
        <f>Z116-Z117</f>
        <v>28.428571428571445</v>
      </c>
      <c r="AA118" s="498"/>
      <c r="AB118" s="498">
        <f>AB116-AB117</f>
        <v>21.428571428571445</v>
      </c>
      <c r="AC118" s="498"/>
      <c r="AD118" s="498"/>
      <c r="AE118" s="498"/>
      <c r="AF118" s="498">
        <f>AF116-AF117</f>
        <v>12.142857142857153</v>
      </c>
      <c r="AG118" s="498"/>
      <c r="AH118" s="498">
        <f>AH116-AH117</f>
        <v>7.5714285714285694</v>
      </c>
      <c r="AI118" s="498"/>
      <c r="AJ118" s="498"/>
      <c r="AK118" s="498"/>
      <c r="AL118" s="498"/>
      <c r="AM118" s="498"/>
      <c r="AN118" s="498"/>
      <c r="AO118" s="498"/>
      <c r="AP118" s="498"/>
      <c r="AQ118" s="498"/>
      <c r="AR118" s="498"/>
      <c r="AS118" s="498"/>
      <c r="AT118" s="498"/>
      <c r="AU118" s="498"/>
      <c r="AV118" s="498"/>
      <c r="AW118" s="498"/>
      <c r="AX118" s="498"/>
      <c r="AY118" s="498"/>
      <c r="AZ118" s="498"/>
      <c r="BA118" s="498"/>
      <c r="BB118" s="498"/>
      <c r="BC118" s="498"/>
      <c r="BD118" s="498"/>
      <c r="BE118" s="498"/>
      <c r="BF118" s="498"/>
      <c r="BG118" s="498"/>
      <c r="BH118" s="498"/>
      <c r="BI118" s="498"/>
      <c r="BJ118" s="497">
        <f>BJ116-BJ117</f>
        <v>333.14999999999918</v>
      </c>
      <c r="BK118" s="469"/>
      <c r="BL118" s="453"/>
    </row>
    <row r="119" spans="1:64" ht="21" x14ac:dyDescent="0.35">
      <c r="A119" s="44"/>
      <c r="B119" s="496"/>
      <c r="C119" s="496"/>
      <c r="D119" s="723" t="s">
        <v>165</v>
      </c>
      <c r="E119" s="724"/>
      <c r="F119" s="498">
        <f t="shared" ref="F119:K119" si="18">SUM(F5:F18)/(F112-F28)</f>
        <v>30.277777777777779</v>
      </c>
      <c r="G119" s="498">
        <f t="shared" si="18"/>
        <v>31.475095785440612</v>
      </c>
      <c r="H119" s="498">
        <f t="shared" si="18"/>
        <v>33.133333333333333</v>
      </c>
      <c r="I119" s="498">
        <f t="shared" si="18"/>
        <v>26.289855072463769</v>
      </c>
      <c r="J119" s="498">
        <f t="shared" si="18"/>
        <v>38.57</v>
      </c>
      <c r="K119" s="498">
        <f t="shared" si="18"/>
        <v>36.527777777777779</v>
      </c>
      <c r="L119" s="498"/>
      <c r="M119" s="498"/>
      <c r="N119" s="498">
        <f>SUM(N5:N18)/(N112-N28)</f>
        <v>39.745454545454542</v>
      </c>
      <c r="O119" s="498"/>
      <c r="P119" s="498"/>
      <c r="Q119" s="498"/>
      <c r="R119" s="498"/>
      <c r="S119" s="498"/>
      <c r="T119" s="498">
        <f>SUM(T5:T18)/(T112-T28)</f>
        <v>29.8</v>
      </c>
      <c r="U119" s="498"/>
      <c r="V119" s="498">
        <f>SUM(V5:V18)/(V112-V28)</f>
        <v>32.946666666666665</v>
      </c>
      <c r="W119" s="498"/>
      <c r="X119" s="498">
        <f>SUM(X5:X18)/(X112-X28)</f>
        <v>33.221238938053098</v>
      </c>
      <c r="Y119" s="498"/>
      <c r="Z119" s="498">
        <f>SUM(Z5:Z18)/(Z112-Z28)</f>
        <v>31.008333333333333</v>
      </c>
      <c r="AA119" s="498"/>
      <c r="AB119" s="498">
        <f>SUM(AB5:AB18)/(AB112-AB28)</f>
        <v>32.824242424242428</v>
      </c>
      <c r="AC119" s="498"/>
      <c r="AD119" s="498"/>
      <c r="AE119" s="498"/>
      <c r="AF119" s="498">
        <f>SUM(AF5:AF18)/(AF112-AF28)</f>
        <v>31.136363636363637</v>
      </c>
      <c r="AG119" s="498"/>
      <c r="AH119" s="498">
        <f>SUM(AH5:AH18)/(AH112-AH28)</f>
        <v>32.055555555555557</v>
      </c>
      <c r="AI119" s="498"/>
      <c r="AJ119" s="498"/>
      <c r="AK119" s="498"/>
      <c r="AL119" s="498"/>
      <c r="AM119" s="498"/>
      <c r="AN119" s="498"/>
      <c r="AO119" s="498"/>
      <c r="AP119" s="498"/>
      <c r="AQ119" s="498"/>
      <c r="AR119" s="498"/>
      <c r="AS119" s="498"/>
      <c r="AT119" s="498"/>
      <c r="AU119" s="498"/>
      <c r="AV119" s="498"/>
      <c r="AW119" s="498"/>
      <c r="AX119" s="498"/>
      <c r="AY119" s="498"/>
      <c r="AZ119" s="498"/>
      <c r="BA119" s="498"/>
      <c r="BB119" s="498"/>
      <c r="BC119" s="498"/>
      <c r="BD119" s="498"/>
      <c r="BE119" s="498"/>
      <c r="BF119" s="498"/>
      <c r="BG119" s="498"/>
      <c r="BH119" s="498"/>
      <c r="BI119" s="498"/>
      <c r="BJ119" s="499">
        <f>SUM(BJ5:BJ18)/(BJ112-BJ28)</f>
        <v>33.791001451378811</v>
      </c>
      <c r="BK119" s="469"/>
      <c r="BL119" s="453"/>
    </row>
    <row r="120" spans="1:64" ht="21" x14ac:dyDescent="0.35">
      <c r="A120" s="46"/>
      <c r="B120" s="500"/>
      <c r="C120" s="500"/>
      <c r="D120" s="719" t="s">
        <v>166</v>
      </c>
      <c r="E120" s="720"/>
      <c r="F120" s="501">
        <f t="shared" ref="F120:K120" si="19">(F112-F28)/F112</f>
        <v>1</v>
      </c>
      <c r="G120" s="501">
        <f t="shared" si="19"/>
        <v>0.8529411764705882</v>
      </c>
      <c r="H120" s="501">
        <f t="shared" si="19"/>
        <v>0.875</v>
      </c>
      <c r="I120" s="501">
        <f t="shared" si="19"/>
        <v>0.95833333333333337</v>
      </c>
      <c r="J120" s="501">
        <f t="shared" si="19"/>
        <v>0.83333333333333337</v>
      </c>
      <c r="K120" s="501">
        <f t="shared" si="19"/>
        <v>1</v>
      </c>
      <c r="L120" s="501"/>
      <c r="M120" s="501"/>
      <c r="N120" s="501">
        <f>(N112-N28)/N112</f>
        <v>0.61111111111111116</v>
      </c>
      <c r="O120" s="501"/>
      <c r="P120" s="501"/>
      <c r="Q120" s="501"/>
      <c r="R120" s="501"/>
      <c r="S120" s="501"/>
      <c r="T120" s="501">
        <f>(T112-T28)/T112</f>
        <v>1</v>
      </c>
      <c r="U120" s="501"/>
      <c r="V120" s="501">
        <f>(V112-V28)/V112</f>
        <v>1</v>
      </c>
      <c r="W120" s="501"/>
      <c r="X120" s="501">
        <f>(X112-X28)/X112</f>
        <v>0.47083333333333333</v>
      </c>
      <c r="Y120" s="501"/>
      <c r="Z120" s="501">
        <f>(Z112-Z28)/Z112</f>
        <v>0.66666666666666663</v>
      </c>
      <c r="AA120" s="501"/>
      <c r="AB120" s="501">
        <f>(AB112-AB28)/AB112</f>
        <v>1</v>
      </c>
      <c r="AC120" s="501"/>
      <c r="AD120" s="501"/>
      <c r="AE120" s="501"/>
      <c r="AF120" s="501">
        <f>(AF112-AF28)/AF112</f>
        <v>0.6470588235294118</v>
      </c>
      <c r="AG120" s="501"/>
      <c r="AH120" s="501">
        <f>(AH112-AH28)/AH112</f>
        <v>1</v>
      </c>
      <c r="AI120" s="501"/>
      <c r="AJ120" s="501"/>
      <c r="AK120" s="501"/>
      <c r="AL120" s="501"/>
      <c r="AM120" s="501"/>
      <c r="AN120" s="501"/>
      <c r="AO120" s="501"/>
      <c r="AP120" s="501"/>
      <c r="AQ120" s="501"/>
      <c r="AR120" s="501"/>
      <c r="AS120" s="501"/>
      <c r="AT120" s="501"/>
      <c r="AU120" s="501"/>
      <c r="AV120" s="501"/>
      <c r="AW120" s="501"/>
      <c r="AX120" s="501"/>
      <c r="AY120" s="501"/>
      <c r="AZ120" s="501"/>
      <c r="BA120" s="501"/>
      <c r="BB120" s="501"/>
      <c r="BC120" s="501"/>
      <c r="BD120" s="501"/>
      <c r="BE120" s="501"/>
      <c r="BF120" s="501"/>
      <c r="BG120" s="501"/>
      <c r="BH120" s="501"/>
      <c r="BI120" s="501"/>
      <c r="BJ120" s="502">
        <f>(BJ112-BJ28)/BJ112</f>
        <v>0.81393975191966927</v>
      </c>
      <c r="BK120" s="469"/>
      <c r="BL120" s="453"/>
    </row>
    <row r="121" spans="1:64" ht="21" x14ac:dyDescent="0.35">
      <c r="A121" s="46"/>
      <c r="B121" s="500"/>
      <c r="C121" s="500"/>
      <c r="D121" s="719" t="s">
        <v>167</v>
      </c>
      <c r="E121" s="720"/>
      <c r="F121" s="501">
        <f t="shared" ref="F121:K121" si="20">F117/F116</f>
        <v>0.75694444444444442</v>
      </c>
      <c r="G121" s="501">
        <f t="shared" si="20"/>
        <v>0.78275862068965518</v>
      </c>
      <c r="H121" s="501">
        <f t="shared" si="20"/>
        <v>0.82833333333333337</v>
      </c>
      <c r="I121" s="501">
        <f t="shared" si="20"/>
        <v>0.65724637681159426</v>
      </c>
      <c r="J121" s="501">
        <f t="shared" si="20"/>
        <v>0.96250000000000002</v>
      </c>
      <c r="K121" s="501">
        <f t="shared" si="20"/>
        <v>0.91319444444444442</v>
      </c>
      <c r="L121" s="501"/>
      <c r="M121" s="501"/>
      <c r="N121" s="501">
        <f>N117/N116</f>
        <v>0.9668181818181818</v>
      </c>
      <c r="O121" s="501"/>
      <c r="P121" s="501"/>
      <c r="Q121" s="501"/>
      <c r="R121" s="501"/>
      <c r="S121" s="501"/>
      <c r="T121" s="501">
        <f>T117/T116</f>
        <v>0.72499999999999998</v>
      </c>
      <c r="U121" s="501"/>
      <c r="V121" s="501">
        <f>V117/V116</f>
        <v>0.82216666666666671</v>
      </c>
      <c r="W121" s="501"/>
      <c r="X121" s="501">
        <f>X117/X116</f>
        <v>0.94310998735777496</v>
      </c>
      <c r="Y121" s="501"/>
      <c r="Z121" s="501">
        <f>Z117/Z116</f>
        <v>0.88154761904761902</v>
      </c>
      <c r="AA121" s="501"/>
      <c r="AB121" s="501">
        <f>AB117/AB116</f>
        <v>0.93506493506493504</v>
      </c>
      <c r="AC121" s="501"/>
      <c r="AD121" s="501"/>
      <c r="AE121" s="501"/>
      <c r="AF121" s="501">
        <f>AF117/AF116</f>
        <v>0.88961038961038952</v>
      </c>
      <c r="AG121" s="501"/>
      <c r="AH121" s="501">
        <f>AH117/AH116</f>
        <v>0.91587301587301595</v>
      </c>
      <c r="AI121" s="501"/>
      <c r="AJ121" s="501"/>
      <c r="AK121" s="501"/>
      <c r="AL121" s="501"/>
      <c r="AM121" s="501"/>
      <c r="AN121" s="501"/>
      <c r="AO121" s="501"/>
      <c r="AP121" s="501"/>
      <c r="AQ121" s="501"/>
      <c r="AR121" s="501"/>
      <c r="AS121" s="501"/>
      <c r="AT121" s="501"/>
      <c r="AU121" s="501"/>
      <c r="AV121" s="501"/>
      <c r="AW121" s="501"/>
      <c r="AX121" s="501"/>
      <c r="AY121" s="501"/>
      <c r="AZ121" s="501"/>
      <c r="BA121" s="501"/>
      <c r="BB121" s="501"/>
      <c r="BC121" s="501"/>
      <c r="BD121" s="501"/>
      <c r="BE121" s="501"/>
      <c r="BF121" s="501"/>
      <c r="BG121" s="501"/>
      <c r="BH121" s="501"/>
      <c r="BI121" s="501"/>
      <c r="BJ121" s="502">
        <f>BJ117/BJ116</f>
        <v>0.87911828737300468</v>
      </c>
      <c r="BK121" s="469"/>
      <c r="BL121" s="453"/>
    </row>
    <row r="122" spans="1:64" ht="21" x14ac:dyDescent="0.35">
      <c r="A122" s="46"/>
      <c r="B122" s="500"/>
      <c r="C122" s="500"/>
      <c r="D122" s="719" t="s">
        <v>168</v>
      </c>
      <c r="E122" s="720"/>
      <c r="F122" s="501">
        <f t="shared" ref="F122:K122" si="21">SUM(F5:F17)/(SUM(F5:F18))</f>
        <v>1</v>
      </c>
      <c r="G122" s="501">
        <f t="shared" si="21"/>
        <v>0.99476567255021298</v>
      </c>
      <c r="H122" s="501">
        <f t="shared" si="21"/>
        <v>1</v>
      </c>
      <c r="I122" s="501">
        <f t="shared" si="21"/>
        <v>1</v>
      </c>
      <c r="J122" s="501">
        <f t="shared" si="21"/>
        <v>0.99818511796733211</v>
      </c>
      <c r="K122" s="501">
        <f t="shared" si="21"/>
        <v>1</v>
      </c>
      <c r="L122" s="501"/>
      <c r="M122" s="501"/>
      <c r="N122" s="501">
        <f>SUM(N5:N17)/(SUM(N5:N18))</f>
        <v>0.97301006404391588</v>
      </c>
      <c r="O122" s="501"/>
      <c r="P122" s="501"/>
      <c r="Q122" s="501"/>
      <c r="R122" s="501"/>
      <c r="S122" s="501"/>
      <c r="T122" s="501">
        <f>SUM(T5:T17)/(SUM(T5:T18))</f>
        <v>0.97315436241610742</v>
      </c>
      <c r="U122" s="501"/>
      <c r="V122" s="501">
        <f>SUM(V5:V17)/(SUM(V5:V18))</f>
        <v>0.99817887494941315</v>
      </c>
      <c r="W122" s="501"/>
      <c r="X122" s="501">
        <f>SUM(X5:X17)/(SUM(X5:X18))</f>
        <v>0.99360681939264783</v>
      </c>
      <c r="Y122" s="501"/>
      <c r="Z122" s="501">
        <f>SUM(Z5:Z17)/(SUM(Z5:Z18))</f>
        <v>0.99502821822090837</v>
      </c>
      <c r="AA122" s="501"/>
      <c r="AB122" s="501">
        <f>SUM(AB5:AB17)/(SUM(AB5:AB18))</f>
        <v>0.99704579025110784</v>
      </c>
      <c r="AC122" s="501"/>
      <c r="AD122" s="501"/>
      <c r="AE122" s="501"/>
      <c r="AF122" s="501">
        <f>SUM(AF5:AF17)/(SUM(AF5:AF18))</f>
        <v>1</v>
      </c>
      <c r="AG122" s="501"/>
      <c r="AH122" s="501">
        <f>SUM(AH5:AH17)/(SUM(AH5:AH18))</f>
        <v>1</v>
      </c>
      <c r="AI122" s="501"/>
      <c r="AJ122" s="501"/>
      <c r="AK122" s="501"/>
      <c r="AL122" s="501"/>
      <c r="AM122" s="501"/>
      <c r="AN122" s="501"/>
      <c r="AO122" s="501"/>
      <c r="AP122" s="501"/>
      <c r="AQ122" s="501"/>
      <c r="AR122" s="501"/>
      <c r="AS122" s="501"/>
      <c r="AT122" s="501"/>
      <c r="AU122" s="501"/>
      <c r="AV122" s="501"/>
      <c r="AW122" s="501"/>
      <c r="AX122" s="501"/>
      <c r="AY122" s="501"/>
      <c r="AZ122" s="501"/>
      <c r="BA122" s="501"/>
      <c r="BB122" s="501"/>
      <c r="BC122" s="501"/>
      <c r="BD122" s="501"/>
      <c r="BE122" s="501"/>
      <c r="BF122" s="501"/>
      <c r="BG122" s="501"/>
      <c r="BH122" s="501"/>
      <c r="BI122" s="501"/>
      <c r="BJ122" s="502">
        <f>SUM(BJ5:BJ17)/(SUM(BJ5:BJ18))</f>
        <v>0.99732626063052998</v>
      </c>
      <c r="BK122" s="469"/>
      <c r="BL122" s="453"/>
    </row>
    <row r="123" spans="1:64" ht="21.75" thickBot="1" x14ac:dyDescent="0.4">
      <c r="A123" s="46"/>
      <c r="B123" s="500"/>
      <c r="C123" s="500"/>
      <c r="D123" s="719" t="s">
        <v>169</v>
      </c>
      <c r="E123" s="720"/>
      <c r="F123" s="503">
        <f t="shared" ref="F123:K123" si="22">F122*F121*F120</f>
        <v>0.75694444444444442</v>
      </c>
      <c r="G123" s="503">
        <f t="shared" si="22"/>
        <v>0.66415237549675987</v>
      </c>
      <c r="H123" s="503">
        <f t="shared" si="22"/>
        <v>0.72479166666666672</v>
      </c>
      <c r="I123" s="503">
        <f t="shared" si="22"/>
        <v>0.6298611111111112</v>
      </c>
      <c r="J123" s="503">
        <f t="shared" si="22"/>
        <v>0.80062764670296427</v>
      </c>
      <c r="K123" s="503">
        <f t="shared" si="22"/>
        <v>0.91319444444444442</v>
      </c>
      <c r="L123" s="503"/>
      <c r="M123" s="503"/>
      <c r="N123" s="503">
        <f>N122*N121*N120</f>
        <v>0.57488677950594702</v>
      </c>
      <c r="O123" s="503"/>
      <c r="P123" s="503"/>
      <c r="Q123" s="503"/>
      <c r="R123" s="503"/>
      <c r="S123" s="503"/>
      <c r="T123" s="503">
        <f>T122*T121*T120</f>
        <v>0.70553691275167785</v>
      </c>
      <c r="U123" s="503"/>
      <c r="V123" s="503">
        <f>V122*V121*V120</f>
        <v>0.82066939835424257</v>
      </c>
      <c r="W123" s="503"/>
      <c r="X123" s="503">
        <f>X122*X121*X120</f>
        <v>0.4412087424207829</v>
      </c>
      <c r="Y123" s="503"/>
      <c r="Z123" s="503">
        <f>Z122*Z121*Z120</f>
        <v>0.58477650443855755</v>
      </c>
      <c r="AA123" s="503"/>
      <c r="AB123" s="503">
        <f>AB122*AB121*AB120</f>
        <v>0.93230255711791898</v>
      </c>
      <c r="AC123" s="503"/>
      <c r="AD123" s="503"/>
      <c r="AE123" s="503"/>
      <c r="AF123" s="503">
        <f>AF122*AF121*AF120</f>
        <v>0.57563025210084029</v>
      </c>
      <c r="AG123" s="503"/>
      <c r="AH123" s="503">
        <f>AH122*AH121*AH120</f>
        <v>0.91587301587301595</v>
      </c>
      <c r="AI123" s="503"/>
      <c r="AJ123" s="503"/>
      <c r="AK123" s="503"/>
      <c r="AL123" s="503"/>
      <c r="AM123" s="503"/>
      <c r="AN123" s="503"/>
      <c r="AO123" s="503"/>
      <c r="AP123" s="503"/>
      <c r="AQ123" s="503"/>
      <c r="AR123" s="503"/>
      <c r="AS123" s="503"/>
      <c r="AT123" s="503"/>
      <c r="AU123" s="503"/>
      <c r="AV123" s="503"/>
      <c r="AW123" s="503"/>
      <c r="AX123" s="503"/>
      <c r="AY123" s="503"/>
      <c r="AZ123" s="503"/>
      <c r="BA123" s="503"/>
      <c r="BB123" s="503"/>
      <c r="BC123" s="503"/>
      <c r="BD123" s="503"/>
      <c r="BE123" s="503"/>
      <c r="BF123" s="503"/>
      <c r="BG123" s="503"/>
      <c r="BH123" s="503"/>
      <c r="BI123" s="503"/>
      <c r="BJ123" s="502">
        <f>BJ120*BJ121*BJ122</f>
        <v>0.71363612834278811</v>
      </c>
      <c r="BK123" s="469"/>
      <c r="BL123" s="453"/>
    </row>
    <row r="124" spans="1:64" ht="17.25" customHeight="1" x14ac:dyDescent="0.25"/>
    <row r="260" spans="8:8" x14ac:dyDescent="0.25">
      <c r="H260" t="s">
        <v>170</v>
      </c>
    </row>
    <row r="261" spans="8:8" x14ac:dyDescent="0.25">
      <c r="H261" t="s">
        <v>171</v>
      </c>
    </row>
    <row r="262" spans="8:8" x14ac:dyDescent="0.25">
      <c r="H262" t="s">
        <v>172</v>
      </c>
    </row>
    <row r="263" spans="8:8" x14ac:dyDescent="0.25">
      <c r="H263" t="s">
        <v>173</v>
      </c>
    </row>
    <row r="264" spans="8:8" x14ac:dyDescent="0.25">
      <c r="H264" t="s">
        <v>174</v>
      </c>
    </row>
    <row r="265" spans="8:8" x14ac:dyDescent="0.25">
      <c r="H265" t="s">
        <v>175</v>
      </c>
    </row>
    <row r="266" spans="8:8" x14ac:dyDescent="0.25">
      <c r="H266" t="s">
        <v>176</v>
      </c>
    </row>
    <row r="267" spans="8:8" x14ac:dyDescent="0.25">
      <c r="H267" t="s">
        <v>177</v>
      </c>
    </row>
    <row r="268" spans="8:8" x14ac:dyDescent="0.25">
      <c r="H268" t="s">
        <v>178</v>
      </c>
    </row>
    <row r="269" spans="8:8" x14ac:dyDescent="0.25">
      <c r="H269" t="s">
        <v>179</v>
      </c>
    </row>
    <row r="270" spans="8:8" x14ac:dyDescent="0.25">
      <c r="H270" t="s">
        <v>180</v>
      </c>
    </row>
    <row r="271" spans="8:8" x14ac:dyDescent="0.25">
      <c r="H271" t="s">
        <v>181</v>
      </c>
    </row>
    <row r="272" spans="8:8" x14ac:dyDescent="0.25">
      <c r="H272" t="s">
        <v>182</v>
      </c>
    </row>
    <row r="273" spans="8:8" x14ac:dyDescent="0.25">
      <c r="H273" t="s">
        <v>183</v>
      </c>
    </row>
    <row r="274" spans="8:8" x14ac:dyDescent="0.25">
      <c r="H274" t="s">
        <v>184</v>
      </c>
    </row>
    <row r="275" spans="8:8" x14ac:dyDescent="0.25">
      <c r="H275" t="s">
        <v>185</v>
      </c>
    </row>
    <row r="276" spans="8:8" x14ac:dyDescent="0.25">
      <c r="H276" t="s">
        <v>186</v>
      </c>
    </row>
    <row r="277" spans="8:8" x14ac:dyDescent="0.25">
      <c r="H277" t="s">
        <v>187</v>
      </c>
    </row>
    <row r="278" spans="8:8" x14ac:dyDescent="0.25">
      <c r="H278" t="s">
        <v>188</v>
      </c>
    </row>
    <row r="279" spans="8:8" x14ac:dyDescent="0.25">
      <c r="H279" t="s">
        <v>189</v>
      </c>
    </row>
    <row r="280" spans="8:8" x14ac:dyDescent="0.25">
      <c r="H280" t="s">
        <v>190</v>
      </c>
    </row>
    <row r="281" spans="8:8" x14ac:dyDescent="0.25">
      <c r="H281" t="s">
        <v>191</v>
      </c>
    </row>
    <row r="282" spans="8:8" x14ac:dyDescent="0.25">
      <c r="H282" t="s">
        <v>192</v>
      </c>
    </row>
    <row r="283" spans="8:8" x14ac:dyDescent="0.25">
      <c r="H283" t="s">
        <v>193</v>
      </c>
    </row>
    <row r="284" spans="8:8" x14ac:dyDescent="0.25">
      <c r="H284" t="s">
        <v>194</v>
      </c>
    </row>
    <row r="285" spans="8:8" x14ac:dyDescent="0.25">
      <c r="H285" t="s">
        <v>195</v>
      </c>
    </row>
    <row r="286" spans="8:8" x14ac:dyDescent="0.25">
      <c r="H286" t="s">
        <v>196</v>
      </c>
    </row>
    <row r="287" spans="8:8" x14ac:dyDescent="0.25">
      <c r="H287" t="s">
        <v>197</v>
      </c>
    </row>
    <row r="288" spans="8:8" x14ac:dyDescent="0.25">
      <c r="H288" t="s">
        <v>198</v>
      </c>
    </row>
    <row r="289" spans="8:8" x14ac:dyDescent="0.25">
      <c r="H289" t="s">
        <v>199</v>
      </c>
    </row>
    <row r="290" spans="8:8" x14ac:dyDescent="0.25">
      <c r="H290" t="s">
        <v>200</v>
      </c>
    </row>
    <row r="291" spans="8:8" x14ac:dyDescent="0.25">
      <c r="H291" t="s">
        <v>201</v>
      </c>
    </row>
    <row r="292" spans="8:8" x14ac:dyDescent="0.25">
      <c r="H292" t="s">
        <v>202</v>
      </c>
    </row>
    <row r="293" spans="8:8" x14ac:dyDescent="0.25">
      <c r="H293" t="s">
        <v>203</v>
      </c>
    </row>
    <row r="294" spans="8:8" x14ac:dyDescent="0.25">
      <c r="H294" t="s">
        <v>204</v>
      </c>
    </row>
    <row r="295" spans="8:8" x14ac:dyDescent="0.25">
      <c r="H295" t="s">
        <v>205</v>
      </c>
    </row>
    <row r="296" spans="8:8" x14ac:dyDescent="0.25">
      <c r="H296" t="s">
        <v>206</v>
      </c>
    </row>
    <row r="297" spans="8:8" x14ac:dyDescent="0.25">
      <c r="H297" t="s">
        <v>207</v>
      </c>
    </row>
    <row r="298" spans="8:8" x14ac:dyDescent="0.25">
      <c r="H298" t="s">
        <v>208</v>
      </c>
    </row>
    <row r="299" spans="8:8" x14ac:dyDescent="0.25">
      <c r="H299" t="s">
        <v>209</v>
      </c>
    </row>
    <row r="300" spans="8:8" x14ac:dyDescent="0.25">
      <c r="H300" t="s">
        <v>210</v>
      </c>
    </row>
    <row r="301" spans="8:8" x14ac:dyDescent="0.25">
      <c r="H301" t="s">
        <v>211</v>
      </c>
    </row>
    <row r="302" spans="8:8" x14ac:dyDescent="0.25">
      <c r="H302" t="s">
        <v>212</v>
      </c>
    </row>
    <row r="303" spans="8:8" x14ac:dyDescent="0.25">
      <c r="H303" t="s">
        <v>213</v>
      </c>
    </row>
    <row r="304" spans="8:8" x14ac:dyDescent="0.25">
      <c r="H304" t="s">
        <v>214</v>
      </c>
    </row>
    <row r="305" spans="8:8" x14ac:dyDescent="0.25">
      <c r="H305" t="s">
        <v>215</v>
      </c>
    </row>
    <row r="306" spans="8:8" x14ac:dyDescent="0.25">
      <c r="H306" t="s">
        <v>216</v>
      </c>
    </row>
    <row r="307" spans="8:8" x14ac:dyDescent="0.25">
      <c r="H307" t="s">
        <v>217</v>
      </c>
    </row>
    <row r="308" spans="8:8" x14ac:dyDescent="0.25">
      <c r="H308" t="s">
        <v>218</v>
      </c>
    </row>
    <row r="309" spans="8:8" x14ac:dyDescent="0.25">
      <c r="H309" t="s">
        <v>219</v>
      </c>
    </row>
    <row r="310" spans="8:8" x14ac:dyDescent="0.25">
      <c r="H310" t="s">
        <v>220</v>
      </c>
    </row>
    <row r="311" spans="8:8" x14ac:dyDescent="0.25">
      <c r="H311" t="s">
        <v>221</v>
      </c>
    </row>
    <row r="312" spans="8:8" x14ac:dyDescent="0.25">
      <c r="H312" t="s">
        <v>222</v>
      </c>
    </row>
    <row r="313" spans="8:8" x14ac:dyDescent="0.25">
      <c r="H313" t="s">
        <v>223</v>
      </c>
    </row>
    <row r="314" spans="8:8" x14ac:dyDescent="0.25">
      <c r="H314" t="s">
        <v>224</v>
      </c>
    </row>
    <row r="315" spans="8:8" x14ac:dyDescent="0.25">
      <c r="H315" t="s">
        <v>225</v>
      </c>
    </row>
  </sheetData>
  <autoFilter ref="A29:BK123" xr:uid="{00000000-0009-0000-0000-000018000000}"/>
  <mergeCells count="164">
    <mergeCell ref="BF2:BG2"/>
    <mergeCell ref="BH2:BI2"/>
    <mergeCell ref="C3:E3"/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  <mergeCell ref="Z2:AA2"/>
    <mergeCell ref="BB2:BC2"/>
    <mergeCell ref="BD2:BE2"/>
    <mergeCell ref="C2:E2"/>
    <mergeCell ref="J2:K2"/>
    <mergeCell ref="L2:M2"/>
    <mergeCell ref="N2:O2"/>
    <mergeCell ref="AF2:AG2"/>
    <mergeCell ref="AH2:AI2"/>
    <mergeCell ref="AJ2:AK2"/>
    <mergeCell ref="F2:G2"/>
    <mergeCell ref="H2:I2"/>
    <mergeCell ref="AT4:AU4"/>
    <mergeCell ref="AV4:AW4"/>
    <mergeCell ref="BD4:BE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BH4:BI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BF4:BG4"/>
    <mergeCell ref="AX4:AY4"/>
    <mergeCell ref="AZ4:BA4"/>
    <mergeCell ref="BB4:BC4"/>
    <mergeCell ref="Z4:AA4"/>
    <mergeCell ref="D25:E25"/>
    <mergeCell ref="D26:E26"/>
    <mergeCell ref="D27:E27"/>
    <mergeCell ref="D28:E28"/>
    <mergeCell ref="D29:E29"/>
    <mergeCell ref="D18:E18"/>
    <mergeCell ref="D19:E19"/>
    <mergeCell ref="D20:E20"/>
    <mergeCell ref="D21:E21"/>
    <mergeCell ref="D22:E22"/>
    <mergeCell ref="D23:E23"/>
    <mergeCell ref="D24:E24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96:E96"/>
    <mergeCell ref="D120:E120"/>
    <mergeCell ref="D121:E121"/>
    <mergeCell ref="D122:E122"/>
    <mergeCell ref="D123:E123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">
    <tabColor rgb="FF00B050"/>
  </sheetPr>
  <dimension ref="A1:BK311"/>
  <sheetViews>
    <sheetView zoomScale="56" zoomScaleNormal="80" workbookViewId="0">
      <pane xSplit="5" ySplit="14" topLeftCell="AF18" activePane="bottomRight" state="frozen"/>
      <selection activeCell="I78" sqref="I78"/>
      <selection pane="topRight" activeCell="I78" sqref="I78"/>
      <selection pane="bottomLeft" activeCell="I78" sqref="I78"/>
      <selection pane="bottomRight" activeCell="AG27" sqref="AG27"/>
    </sheetView>
  </sheetViews>
  <sheetFormatPr defaultColWidth="9" defaultRowHeight="15" x14ac:dyDescent="0.25"/>
  <cols>
    <col min="1" max="3" width="15.7109375" customWidth="1"/>
    <col min="4" max="4" width="61.7109375" customWidth="1"/>
    <col min="5" max="5" width="7.85546875" style="63" customWidth="1"/>
    <col min="6" max="6" width="12.28515625" customWidth="1"/>
    <col min="7" max="7" width="12.85546875" customWidth="1"/>
    <col min="8" max="8" width="12.140625" customWidth="1"/>
    <col min="9" max="9" width="12.42578125" bestFit="1" customWidth="1"/>
    <col min="10" max="10" width="12.7109375" bestFit="1" customWidth="1"/>
    <col min="11" max="11" width="12.42578125" customWidth="1"/>
    <col min="12" max="12" width="12.28515625" customWidth="1"/>
    <col min="13" max="13" width="12.85546875" customWidth="1"/>
    <col min="14" max="14" width="12.28515625" customWidth="1"/>
    <col min="15" max="16" width="12.85546875" customWidth="1"/>
    <col min="17" max="17" width="12" customWidth="1"/>
    <col min="18" max="18" width="12.85546875" customWidth="1"/>
    <col min="19" max="19" width="12" customWidth="1"/>
    <col min="20" max="20" width="12.28515625" customWidth="1"/>
    <col min="21" max="21" width="12.85546875" customWidth="1"/>
    <col min="22" max="22" width="12.28515625" customWidth="1"/>
    <col min="23" max="23" width="14.42578125" bestFit="1" customWidth="1"/>
    <col min="24" max="24" width="12.28515625" customWidth="1"/>
    <col min="25" max="25" width="12.85546875" customWidth="1"/>
    <col min="26" max="26" width="12.28515625" customWidth="1"/>
    <col min="27" max="27" width="12.85546875" customWidth="1"/>
    <col min="28" max="28" width="12.28515625" customWidth="1"/>
    <col min="29" max="30" width="12.85546875" customWidth="1"/>
    <col min="31" max="31" width="12" customWidth="1"/>
    <col min="32" max="32" width="14.42578125" bestFit="1" customWidth="1"/>
    <col min="33" max="33" width="12.85546875" customWidth="1"/>
    <col min="34" max="34" width="12.28515625" customWidth="1"/>
    <col min="35" max="35" width="12.85546875" customWidth="1"/>
    <col min="36" max="36" width="12.28515625" customWidth="1"/>
    <col min="37" max="37" width="12.85546875" customWidth="1"/>
    <col min="38" max="38" width="12.28515625" customWidth="1"/>
    <col min="39" max="39" width="12.85546875" customWidth="1"/>
    <col min="40" max="40" width="14.42578125" bestFit="1" customWidth="1"/>
    <col min="41" max="41" width="12.85546875" customWidth="1"/>
    <col min="42" max="42" width="12.28515625" customWidth="1"/>
    <col min="43" max="44" width="12.85546875" customWidth="1"/>
    <col min="45" max="45" width="12" customWidth="1"/>
    <col min="46" max="46" width="15" bestFit="1" customWidth="1"/>
    <col min="47" max="47" width="12.85546875" customWidth="1"/>
    <col min="48" max="48" width="12.28515625" customWidth="1"/>
    <col min="49" max="49" width="12.85546875" customWidth="1"/>
    <col min="50" max="50" width="12.28515625" customWidth="1"/>
    <col min="51" max="51" width="12.85546875" customWidth="1"/>
    <col min="52" max="52" width="12.28515625" customWidth="1"/>
    <col min="53" max="53" width="12.85546875" customWidth="1"/>
    <col min="54" max="54" width="12.28515625" customWidth="1"/>
    <col min="55" max="55" width="12.85546875" customWidth="1"/>
    <col min="56" max="56" width="12.28515625" customWidth="1"/>
    <col min="57" max="58" width="12.85546875" customWidth="1"/>
    <col min="59" max="59" width="12" customWidth="1"/>
    <col min="60" max="60" width="12.28515625" customWidth="1"/>
    <col min="61" max="61" width="12.85546875" customWidth="1"/>
    <col min="62" max="62" width="12.140625" customWidth="1"/>
    <col min="65" max="65" width="9.7109375" customWidth="1"/>
  </cols>
  <sheetData>
    <row r="1" spans="1:63" ht="19.5" thickBot="1" x14ac:dyDescent="0.35">
      <c r="B1" s="407"/>
      <c r="C1" s="407"/>
      <c r="D1" s="407"/>
      <c r="E1" s="408"/>
      <c r="F1" s="409">
        <f t="shared" ref="F1:AK1" si="0">SUM(F5:F14)</f>
        <v>15200</v>
      </c>
      <c r="G1" s="409">
        <f t="shared" si="0"/>
        <v>13686</v>
      </c>
      <c r="H1" s="409">
        <f t="shared" si="0"/>
        <v>15341</v>
      </c>
      <c r="I1" s="409">
        <f t="shared" si="0"/>
        <v>11675</v>
      </c>
      <c r="J1" s="409">
        <f t="shared" si="0"/>
        <v>10200</v>
      </c>
      <c r="K1" s="409">
        <f t="shared" si="0"/>
        <v>13170</v>
      </c>
      <c r="L1" s="409">
        <f t="shared" si="0"/>
        <v>16800</v>
      </c>
      <c r="M1" s="409">
        <f t="shared" si="0"/>
        <v>13259</v>
      </c>
      <c r="N1" s="409">
        <f t="shared" si="0"/>
        <v>16750</v>
      </c>
      <c r="O1" s="409">
        <f t="shared" si="0"/>
        <v>13320</v>
      </c>
      <c r="P1" s="409">
        <f t="shared" si="0"/>
        <v>0</v>
      </c>
      <c r="Q1" s="409">
        <f t="shared" si="0"/>
        <v>0</v>
      </c>
      <c r="R1" s="409">
        <f t="shared" si="0"/>
        <v>0</v>
      </c>
      <c r="S1" s="409">
        <f t="shared" si="0"/>
        <v>0</v>
      </c>
      <c r="T1" s="409">
        <f t="shared" si="0"/>
        <v>17000</v>
      </c>
      <c r="U1" s="409">
        <f t="shared" si="0"/>
        <v>15730</v>
      </c>
      <c r="V1" s="409">
        <f t="shared" si="0"/>
        <v>16500</v>
      </c>
      <c r="W1" s="409">
        <f t="shared" si="0"/>
        <v>16135</v>
      </c>
      <c r="X1" s="409">
        <f t="shared" si="0"/>
        <v>15000</v>
      </c>
      <c r="Y1" s="409">
        <f t="shared" si="0"/>
        <v>12000</v>
      </c>
      <c r="Z1" s="409">
        <f t="shared" si="0"/>
        <v>12090</v>
      </c>
      <c r="AA1" s="409">
        <f t="shared" si="0"/>
        <v>16000</v>
      </c>
      <c r="AB1" s="409">
        <f t="shared" si="0"/>
        <v>15610</v>
      </c>
      <c r="AC1" s="409">
        <f t="shared" si="0"/>
        <v>17710</v>
      </c>
      <c r="AD1" s="409">
        <f t="shared" si="0"/>
        <v>0</v>
      </c>
      <c r="AE1" s="409">
        <f t="shared" si="0"/>
        <v>0</v>
      </c>
      <c r="AF1" s="409">
        <f t="shared" si="0"/>
        <v>18000</v>
      </c>
      <c r="AG1" s="409">
        <f t="shared" si="0"/>
        <v>17500</v>
      </c>
      <c r="AH1" s="409">
        <f t="shared" si="0"/>
        <v>0</v>
      </c>
      <c r="AI1" s="409">
        <f t="shared" si="0"/>
        <v>0</v>
      </c>
      <c r="AJ1" s="409">
        <f t="shared" si="0"/>
        <v>0</v>
      </c>
      <c r="AK1" s="409">
        <f t="shared" si="0"/>
        <v>0</v>
      </c>
      <c r="AL1" s="409">
        <f t="shared" ref="AL1:BJ1" si="1">SUM(AL5:AL14)</f>
        <v>0</v>
      </c>
      <c r="AM1" s="409">
        <f t="shared" si="1"/>
        <v>0</v>
      </c>
      <c r="AN1" s="409">
        <f t="shared" si="1"/>
        <v>0</v>
      </c>
      <c r="AO1" s="409">
        <f t="shared" si="1"/>
        <v>0</v>
      </c>
      <c r="AP1" s="409">
        <f t="shared" si="1"/>
        <v>0</v>
      </c>
      <c r="AQ1" s="409">
        <f t="shared" si="1"/>
        <v>0</v>
      </c>
      <c r="AR1" s="409">
        <f t="shared" si="1"/>
        <v>0</v>
      </c>
      <c r="AS1" s="409">
        <f t="shared" si="1"/>
        <v>0</v>
      </c>
      <c r="AT1" s="409">
        <f t="shared" si="1"/>
        <v>0</v>
      </c>
      <c r="AU1" s="409">
        <f t="shared" si="1"/>
        <v>0</v>
      </c>
      <c r="AV1" s="409">
        <f t="shared" si="1"/>
        <v>0</v>
      </c>
      <c r="AW1" s="409">
        <f t="shared" si="1"/>
        <v>0</v>
      </c>
      <c r="AX1" s="409">
        <f t="shared" si="1"/>
        <v>0</v>
      </c>
      <c r="AY1" s="409">
        <f t="shared" si="1"/>
        <v>0</v>
      </c>
      <c r="AZ1" s="409">
        <f t="shared" si="1"/>
        <v>0</v>
      </c>
      <c r="BA1" s="409">
        <f t="shared" si="1"/>
        <v>0</v>
      </c>
      <c r="BB1" s="409">
        <f t="shared" si="1"/>
        <v>0</v>
      </c>
      <c r="BC1" s="409">
        <f t="shared" si="1"/>
        <v>0</v>
      </c>
      <c r="BD1" s="409">
        <f t="shared" si="1"/>
        <v>0</v>
      </c>
      <c r="BE1" s="409">
        <f t="shared" si="1"/>
        <v>0</v>
      </c>
      <c r="BF1" s="409">
        <f t="shared" si="1"/>
        <v>0</v>
      </c>
      <c r="BG1" s="409">
        <f t="shared" si="1"/>
        <v>0</v>
      </c>
      <c r="BH1" s="409">
        <f t="shared" si="1"/>
        <v>0</v>
      </c>
      <c r="BI1" s="409">
        <f t="shared" si="1"/>
        <v>0</v>
      </c>
      <c r="BJ1" s="409">
        <f t="shared" si="1"/>
        <v>328676</v>
      </c>
      <c r="BK1" s="407"/>
    </row>
    <row r="2" spans="1:63" ht="24" customHeight="1" x14ac:dyDescent="0.3">
      <c r="A2" s="64"/>
      <c r="B2" s="410"/>
      <c r="C2" s="763" t="s">
        <v>0</v>
      </c>
      <c r="D2" s="764"/>
      <c r="E2" s="764"/>
      <c r="F2" s="761">
        <v>46082</v>
      </c>
      <c r="G2" s="762"/>
      <c r="H2" s="761">
        <v>46083</v>
      </c>
      <c r="I2" s="762"/>
      <c r="J2" s="761">
        <v>46084</v>
      </c>
      <c r="K2" s="762"/>
      <c r="L2" s="761">
        <v>46085</v>
      </c>
      <c r="M2" s="762"/>
      <c r="N2" s="761">
        <v>46086</v>
      </c>
      <c r="O2" s="762"/>
      <c r="P2" s="761">
        <v>46087</v>
      </c>
      <c r="Q2" s="762"/>
      <c r="R2" s="761">
        <v>46088</v>
      </c>
      <c r="S2" s="762"/>
      <c r="T2" s="761">
        <v>46089</v>
      </c>
      <c r="U2" s="762"/>
      <c r="V2" s="761">
        <v>46090</v>
      </c>
      <c r="W2" s="762"/>
      <c r="X2" s="761">
        <v>46091</v>
      </c>
      <c r="Y2" s="762"/>
      <c r="Z2" s="761">
        <v>46092</v>
      </c>
      <c r="AA2" s="762"/>
      <c r="AB2" s="761">
        <v>46093</v>
      </c>
      <c r="AC2" s="762"/>
      <c r="AD2" s="761">
        <v>46094</v>
      </c>
      <c r="AE2" s="762"/>
      <c r="AF2" s="761">
        <v>46095</v>
      </c>
      <c r="AG2" s="762"/>
      <c r="AH2" s="761">
        <v>46096</v>
      </c>
      <c r="AI2" s="762"/>
      <c r="AJ2" s="761">
        <v>46097</v>
      </c>
      <c r="AK2" s="762"/>
      <c r="AL2" s="761">
        <v>46098</v>
      </c>
      <c r="AM2" s="762"/>
      <c r="AN2" s="761">
        <v>46099</v>
      </c>
      <c r="AO2" s="762"/>
      <c r="AP2" s="761">
        <v>46100</v>
      </c>
      <c r="AQ2" s="762"/>
      <c r="AR2" s="761">
        <v>46101</v>
      </c>
      <c r="AS2" s="762"/>
      <c r="AT2" s="761">
        <v>46102</v>
      </c>
      <c r="AU2" s="762"/>
      <c r="AV2" s="761">
        <v>46103</v>
      </c>
      <c r="AW2" s="762"/>
      <c r="AX2" s="761">
        <v>46104</v>
      </c>
      <c r="AY2" s="762"/>
      <c r="AZ2" s="761">
        <v>46105</v>
      </c>
      <c r="BA2" s="762"/>
      <c r="BB2" s="761">
        <v>46106</v>
      </c>
      <c r="BC2" s="762"/>
      <c r="BD2" s="761">
        <v>46107</v>
      </c>
      <c r="BE2" s="762"/>
      <c r="BF2" s="761">
        <v>46108</v>
      </c>
      <c r="BG2" s="762"/>
      <c r="BH2" s="761">
        <v>46109</v>
      </c>
      <c r="BI2" s="762"/>
      <c r="BJ2" s="411"/>
      <c r="BK2" s="407"/>
    </row>
    <row r="3" spans="1:63" ht="24" customHeight="1" x14ac:dyDescent="0.3">
      <c r="A3" s="64"/>
      <c r="B3" s="410"/>
      <c r="C3" s="763" t="s">
        <v>1</v>
      </c>
      <c r="D3" s="764"/>
      <c r="E3" s="764"/>
      <c r="F3" s="412" t="s">
        <v>2</v>
      </c>
      <c r="G3" s="413" t="s">
        <v>3</v>
      </c>
      <c r="H3" s="412" t="s">
        <v>2</v>
      </c>
      <c r="I3" s="413" t="s">
        <v>3</v>
      </c>
      <c r="J3" s="412" t="s">
        <v>2</v>
      </c>
      <c r="K3" s="413" t="s">
        <v>3</v>
      </c>
      <c r="L3" s="412" t="s">
        <v>2</v>
      </c>
      <c r="M3" s="413" t="s">
        <v>3</v>
      </c>
      <c r="N3" s="412" t="s">
        <v>2</v>
      </c>
      <c r="O3" s="413" t="s">
        <v>3</v>
      </c>
      <c r="P3" s="412" t="s">
        <v>2</v>
      </c>
      <c r="Q3" s="414" t="s">
        <v>3</v>
      </c>
      <c r="R3" s="412" t="s">
        <v>2</v>
      </c>
      <c r="S3" s="414" t="s">
        <v>3</v>
      </c>
      <c r="T3" s="412" t="s">
        <v>2</v>
      </c>
      <c r="U3" s="413" t="s">
        <v>3</v>
      </c>
      <c r="V3" s="412" t="s">
        <v>2</v>
      </c>
      <c r="W3" s="413" t="s">
        <v>3</v>
      </c>
      <c r="X3" s="412" t="s">
        <v>2</v>
      </c>
      <c r="Y3" s="413" t="s">
        <v>3</v>
      </c>
      <c r="Z3" s="412" t="s">
        <v>2</v>
      </c>
      <c r="AA3" s="413" t="s">
        <v>3</v>
      </c>
      <c r="AB3" s="412" t="s">
        <v>2</v>
      </c>
      <c r="AC3" s="413" t="s">
        <v>3</v>
      </c>
      <c r="AD3" s="412" t="s">
        <v>2</v>
      </c>
      <c r="AE3" s="414" t="s">
        <v>3</v>
      </c>
      <c r="AF3" s="412" t="s">
        <v>2</v>
      </c>
      <c r="AG3" s="413" t="s">
        <v>3</v>
      </c>
      <c r="AH3" s="412" t="s">
        <v>2</v>
      </c>
      <c r="AI3" s="413" t="s">
        <v>3</v>
      </c>
      <c r="AJ3" s="412" t="s">
        <v>2</v>
      </c>
      <c r="AK3" s="413" t="s">
        <v>3</v>
      </c>
      <c r="AL3" s="412" t="s">
        <v>2</v>
      </c>
      <c r="AM3" s="413" t="s">
        <v>3</v>
      </c>
      <c r="AN3" s="412" t="s">
        <v>2</v>
      </c>
      <c r="AO3" s="413" t="s">
        <v>3</v>
      </c>
      <c r="AP3" s="412" t="s">
        <v>2</v>
      </c>
      <c r="AQ3" s="413" t="s">
        <v>3</v>
      </c>
      <c r="AR3" s="412" t="s">
        <v>2</v>
      </c>
      <c r="AS3" s="414" t="s">
        <v>3</v>
      </c>
      <c r="AT3" s="412" t="s">
        <v>2</v>
      </c>
      <c r="AU3" s="413" t="s">
        <v>3</v>
      </c>
      <c r="AV3" s="412" t="s">
        <v>2</v>
      </c>
      <c r="AW3" s="413" t="s">
        <v>3</v>
      </c>
      <c r="AX3" s="412" t="s">
        <v>2</v>
      </c>
      <c r="AY3" s="413" t="s">
        <v>3</v>
      </c>
      <c r="AZ3" s="412" t="s">
        <v>2</v>
      </c>
      <c r="BA3" s="413" t="s">
        <v>3</v>
      </c>
      <c r="BB3" s="412" t="s">
        <v>2</v>
      </c>
      <c r="BC3" s="413" t="s">
        <v>3</v>
      </c>
      <c r="BD3" s="412" t="s">
        <v>2</v>
      </c>
      <c r="BE3" s="413" t="s">
        <v>3</v>
      </c>
      <c r="BF3" s="412" t="s">
        <v>2</v>
      </c>
      <c r="BG3" s="414" t="s">
        <v>3</v>
      </c>
      <c r="BH3" s="412" t="s">
        <v>2</v>
      </c>
      <c r="BI3" s="413" t="s">
        <v>3</v>
      </c>
      <c r="BJ3" s="411"/>
      <c r="BK3" s="407"/>
    </row>
    <row r="4" spans="1:63" ht="18.75" x14ac:dyDescent="0.3">
      <c r="A4" s="5"/>
      <c r="B4" s="415"/>
      <c r="C4" s="415" t="s">
        <v>4</v>
      </c>
      <c r="D4" s="416" t="s">
        <v>5</v>
      </c>
      <c r="E4" s="417" t="s">
        <v>6</v>
      </c>
      <c r="F4" s="418" t="s">
        <v>12</v>
      </c>
      <c r="G4" s="419"/>
      <c r="H4" s="418" t="s">
        <v>13</v>
      </c>
      <c r="I4" s="419"/>
      <c r="J4" s="418" t="s">
        <v>7</v>
      </c>
      <c r="K4" s="419"/>
      <c r="L4" s="418" t="s">
        <v>8</v>
      </c>
      <c r="M4" s="419"/>
      <c r="N4" s="418" t="s">
        <v>9</v>
      </c>
      <c r="O4" s="419"/>
      <c r="P4" s="418" t="s">
        <v>10</v>
      </c>
      <c r="Q4" s="419"/>
      <c r="R4" s="418" t="s">
        <v>11</v>
      </c>
      <c r="S4" s="419"/>
      <c r="T4" s="418" t="s">
        <v>12</v>
      </c>
      <c r="U4" s="419"/>
      <c r="V4" s="418" t="s">
        <v>13</v>
      </c>
      <c r="W4" s="419"/>
      <c r="X4" s="418" t="s">
        <v>7</v>
      </c>
      <c r="Y4" s="419"/>
      <c r="Z4" s="418" t="s">
        <v>8</v>
      </c>
      <c r="AA4" s="419"/>
      <c r="AB4" s="418" t="s">
        <v>9</v>
      </c>
      <c r="AC4" s="419"/>
      <c r="AD4" s="418" t="s">
        <v>10</v>
      </c>
      <c r="AE4" s="419"/>
      <c r="AF4" s="418" t="s">
        <v>11</v>
      </c>
      <c r="AG4" s="419"/>
      <c r="AH4" s="418" t="s">
        <v>12</v>
      </c>
      <c r="AI4" s="419"/>
      <c r="AJ4" s="418" t="s">
        <v>13</v>
      </c>
      <c r="AK4" s="419"/>
      <c r="AL4" s="418" t="s">
        <v>7</v>
      </c>
      <c r="AM4" s="419"/>
      <c r="AN4" s="418" t="s">
        <v>8</v>
      </c>
      <c r="AO4" s="419"/>
      <c r="AP4" s="418" t="s">
        <v>9</v>
      </c>
      <c r="AQ4" s="419"/>
      <c r="AR4" s="418" t="s">
        <v>10</v>
      </c>
      <c r="AS4" s="419"/>
      <c r="AT4" s="418" t="s">
        <v>11</v>
      </c>
      <c r="AU4" s="419"/>
      <c r="AV4" s="418" t="s">
        <v>12</v>
      </c>
      <c r="AW4" s="419"/>
      <c r="AX4" s="418" t="s">
        <v>13</v>
      </c>
      <c r="AY4" s="419"/>
      <c r="AZ4" s="418" t="s">
        <v>7</v>
      </c>
      <c r="BA4" s="419"/>
      <c r="BB4" s="418" t="s">
        <v>8</v>
      </c>
      <c r="BC4" s="419"/>
      <c r="BD4" s="418" t="s">
        <v>9</v>
      </c>
      <c r="BE4" s="419"/>
      <c r="BF4" s="418" t="s">
        <v>10</v>
      </c>
      <c r="BG4" s="419"/>
      <c r="BH4" s="418" t="s">
        <v>1037</v>
      </c>
      <c r="BI4" s="419"/>
      <c r="BJ4" s="407"/>
      <c r="BK4" s="407"/>
    </row>
    <row r="5" spans="1:63" ht="18.75" x14ac:dyDescent="0.3">
      <c r="A5" s="9"/>
      <c r="B5" s="420"/>
      <c r="C5" s="566">
        <f>VLOOKUP(D5,Products!B:D,2,FALSE)</f>
        <v>40740030</v>
      </c>
      <c r="D5" s="566" t="s">
        <v>1015</v>
      </c>
      <c r="E5" s="566">
        <v>49</v>
      </c>
      <c r="F5" s="426">
        <v>15200</v>
      </c>
      <c r="G5" s="427">
        <v>6136</v>
      </c>
      <c r="H5" s="617"/>
      <c r="I5" s="617"/>
      <c r="J5" s="617">
        <v>10200</v>
      </c>
      <c r="K5" s="617"/>
      <c r="L5" s="617"/>
      <c r="M5" s="617"/>
      <c r="N5" s="617"/>
      <c r="O5" s="522"/>
      <c r="P5" s="422"/>
      <c r="Q5" s="423"/>
      <c r="R5" s="422"/>
      <c r="S5" s="423"/>
      <c r="T5" s="511"/>
      <c r="U5" s="522"/>
      <c r="V5" s="511"/>
      <c r="W5" s="522"/>
      <c r="X5" s="511">
        <v>3500</v>
      </c>
      <c r="Y5" s="522">
        <v>12000</v>
      </c>
      <c r="Z5" s="511">
        <v>940</v>
      </c>
      <c r="AA5" s="522"/>
      <c r="AB5" s="511"/>
      <c r="AC5" s="522"/>
      <c r="AD5" s="422"/>
      <c r="AE5" s="423"/>
      <c r="AF5" s="511"/>
      <c r="AG5" s="522"/>
      <c r="AH5" s="511"/>
      <c r="AI5" s="522"/>
      <c r="AJ5" s="511"/>
      <c r="AK5" s="522"/>
      <c r="AL5" s="511"/>
      <c r="AM5" s="511"/>
      <c r="AN5" s="511"/>
      <c r="AO5" s="522"/>
      <c r="AP5" s="511"/>
      <c r="AQ5" s="522"/>
      <c r="AR5" s="422"/>
      <c r="AS5" s="423"/>
      <c r="AT5" s="511"/>
      <c r="AU5" s="522"/>
      <c r="AV5" s="511"/>
      <c r="AW5" s="522"/>
      <c r="AX5" s="511"/>
      <c r="AY5" s="522"/>
      <c r="AZ5" s="511"/>
      <c r="BA5" s="522"/>
      <c r="BB5" s="511"/>
      <c r="BC5" s="522"/>
      <c r="BD5" s="511"/>
      <c r="BE5" s="522"/>
      <c r="BF5" s="422"/>
      <c r="BG5" s="423"/>
      <c r="BH5" s="511"/>
      <c r="BI5" s="522"/>
      <c r="BJ5" s="424">
        <f t="shared" ref="BJ5:BJ24" si="2">SUM(F5:BI5)</f>
        <v>47976</v>
      </c>
      <c r="BK5" s="425">
        <f t="shared" ref="BK5:BK24" si="3">COUNT(F5:BI5)</f>
        <v>6</v>
      </c>
    </row>
    <row r="6" spans="1:63" ht="18.75" x14ac:dyDescent="0.3">
      <c r="A6" s="9"/>
      <c r="B6" s="420"/>
      <c r="C6" s="566">
        <f>VLOOKUP(D6,Products!B:D,2,FALSE)</f>
        <v>40740033</v>
      </c>
      <c r="D6" s="566" t="s">
        <v>1018</v>
      </c>
      <c r="E6" s="566">
        <v>49</v>
      </c>
      <c r="F6" s="426"/>
      <c r="G6" s="427">
        <v>7550</v>
      </c>
      <c r="H6" s="617">
        <v>15341</v>
      </c>
      <c r="I6" s="617">
        <v>11675</v>
      </c>
      <c r="J6" s="617"/>
      <c r="K6" s="617"/>
      <c r="L6" s="617"/>
      <c r="M6" s="617"/>
      <c r="N6" s="617"/>
      <c r="O6" s="427"/>
      <c r="P6" s="422"/>
      <c r="Q6" s="423"/>
      <c r="R6" s="422"/>
      <c r="S6" s="423"/>
      <c r="T6" s="426"/>
      <c r="U6" s="427"/>
      <c r="V6" s="426"/>
      <c r="W6" s="427"/>
      <c r="X6" s="426"/>
      <c r="Y6" s="427"/>
      <c r="Z6" s="426"/>
      <c r="AA6" s="427"/>
      <c r="AB6" s="426"/>
      <c r="AC6" s="427"/>
      <c r="AD6" s="422"/>
      <c r="AE6" s="423"/>
      <c r="AF6" s="426"/>
      <c r="AG6" s="427"/>
      <c r="AH6" s="426"/>
      <c r="AI6" s="427"/>
      <c r="AJ6" s="426"/>
      <c r="AK6" s="427"/>
      <c r="AL6" s="426"/>
      <c r="AM6" s="427"/>
      <c r="AN6" s="426"/>
      <c r="AO6" s="427"/>
      <c r="AP6" s="426"/>
      <c r="AQ6" s="427"/>
      <c r="AR6" s="422"/>
      <c r="AS6" s="423"/>
      <c r="AT6" s="426"/>
      <c r="AU6" s="427"/>
      <c r="AV6" s="426"/>
      <c r="AW6" s="427"/>
      <c r="AX6" s="426"/>
      <c r="AY6" s="427"/>
      <c r="AZ6" s="426"/>
      <c r="BA6" s="427"/>
      <c r="BB6" s="426"/>
      <c r="BC6" s="427"/>
      <c r="BD6" s="426"/>
      <c r="BE6" s="427"/>
      <c r="BF6" s="422"/>
      <c r="BG6" s="423"/>
      <c r="BH6" s="426"/>
      <c r="BI6" s="427"/>
      <c r="BJ6" s="424">
        <f t="shared" si="2"/>
        <v>34566</v>
      </c>
      <c r="BK6" s="425">
        <f t="shared" si="3"/>
        <v>3</v>
      </c>
    </row>
    <row r="7" spans="1:63" ht="18.75" x14ac:dyDescent="0.3">
      <c r="A7" s="9"/>
      <c r="B7" s="420"/>
      <c r="C7" s="566">
        <f>VLOOKUP(D7,Products!B:D,2,FALSE)</f>
        <v>40740027</v>
      </c>
      <c r="D7" s="506" t="s">
        <v>1002</v>
      </c>
      <c r="E7" s="566">
        <v>49</v>
      </c>
      <c r="F7" s="426"/>
      <c r="G7" s="427"/>
      <c r="H7" s="617"/>
      <c r="I7" s="617"/>
      <c r="J7" s="617"/>
      <c r="K7" s="617">
        <v>13170</v>
      </c>
      <c r="L7" s="617">
        <v>16800</v>
      </c>
      <c r="M7" s="617"/>
      <c r="N7" s="617"/>
      <c r="O7" s="427"/>
      <c r="P7" s="422"/>
      <c r="Q7" s="423"/>
      <c r="R7" s="422"/>
      <c r="S7" s="423"/>
      <c r="T7" s="426"/>
      <c r="U7" s="427"/>
      <c r="V7" s="426"/>
      <c r="W7" s="427"/>
      <c r="X7" s="426"/>
      <c r="Y7" s="427"/>
      <c r="Z7" s="426">
        <v>11150</v>
      </c>
      <c r="AA7" s="427"/>
      <c r="AB7" s="426">
        <v>8500</v>
      </c>
      <c r="AC7" s="427">
        <v>17710</v>
      </c>
      <c r="AD7" s="422"/>
      <c r="AE7" s="423"/>
      <c r="AF7" s="426">
        <v>18000</v>
      </c>
      <c r="AG7" s="427">
        <v>17500</v>
      </c>
      <c r="AH7" s="426"/>
      <c r="AI7" s="427"/>
      <c r="AJ7" s="426"/>
      <c r="AK7" s="427"/>
      <c r="AL7" s="426"/>
      <c r="AM7" s="427"/>
      <c r="AN7" s="426"/>
      <c r="AO7" s="427"/>
      <c r="AP7" s="426"/>
      <c r="AQ7" s="427"/>
      <c r="AR7" s="422"/>
      <c r="AS7" s="423"/>
      <c r="AT7" s="426"/>
      <c r="AU7" s="427"/>
      <c r="AV7" s="426"/>
      <c r="AW7" s="427"/>
      <c r="AX7" s="426"/>
      <c r="AY7" s="427"/>
      <c r="AZ7" s="426"/>
      <c r="BA7" s="427"/>
      <c r="BB7" s="426"/>
      <c r="BC7" s="427"/>
      <c r="BD7" s="426"/>
      <c r="BE7" s="427"/>
      <c r="BF7" s="422"/>
      <c r="BG7" s="423"/>
      <c r="BH7" s="426"/>
      <c r="BI7" s="427"/>
      <c r="BJ7" s="424">
        <f t="shared" si="2"/>
        <v>102830</v>
      </c>
      <c r="BK7" s="425">
        <f t="shared" si="3"/>
        <v>7</v>
      </c>
    </row>
    <row r="8" spans="1:63" ht="15.75" customHeight="1" x14ac:dyDescent="0.3">
      <c r="A8" s="9"/>
      <c r="B8" s="420"/>
      <c r="C8" s="566">
        <f>VLOOKUP(D8,Products!B:D,2,FALSE)</f>
        <v>40740028</v>
      </c>
      <c r="D8" s="566" t="s">
        <v>1003</v>
      </c>
      <c r="E8" s="566">
        <v>49</v>
      </c>
      <c r="F8" s="426"/>
      <c r="G8" s="427"/>
      <c r="H8" s="426"/>
      <c r="I8" s="427"/>
      <c r="J8" s="426"/>
      <c r="K8" s="427"/>
      <c r="L8" s="426"/>
      <c r="M8" s="427">
        <v>13259</v>
      </c>
      <c r="N8" s="426">
        <v>16750</v>
      </c>
      <c r="O8" s="427"/>
      <c r="P8" s="422"/>
      <c r="Q8" s="423"/>
      <c r="R8" s="422"/>
      <c r="S8" s="423"/>
      <c r="T8" s="426"/>
      <c r="U8" s="427"/>
      <c r="V8" s="426"/>
      <c r="W8" s="427"/>
      <c r="X8" s="426"/>
      <c r="Y8" s="427"/>
      <c r="Z8" s="426"/>
      <c r="AA8" s="427">
        <v>16000</v>
      </c>
      <c r="AB8" s="426"/>
      <c r="AC8" s="427"/>
      <c r="AD8" s="422"/>
      <c r="AE8" s="423"/>
      <c r="AF8" s="426"/>
      <c r="AG8" s="427"/>
      <c r="AH8" s="426"/>
      <c r="AI8" s="427"/>
      <c r="AJ8" s="426"/>
      <c r="AK8" s="427"/>
      <c r="AL8" s="426"/>
      <c r="AM8" s="427"/>
      <c r="AN8" s="426"/>
      <c r="AO8" s="427"/>
      <c r="AP8" s="426"/>
      <c r="AQ8" s="427"/>
      <c r="AR8" s="422"/>
      <c r="AS8" s="423"/>
      <c r="AT8" s="426"/>
      <c r="AU8" s="427"/>
      <c r="AV8" s="426"/>
      <c r="AW8" s="427"/>
      <c r="AX8" s="426"/>
      <c r="AY8" s="427"/>
      <c r="AZ8" s="426"/>
      <c r="BA8" s="427"/>
      <c r="BB8" s="426"/>
      <c r="BC8" s="427"/>
      <c r="BD8" s="426"/>
      <c r="BE8" s="427"/>
      <c r="BF8" s="422"/>
      <c r="BG8" s="423"/>
      <c r="BH8" s="426"/>
      <c r="BI8" s="427"/>
      <c r="BJ8" s="424">
        <f t="shared" si="2"/>
        <v>46009</v>
      </c>
      <c r="BK8" s="425">
        <f t="shared" si="3"/>
        <v>3</v>
      </c>
    </row>
    <row r="9" spans="1:63" ht="15.75" customHeight="1" x14ac:dyDescent="0.3">
      <c r="A9" s="9"/>
      <c r="B9" s="420"/>
      <c r="C9" s="420">
        <f>VLOOKUP(D9,Products!B:D,2,FALSE)</f>
        <v>40740029</v>
      </c>
      <c r="D9" s="566" t="s">
        <v>1004</v>
      </c>
      <c r="E9" s="566">
        <v>49</v>
      </c>
      <c r="F9" s="426"/>
      <c r="G9" s="427"/>
      <c r="H9" s="426"/>
      <c r="I9" s="427"/>
      <c r="J9" s="426"/>
      <c r="K9" s="427"/>
      <c r="L9" s="426"/>
      <c r="M9" s="427"/>
      <c r="N9" s="426"/>
      <c r="O9" s="427">
        <v>13320</v>
      </c>
      <c r="P9" s="422"/>
      <c r="Q9" s="423"/>
      <c r="R9" s="422"/>
      <c r="S9" s="423"/>
      <c r="T9" s="426">
        <v>17000</v>
      </c>
      <c r="U9" s="427">
        <v>10130</v>
      </c>
      <c r="V9" s="426"/>
      <c r="W9" s="427"/>
      <c r="X9" s="426"/>
      <c r="Y9" s="427"/>
      <c r="Z9" s="426"/>
      <c r="AA9" s="427"/>
      <c r="AB9" s="426"/>
      <c r="AC9" s="427"/>
      <c r="AD9" s="422"/>
      <c r="AE9" s="423"/>
      <c r="AF9" s="426"/>
      <c r="AG9" s="427"/>
      <c r="AH9" s="426"/>
      <c r="AI9" s="427"/>
      <c r="AJ9" s="426"/>
      <c r="AK9" s="427"/>
      <c r="AL9" s="426"/>
      <c r="AM9" s="427"/>
      <c r="AN9" s="426"/>
      <c r="AO9" s="427"/>
      <c r="AP9" s="426"/>
      <c r="AQ9" s="427"/>
      <c r="AR9" s="422"/>
      <c r="AS9" s="423"/>
      <c r="AT9" s="426"/>
      <c r="AU9" s="427"/>
      <c r="AV9" s="426"/>
      <c r="AW9" s="427"/>
      <c r="AX9" s="426"/>
      <c r="AY9" s="427"/>
      <c r="AZ9" s="426"/>
      <c r="BA9" s="427"/>
      <c r="BB9" s="426"/>
      <c r="BC9" s="427"/>
      <c r="BD9" s="426"/>
      <c r="BE9" s="427"/>
      <c r="BF9" s="422"/>
      <c r="BG9" s="423"/>
      <c r="BH9" s="426"/>
      <c r="BI9" s="427"/>
      <c r="BJ9" s="424">
        <f t="shared" si="2"/>
        <v>40450</v>
      </c>
      <c r="BK9" s="425">
        <f t="shared" si="3"/>
        <v>3</v>
      </c>
    </row>
    <row r="10" spans="1:63" ht="15.75" customHeight="1" x14ac:dyDescent="0.3">
      <c r="A10" s="9"/>
      <c r="B10" s="420"/>
      <c r="C10" s="420">
        <f>VLOOKUP(D10,Products!B:D,2,FALSE)</f>
        <v>40740032</v>
      </c>
      <c r="D10" s="566" t="s">
        <v>1017</v>
      </c>
      <c r="E10" s="566">
        <v>49</v>
      </c>
      <c r="F10" s="426"/>
      <c r="G10" s="427"/>
      <c r="H10" s="426"/>
      <c r="I10" s="427"/>
      <c r="J10" s="426"/>
      <c r="K10" s="427"/>
      <c r="L10" s="426"/>
      <c r="M10" s="427"/>
      <c r="N10" s="426"/>
      <c r="O10" s="427"/>
      <c r="P10" s="422"/>
      <c r="Q10" s="423"/>
      <c r="R10" s="422"/>
      <c r="S10" s="423"/>
      <c r="T10" s="426"/>
      <c r="U10" s="427">
        <v>5600</v>
      </c>
      <c r="V10" s="426">
        <v>16500</v>
      </c>
      <c r="W10" s="427">
        <v>6135</v>
      </c>
      <c r="X10" s="426"/>
      <c r="Y10" s="427"/>
      <c r="Z10" s="426"/>
      <c r="AA10" s="427"/>
      <c r="AB10" s="426"/>
      <c r="AC10" s="427"/>
      <c r="AD10" s="422"/>
      <c r="AE10" s="423"/>
      <c r="AF10" s="426"/>
      <c r="AG10" s="427"/>
      <c r="AH10" s="426"/>
      <c r="AI10" s="427"/>
      <c r="AJ10" s="426"/>
      <c r="AK10" s="427"/>
      <c r="AL10" s="426"/>
      <c r="AM10" s="427"/>
      <c r="AN10" s="426"/>
      <c r="AO10" s="427"/>
      <c r="AP10" s="426"/>
      <c r="AQ10" s="427"/>
      <c r="AR10" s="422"/>
      <c r="AS10" s="423"/>
      <c r="AT10" s="426"/>
      <c r="AU10" s="427"/>
      <c r="AV10" s="426"/>
      <c r="AW10" s="427"/>
      <c r="AX10" s="426"/>
      <c r="AY10" s="427"/>
      <c r="AZ10" s="426"/>
      <c r="BA10" s="427"/>
      <c r="BB10" s="426"/>
      <c r="BC10" s="427"/>
      <c r="BD10" s="426"/>
      <c r="BE10" s="427"/>
      <c r="BF10" s="422"/>
      <c r="BG10" s="423"/>
      <c r="BH10" s="426"/>
      <c r="BI10" s="427"/>
      <c r="BJ10" s="424">
        <f t="shared" si="2"/>
        <v>28235</v>
      </c>
      <c r="BK10" s="425">
        <f t="shared" si="3"/>
        <v>3</v>
      </c>
    </row>
    <row r="11" spans="1:63" ht="15.75" customHeight="1" x14ac:dyDescent="0.3">
      <c r="A11" s="9"/>
      <c r="B11" s="420"/>
      <c r="C11" s="420">
        <f>VLOOKUP(D11,Products!B:D,2,FALSE)</f>
        <v>40740031</v>
      </c>
      <c r="D11" s="566" t="s">
        <v>1016</v>
      </c>
      <c r="E11" s="566">
        <v>49</v>
      </c>
      <c r="F11" s="426"/>
      <c r="G11" s="427"/>
      <c r="H11" s="426"/>
      <c r="I11" s="427"/>
      <c r="J11" s="426"/>
      <c r="K11" s="427"/>
      <c r="L11" s="426"/>
      <c r="M11" s="427"/>
      <c r="N11" s="426"/>
      <c r="O11" s="427"/>
      <c r="P11" s="422"/>
      <c r="Q11" s="423"/>
      <c r="R11" s="422"/>
      <c r="S11" s="423"/>
      <c r="T11" s="426"/>
      <c r="U11" s="427"/>
      <c r="V11" s="426"/>
      <c r="W11" s="427">
        <v>10000</v>
      </c>
      <c r="X11" s="426">
        <v>11500</v>
      </c>
      <c r="Y11" s="427"/>
      <c r="Z11" s="426"/>
      <c r="AA11" s="427"/>
      <c r="AB11" s="426">
        <v>7110</v>
      </c>
      <c r="AC11" s="427"/>
      <c r="AD11" s="422"/>
      <c r="AE11" s="423"/>
      <c r="AF11" s="426"/>
      <c r="AG11" s="427"/>
      <c r="AH11" s="426"/>
      <c r="AI11" s="427"/>
      <c r="AJ11" s="426"/>
      <c r="AK11" s="427"/>
      <c r="AL11" s="426"/>
      <c r="AM11" s="427"/>
      <c r="AN11" s="426"/>
      <c r="AO11" s="427"/>
      <c r="AP11" s="426"/>
      <c r="AQ11" s="427"/>
      <c r="AR11" s="422"/>
      <c r="AS11" s="423"/>
      <c r="AT11" s="426"/>
      <c r="AU11" s="427"/>
      <c r="AV11" s="426"/>
      <c r="AW11" s="427"/>
      <c r="AX11" s="426"/>
      <c r="AY11" s="427"/>
      <c r="AZ11" s="426"/>
      <c r="BA11" s="427"/>
      <c r="BB11" s="426"/>
      <c r="BC11" s="427"/>
      <c r="BD11" s="426"/>
      <c r="BE11" s="427"/>
      <c r="BF11" s="422"/>
      <c r="BG11" s="423"/>
      <c r="BH11" s="426"/>
      <c r="BI11" s="427"/>
      <c r="BJ11" s="424">
        <f t="shared" si="2"/>
        <v>28610</v>
      </c>
      <c r="BK11" s="425">
        <f t="shared" si="3"/>
        <v>3</v>
      </c>
    </row>
    <row r="12" spans="1:63" ht="15.75" customHeight="1" x14ac:dyDescent="0.3">
      <c r="A12" s="9"/>
      <c r="B12" s="420"/>
      <c r="C12" s="420" t="e">
        <f>VLOOKUP(D12,Products!B:D,2,FALSE)</f>
        <v>#N/A</v>
      </c>
      <c r="D12" s="566"/>
      <c r="E12" s="566">
        <v>1</v>
      </c>
      <c r="F12" s="426"/>
      <c r="G12" s="427"/>
      <c r="H12" s="426"/>
      <c r="I12" s="427"/>
      <c r="J12" s="426"/>
      <c r="K12" s="427"/>
      <c r="L12" s="426"/>
      <c r="M12" s="427"/>
      <c r="N12" s="426"/>
      <c r="O12" s="427"/>
      <c r="P12" s="422"/>
      <c r="Q12" s="423"/>
      <c r="R12" s="422"/>
      <c r="S12" s="423"/>
      <c r="T12" s="426"/>
      <c r="U12" s="427"/>
      <c r="V12" s="426"/>
      <c r="W12" s="427"/>
      <c r="X12" s="426"/>
      <c r="Y12" s="427"/>
      <c r="Z12" s="426"/>
      <c r="AA12" s="427"/>
      <c r="AB12" s="426"/>
      <c r="AC12" s="427"/>
      <c r="AD12" s="422"/>
      <c r="AE12" s="423"/>
      <c r="AF12" s="426"/>
      <c r="AG12" s="427"/>
      <c r="AH12" s="426"/>
      <c r="AI12" s="427"/>
      <c r="AJ12" s="426"/>
      <c r="AK12" s="427"/>
      <c r="AL12" s="426"/>
      <c r="AM12" s="427"/>
      <c r="AN12" s="426"/>
      <c r="AO12" s="427"/>
      <c r="AP12" s="426"/>
      <c r="AQ12" s="427"/>
      <c r="AR12" s="422"/>
      <c r="AS12" s="423"/>
      <c r="AT12" s="426"/>
      <c r="AU12" s="427"/>
      <c r="AV12" s="426"/>
      <c r="AW12" s="427"/>
      <c r="AX12" s="426"/>
      <c r="AY12" s="427"/>
      <c r="AZ12" s="426"/>
      <c r="BA12" s="427"/>
      <c r="BB12" s="426"/>
      <c r="BC12" s="427"/>
      <c r="BD12" s="426"/>
      <c r="BE12" s="427"/>
      <c r="BF12" s="422"/>
      <c r="BG12" s="423"/>
      <c r="BH12" s="426"/>
      <c r="BI12" s="427"/>
      <c r="BJ12" s="424">
        <f t="shared" si="2"/>
        <v>0</v>
      </c>
      <c r="BK12" s="425">
        <f t="shared" si="3"/>
        <v>0</v>
      </c>
    </row>
    <row r="13" spans="1:63" ht="15.75" customHeight="1" x14ac:dyDescent="0.3">
      <c r="A13" s="9"/>
      <c r="B13" s="420"/>
      <c r="C13" s="420" t="e">
        <f>VLOOKUP(D13,Products!B:D,2,FALSE)</f>
        <v>#N/A</v>
      </c>
      <c r="D13" s="428"/>
      <c r="E13" s="585">
        <v>1</v>
      </c>
      <c r="F13" s="426"/>
      <c r="G13" s="427"/>
      <c r="H13" s="426"/>
      <c r="I13" s="427"/>
      <c r="J13" s="426"/>
      <c r="K13" s="427"/>
      <c r="L13" s="426"/>
      <c r="M13" s="427"/>
      <c r="N13" s="426"/>
      <c r="O13" s="427"/>
      <c r="P13" s="422"/>
      <c r="Q13" s="423"/>
      <c r="R13" s="422"/>
      <c r="S13" s="423"/>
      <c r="T13" s="426"/>
      <c r="U13" s="427"/>
      <c r="V13" s="426"/>
      <c r="W13" s="427"/>
      <c r="X13" s="426"/>
      <c r="Y13" s="427"/>
      <c r="Z13" s="426"/>
      <c r="AA13" s="427"/>
      <c r="AB13" s="426"/>
      <c r="AC13" s="427"/>
      <c r="AD13" s="422"/>
      <c r="AE13" s="423"/>
      <c r="AF13" s="426"/>
      <c r="AG13" s="427"/>
      <c r="AH13" s="426"/>
      <c r="AI13" s="427"/>
      <c r="AJ13" s="426"/>
      <c r="AK13" s="427"/>
      <c r="AL13" s="426"/>
      <c r="AM13" s="427"/>
      <c r="AN13" s="426"/>
      <c r="AO13" s="427"/>
      <c r="AP13" s="426"/>
      <c r="AQ13" s="427"/>
      <c r="AR13" s="422"/>
      <c r="AS13" s="423"/>
      <c r="AT13" s="426"/>
      <c r="AU13" s="427"/>
      <c r="AV13" s="426"/>
      <c r="AW13" s="427"/>
      <c r="AX13" s="426"/>
      <c r="AY13" s="427"/>
      <c r="AZ13" s="426"/>
      <c r="BA13" s="427"/>
      <c r="BB13" s="426"/>
      <c r="BC13" s="427"/>
      <c r="BD13" s="426"/>
      <c r="BE13" s="427"/>
      <c r="BF13" s="422"/>
      <c r="BG13" s="423"/>
      <c r="BH13" s="426"/>
      <c r="BI13" s="427"/>
      <c r="BJ13" s="424">
        <f t="shared" si="2"/>
        <v>0</v>
      </c>
      <c r="BK13" s="425">
        <f t="shared" si="3"/>
        <v>0</v>
      </c>
    </row>
    <row r="14" spans="1:63" ht="15.75" customHeight="1" x14ac:dyDescent="0.3">
      <c r="A14" s="9"/>
      <c r="B14" s="420"/>
      <c r="C14" s="420" t="e">
        <f>VLOOKUP(D14,Products!B:D,2,FALSE)</f>
        <v>#N/A</v>
      </c>
      <c r="D14" s="428"/>
      <c r="E14" s="585">
        <v>1</v>
      </c>
      <c r="F14" s="426"/>
      <c r="G14" s="427"/>
      <c r="H14" s="426"/>
      <c r="I14" s="427"/>
      <c r="J14" s="426"/>
      <c r="K14" s="427"/>
      <c r="L14" s="426"/>
      <c r="M14" s="427"/>
      <c r="N14" s="426"/>
      <c r="O14" s="427"/>
      <c r="P14" s="422"/>
      <c r="Q14" s="423"/>
      <c r="R14" s="422"/>
      <c r="S14" s="423"/>
      <c r="T14" s="426"/>
      <c r="U14" s="427"/>
      <c r="V14" s="426"/>
      <c r="W14" s="427"/>
      <c r="X14" s="426"/>
      <c r="Y14" s="427"/>
      <c r="Z14" s="426"/>
      <c r="AA14" s="427"/>
      <c r="AB14" s="426"/>
      <c r="AC14" s="427"/>
      <c r="AD14" s="422"/>
      <c r="AE14" s="423"/>
      <c r="AF14" s="426"/>
      <c r="AG14" s="427"/>
      <c r="AH14" s="426"/>
      <c r="AI14" s="427"/>
      <c r="AJ14" s="426"/>
      <c r="AK14" s="427"/>
      <c r="AL14" s="426"/>
      <c r="AM14" s="427"/>
      <c r="AN14" s="426"/>
      <c r="AO14" s="427"/>
      <c r="AP14" s="426"/>
      <c r="AQ14" s="427"/>
      <c r="AR14" s="422"/>
      <c r="AS14" s="423"/>
      <c r="AT14" s="426"/>
      <c r="AU14" s="427"/>
      <c r="AV14" s="426"/>
      <c r="AW14" s="427"/>
      <c r="AX14" s="426"/>
      <c r="AY14" s="427"/>
      <c r="AZ14" s="426"/>
      <c r="BA14" s="427"/>
      <c r="BB14" s="426"/>
      <c r="BC14" s="427"/>
      <c r="BD14" s="426"/>
      <c r="BE14" s="427"/>
      <c r="BF14" s="422"/>
      <c r="BG14" s="423"/>
      <c r="BH14" s="426"/>
      <c r="BI14" s="427"/>
      <c r="BJ14" s="424">
        <f t="shared" si="2"/>
        <v>0</v>
      </c>
      <c r="BK14" s="425">
        <f t="shared" si="3"/>
        <v>0</v>
      </c>
    </row>
    <row r="15" spans="1:63" ht="30" customHeight="1" x14ac:dyDescent="0.3">
      <c r="A15" s="9"/>
      <c r="B15" s="420"/>
      <c r="C15" s="420"/>
      <c r="D15" s="765" t="s">
        <v>18</v>
      </c>
      <c r="E15" s="766"/>
      <c r="F15" s="429">
        <f t="shared" ref="F15:AK15" si="4">SUM(F16:F23)</f>
        <v>62</v>
      </c>
      <c r="G15" s="430">
        <f t="shared" si="4"/>
        <v>19</v>
      </c>
      <c r="H15" s="429">
        <f t="shared" si="4"/>
        <v>197</v>
      </c>
      <c r="I15" s="430">
        <f t="shared" si="4"/>
        <v>68</v>
      </c>
      <c r="J15" s="429">
        <f t="shared" si="4"/>
        <v>106</v>
      </c>
      <c r="K15" s="430">
        <f t="shared" si="4"/>
        <v>90</v>
      </c>
      <c r="L15" s="429">
        <f t="shared" si="4"/>
        <v>10</v>
      </c>
      <c r="M15" s="430">
        <f t="shared" si="4"/>
        <v>36</v>
      </c>
      <c r="N15" s="429">
        <f t="shared" si="4"/>
        <v>27</v>
      </c>
      <c r="O15" s="430">
        <f t="shared" si="4"/>
        <v>16</v>
      </c>
      <c r="P15" s="429">
        <f t="shared" si="4"/>
        <v>0</v>
      </c>
      <c r="Q15" s="431">
        <f t="shared" si="4"/>
        <v>0</v>
      </c>
      <c r="R15" s="429">
        <f t="shared" si="4"/>
        <v>0</v>
      </c>
      <c r="S15" s="431">
        <f t="shared" si="4"/>
        <v>0</v>
      </c>
      <c r="T15" s="429">
        <f t="shared" si="4"/>
        <v>117</v>
      </c>
      <c r="U15" s="430">
        <f t="shared" si="4"/>
        <v>13</v>
      </c>
      <c r="V15" s="429">
        <f t="shared" si="4"/>
        <v>107</v>
      </c>
      <c r="W15" s="430">
        <f t="shared" si="4"/>
        <v>36</v>
      </c>
      <c r="X15" s="429">
        <f t="shared" si="4"/>
        <v>47</v>
      </c>
      <c r="Y15" s="430">
        <f t="shared" si="4"/>
        <v>45</v>
      </c>
      <c r="Z15" s="429">
        <f t="shared" si="4"/>
        <v>32</v>
      </c>
      <c r="AA15" s="430">
        <f t="shared" si="4"/>
        <v>40</v>
      </c>
      <c r="AB15" s="429">
        <f t="shared" si="4"/>
        <v>9</v>
      </c>
      <c r="AC15" s="430">
        <f t="shared" si="4"/>
        <v>8</v>
      </c>
      <c r="AD15" s="429">
        <f t="shared" si="4"/>
        <v>0</v>
      </c>
      <c r="AE15" s="431">
        <f t="shared" si="4"/>
        <v>0</v>
      </c>
      <c r="AF15" s="429">
        <f t="shared" si="4"/>
        <v>47</v>
      </c>
      <c r="AG15" s="430">
        <f t="shared" si="4"/>
        <v>12</v>
      </c>
      <c r="AH15" s="429">
        <f t="shared" si="4"/>
        <v>0</v>
      </c>
      <c r="AI15" s="430">
        <f t="shared" si="4"/>
        <v>0</v>
      </c>
      <c r="AJ15" s="429">
        <f t="shared" si="4"/>
        <v>0</v>
      </c>
      <c r="AK15" s="430">
        <f t="shared" si="4"/>
        <v>0</v>
      </c>
      <c r="AL15" s="429">
        <f t="shared" ref="AL15:BI15" si="5">SUM(AL16:AL23)</f>
        <v>0</v>
      </c>
      <c r="AM15" s="430">
        <f t="shared" si="5"/>
        <v>0</v>
      </c>
      <c r="AN15" s="429">
        <f t="shared" si="5"/>
        <v>0</v>
      </c>
      <c r="AO15" s="430">
        <f t="shared" si="5"/>
        <v>0</v>
      </c>
      <c r="AP15" s="429">
        <f t="shared" si="5"/>
        <v>0</v>
      </c>
      <c r="AQ15" s="430">
        <f t="shared" si="5"/>
        <v>0</v>
      </c>
      <c r="AR15" s="429">
        <f t="shared" si="5"/>
        <v>0</v>
      </c>
      <c r="AS15" s="431">
        <f t="shared" si="5"/>
        <v>0</v>
      </c>
      <c r="AT15" s="429">
        <f t="shared" si="5"/>
        <v>0</v>
      </c>
      <c r="AU15" s="430">
        <f t="shared" si="5"/>
        <v>0</v>
      </c>
      <c r="AV15" s="429">
        <f t="shared" si="5"/>
        <v>0</v>
      </c>
      <c r="AW15" s="430">
        <f t="shared" si="5"/>
        <v>0</v>
      </c>
      <c r="AX15" s="429">
        <f t="shared" si="5"/>
        <v>0</v>
      </c>
      <c r="AY15" s="430">
        <f t="shared" si="5"/>
        <v>0</v>
      </c>
      <c r="AZ15" s="429">
        <f t="shared" si="5"/>
        <v>0</v>
      </c>
      <c r="BA15" s="430">
        <f t="shared" si="5"/>
        <v>0</v>
      </c>
      <c r="BB15" s="429">
        <f t="shared" si="5"/>
        <v>0</v>
      </c>
      <c r="BC15" s="430">
        <f t="shared" si="5"/>
        <v>0</v>
      </c>
      <c r="BD15" s="429">
        <f t="shared" si="5"/>
        <v>0</v>
      </c>
      <c r="BE15" s="430">
        <f t="shared" si="5"/>
        <v>0</v>
      </c>
      <c r="BF15" s="429">
        <f t="shared" si="5"/>
        <v>0</v>
      </c>
      <c r="BG15" s="431">
        <f t="shared" si="5"/>
        <v>0</v>
      </c>
      <c r="BH15" s="429">
        <f t="shared" si="5"/>
        <v>0</v>
      </c>
      <c r="BI15" s="430">
        <f t="shared" si="5"/>
        <v>0</v>
      </c>
      <c r="BJ15" s="424">
        <f t="shared" si="2"/>
        <v>1144</v>
      </c>
      <c r="BK15" s="425">
        <f t="shared" si="3"/>
        <v>56</v>
      </c>
    </row>
    <row r="16" spans="1:63" ht="18.75" x14ac:dyDescent="0.3">
      <c r="A16" s="18"/>
      <c r="B16" s="432"/>
      <c r="C16" s="432"/>
      <c r="D16" s="755" t="s">
        <v>19</v>
      </c>
      <c r="E16" s="756"/>
      <c r="F16" s="426"/>
      <c r="G16" s="427"/>
      <c r="H16" s="426"/>
      <c r="I16" s="427"/>
      <c r="J16" s="426"/>
      <c r="K16" s="427"/>
      <c r="L16" s="426"/>
      <c r="M16" s="427"/>
      <c r="N16" s="426"/>
      <c r="O16" s="427"/>
      <c r="P16" s="422"/>
      <c r="Q16" s="423"/>
      <c r="R16" s="422"/>
      <c r="S16" s="423"/>
      <c r="T16" s="426"/>
      <c r="U16" s="427"/>
      <c r="V16" s="426"/>
      <c r="W16" s="427"/>
      <c r="X16" s="426"/>
      <c r="Y16" s="427"/>
      <c r="Z16" s="426"/>
      <c r="AA16" s="427"/>
      <c r="AB16" s="426"/>
      <c r="AC16" s="427"/>
      <c r="AD16" s="422"/>
      <c r="AE16" s="423"/>
      <c r="AF16" s="426"/>
      <c r="AG16" s="427"/>
      <c r="AH16" s="426"/>
      <c r="AI16" s="427"/>
      <c r="AJ16" s="426"/>
      <c r="AK16" s="427"/>
      <c r="AL16" s="426"/>
      <c r="AM16" s="427"/>
      <c r="AN16" s="426"/>
      <c r="AO16" s="427"/>
      <c r="AP16" s="426"/>
      <c r="AQ16" s="427"/>
      <c r="AR16" s="422"/>
      <c r="AS16" s="423"/>
      <c r="AT16" s="426"/>
      <c r="AU16" s="427"/>
      <c r="AV16" s="426"/>
      <c r="AW16" s="427"/>
      <c r="AX16" s="426"/>
      <c r="AY16" s="427"/>
      <c r="AZ16" s="426"/>
      <c r="BA16" s="427"/>
      <c r="BB16" s="426"/>
      <c r="BC16" s="427"/>
      <c r="BD16" s="426"/>
      <c r="BE16" s="427"/>
      <c r="BF16" s="422"/>
      <c r="BG16" s="423"/>
      <c r="BH16" s="426"/>
      <c r="BI16" s="427"/>
      <c r="BJ16" s="424">
        <f t="shared" si="2"/>
        <v>0</v>
      </c>
      <c r="BK16" s="425">
        <f t="shared" si="3"/>
        <v>0</v>
      </c>
    </row>
    <row r="17" spans="1:63" ht="18.75" x14ac:dyDescent="0.3">
      <c r="A17" s="18"/>
      <c r="B17" s="432"/>
      <c r="C17" s="432"/>
      <c r="D17" s="757" t="s">
        <v>20</v>
      </c>
      <c r="E17" s="758"/>
      <c r="F17" s="426"/>
      <c r="G17" s="427"/>
      <c r="H17" s="14"/>
      <c r="I17" s="14">
        <v>25</v>
      </c>
      <c r="J17" s="14"/>
      <c r="K17" s="427">
        <v>35</v>
      </c>
      <c r="L17" s="426"/>
      <c r="M17" s="427">
        <v>12</v>
      </c>
      <c r="N17" s="426"/>
      <c r="O17" s="427"/>
      <c r="P17" s="422"/>
      <c r="Q17" s="423"/>
      <c r="R17" s="422"/>
      <c r="S17" s="423"/>
      <c r="T17" s="426"/>
      <c r="U17" s="427"/>
      <c r="V17" s="426"/>
      <c r="W17" s="427"/>
      <c r="X17" s="426"/>
      <c r="Y17" s="427"/>
      <c r="Z17" s="426"/>
      <c r="AA17" s="427"/>
      <c r="AB17" s="426"/>
      <c r="AC17" s="427"/>
      <c r="AD17" s="422"/>
      <c r="AE17" s="423"/>
      <c r="AF17" s="426"/>
      <c r="AG17" s="427"/>
      <c r="AH17" s="426"/>
      <c r="AI17" s="427"/>
      <c r="AJ17" s="426"/>
      <c r="AK17" s="427"/>
      <c r="AL17" s="426"/>
      <c r="AM17" s="427"/>
      <c r="AN17" s="426"/>
      <c r="AO17" s="427"/>
      <c r="AP17" s="426"/>
      <c r="AQ17" s="427"/>
      <c r="AR17" s="422"/>
      <c r="AS17" s="423"/>
      <c r="AT17" s="426"/>
      <c r="AU17" s="427"/>
      <c r="AV17" s="426"/>
      <c r="AW17" s="427"/>
      <c r="AX17" s="426"/>
      <c r="AY17" s="427"/>
      <c r="AZ17" s="426"/>
      <c r="BA17" s="427"/>
      <c r="BB17" s="426"/>
      <c r="BC17" s="427"/>
      <c r="BD17" s="426"/>
      <c r="BE17" s="427"/>
      <c r="BF17" s="422"/>
      <c r="BG17" s="423"/>
      <c r="BH17" s="426"/>
      <c r="BI17" s="427"/>
      <c r="BJ17" s="424">
        <f t="shared" si="2"/>
        <v>72</v>
      </c>
      <c r="BK17" s="425">
        <f t="shared" si="3"/>
        <v>3</v>
      </c>
    </row>
    <row r="18" spans="1:63" ht="18.75" x14ac:dyDescent="0.3">
      <c r="A18" s="18"/>
      <c r="B18" s="432"/>
      <c r="C18" s="432"/>
      <c r="D18" s="757" t="s">
        <v>21</v>
      </c>
      <c r="E18" s="758"/>
      <c r="F18" s="426"/>
      <c r="G18" s="427"/>
      <c r="H18" s="426"/>
      <c r="I18" s="14"/>
      <c r="J18" s="426"/>
      <c r="K18" s="427"/>
      <c r="L18" s="426"/>
      <c r="M18" s="427"/>
      <c r="N18" s="426"/>
      <c r="O18" s="427"/>
      <c r="P18" s="422"/>
      <c r="Q18" s="423"/>
      <c r="R18" s="422"/>
      <c r="S18" s="423"/>
      <c r="T18" s="426"/>
      <c r="U18" s="427"/>
      <c r="V18" s="426"/>
      <c r="W18" s="427"/>
      <c r="X18" s="426"/>
      <c r="Y18" s="427"/>
      <c r="Z18" s="426"/>
      <c r="AA18" s="427"/>
      <c r="AB18" s="426"/>
      <c r="AC18" s="427"/>
      <c r="AD18" s="422"/>
      <c r="AE18" s="423"/>
      <c r="AF18" s="426"/>
      <c r="AG18" s="427"/>
      <c r="AH18" s="426"/>
      <c r="AI18" s="427"/>
      <c r="AJ18" s="426"/>
      <c r="AK18" s="427"/>
      <c r="AL18" s="426"/>
      <c r="AM18" s="427"/>
      <c r="AN18" s="426"/>
      <c r="AO18" s="427"/>
      <c r="AP18" s="426"/>
      <c r="AQ18" s="427"/>
      <c r="AR18" s="422"/>
      <c r="AS18" s="423"/>
      <c r="AT18" s="426"/>
      <c r="AU18" s="427"/>
      <c r="AV18" s="426"/>
      <c r="AW18" s="427"/>
      <c r="AX18" s="426"/>
      <c r="AY18" s="427"/>
      <c r="AZ18" s="426"/>
      <c r="BA18" s="427"/>
      <c r="BB18" s="426"/>
      <c r="BC18" s="427"/>
      <c r="BD18" s="426"/>
      <c r="BE18" s="427"/>
      <c r="BF18" s="422"/>
      <c r="BG18" s="423"/>
      <c r="BH18" s="426"/>
      <c r="BI18" s="427"/>
      <c r="BJ18" s="424">
        <f t="shared" si="2"/>
        <v>0</v>
      </c>
      <c r="BK18" s="425">
        <f t="shared" si="3"/>
        <v>0</v>
      </c>
    </row>
    <row r="19" spans="1:63" ht="18.75" x14ac:dyDescent="0.3">
      <c r="A19" s="18"/>
      <c r="B19" s="432"/>
      <c r="C19" s="432"/>
      <c r="D19" s="757"/>
      <c r="E19" s="758"/>
      <c r="F19" s="426"/>
      <c r="G19" s="427"/>
      <c r="H19" s="426"/>
      <c r="I19" s="427"/>
      <c r="J19" s="426"/>
      <c r="K19" s="427"/>
      <c r="L19" s="426"/>
      <c r="M19" s="427"/>
      <c r="N19" s="426"/>
      <c r="O19" s="427"/>
      <c r="P19" s="422"/>
      <c r="Q19" s="423"/>
      <c r="R19" s="422"/>
      <c r="S19" s="423"/>
      <c r="T19" s="426"/>
      <c r="U19" s="427"/>
      <c r="V19" s="426"/>
      <c r="W19" s="427"/>
      <c r="X19" s="426"/>
      <c r="Y19" s="427"/>
      <c r="Z19" s="426"/>
      <c r="AA19" s="427"/>
      <c r="AB19" s="426"/>
      <c r="AC19" s="427"/>
      <c r="AD19" s="422"/>
      <c r="AE19" s="423"/>
      <c r="AF19" s="426"/>
      <c r="AG19" s="427"/>
      <c r="AH19" s="426"/>
      <c r="AI19" s="427"/>
      <c r="AJ19" s="426"/>
      <c r="AK19" s="427"/>
      <c r="AL19" s="426"/>
      <c r="AM19" s="427"/>
      <c r="AN19" s="426"/>
      <c r="AO19" s="427"/>
      <c r="AP19" s="426"/>
      <c r="AQ19" s="427"/>
      <c r="AR19" s="422"/>
      <c r="AS19" s="423"/>
      <c r="AT19" s="426"/>
      <c r="AU19" s="427"/>
      <c r="AV19" s="426"/>
      <c r="AW19" s="427"/>
      <c r="AX19" s="426"/>
      <c r="AY19" s="427"/>
      <c r="AZ19" s="426"/>
      <c r="BA19" s="427"/>
      <c r="BB19" s="426"/>
      <c r="BC19" s="427"/>
      <c r="BD19" s="426"/>
      <c r="BE19" s="427"/>
      <c r="BF19" s="422"/>
      <c r="BG19" s="423"/>
      <c r="BH19" s="426"/>
      <c r="BI19" s="427"/>
      <c r="BJ19" s="424">
        <f t="shared" si="2"/>
        <v>0</v>
      </c>
      <c r="BK19" s="425">
        <f t="shared" si="3"/>
        <v>0</v>
      </c>
    </row>
    <row r="20" spans="1:63" ht="18.75" x14ac:dyDescent="0.3">
      <c r="A20" s="18"/>
      <c r="B20" s="432"/>
      <c r="C20" s="432"/>
      <c r="D20" s="755" t="s">
        <v>22</v>
      </c>
      <c r="E20" s="756"/>
      <c r="F20" s="426"/>
      <c r="G20" s="427"/>
      <c r="H20" s="426"/>
      <c r="I20" s="427"/>
      <c r="J20" s="426"/>
      <c r="K20" s="427"/>
      <c r="L20" s="426"/>
      <c r="M20" s="427"/>
      <c r="N20" s="426"/>
      <c r="O20" s="427"/>
      <c r="P20" s="422"/>
      <c r="Q20" s="423"/>
      <c r="R20" s="422"/>
      <c r="S20" s="423"/>
      <c r="T20" s="426"/>
      <c r="U20" s="427"/>
      <c r="V20" s="426"/>
      <c r="W20" s="427"/>
      <c r="X20" s="426"/>
      <c r="Y20" s="427"/>
      <c r="Z20" s="426"/>
      <c r="AA20" s="427"/>
      <c r="AB20" s="426"/>
      <c r="AC20" s="427"/>
      <c r="AD20" s="422"/>
      <c r="AE20" s="423"/>
      <c r="AF20" s="426"/>
      <c r="AG20" s="427"/>
      <c r="AH20" s="426"/>
      <c r="AI20" s="427"/>
      <c r="AJ20" s="426"/>
      <c r="AK20" s="427"/>
      <c r="AL20" s="426"/>
      <c r="AM20" s="427"/>
      <c r="AN20" s="426"/>
      <c r="AO20" s="427"/>
      <c r="AP20" s="426"/>
      <c r="AQ20" s="427"/>
      <c r="AR20" s="422"/>
      <c r="AS20" s="423"/>
      <c r="AT20" s="426"/>
      <c r="AU20" s="427"/>
      <c r="AV20" s="426"/>
      <c r="AW20" s="427"/>
      <c r="AX20" s="426"/>
      <c r="AY20" s="427"/>
      <c r="AZ20" s="426"/>
      <c r="BA20" s="427"/>
      <c r="BB20" s="426"/>
      <c r="BC20" s="427"/>
      <c r="BD20" s="426"/>
      <c r="BE20" s="427"/>
      <c r="BF20" s="422"/>
      <c r="BG20" s="423"/>
      <c r="BH20" s="426"/>
      <c r="BI20" s="427"/>
      <c r="BJ20" s="424">
        <f t="shared" si="2"/>
        <v>0</v>
      </c>
      <c r="BK20" s="425">
        <f t="shared" si="3"/>
        <v>0</v>
      </c>
    </row>
    <row r="21" spans="1:63" ht="18.75" x14ac:dyDescent="0.3">
      <c r="A21" s="18"/>
      <c r="B21" s="432"/>
      <c r="C21" s="432"/>
      <c r="D21" s="757" t="s">
        <v>20</v>
      </c>
      <c r="E21" s="758"/>
      <c r="F21" s="426">
        <v>62</v>
      </c>
      <c r="G21" s="427">
        <v>19</v>
      </c>
      <c r="H21" s="426">
        <v>197</v>
      </c>
      <c r="I21" s="427">
        <v>43</v>
      </c>
      <c r="J21" s="426">
        <v>106</v>
      </c>
      <c r="K21" s="427">
        <v>55</v>
      </c>
      <c r="L21" s="426">
        <v>10</v>
      </c>
      <c r="M21" s="427">
        <v>24</v>
      </c>
      <c r="N21" s="426">
        <v>27</v>
      </c>
      <c r="O21" s="427">
        <v>16</v>
      </c>
      <c r="P21" s="422"/>
      <c r="Q21" s="423"/>
      <c r="R21" s="422"/>
      <c r="S21" s="423"/>
      <c r="T21" s="426">
        <v>117</v>
      </c>
      <c r="U21" s="427">
        <v>13</v>
      </c>
      <c r="V21" s="426">
        <v>107</v>
      </c>
      <c r="W21" s="427">
        <v>36</v>
      </c>
      <c r="X21" s="426">
        <v>47</v>
      </c>
      <c r="Y21" s="427">
        <v>45</v>
      </c>
      <c r="Z21" s="426">
        <v>32</v>
      </c>
      <c r="AA21" s="427">
        <v>40</v>
      </c>
      <c r="AB21" s="426">
        <v>9</v>
      </c>
      <c r="AC21" s="427">
        <v>8</v>
      </c>
      <c r="AD21" s="422"/>
      <c r="AE21" s="423"/>
      <c r="AF21" s="426">
        <v>47</v>
      </c>
      <c r="AG21" s="427">
        <v>12</v>
      </c>
      <c r="AH21" s="426"/>
      <c r="AI21" s="427"/>
      <c r="AJ21" s="426"/>
      <c r="AK21" s="427"/>
      <c r="AL21" s="426"/>
      <c r="AM21" s="427"/>
      <c r="AN21" s="426"/>
      <c r="AO21" s="427"/>
      <c r="AP21" s="426"/>
      <c r="AQ21" s="427"/>
      <c r="AR21" s="422"/>
      <c r="AS21" s="423"/>
      <c r="AT21" s="426"/>
      <c r="AU21" s="427"/>
      <c r="AV21" s="426"/>
      <c r="AW21" s="427"/>
      <c r="AX21" s="426"/>
      <c r="AY21" s="427"/>
      <c r="AZ21" s="426"/>
      <c r="BA21" s="427"/>
      <c r="BB21" s="426"/>
      <c r="BC21" s="427"/>
      <c r="BD21" s="426"/>
      <c r="BE21" s="427"/>
      <c r="BF21" s="422"/>
      <c r="BG21" s="423"/>
      <c r="BH21" s="426"/>
      <c r="BI21" s="427"/>
      <c r="BJ21" s="424">
        <f t="shared" si="2"/>
        <v>1072</v>
      </c>
      <c r="BK21" s="425">
        <f t="shared" si="3"/>
        <v>22</v>
      </c>
    </row>
    <row r="22" spans="1:63" ht="18.75" x14ac:dyDescent="0.3">
      <c r="A22" s="18"/>
      <c r="B22" s="432"/>
      <c r="C22" s="432"/>
      <c r="D22" s="757" t="s">
        <v>21</v>
      </c>
      <c r="E22" s="758"/>
      <c r="F22" s="426"/>
      <c r="G22" s="427"/>
      <c r="H22" s="426"/>
      <c r="I22" s="427"/>
      <c r="J22" s="426"/>
      <c r="K22" s="427"/>
      <c r="L22" s="426"/>
      <c r="M22" s="427"/>
      <c r="N22" s="426"/>
      <c r="O22" s="427"/>
      <c r="P22" s="422"/>
      <c r="Q22" s="423"/>
      <c r="R22" s="422"/>
      <c r="S22" s="423"/>
      <c r="T22" s="426"/>
      <c r="U22" s="427"/>
      <c r="V22" s="426"/>
      <c r="W22" s="427"/>
      <c r="X22" s="426"/>
      <c r="Y22" s="427"/>
      <c r="Z22" s="426"/>
      <c r="AA22" s="427"/>
      <c r="AB22" s="426"/>
      <c r="AC22" s="427"/>
      <c r="AD22" s="422"/>
      <c r="AE22" s="423"/>
      <c r="AF22" s="426"/>
      <c r="AG22" s="427"/>
      <c r="AH22" s="426"/>
      <c r="AI22" s="427"/>
      <c r="AJ22" s="426"/>
      <c r="AK22" s="427"/>
      <c r="AL22" s="426"/>
      <c r="AM22" s="427"/>
      <c r="AN22" s="426"/>
      <c r="AO22" s="427"/>
      <c r="AP22" s="426"/>
      <c r="AQ22" s="427"/>
      <c r="AR22" s="422"/>
      <c r="AS22" s="423"/>
      <c r="AT22" s="426"/>
      <c r="AU22" s="427"/>
      <c r="AV22" s="426"/>
      <c r="AW22" s="427"/>
      <c r="AX22" s="426"/>
      <c r="AY22" s="427"/>
      <c r="AZ22" s="426"/>
      <c r="BA22" s="427"/>
      <c r="BB22" s="426"/>
      <c r="BC22" s="427"/>
      <c r="BD22" s="426"/>
      <c r="BE22" s="427"/>
      <c r="BF22" s="422"/>
      <c r="BG22" s="423"/>
      <c r="BH22" s="426"/>
      <c r="BI22" s="427"/>
      <c r="BJ22" s="424">
        <f t="shared" si="2"/>
        <v>0</v>
      </c>
      <c r="BK22" s="425">
        <f t="shared" si="3"/>
        <v>0</v>
      </c>
    </row>
    <row r="23" spans="1:63" ht="18.75" x14ac:dyDescent="0.3">
      <c r="A23" s="18"/>
      <c r="B23" s="432"/>
      <c r="C23" s="432"/>
      <c r="D23" s="757" t="s">
        <v>23</v>
      </c>
      <c r="E23" s="758"/>
      <c r="F23" s="426"/>
      <c r="G23" s="427"/>
      <c r="H23" s="426"/>
      <c r="I23" s="427"/>
      <c r="J23" s="426"/>
      <c r="K23" s="427"/>
      <c r="L23" s="426"/>
      <c r="M23" s="427"/>
      <c r="N23" s="426"/>
      <c r="O23" s="427"/>
      <c r="P23" s="422"/>
      <c r="Q23" s="423"/>
      <c r="R23" s="422"/>
      <c r="S23" s="423"/>
      <c r="T23" s="426"/>
      <c r="U23" s="427"/>
      <c r="V23" s="426"/>
      <c r="W23" s="427"/>
      <c r="X23" s="426"/>
      <c r="Y23" s="427"/>
      <c r="Z23" s="426"/>
      <c r="AA23" s="427"/>
      <c r="AB23" s="426"/>
      <c r="AC23" s="427"/>
      <c r="AD23" s="422"/>
      <c r="AE23" s="423"/>
      <c r="AF23" s="426"/>
      <c r="AG23" s="427"/>
      <c r="AH23" s="426"/>
      <c r="AI23" s="427"/>
      <c r="AJ23" s="426"/>
      <c r="AK23" s="427"/>
      <c r="AL23" s="426"/>
      <c r="AM23" s="427"/>
      <c r="AN23" s="426"/>
      <c r="AO23" s="427"/>
      <c r="AP23" s="426"/>
      <c r="AQ23" s="427"/>
      <c r="AR23" s="422"/>
      <c r="AS23" s="423"/>
      <c r="AT23" s="426"/>
      <c r="AU23" s="427"/>
      <c r="AV23" s="426"/>
      <c r="AW23" s="427"/>
      <c r="AX23" s="426"/>
      <c r="AY23" s="427"/>
      <c r="AZ23" s="426"/>
      <c r="BA23" s="427"/>
      <c r="BB23" s="426"/>
      <c r="BC23" s="427"/>
      <c r="BD23" s="426"/>
      <c r="BE23" s="427"/>
      <c r="BF23" s="422"/>
      <c r="BG23" s="423"/>
      <c r="BH23" s="426"/>
      <c r="BI23" s="427"/>
      <c r="BJ23" s="424">
        <f t="shared" si="2"/>
        <v>0</v>
      </c>
      <c r="BK23" s="425">
        <f t="shared" si="3"/>
        <v>0</v>
      </c>
    </row>
    <row r="24" spans="1:63" ht="30.75" customHeight="1" x14ac:dyDescent="0.3">
      <c r="A24" s="18"/>
      <c r="B24" s="432"/>
      <c r="C24" s="432"/>
      <c r="D24" s="759" t="s">
        <v>24</v>
      </c>
      <c r="E24" s="760"/>
      <c r="F24" s="422">
        <f>SUM(F25:F102)</f>
        <v>0</v>
      </c>
      <c r="G24" s="433">
        <f>SUM(G25:G102)</f>
        <v>25</v>
      </c>
      <c r="H24" s="422">
        <f t="shared" ref="H24:BI24" si="6">SUM(H25:H102)</f>
        <v>0</v>
      </c>
      <c r="I24" s="433">
        <f t="shared" si="6"/>
        <v>35</v>
      </c>
      <c r="J24" s="422">
        <f t="shared" si="6"/>
        <v>127</v>
      </c>
      <c r="K24" s="433">
        <f t="shared" si="6"/>
        <v>57</v>
      </c>
      <c r="L24" s="422">
        <f t="shared" si="6"/>
        <v>0</v>
      </c>
      <c r="M24" s="433">
        <f t="shared" si="6"/>
        <v>20</v>
      </c>
      <c r="N24" s="422">
        <f t="shared" si="6"/>
        <v>15</v>
      </c>
      <c r="O24" s="433">
        <f t="shared" si="6"/>
        <v>0</v>
      </c>
      <c r="P24" s="422">
        <f t="shared" si="6"/>
        <v>0</v>
      </c>
      <c r="Q24" s="423">
        <f t="shared" si="6"/>
        <v>0</v>
      </c>
      <c r="R24" s="422">
        <f t="shared" si="6"/>
        <v>0</v>
      </c>
      <c r="S24" s="423">
        <f t="shared" si="6"/>
        <v>0</v>
      </c>
      <c r="T24" s="422">
        <f t="shared" si="6"/>
        <v>0</v>
      </c>
      <c r="U24" s="433">
        <f t="shared" si="6"/>
        <v>35</v>
      </c>
      <c r="V24" s="422">
        <f t="shared" si="6"/>
        <v>0</v>
      </c>
      <c r="W24" s="433">
        <f t="shared" si="6"/>
        <v>30</v>
      </c>
      <c r="X24" s="422">
        <f t="shared" si="6"/>
        <v>30</v>
      </c>
      <c r="Y24" s="433">
        <f t="shared" si="6"/>
        <v>110</v>
      </c>
      <c r="Z24" s="422">
        <f t="shared" si="6"/>
        <v>40</v>
      </c>
      <c r="AA24" s="433">
        <f t="shared" si="6"/>
        <v>30</v>
      </c>
      <c r="AB24" s="422">
        <f t="shared" si="6"/>
        <v>10</v>
      </c>
      <c r="AC24" s="433">
        <f t="shared" si="6"/>
        <v>0</v>
      </c>
      <c r="AD24" s="422">
        <f t="shared" si="6"/>
        <v>0</v>
      </c>
      <c r="AE24" s="423">
        <f t="shared" si="6"/>
        <v>0</v>
      </c>
      <c r="AF24" s="422">
        <f t="shared" si="6"/>
        <v>0</v>
      </c>
      <c r="AG24" s="433">
        <f t="shared" si="6"/>
        <v>0</v>
      </c>
      <c r="AH24" s="422">
        <f t="shared" si="6"/>
        <v>0</v>
      </c>
      <c r="AI24" s="433">
        <f t="shared" si="6"/>
        <v>0</v>
      </c>
      <c r="AJ24" s="422">
        <f t="shared" si="6"/>
        <v>0</v>
      </c>
      <c r="AK24" s="433">
        <f t="shared" si="6"/>
        <v>0</v>
      </c>
      <c r="AL24" s="422">
        <f t="shared" si="6"/>
        <v>0</v>
      </c>
      <c r="AM24" s="433">
        <f t="shared" si="6"/>
        <v>0</v>
      </c>
      <c r="AN24" s="422">
        <f t="shared" si="6"/>
        <v>0</v>
      </c>
      <c r="AO24" s="433">
        <f t="shared" si="6"/>
        <v>0</v>
      </c>
      <c r="AP24" s="422">
        <f t="shared" si="6"/>
        <v>0</v>
      </c>
      <c r="AQ24" s="433">
        <f t="shared" si="6"/>
        <v>0</v>
      </c>
      <c r="AR24" s="422">
        <f t="shared" si="6"/>
        <v>0</v>
      </c>
      <c r="AS24" s="423">
        <f t="shared" si="6"/>
        <v>0</v>
      </c>
      <c r="AT24" s="422">
        <f t="shared" si="6"/>
        <v>0</v>
      </c>
      <c r="AU24" s="433">
        <f t="shared" si="6"/>
        <v>0</v>
      </c>
      <c r="AV24" s="422">
        <f t="shared" si="6"/>
        <v>0</v>
      </c>
      <c r="AW24" s="433">
        <f t="shared" si="6"/>
        <v>0</v>
      </c>
      <c r="AX24" s="422">
        <f t="shared" si="6"/>
        <v>0</v>
      </c>
      <c r="AY24" s="433">
        <f t="shared" si="6"/>
        <v>0</v>
      </c>
      <c r="AZ24" s="422">
        <f t="shared" si="6"/>
        <v>0</v>
      </c>
      <c r="BA24" s="433">
        <f t="shared" si="6"/>
        <v>0</v>
      </c>
      <c r="BB24" s="422">
        <f t="shared" si="6"/>
        <v>0</v>
      </c>
      <c r="BC24" s="433">
        <f t="shared" si="6"/>
        <v>0</v>
      </c>
      <c r="BD24" s="422">
        <f t="shared" si="6"/>
        <v>0</v>
      </c>
      <c r="BE24" s="433">
        <f t="shared" si="6"/>
        <v>0</v>
      </c>
      <c r="BF24" s="422">
        <f t="shared" si="6"/>
        <v>0</v>
      </c>
      <c r="BG24" s="423">
        <f t="shared" si="6"/>
        <v>0</v>
      </c>
      <c r="BH24" s="422">
        <f t="shared" si="6"/>
        <v>0</v>
      </c>
      <c r="BI24" s="433">
        <f t="shared" si="6"/>
        <v>0</v>
      </c>
      <c r="BJ24" s="424">
        <f t="shared" si="2"/>
        <v>564</v>
      </c>
      <c r="BK24" s="425">
        <f t="shared" si="3"/>
        <v>56</v>
      </c>
    </row>
    <row r="25" spans="1:63" ht="16.5" customHeight="1" x14ac:dyDescent="0.35">
      <c r="A25" s="20"/>
      <c r="B25" s="434"/>
      <c r="C25" s="435">
        <f>SUM(BJ26:BJ45)</f>
        <v>192</v>
      </c>
      <c r="D25" s="685" t="s">
        <v>25</v>
      </c>
      <c r="E25" s="753"/>
      <c r="F25" s="436"/>
      <c r="G25" s="437"/>
      <c r="H25" s="436"/>
      <c r="I25" s="437"/>
      <c r="J25" s="436"/>
      <c r="K25" s="437"/>
      <c r="L25" s="436"/>
      <c r="M25" s="437"/>
      <c r="N25" s="436"/>
      <c r="O25" s="437"/>
      <c r="P25" s="422"/>
      <c r="Q25" s="423"/>
      <c r="R25" s="422"/>
      <c r="S25" s="423"/>
      <c r="T25" s="436"/>
      <c r="U25" s="437"/>
      <c r="V25" s="436"/>
      <c r="W25" s="437"/>
      <c r="X25" s="436"/>
      <c r="Y25" s="437"/>
      <c r="Z25" s="436"/>
      <c r="AA25" s="437"/>
      <c r="AB25" s="436"/>
      <c r="AC25" s="437"/>
      <c r="AD25" s="422"/>
      <c r="AE25" s="423"/>
      <c r="AF25" s="436"/>
      <c r="AG25" s="437"/>
      <c r="AH25" s="436"/>
      <c r="AI25" s="437"/>
      <c r="AJ25" s="436"/>
      <c r="AK25" s="437"/>
      <c r="AL25" s="436"/>
      <c r="AM25" s="437"/>
      <c r="AN25" s="436"/>
      <c r="AO25" s="437"/>
      <c r="AP25" s="436"/>
      <c r="AQ25" s="437"/>
      <c r="AR25" s="422"/>
      <c r="AS25" s="423"/>
      <c r="AT25" s="436"/>
      <c r="AU25" s="437"/>
      <c r="AV25" s="436"/>
      <c r="AW25" s="437"/>
      <c r="AX25" s="436"/>
      <c r="AY25" s="437"/>
      <c r="AZ25" s="436"/>
      <c r="BA25" s="437"/>
      <c r="BB25" s="436"/>
      <c r="BC25" s="437"/>
      <c r="BD25" s="436"/>
      <c r="BE25" s="437"/>
      <c r="BF25" s="422"/>
      <c r="BG25" s="423"/>
      <c r="BH25" s="436"/>
      <c r="BI25" s="437"/>
      <c r="BJ25" s="424">
        <f t="shared" ref="BJ25:BJ56" si="7">SUM(F25:BI25)</f>
        <v>0</v>
      </c>
      <c r="BK25" s="425">
        <f t="shared" ref="BK25:BK56" si="8">COUNT(F25:BI25)</f>
        <v>0</v>
      </c>
    </row>
    <row r="26" spans="1:63" ht="18" customHeight="1" x14ac:dyDescent="0.35">
      <c r="A26" s="20"/>
      <c r="B26" s="438" t="s">
        <v>26</v>
      </c>
      <c r="C26" s="434" t="s">
        <v>27</v>
      </c>
      <c r="D26" s="740" t="s">
        <v>28</v>
      </c>
      <c r="E26" s="741"/>
      <c r="F26" s="79"/>
      <c r="G26" s="80"/>
      <c r="H26" s="79"/>
      <c r="I26" s="80"/>
      <c r="J26" s="79"/>
      <c r="K26" s="80"/>
      <c r="L26" s="79"/>
      <c r="M26" s="80"/>
      <c r="N26" s="79"/>
      <c r="O26" s="80"/>
      <c r="P26" s="71"/>
      <c r="Q26" s="77"/>
      <c r="R26" s="71"/>
      <c r="S26" s="77"/>
      <c r="T26" s="79"/>
      <c r="U26" s="80"/>
      <c r="V26" s="79"/>
      <c r="W26" s="80"/>
      <c r="X26" s="79"/>
      <c r="Y26" s="80"/>
      <c r="Z26" s="79"/>
      <c r="AA26" s="80"/>
      <c r="AB26" s="79"/>
      <c r="AC26" s="80"/>
      <c r="AD26" s="71"/>
      <c r="AE26" s="77"/>
      <c r="AF26" s="79"/>
      <c r="AG26" s="80"/>
      <c r="AH26" s="79"/>
      <c r="AI26" s="80"/>
      <c r="AJ26" s="79"/>
      <c r="AK26" s="80"/>
      <c r="AL26" s="79"/>
      <c r="AM26" s="80"/>
      <c r="AN26" s="79"/>
      <c r="AO26" s="80"/>
      <c r="AP26" s="79"/>
      <c r="AQ26" s="80"/>
      <c r="AR26" s="71"/>
      <c r="AS26" s="77"/>
      <c r="AT26" s="79"/>
      <c r="AU26" s="80"/>
      <c r="AV26" s="79"/>
      <c r="AW26" s="80"/>
      <c r="AX26" s="79"/>
      <c r="AY26" s="80"/>
      <c r="AZ26" s="79"/>
      <c r="BA26" s="80"/>
      <c r="BB26" s="79"/>
      <c r="BC26" s="80"/>
      <c r="BD26" s="79"/>
      <c r="BE26" s="80"/>
      <c r="BF26" s="71"/>
      <c r="BG26" s="77"/>
      <c r="BH26" s="79"/>
      <c r="BI26" s="80"/>
      <c r="BJ26" s="424">
        <f t="shared" si="7"/>
        <v>0</v>
      </c>
      <c r="BK26" s="425">
        <f t="shared" si="8"/>
        <v>0</v>
      </c>
    </row>
    <row r="27" spans="1:63" ht="18" customHeight="1" x14ac:dyDescent="0.35">
      <c r="A27" s="24"/>
      <c r="B27" s="438" t="s">
        <v>29</v>
      </c>
      <c r="C27" s="439" t="s">
        <v>30</v>
      </c>
      <c r="D27" s="740" t="s">
        <v>31</v>
      </c>
      <c r="E27" s="741"/>
      <c r="F27" s="79"/>
      <c r="G27" s="80"/>
      <c r="H27" s="79"/>
      <c r="I27" s="80"/>
      <c r="J27" s="79"/>
      <c r="K27" s="80"/>
      <c r="L27" s="79"/>
      <c r="M27" s="80"/>
      <c r="N27" s="79"/>
      <c r="O27" s="80"/>
      <c r="P27" s="71"/>
      <c r="Q27" s="77"/>
      <c r="R27" s="71"/>
      <c r="S27" s="77"/>
      <c r="T27" s="79"/>
      <c r="U27" s="80"/>
      <c r="V27" s="79"/>
      <c r="W27" s="80"/>
      <c r="X27" s="79"/>
      <c r="Y27" s="80"/>
      <c r="Z27" s="79"/>
      <c r="AA27" s="80"/>
      <c r="AB27" s="79"/>
      <c r="AC27" s="80"/>
      <c r="AD27" s="71"/>
      <c r="AE27" s="77"/>
      <c r="AF27" s="79"/>
      <c r="AG27" s="80"/>
      <c r="AH27" s="79"/>
      <c r="AI27" s="80"/>
      <c r="AJ27" s="79"/>
      <c r="AK27" s="80"/>
      <c r="AL27" s="79"/>
      <c r="AM27" s="80"/>
      <c r="AN27" s="79"/>
      <c r="AO27" s="80"/>
      <c r="AP27" s="79"/>
      <c r="AQ27" s="80"/>
      <c r="AR27" s="71"/>
      <c r="AS27" s="77"/>
      <c r="AT27" s="79"/>
      <c r="AU27" s="80"/>
      <c r="AV27" s="79"/>
      <c r="AW27" s="80"/>
      <c r="AX27" s="79"/>
      <c r="AY27" s="80"/>
      <c r="AZ27" s="79"/>
      <c r="BA27" s="80"/>
      <c r="BB27" s="79"/>
      <c r="BC27" s="80"/>
      <c r="BD27" s="79"/>
      <c r="BE27" s="80"/>
      <c r="BF27" s="71"/>
      <c r="BG27" s="77"/>
      <c r="BH27" s="79"/>
      <c r="BI27" s="80"/>
      <c r="BJ27" s="424">
        <f t="shared" si="7"/>
        <v>0</v>
      </c>
      <c r="BK27" s="425">
        <f t="shared" si="8"/>
        <v>0</v>
      </c>
    </row>
    <row r="28" spans="1:63" ht="18" customHeight="1" x14ac:dyDescent="0.35">
      <c r="A28" s="24"/>
      <c r="B28" s="438" t="s">
        <v>26</v>
      </c>
      <c r="C28" s="439" t="s">
        <v>32</v>
      </c>
      <c r="D28" s="740" t="s">
        <v>33</v>
      </c>
      <c r="E28" s="741"/>
      <c r="F28" s="79"/>
      <c r="G28" s="80"/>
      <c r="H28" s="79"/>
      <c r="I28" s="80"/>
      <c r="J28" s="79"/>
      <c r="K28" s="80"/>
      <c r="L28" s="79"/>
      <c r="M28" s="80"/>
      <c r="N28" s="79"/>
      <c r="O28" s="80"/>
      <c r="P28" s="71"/>
      <c r="Q28" s="77"/>
      <c r="R28" s="71"/>
      <c r="S28" s="77"/>
      <c r="T28" s="79"/>
      <c r="U28" s="80"/>
      <c r="V28" s="79"/>
      <c r="W28" s="80"/>
      <c r="X28" s="79"/>
      <c r="Y28" s="80"/>
      <c r="Z28" s="79"/>
      <c r="AA28" s="80"/>
      <c r="AB28" s="79"/>
      <c r="AC28" s="80"/>
      <c r="AD28" s="71"/>
      <c r="AE28" s="77"/>
      <c r="AF28" s="79"/>
      <c r="AG28" s="80"/>
      <c r="AH28" s="79"/>
      <c r="AI28" s="80"/>
      <c r="AJ28" s="79"/>
      <c r="AK28" s="80"/>
      <c r="AL28" s="79"/>
      <c r="AM28" s="80"/>
      <c r="AN28" s="79"/>
      <c r="AO28" s="80"/>
      <c r="AP28" s="79"/>
      <c r="AQ28" s="80"/>
      <c r="AR28" s="71"/>
      <c r="AS28" s="77"/>
      <c r="AT28" s="79"/>
      <c r="AU28" s="80"/>
      <c r="AV28" s="79"/>
      <c r="AW28" s="80"/>
      <c r="AX28" s="79"/>
      <c r="AY28" s="80"/>
      <c r="AZ28" s="79"/>
      <c r="BA28" s="80"/>
      <c r="BB28" s="79"/>
      <c r="BC28" s="80"/>
      <c r="BD28" s="79"/>
      <c r="BE28" s="80"/>
      <c r="BF28" s="71"/>
      <c r="BG28" s="77"/>
      <c r="BH28" s="79"/>
      <c r="BI28" s="80"/>
      <c r="BJ28" s="424">
        <f t="shared" si="7"/>
        <v>0</v>
      </c>
      <c r="BK28" s="425">
        <f t="shared" si="8"/>
        <v>0</v>
      </c>
    </row>
    <row r="29" spans="1:63" ht="18" customHeight="1" x14ac:dyDescent="0.35">
      <c r="A29" s="24"/>
      <c r="B29" s="438" t="s">
        <v>26</v>
      </c>
      <c r="C29" s="439" t="s">
        <v>34</v>
      </c>
      <c r="D29" s="740" t="s">
        <v>1038</v>
      </c>
      <c r="E29" s="741"/>
      <c r="F29" s="79"/>
      <c r="G29" s="80">
        <v>25</v>
      </c>
      <c r="H29" s="79"/>
      <c r="I29" s="80"/>
      <c r="J29" s="79"/>
      <c r="K29" s="80"/>
      <c r="L29" s="79"/>
      <c r="M29" s="80"/>
      <c r="N29" s="79"/>
      <c r="O29" s="80"/>
      <c r="P29" s="71"/>
      <c r="Q29" s="77"/>
      <c r="R29" s="71"/>
      <c r="S29" s="77"/>
      <c r="T29" s="79"/>
      <c r="U29" s="80"/>
      <c r="V29" s="79"/>
      <c r="W29" s="80"/>
      <c r="X29" s="79"/>
      <c r="Y29" s="80"/>
      <c r="Z29" s="79"/>
      <c r="AA29" s="80"/>
      <c r="AB29" s="79"/>
      <c r="AC29" s="80"/>
      <c r="AD29" s="71"/>
      <c r="AE29" s="77"/>
      <c r="AF29" s="79"/>
      <c r="AG29" s="80"/>
      <c r="AH29" s="79"/>
      <c r="AI29" s="80"/>
      <c r="AJ29" s="79"/>
      <c r="AK29" s="80"/>
      <c r="AL29" s="79"/>
      <c r="AM29" s="80"/>
      <c r="AN29" s="79"/>
      <c r="AO29" s="80"/>
      <c r="AP29" s="79"/>
      <c r="AQ29" s="80"/>
      <c r="AR29" s="71"/>
      <c r="AS29" s="77"/>
      <c r="AT29" s="79"/>
      <c r="AU29" s="80"/>
      <c r="AV29" s="79"/>
      <c r="AW29" s="80"/>
      <c r="AX29" s="79"/>
      <c r="AY29" s="80"/>
      <c r="AZ29" s="79"/>
      <c r="BA29" s="80"/>
      <c r="BB29" s="79"/>
      <c r="BC29" s="80"/>
      <c r="BD29" s="79"/>
      <c r="BE29" s="80"/>
      <c r="BF29" s="71"/>
      <c r="BG29" s="77"/>
      <c r="BH29" s="79"/>
      <c r="BI29" s="80"/>
      <c r="BJ29" s="424">
        <f t="shared" si="7"/>
        <v>25</v>
      </c>
      <c r="BK29" s="425">
        <f t="shared" si="8"/>
        <v>1</v>
      </c>
    </row>
    <row r="30" spans="1:63" ht="18" customHeight="1" x14ac:dyDescent="0.35">
      <c r="A30" s="24"/>
      <c r="B30" s="438" t="s">
        <v>26</v>
      </c>
      <c r="C30" s="439" t="s">
        <v>36</v>
      </c>
      <c r="D30" s="740" t="s">
        <v>37</v>
      </c>
      <c r="E30" s="741"/>
      <c r="F30" s="79"/>
      <c r="G30" s="80"/>
      <c r="H30" s="79"/>
      <c r="I30" s="80"/>
      <c r="J30" s="79"/>
      <c r="K30" s="80"/>
      <c r="L30" s="79"/>
      <c r="M30" s="80"/>
      <c r="N30" s="79"/>
      <c r="O30" s="80"/>
      <c r="P30" s="71"/>
      <c r="Q30" s="77"/>
      <c r="R30" s="71"/>
      <c r="S30" s="77"/>
      <c r="T30" s="79"/>
      <c r="U30" s="80"/>
      <c r="V30" s="79"/>
      <c r="W30" s="80"/>
      <c r="X30" s="79"/>
      <c r="Y30" s="80"/>
      <c r="Z30" s="79"/>
      <c r="AA30" s="80"/>
      <c r="AB30" s="79"/>
      <c r="AC30" s="80"/>
      <c r="AD30" s="71"/>
      <c r="AE30" s="77"/>
      <c r="AF30" s="79"/>
      <c r="AG30" s="80"/>
      <c r="AH30" s="79"/>
      <c r="AI30" s="80"/>
      <c r="AJ30" s="79"/>
      <c r="AK30" s="80"/>
      <c r="AL30" s="79"/>
      <c r="AM30" s="80"/>
      <c r="AN30" s="79"/>
      <c r="AO30" s="80"/>
      <c r="AP30" s="79"/>
      <c r="AQ30" s="80"/>
      <c r="AR30" s="71"/>
      <c r="AS30" s="77"/>
      <c r="AT30" s="79"/>
      <c r="AU30" s="80"/>
      <c r="AV30" s="79"/>
      <c r="AW30" s="80"/>
      <c r="AX30" s="79"/>
      <c r="AY30" s="80"/>
      <c r="AZ30" s="79"/>
      <c r="BA30" s="80"/>
      <c r="BB30" s="79"/>
      <c r="BC30" s="80"/>
      <c r="BD30" s="79"/>
      <c r="BE30" s="80"/>
      <c r="BF30" s="71"/>
      <c r="BG30" s="77"/>
      <c r="BH30" s="79"/>
      <c r="BI30" s="80"/>
      <c r="BJ30" s="424">
        <f t="shared" si="7"/>
        <v>0</v>
      </c>
      <c r="BK30" s="425">
        <f t="shared" si="8"/>
        <v>0</v>
      </c>
    </row>
    <row r="31" spans="1:63" ht="18" customHeight="1" x14ac:dyDescent="0.35">
      <c r="A31" s="24"/>
      <c r="B31" s="438" t="s">
        <v>26</v>
      </c>
      <c r="C31" s="434" t="s">
        <v>38</v>
      </c>
      <c r="D31" s="740" t="s">
        <v>39</v>
      </c>
      <c r="E31" s="741"/>
      <c r="F31" s="79"/>
      <c r="G31" s="80"/>
      <c r="H31" s="79"/>
      <c r="I31" s="80"/>
      <c r="J31" s="79"/>
      <c r="K31" s="80"/>
      <c r="L31" s="79"/>
      <c r="M31" s="80"/>
      <c r="N31" s="79"/>
      <c r="O31" s="80"/>
      <c r="P31" s="71"/>
      <c r="Q31" s="77"/>
      <c r="R31" s="71"/>
      <c r="S31" s="77"/>
      <c r="T31" s="79"/>
      <c r="U31" s="80"/>
      <c r="V31" s="79"/>
      <c r="W31" s="80"/>
      <c r="X31" s="79"/>
      <c r="Y31" s="80"/>
      <c r="Z31" s="79"/>
      <c r="AA31" s="80"/>
      <c r="AB31" s="79"/>
      <c r="AC31" s="80"/>
      <c r="AD31" s="71"/>
      <c r="AE31" s="77"/>
      <c r="AF31" s="79"/>
      <c r="AG31" s="80"/>
      <c r="AH31" s="79"/>
      <c r="AI31" s="80"/>
      <c r="AJ31" s="79"/>
      <c r="AK31" s="80"/>
      <c r="AL31" s="79"/>
      <c r="AM31" s="80"/>
      <c r="AN31" s="79"/>
      <c r="AO31" s="80"/>
      <c r="AP31" s="79"/>
      <c r="AQ31" s="80"/>
      <c r="AR31" s="71"/>
      <c r="AS31" s="77"/>
      <c r="AT31" s="79"/>
      <c r="AU31" s="80"/>
      <c r="AV31" s="79"/>
      <c r="AW31" s="80"/>
      <c r="AX31" s="79"/>
      <c r="AY31" s="80"/>
      <c r="AZ31" s="79"/>
      <c r="BA31" s="80"/>
      <c r="BB31" s="79"/>
      <c r="BC31" s="80"/>
      <c r="BD31" s="79"/>
      <c r="BE31" s="80"/>
      <c r="BF31" s="71"/>
      <c r="BG31" s="77"/>
      <c r="BH31" s="79"/>
      <c r="BI31" s="80"/>
      <c r="BJ31" s="424">
        <f t="shared" si="7"/>
        <v>0</v>
      </c>
      <c r="BK31" s="425">
        <f t="shared" si="8"/>
        <v>0</v>
      </c>
    </row>
    <row r="32" spans="1:63" ht="18" customHeight="1" x14ac:dyDescent="0.35">
      <c r="A32" s="24"/>
      <c r="B32" s="438" t="s">
        <v>26</v>
      </c>
      <c r="C32" s="439" t="s">
        <v>40</v>
      </c>
      <c r="D32" s="740" t="s">
        <v>41</v>
      </c>
      <c r="E32" s="741"/>
      <c r="F32" s="79"/>
      <c r="G32" s="80"/>
      <c r="H32" s="79"/>
      <c r="I32" s="80"/>
      <c r="J32" s="79"/>
      <c r="K32" s="80">
        <v>20</v>
      </c>
      <c r="L32" s="79"/>
      <c r="M32" s="80"/>
      <c r="N32" s="79">
        <v>15</v>
      </c>
      <c r="O32" s="80"/>
      <c r="P32" s="71"/>
      <c r="Q32" s="77"/>
      <c r="R32" s="71"/>
      <c r="S32" s="77"/>
      <c r="T32" s="79"/>
      <c r="U32" s="80"/>
      <c r="V32" s="79"/>
      <c r="W32" s="80"/>
      <c r="X32" s="79"/>
      <c r="Y32" s="80"/>
      <c r="Z32" s="79"/>
      <c r="AA32" s="80"/>
      <c r="AB32" s="79"/>
      <c r="AC32" s="80"/>
      <c r="AD32" s="71"/>
      <c r="AE32" s="77"/>
      <c r="AF32" s="79"/>
      <c r="AG32" s="80"/>
      <c r="AH32" s="79"/>
      <c r="AI32" s="80"/>
      <c r="AJ32" s="79"/>
      <c r="AK32" s="80"/>
      <c r="AL32" s="79"/>
      <c r="AM32" s="80"/>
      <c r="AN32" s="79"/>
      <c r="AO32" s="80"/>
      <c r="AP32" s="79"/>
      <c r="AQ32" s="80"/>
      <c r="AR32" s="71"/>
      <c r="AS32" s="77"/>
      <c r="AT32" s="79"/>
      <c r="AU32" s="80"/>
      <c r="AV32" s="79"/>
      <c r="AW32" s="80"/>
      <c r="AX32" s="79"/>
      <c r="AY32" s="80"/>
      <c r="AZ32" s="79"/>
      <c r="BA32" s="80"/>
      <c r="BB32" s="79"/>
      <c r="BC32" s="80"/>
      <c r="BD32" s="79"/>
      <c r="BE32" s="80"/>
      <c r="BF32" s="71"/>
      <c r="BG32" s="77"/>
      <c r="BH32" s="79"/>
      <c r="BI32" s="80"/>
      <c r="BJ32" s="424">
        <f t="shared" si="7"/>
        <v>35</v>
      </c>
      <c r="BK32" s="425">
        <f t="shared" si="8"/>
        <v>2</v>
      </c>
    </row>
    <row r="33" spans="1:63" ht="18" customHeight="1" x14ac:dyDescent="0.35">
      <c r="A33" s="24"/>
      <c r="B33" s="438" t="s">
        <v>26</v>
      </c>
      <c r="C33" s="434" t="s">
        <v>42</v>
      </c>
      <c r="D33" s="740" t="s">
        <v>43</v>
      </c>
      <c r="E33" s="741"/>
      <c r="F33" s="79"/>
      <c r="G33" s="80"/>
      <c r="H33" s="79"/>
      <c r="I33" s="80"/>
      <c r="J33" s="79">
        <v>15</v>
      </c>
      <c r="K33" s="80">
        <v>17</v>
      </c>
      <c r="L33" s="79"/>
      <c r="M33" s="80"/>
      <c r="N33" s="79"/>
      <c r="O33" s="80"/>
      <c r="P33" s="71"/>
      <c r="Q33" s="77"/>
      <c r="R33" s="71"/>
      <c r="S33" s="77"/>
      <c r="T33" s="79"/>
      <c r="U33" s="80"/>
      <c r="V33" s="79"/>
      <c r="W33" s="80"/>
      <c r="X33" s="79"/>
      <c r="Y33" s="80"/>
      <c r="Z33" s="79"/>
      <c r="AA33" s="80">
        <v>10</v>
      </c>
      <c r="AB33" s="79"/>
      <c r="AC33" s="80"/>
      <c r="AD33" s="71"/>
      <c r="AE33" s="77"/>
      <c r="AF33" s="79"/>
      <c r="AG33" s="80"/>
      <c r="AH33" s="79"/>
      <c r="AI33" s="80"/>
      <c r="AJ33" s="79"/>
      <c r="AK33" s="80"/>
      <c r="AL33" s="79"/>
      <c r="AM33" s="80"/>
      <c r="AN33" s="79"/>
      <c r="AO33" s="80"/>
      <c r="AP33" s="79"/>
      <c r="AQ33" s="80"/>
      <c r="AR33" s="71"/>
      <c r="AS33" s="77"/>
      <c r="AT33" s="79"/>
      <c r="AU33" s="80"/>
      <c r="AV33" s="79"/>
      <c r="AW33" s="80"/>
      <c r="AX33" s="79"/>
      <c r="AY33" s="80"/>
      <c r="AZ33" s="79"/>
      <c r="BA33" s="80"/>
      <c r="BB33" s="79"/>
      <c r="BC33" s="80"/>
      <c r="BD33" s="79"/>
      <c r="BE33" s="80"/>
      <c r="BF33" s="71"/>
      <c r="BG33" s="77"/>
      <c r="BH33" s="79"/>
      <c r="BI33" s="80"/>
      <c r="BJ33" s="424">
        <f t="shared" si="7"/>
        <v>42</v>
      </c>
      <c r="BK33" s="425">
        <f t="shared" si="8"/>
        <v>3</v>
      </c>
    </row>
    <row r="34" spans="1:63" ht="18" customHeight="1" x14ac:dyDescent="0.35">
      <c r="A34" s="24"/>
      <c r="B34" s="438" t="s">
        <v>44</v>
      </c>
      <c r="C34" s="439" t="s">
        <v>45</v>
      </c>
      <c r="D34" s="740" t="s">
        <v>43</v>
      </c>
      <c r="E34" s="741"/>
      <c r="F34" s="79"/>
      <c r="G34" s="80"/>
      <c r="H34" s="79"/>
      <c r="I34" s="80"/>
      <c r="J34" s="79"/>
      <c r="K34" s="80"/>
      <c r="L34" s="79"/>
      <c r="M34" s="80"/>
      <c r="N34" s="79"/>
      <c r="O34" s="80"/>
      <c r="P34" s="71"/>
      <c r="Q34" s="77"/>
      <c r="R34" s="71"/>
      <c r="S34" s="77"/>
      <c r="T34" s="79"/>
      <c r="U34" s="80"/>
      <c r="V34" s="79"/>
      <c r="W34" s="80"/>
      <c r="X34" s="79"/>
      <c r="Y34" s="80"/>
      <c r="Z34" s="79"/>
      <c r="AA34" s="80"/>
      <c r="AB34" s="79"/>
      <c r="AC34" s="80"/>
      <c r="AD34" s="71"/>
      <c r="AE34" s="77"/>
      <c r="AF34" s="79"/>
      <c r="AG34" s="80"/>
      <c r="AH34" s="79"/>
      <c r="AI34" s="80"/>
      <c r="AJ34" s="79"/>
      <c r="AK34" s="80"/>
      <c r="AL34" s="79"/>
      <c r="AM34" s="80"/>
      <c r="AN34" s="79"/>
      <c r="AO34" s="80"/>
      <c r="AP34" s="79"/>
      <c r="AQ34" s="80"/>
      <c r="AR34" s="71"/>
      <c r="AS34" s="77"/>
      <c r="AT34" s="79"/>
      <c r="AU34" s="80"/>
      <c r="AV34" s="79"/>
      <c r="AW34" s="80"/>
      <c r="AX34" s="79"/>
      <c r="AY34" s="80"/>
      <c r="AZ34" s="79"/>
      <c r="BA34" s="80"/>
      <c r="BB34" s="79"/>
      <c r="BC34" s="80"/>
      <c r="BD34" s="79"/>
      <c r="BE34" s="80"/>
      <c r="BF34" s="71"/>
      <c r="BG34" s="77"/>
      <c r="BH34" s="79"/>
      <c r="BI34" s="80"/>
      <c r="BJ34" s="424">
        <f t="shared" si="7"/>
        <v>0</v>
      </c>
      <c r="BK34" s="425">
        <f t="shared" si="8"/>
        <v>0</v>
      </c>
    </row>
    <row r="35" spans="1:63" ht="18" customHeight="1" x14ac:dyDescent="0.35">
      <c r="A35" s="24"/>
      <c r="B35" s="438" t="s">
        <v>46</v>
      </c>
      <c r="C35" s="439" t="s">
        <v>47</v>
      </c>
      <c r="D35" s="740" t="s">
        <v>48</v>
      </c>
      <c r="E35" s="741"/>
      <c r="F35" s="79"/>
      <c r="G35" s="80"/>
      <c r="H35" s="79"/>
      <c r="I35" s="80"/>
      <c r="J35" s="79"/>
      <c r="K35" s="80"/>
      <c r="L35" s="79"/>
      <c r="M35" s="80"/>
      <c r="N35" s="79"/>
      <c r="O35" s="80"/>
      <c r="P35" s="71"/>
      <c r="Q35" s="77"/>
      <c r="R35" s="71"/>
      <c r="S35" s="77"/>
      <c r="T35" s="79"/>
      <c r="U35" s="80"/>
      <c r="V35" s="79"/>
      <c r="W35" s="80"/>
      <c r="X35" s="79"/>
      <c r="Y35" s="80">
        <v>90</v>
      </c>
      <c r="Z35" s="79"/>
      <c r="AA35" s="80"/>
      <c r="AB35" s="79"/>
      <c r="AC35" s="80"/>
      <c r="AD35" s="71"/>
      <c r="AE35" s="77"/>
      <c r="AF35" s="79"/>
      <c r="AG35" s="80"/>
      <c r="AH35" s="79"/>
      <c r="AI35" s="80"/>
      <c r="AJ35" s="79"/>
      <c r="AK35" s="80"/>
      <c r="AL35" s="79"/>
      <c r="AM35" s="80"/>
      <c r="AN35" s="79"/>
      <c r="AO35" s="80"/>
      <c r="AP35" s="79"/>
      <c r="AQ35" s="80"/>
      <c r="AR35" s="71"/>
      <c r="AS35" s="77"/>
      <c r="AT35" s="79"/>
      <c r="AU35" s="80"/>
      <c r="AV35" s="79"/>
      <c r="AW35" s="80"/>
      <c r="AX35" s="79"/>
      <c r="AY35" s="80"/>
      <c r="AZ35" s="79"/>
      <c r="BA35" s="80"/>
      <c r="BB35" s="79"/>
      <c r="BC35" s="80"/>
      <c r="BD35" s="79"/>
      <c r="BE35" s="80"/>
      <c r="BF35" s="71"/>
      <c r="BG35" s="77"/>
      <c r="BH35" s="79"/>
      <c r="BI35" s="80"/>
      <c r="BJ35" s="424">
        <f t="shared" si="7"/>
        <v>90</v>
      </c>
      <c r="BK35" s="425">
        <f t="shared" si="8"/>
        <v>1</v>
      </c>
    </row>
    <row r="36" spans="1:63" ht="18" customHeight="1" x14ac:dyDescent="0.35">
      <c r="A36" s="24"/>
      <c r="B36" s="438" t="s">
        <v>26</v>
      </c>
      <c r="C36" s="439" t="s">
        <v>49</v>
      </c>
      <c r="D36" s="740" t="s">
        <v>50</v>
      </c>
      <c r="E36" s="741"/>
      <c r="F36" s="79"/>
      <c r="G36" s="80"/>
      <c r="H36" s="79"/>
      <c r="I36" s="80"/>
      <c r="J36" s="79"/>
      <c r="K36" s="80"/>
      <c r="L36" s="79"/>
      <c r="M36" s="80"/>
      <c r="N36" s="79"/>
      <c r="O36" s="80"/>
      <c r="P36" s="71"/>
      <c r="Q36" s="77"/>
      <c r="R36" s="71"/>
      <c r="S36" s="77"/>
      <c r="T36" s="79"/>
      <c r="U36" s="80"/>
      <c r="V36" s="79"/>
      <c r="W36" s="80"/>
      <c r="X36" s="79"/>
      <c r="Y36" s="80"/>
      <c r="Z36" s="79"/>
      <c r="AA36" s="80"/>
      <c r="AB36" s="79"/>
      <c r="AC36" s="80"/>
      <c r="AD36" s="71"/>
      <c r="AE36" s="77"/>
      <c r="AF36" s="79"/>
      <c r="AG36" s="80"/>
      <c r="AH36" s="79"/>
      <c r="AI36" s="80"/>
      <c r="AJ36" s="79"/>
      <c r="AK36" s="80"/>
      <c r="AL36" s="79"/>
      <c r="AM36" s="80"/>
      <c r="AN36" s="79"/>
      <c r="AO36" s="80"/>
      <c r="AP36" s="79"/>
      <c r="AQ36" s="80"/>
      <c r="AR36" s="71"/>
      <c r="AS36" s="77"/>
      <c r="AT36" s="79"/>
      <c r="AU36" s="80"/>
      <c r="AV36" s="79"/>
      <c r="AW36" s="80"/>
      <c r="AX36" s="79"/>
      <c r="AY36" s="80"/>
      <c r="AZ36" s="79"/>
      <c r="BA36" s="80"/>
      <c r="BB36" s="79"/>
      <c r="BC36" s="80"/>
      <c r="BD36" s="79"/>
      <c r="BE36" s="80"/>
      <c r="BF36" s="71"/>
      <c r="BG36" s="77"/>
      <c r="BH36" s="79"/>
      <c r="BI36" s="80"/>
      <c r="BJ36" s="424">
        <f t="shared" si="7"/>
        <v>0</v>
      </c>
      <c r="BK36" s="425">
        <f t="shared" si="8"/>
        <v>0</v>
      </c>
    </row>
    <row r="37" spans="1:63" ht="18" customHeight="1" x14ac:dyDescent="0.35">
      <c r="A37" s="24"/>
      <c r="B37" s="438" t="s">
        <v>26</v>
      </c>
      <c r="C37" s="434" t="s">
        <v>51</v>
      </c>
      <c r="D37" s="740" t="s">
        <v>52</v>
      </c>
      <c r="E37" s="741"/>
      <c r="F37" s="79"/>
      <c r="G37" s="80"/>
      <c r="H37" s="79"/>
      <c r="I37" s="80"/>
      <c r="J37" s="79"/>
      <c r="K37" s="80"/>
      <c r="L37" s="79"/>
      <c r="M37" s="80"/>
      <c r="N37" s="79"/>
      <c r="O37" s="80"/>
      <c r="P37" s="71"/>
      <c r="Q37" s="77"/>
      <c r="R37" s="71"/>
      <c r="S37" s="77"/>
      <c r="T37" s="79"/>
      <c r="U37" s="80"/>
      <c r="V37" s="79"/>
      <c r="W37" s="80"/>
      <c r="X37" s="79"/>
      <c r="Y37" s="80"/>
      <c r="Z37" s="79"/>
      <c r="AA37" s="80"/>
      <c r="AB37" s="79"/>
      <c r="AC37" s="80"/>
      <c r="AD37" s="71"/>
      <c r="AE37" s="77"/>
      <c r="AF37" s="79"/>
      <c r="AG37" s="80"/>
      <c r="AH37" s="79"/>
      <c r="AI37" s="80"/>
      <c r="AJ37" s="79"/>
      <c r="AK37" s="80"/>
      <c r="AL37" s="79"/>
      <c r="AM37" s="80"/>
      <c r="AN37" s="79"/>
      <c r="AO37" s="80"/>
      <c r="AP37" s="79"/>
      <c r="AQ37" s="80"/>
      <c r="AR37" s="71"/>
      <c r="AS37" s="77"/>
      <c r="AT37" s="79"/>
      <c r="AU37" s="80"/>
      <c r="AV37" s="79"/>
      <c r="AW37" s="80"/>
      <c r="AX37" s="79"/>
      <c r="AY37" s="80"/>
      <c r="AZ37" s="79"/>
      <c r="BA37" s="80"/>
      <c r="BB37" s="79"/>
      <c r="BC37" s="80"/>
      <c r="BD37" s="79"/>
      <c r="BE37" s="80"/>
      <c r="BF37" s="71"/>
      <c r="BG37" s="77"/>
      <c r="BH37" s="79"/>
      <c r="BI37" s="80"/>
      <c r="BJ37" s="424">
        <f t="shared" si="7"/>
        <v>0</v>
      </c>
      <c r="BK37" s="425">
        <f t="shared" si="8"/>
        <v>0</v>
      </c>
    </row>
    <row r="38" spans="1:63" ht="18" customHeight="1" x14ac:dyDescent="0.35">
      <c r="A38" s="24"/>
      <c r="B38" s="438" t="s">
        <v>26</v>
      </c>
      <c r="C38" s="439" t="s">
        <v>53</v>
      </c>
      <c r="D38" s="740" t="s">
        <v>54</v>
      </c>
      <c r="E38" s="741"/>
      <c r="F38" s="79"/>
      <c r="G38" s="80"/>
      <c r="H38" s="79"/>
      <c r="I38" s="80"/>
      <c r="J38" s="79"/>
      <c r="K38" s="80"/>
      <c r="L38" s="79"/>
      <c r="M38" s="80"/>
      <c r="N38" s="79"/>
      <c r="O38" s="80"/>
      <c r="P38" s="71"/>
      <c r="Q38" s="77"/>
      <c r="R38" s="71"/>
      <c r="S38" s="77"/>
      <c r="T38" s="79"/>
      <c r="U38" s="80"/>
      <c r="V38" s="79"/>
      <c r="W38" s="80"/>
      <c r="X38" s="79"/>
      <c r="Y38" s="80"/>
      <c r="Z38" s="79"/>
      <c r="AA38" s="80"/>
      <c r="AB38" s="79"/>
      <c r="AC38" s="80"/>
      <c r="AD38" s="71"/>
      <c r="AE38" s="77"/>
      <c r="AF38" s="79"/>
      <c r="AG38" s="80"/>
      <c r="AH38" s="79"/>
      <c r="AI38" s="80"/>
      <c r="AJ38" s="79"/>
      <c r="AK38" s="80"/>
      <c r="AL38" s="79"/>
      <c r="AM38" s="80"/>
      <c r="AN38" s="79"/>
      <c r="AO38" s="80"/>
      <c r="AP38" s="79"/>
      <c r="AQ38" s="80"/>
      <c r="AR38" s="71"/>
      <c r="AS38" s="77"/>
      <c r="AT38" s="79"/>
      <c r="AU38" s="80"/>
      <c r="AV38" s="79"/>
      <c r="AW38" s="80"/>
      <c r="AX38" s="79"/>
      <c r="AY38" s="80"/>
      <c r="AZ38" s="79"/>
      <c r="BA38" s="80"/>
      <c r="BB38" s="79"/>
      <c r="BC38" s="80"/>
      <c r="BD38" s="79"/>
      <c r="BE38" s="80"/>
      <c r="BF38" s="71"/>
      <c r="BG38" s="77"/>
      <c r="BH38" s="79"/>
      <c r="BI38" s="80"/>
      <c r="BJ38" s="424">
        <f t="shared" si="7"/>
        <v>0</v>
      </c>
      <c r="BK38" s="425">
        <f t="shared" si="8"/>
        <v>0</v>
      </c>
    </row>
    <row r="39" spans="1:63" ht="18" customHeight="1" x14ac:dyDescent="0.35">
      <c r="A39" s="24"/>
      <c r="B39" s="438" t="s">
        <v>26</v>
      </c>
      <c r="C39" s="434" t="s">
        <v>55</v>
      </c>
      <c r="D39" s="740" t="s">
        <v>56</v>
      </c>
      <c r="E39" s="741"/>
      <c r="F39" s="79"/>
      <c r="G39" s="80"/>
      <c r="H39" s="79"/>
      <c r="I39" s="80"/>
      <c r="J39" s="79"/>
      <c r="K39" s="80"/>
      <c r="L39" s="79"/>
      <c r="M39" s="80"/>
      <c r="N39" s="79"/>
      <c r="O39" s="80"/>
      <c r="P39" s="71"/>
      <c r="Q39" s="77"/>
      <c r="R39" s="71"/>
      <c r="S39" s="77"/>
      <c r="T39" s="79"/>
      <c r="U39" s="80"/>
      <c r="V39" s="79"/>
      <c r="W39" s="80"/>
      <c r="X39" s="79"/>
      <c r="Y39" s="80"/>
      <c r="Z39" s="79"/>
      <c r="AA39" s="80"/>
      <c r="AB39" s="79"/>
      <c r="AC39" s="80"/>
      <c r="AD39" s="71"/>
      <c r="AE39" s="77"/>
      <c r="AF39" s="79"/>
      <c r="AG39" s="80"/>
      <c r="AH39" s="79"/>
      <c r="AI39" s="80"/>
      <c r="AJ39" s="79"/>
      <c r="AK39" s="80"/>
      <c r="AL39" s="79"/>
      <c r="AM39" s="80"/>
      <c r="AN39" s="79"/>
      <c r="AO39" s="80"/>
      <c r="AP39" s="79"/>
      <c r="AQ39" s="80"/>
      <c r="AR39" s="71"/>
      <c r="AS39" s="77"/>
      <c r="AT39" s="79"/>
      <c r="AU39" s="80"/>
      <c r="AV39" s="79"/>
      <c r="AW39" s="80"/>
      <c r="AX39" s="79"/>
      <c r="AY39" s="80"/>
      <c r="AZ39" s="79"/>
      <c r="BA39" s="80"/>
      <c r="BB39" s="79"/>
      <c r="BC39" s="80"/>
      <c r="BD39" s="79"/>
      <c r="BE39" s="80"/>
      <c r="BF39" s="71"/>
      <c r="BG39" s="77"/>
      <c r="BH39" s="79"/>
      <c r="BI39" s="80"/>
      <c r="BJ39" s="424">
        <f t="shared" si="7"/>
        <v>0</v>
      </c>
      <c r="BK39" s="425">
        <f t="shared" si="8"/>
        <v>0</v>
      </c>
    </row>
    <row r="40" spans="1:63" ht="18" customHeight="1" x14ac:dyDescent="0.35">
      <c r="A40" s="24"/>
      <c r="B40" s="438" t="s">
        <v>26</v>
      </c>
      <c r="C40" s="439" t="s">
        <v>57</v>
      </c>
      <c r="D40" s="740" t="s">
        <v>58</v>
      </c>
      <c r="E40" s="741"/>
      <c r="F40" s="79"/>
      <c r="G40" s="80"/>
      <c r="H40" s="79"/>
      <c r="I40" s="80"/>
      <c r="J40" s="79"/>
      <c r="K40" s="80"/>
      <c r="L40" s="79"/>
      <c r="M40" s="80"/>
      <c r="N40" s="79"/>
      <c r="O40" s="80"/>
      <c r="P40" s="71"/>
      <c r="Q40" s="77"/>
      <c r="R40" s="71"/>
      <c r="S40" s="77"/>
      <c r="T40" s="79"/>
      <c r="U40" s="80"/>
      <c r="V40" s="79"/>
      <c r="W40" s="80"/>
      <c r="X40" s="79"/>
      <c r="Y40" s="80"/>
      <c r="Z40" s="79"/>
      <c r="AA40" s="80"/>
      <c r="AB40" s="79"/>
      <c r="AC40" s="80"/>
      <c r="AD40" s="71"/>
      <c r="AE40" s="77"/>
      <c r="AF40" s="79"/>
      <c r="AG40" s="80"/>
      <c r="AH40" s="79"/>
      <c r="AI40" s="80"/>
      <c r="AJ40" s="79"/>
      <c r="AK40" s="80"/>
      <c r="AL40" s="79"/>
      <c r="AM40" s="80"/>
      <c r="AN40" s="79"/>
      <c r="AO40" s="80"/>
      <c r="AP40" s="79"/>
      <c r="AQ40" s="80"/>
      <c r="AR40" s="71"/>
      <c r="AS40" s="77"/>
      <c r="AT40" s="79"/>
      <c r="AU40" s="80"/>
      <c r="AV40" s="79"/>
      <c r="AW40" s="80"/>
      <c r="AX40" s="79"/>
      <c r="AY40" s="80"/>
      <c r="AZ40" s="79"/>
      <c r="BA40" s="80"/>
      <c r="BB40" s="79"/>
      <c r="BC40" s="80"/>
      <c r="BD40" s="79"/>
      <c r="BE40" s="80"/>
      <c r="BF40" s="71"/>
      <c r="BG40" s="77"/>
      <c r="BH40" s="79"/>
      <c r="BI40" s="80"/>
      <c r="BJ40" s="424">
        <f t="shared" si="7"/>
        <v>0</v>
      </c>
      <c r="BK40" s="425">
        <f t="shared" si="8"/>
        <v>0</v>
      </c>
    </row>
    <row r="41" spans="1:63" ht="18" customHeight="1" x14ac:dyDescent="0.35">
      <c r="A41" s="24"/>
      <c r="B41" s="438" t="s">
        <v>29</v>
      </c>
      <c r="C41" s="439" t="s">
        <v>59</v>
      </c>
      <c r="D41" s="740" t="s">
        <v>60</v>
      </c>
      <c r="E41" s="741"/>
      <c r="F41" s="79"/>
      <c r="G41" s="80"/>
      <c r="H41" s="79"/>
      <c r="I41" s="80"/>
      <c r="J41" s="79"/>
      <c r="K41" s="80"/>
      <c r="L41" s="79"/>
      <c r="M41" s="80"/>
      <c r="N41" s="79"/>
      <c r="O41" s="80"/>
      <c r="P41" s="71"/>
      <c r="Q41" s="77"/>
      <c r="R41" s="71"/>
      <c r="S41" s="77"/>
      <c r="T41" s="79"/>
      <c r="U41" s="80"/>
      <c r="V41" s="79"/>
      <c r="W41" s="80"/>
      <c r="X41" s="79"/>
      <c r="Y41" s="80"/>
      <c r="Z41" s="79"/>
      <c r="AA41" s="80"/>
      <c r="AB41" s="79"/>
      <c r="AC41" s="80"/>
      <c r="AD41" s="71"/>
      <c r="AE41" s="77"/>
      <c r="AF41" s="79"/>
      <c r="AG41" s="80"/>
      <c r="AH41" s="79"/>
      <c r="AI41" s="80"/>
      <c r="AJ41" s="79"/>
      <c r="AK41" s="80"/>
      <c r="AL41" s="79"/>
      <c r="AM41" s="80"/>
      <c r="AN41" s="79"/>
      <c r="AO41" s="80"/>
      <c r="AP41" s="79"/>
      <c r="AQ41" s="80"/>
      <c r="AR41" s="71"/>
      <c r="AS41" s="77"/>
      <c r="AT41" s="79"/>
      <c r="AU41" s="80"/>
      <c r="AV41" s="79"/>
      <c r="AW41" s="80"/>
      <c r="AX41" s="79"/>
      <c r="AY41" s="80"/>
      <c r="AZ41" s="79"/>
      <c r="BA41" s="80"/>
      <c r="BB41" s="79"/>
      <c r="BC41" s="80"/>
      <c r="BD41" s="79"/>
      <c r="BE41" s="80"/>
      <c r="BF41" s="71"/>
      <c r="BG41" s="77"/>
      <c r="BH41" s="79"/>
      <c r="BI41" s="80"/>
      <c r="BJ41" s="424">
        <f t="shared" si="7"/>
        <v>0</v>
      </c>
      <c r="BK41" s="425">
        <f t="shared" si="8"/>
        <v>0</v>
      </c>
    </row>
    <row r="42" spans="1:63" ht="18" customHeight="1" x14ac:dyDescent="0.35">
      <c r="A42" s="24"/>
      <c r="B42" s="438" t="s">
        <v>46</v>
      </c>
      <c r="C42" s="439" t="s">
        <v>61</v>
      </c>
      <c r="D42" s="740" t="s">
        <v>62</v>
      </c>
      <c r="E42" s="741"/>
      <c r="F42" s="79"/>
      <c r="G42" s="80"/>
      <c r="H42" s="79"/>
      <c r="I42" s="80"/>
      <c r="J42" s="79"/>
      <c r="K42" s="80"/>
      <c r="L42" s="79"/>
      <c r="M42" s="80"/>
      <c r="N42" s="79"/>
      <c r="O42" s="80"/>
      <c r="P42" s="71"/>
      <c r="Q42" s="77"/>
      <c r="R42" s="71"/>
      <c r="S42" s="77"/>
      <c r="T42" s="79"/>
      <c r="U42" s="80"/>
      <c r="V42" s="79"/>
      <c r="W42" s="80"/>
      <c r="X42" s="79"/>
      <c r="Y42" s="80"/>
      <c r="Z42" s="79"/>
      <c r="AA42" s="80"/>
      <c r="AB42" s="79"/>
      <c r="AC42" s="80"/>
      <c r="AD42" s="71"/>
      <c r="AE42" s="77"/>
      <c r="AF42" s="79"/>
      <c r="AG42" s="80"/>
      <c r="AH42" s="79"/>
      <c r="AI42" s="80"/>
      <c r="AJ42" s="79"/>
      <c r="AK42" s="80"/>
      <c r="AL42" s="79"/>
      <c r="AM42" s="80"/>
      <c r="AN42" s="79"/>
      <c r="AO42" s="80"/>
      <c r="AP42" s="79"/>
      <c r="AQ42" s="80"/>
      <c r="AR42" s="71"/>
      <c r="AS42" s="77"/>
      <c r="AT42" s="79"/>
      <c r="AU42" s="80"/>
      <c r="AV42" s="79"/>
      <c r="AW42" s="80"/>
      <c r="AX42" s="79"/>
      <c r="AY42" s="80"/>
      <c r="AZ42" s="79"/>
      <c r="BA42" s="80"/>
      <c r="BB42" s="79"/>
      <c r="BC42" s="80"/>
      <c r="BD42" s="79"/>
      <c r="BE42" s="80"/>
      <c r="BF42" s="71"/>
      <c r="BG42" s="77"/>
      <c r="BH42" s="79"/>
      <c r="BI42" s="80"/>
      <c r="BJ42" s="424">
        <f t="shared" si="7"/>
        <v>0</v>
      </c>
      <c r="BK42" s="425">
        <f t="shared" si="8"/>
        <v>0</v>
      </c>
    </row>
    <row r="43" spans="1:63" ht="18" customHeight="1" x14ac:dyDescent="0.35">
      <c r="A43" s="24"/>
      <c r="B43" s="438" t="s">
        <v>26</v>
      </c>
      <c r="C43" s="434" t="s">
        <v>63</v>
      </c>
      <c r="D43" s="740" t="s">
        <v>64</v>
      </c>
      <c r="E43" s="741"/>
      <c r="F43" s="79"/>
      <c r="G43" s="80"/>
      <c r="H43" s="79"/>
      <c r="I43" s="80"/>
      <c r="J43" s="79"/>
      <c r="K43" s="80"/>
      <c r="L43" s="79"/>
      <c r="M43" s="80"/>
      <c r="N43" s="79"/>
      <c r="O43" s="80"/>
      <c r="P43" s="71"/>
      <c r="Q43" s="77"/>
      <c r="R43" s="71"/>
      <c r="S43" s="77"/>
      <c r="T43" s="79"/>
      <c r="U43" s="80"/>
      <c r="V43" s="79"/>
      <c r="W43" s="80"/>
      <c r="X43" s="79"/>
      <c r="Y43" s="80"/>
      <c r="Z43" s="79"/>
      <c r="AA43" s="80"/>
      <c r="AB43" s="79"/>
      <c r="AC43" s="80"/>
      <c r="AD43" s="71"/>
      <c r="AE43" s="77"/>
      <c r="AF43" s="79"/>
      <c r="AG43" s="80"/>
      <c r="AH43" s="79"/>
      <c r="AI43" s="80"/>
      <c r="AJ43" s="79"/>
      <c r="AK43" s="80"/>
      <c r="AL43" s="79"/>
      <c r="AM43" s="80"/>
      <c r="AN43" s="79"/>
      <c r="AO43" s="80"/>
      <c r="AP43" s="79"/>
      <c r="AQ43" s="80"/>
      <c r="AR43" s="71"/>
      <c r="AS43" s="77"/>
      <c r="AT43" s="79"/>
      <c r="AU43" s="80"/>
      <c r="AV43" s="79"/>
      <c r="AW43" s="80"/>
      <c r="AX43" s="79"/>
      <c r="AY43" s="80"/>
      <c r="AZ43" s="79"/>
      <c r="BA43" s="80"/>
      <c r="BB43" s="79"/>
      <c r="BC43" s="80"/>
      <c r="BD43" s="79"/>
      <c r="BE43" s="80"/>
      <c r="BF43" s="71"/>
      <c r="BG43" s="77"/>
      <c r="BH43" s="79"/>
      <c r="BI43" s="80"/>
      <c r="BJ43" s="424">
        <f t="shared" si="7"/>
        <v>0</v>
      </c>
      <c r="BK43" s="425">
        <f t="shared" si="8"/>
        <v>0</v>
      </c>
    </row>
    <row r="44" spans="1:63" ht="18" customHeight="1" x14ac:dyDescent="0.35">
      <c r="A44" s="24"/>
      <c r="B44" s="438" t="s">
        <v>29</v>
      </c>
      <c r="C44" s="439" t="s">
        <v>65</v>
      </c>
      <c r="D44" s="740" t="s">
        <v>66</v>
      </c>
      <c r="E44" s="741"/>
      <c r="F44" s="79"/>
      <c r="G44" s="80"/>
      <c r="H44" s="79"/>
      <c r="I44" s="80"/>
      <c r="J44" s="79"/>
      <c r="K44" s="80"/>
      <c r="L44" s="79"/>
      <c r="M44" s="80"/>
      <c r="N44" s="79"/>
      <c r="O44" s="80"/>
      <c r="P44" s="71"/>
      <c r="Q44" s="77"/>
      <c r="R44" s="71"/>
      <c r="S44" s="77"/>
      <c r="T44" s="79"/>
      <c r="U44" s="80"/>
      <c r="V44" s="79"/>
      <c r="W44" s="80"/>
      <c r="X44" s="79"/>
      <c r="Y44" s="80"/>
      <c r="Z44" s="79"/>
      <c r="AA44" s="80"/>
      <c r="AB44" s="79"/>
      <c r="AC44" s="80"/>
      <c r="AD44" s="71"/>
      <c r="AE44" s="77"/>
      <c r="AF44" s="79"/>
      <c r="AG44" s="80"/>
      <c r="AH44" s="79"/>
      <c r="AI44" s="80"/>
      <c r="AJ44" s="79"/>
      <c r="AK44" s="80"/>
      <c r="AL44" s="79"/>
      <c r="AM44" s="80"/>
      <c r="AN44" s="79"/>
      <c r="AO44" s="80"/>
      <c r="AP44" s="79"/>
      <c r="AQ44" s="80"/>
      <c r="AR44" s="71"/>
      <c r="AS44" s="77"/>
      <c r="AT44" s="79"/>
      <c r="AU44" s="80"/>
      <c r="AV44" s="79"/>
      <c r="AW44" s="80"/>
      <c r="AX44" s="79"/>
      <c r="AY44" s="80"/>
      <c r="AZ44" s="79"/>
      <c r="BA44" s="80"/>
      <c r="BB44" s="79"/>
      <c r="BC44" s="80"/>
      <c r="BD44" s="79"/>
      <c r="BE44" s="80"/>
      <c r="BF44" s="71"/>
      <c r="BG44" s="77"/>
      <c r="BH44" s="79"/>
      <c r="BI44" s="80"/>
      <c r="BJ44" s="424">
        <f t="shared" si="7"/>
        <v>0</v>
      </c>
      <c r="BK44" s="425">
        <f t="shared" si="8"/>
        <v>0</v>
      </c>
    </row>
    <row r="45" spans="1:63" ht="18" customHeight="1" x14ac:dyDescent="0.35">
      <c r="A45" s="24"/>
      <c r="B45" s="438" t="s">
        <v>26</v>
      </c>
      <c r="C45" s="439" t="s">
        <v>67</v>
      </c>
      <c r="D45" s="740" t="s">
        <v>68</v>
      </c>
      <c r="E45" s="741"/>
      <c r="F45" s="79"/>
      <c r="G45" s="80"/>
      <c r="H45" s="79"/>
      <c r="I45" s="80"/>
      <c r="J45" s="79"/>
      <c r="K45" s="80"/>
      <c r="L45" s="79"/>
      <c r="M45" s="80"/>
      <c r="N45" s="79"/>
      <c r="O45" s="80"/>
      <c r="P45" s="71"/>
      <c r="Q45" s="77"/>
      <c r="R45" s="71"/>
      <c r="S45" s="77"/>
      <c r="T45" s="79"/>
      <c r="U45" s="80"/>
      <c r="V45" s="79"/>
      <c r="W45" s="80"/>
      <c r="X45" s="79"/>
      <c r="Y45" s="80"/>
      <c r="Z45" s="79"/>
      <c r="AA45" s="80"/>
      <c r="AB45" s="79"/>
      <c r="AC45" s="80"/>
      <c r="AD45" s="71"/>
      <c r="AE45" s="77"/>
      <c r="AF45" s="79"/>
      <c r="AG45" s="80"/>
      <c r="AH45" s="79"/>
      <c r="AI45" s="80"/>
      <c r="AJ45" s="79"/>
      <c r="AK45" s="80"/>
      <c r="AL45" s="79"/>
      <c r="AM45" s="80"/>
      <c r="AN45" s="79"/>
      <c r="AO45" s="80"/>
      <c r="AP45" s="79"/>
      <c r="AQ45" s="80"/>
      <c r="AR45" s="71"/>
      <c r="AS45" s="77"/>
      <c r="AT45" s="79"/>
      <c r="AU45" s="80"/>
      <c r="AV45" s="79"/>
      <c r="AW45" s="80"/>
      <c r="AX45" s="79"/>
      <c r="AY45" s="80"/>
      <c r="AZ45" s="79"/>
      <c r="BA45" s="80"/>
      <c r="BB45" s="79"/>
      <c r="BC45" s="80"/>
      <c r="BD45" s="79"/>
      <c r="BE45" s="80"/>
      <c r="BF45" s="71"/>
      <c r="BG45" s="77"/>
      <c r="BH45" s="79"/>
      <c r="BI45" s="80"/>
      <c r="BJ45" s="424">
        <f t="shared" si="7"/>
        <v>0</v>
      </c>
      <c r="BK45" s="425">
        <f t="shared" si="8"/>
        <v>0</v>
      </c>
    </row>
    <row r="46" spans="1:63" ht="18" customHeight="1" x14ac:dyDescent="0.35">
      <c r="A46" s="24"/>
      <c r="B46" s="438" t="s">
        <v>29</v>
      </c>
      <c r="C46" s="439" t="s">
        <v>69</v>
      </c>
      <c r="D46" s="740" t="s">
        <v>70</v>
      </c>
      <c r="E46" s="741"/>
      <c r="F46" s="79"/>
      <c r="G46" s="80"/>
      <c r="H46" s="79"/>
      <c r="I46" s="80"/>
      <c r="J46" s="79"/>
      <c r="K46" s="80"/>
      <c r="L46" s="79"/>
      <c r="M46" s="80"/>
      <c r="N46" s="79"/>
      <c r="O46" s="80"/>
      <c r="P46" s="71"/>
      <c r="Q46" s="77"/>
      <c r="R46" s="71"/>
      <c r="S46" s="77"/>
      <c r="T46" s="79"/>
      <c r="U46" s="80"/>
      <c r="V46" s="79"/>
      <c r="W46" s="80"/>
      <c r="X46" s="79"/>
      <c r="Y46" s="80"/>
      <c r="Z46" s="79"/>
      <c r="AA46" s="80"/>
      <c r="AB46" s="79"/>
      <c r="AC46" s="80"/>
      <c r="AD46" s="71"/>
      <c r="AE46" s="77"/>
      <c r="AF46" s="79"/>
      <c r="AG46" s="80"/>
      <c r="AH46" s="79"/>
      <c r="AI46" s="80"/>
      <c r="AJ46" s="79"/>
      <c r="AK46" s="80"/>
      <c r="AL46" s="79"/>
      <c r="AM46" s="80"/>
      <c r="AN46" s="79"/>
      <c r="AO46" s="80"/>
      <c r="AP46" s="79"/>
      <c r="AQ46" s="80"/>
      <c r="AR46" s="71"/>
      <c r="AS46" s="77"/>
      <c r="AT46" s="79"/>
      <c r="AU46" s="80"/>
      <c r="AV46" s="79"/>
      <c r="AW46" s="80"/>
      <c r="AX46" s="79"/>
      <c r="AY46" s="80"/>
      <c r="AZ46" s="79"/>
      <c r="BA46" s="80"/>
      <c r="BB46" s="79"/>
      <c r="BC46" s="80"/>
      <c r="BD46" s="79"/>
      <c r="BE46" s="80"/>
      <c r="BF46" s="71"/>
      <c r="BG46" s="77"/>
      <c r="BH46" s="79"/>
      <c r="BI46" s="80"/>
      <c r="BJ46" s="424">
        <f t="shared" si="7"/>
        <v>0</v>
      </c>
      <c r="BK46" s="425">
        <f t="shared" si="8"/>
        <v>0</v>
      </c>
    </row>
    <row r="47" spans="1:63" ht="18" customHeight="1" x14ac:dyDescent="0.35">
      <c r="A47" s="24"/>
      <c r="B47" s="438" t="s">
        <v>29</v>
      </c>
      <c r="C47" s="439" t="s">
        <v>71</v>
      </c>
      <c r="D47" s="740" t="s">
        <v>72</v>
      </c>
      <c r="E47" s="741"/>
      <c r="F47" s="79"/>
      <c r="G47" s="80"/>
      <c r="H47" s="79"/>
      <c r="I47" s="80"/>
      <c r="J47" s="79"/>
      <c r="K47" s="80"/>
      <c r="L47" s="79"/>
      <c r="M47" s="80"/>
      <c r="N47" s="79"/>
      <c r="O47" s="80"/>
      <c r="P47" s="71"/>
      <c r="Q47" s="77"/>
      <c r="R47" s="71"/>
      <c r="S47" s="77"/>
      <c r="T47" s="79"/>
      <c r="U47" s="80"/>
      <c r="V47" s="79"/>
      <c r="W47" s="80"/>
      <c r="X47" s="79"/>
      <c r="Y47" s="80"/>
      <c r="Z47" s="79"/>
      <c r="AA47" s="80"/>
      <c r="AB47" s="79"/>
      <c r="AC47" s="80"/>
      <c r="AD47" s="71"/>
      <c r="AE47" s="77"/>
      <c r="AF47" s="79"/>
      <c r="AG47" s="80"/>
      <c r="AH47" s="79"/>
      <c r="AI47" s="80"/>
      <c r="AJ47" s="79"/>
      <c r="AK47" s="80"/>
      <c r="AL47" s="79"/>
      <c r="AM47" s="80"/>
      <c r="AN47" s="79"/>
      <c r="AO47" s="80"/>
      <c r="AP47" s="79"/>
      <c r="AQ47" s="80"/>
      <c r="AR47" s="71"/>
      <c r="AS47" s="77"/>
      <c r="AT47" s="79"/>
      <c r="AU47" s="80"/>
      <c r="AV47" s="79"/>
      <c r="AW47" s="80"/>
      <c r="AX47" s="79"/>
      <c r="AY47" s="80"/>
      <c r="AZ47" s="79"/>
      <c r="BA47" s="80"/>
      <c r="BB47" s="79"/>
      <c r="BC47" s="80"/>
      <c r="BD47" s="79"/>
      <c r="BE47" s="80"/>
      <c r="BF47" s="71"/>
      <c r="BG47" s="77"/>
      <c r="BH47" s="79"/>
      <c r="BI47" s="80"/>
      <c r="BJ47" s="424">
        <f t="shared" si="7"/>
        <v>0</v>
      </c>
      <c r="BK47" s="425">
        <f t="shared" si="8"/>
        <v>0</v>
      </c>
    </row>
    <row r="48" spans="1:63" ht="18" customHeight="1" x14ac:dyDescent="0.35">
      <c r="A48" s="24"/>
      <c r="B48" s="438" t="s">
        <v>29</v>
      </c>
      <c r="C48" s="439" t="s">
        <v>73</v>
      </c>
      <c r="D48" s="740" t="s">
        <v>74</v>
      </c>
      <c r="E48" s="741"/>
      <c r="F48" s="79"/>
      <c r="G48" s="80"/>
      <c r="H48" s="79"/>
      <c r="I48" s="80"/>
      <c r="J48" s="79"/>
      <c r="K48" s="80"/>
      <c r="L48" s="79"/>
      <c r="M48" s="80"/>
      <c r="N48" s="79"/>
      <c r="O48" s="80"/>
      <c r="P48" s="71"/>
      <c r="Q48" s="77"/>
      <c r="R48" s="71"/>
      <c r="S48" s="77"/>
      <c r="T48" s="79"/>
      <c r="U48" s="80"/>
      <c r="V48" s="79"/>
      <c r="W48" s="80"/>
      <c r="X48" s="79"/>
      <c r="Y48" s="80"/>
      <c r="Z48" s="79"/>
      <c r="AA48" s="80"/>
      <c r="AB48" s="79"/>
      <c r="AC48" s="80"/>
      <c r="AD48" s="71"/>
      <c r="AE48" s="77"/>
      <c r="AF48" s="79"/>
      <c r="AG48" s="80"/>
      <c r="AH48" s="79"/>
      <c r="AI48" s="80"/>
      <c r="AJ48" s="79"/>
      <c r="AK48" s="80"/>
      <c r="AL48" s="79"/>
      <c r="AM48" s="80"/>
      <c r="AN48" s="79"/>
      <c r="AO48" s="80"/>
      <c r="AP48" s="79"/>
      <c r="AQ48" s="80"/>
      <c r="AR48" s="71"/>
      <c r="AS48" s="77"/>
      <c r="AT48" s="79"/>
      <c r="AU48" s="80"/>
      <c r="AV48" s="79"/>
      <c r="AW48" s="80"/>
      <c r="AX48" s="79"/>
      <c r="AY48" s="80"/>
      <c r="AZ48" s="79"/>
      <c r="BA48" s="80"/>
      <c r="BB48" s="79"/>
      <c r="BC48" s="80"/>
      <c r="BD48" s="79"/>
      <c r="BE48" s="80"/>
      <c r="BF48" s="71"/>
      <c r="BG48" s="77"/>
      <c r="BH48" s="79"/>
      <c r="BI48" s="80"/>
      <c r="BJ48" s="424">
        <f t="shared" si="7"/>
        <v>0</v>
      </c>
      <c r="BK48" s="425">
        <f t="shared" si="8"/>
        <v>0</v>
      </c>
    </row>
    <row r="49" spans="1:63" ht="18" customHeight="1" x14ac:dyDescent="0.35">
      <c r="A49" s="24"/>
      <c r="B49" s="438" t="s">
        <v>29</v>
      </c>
      <c r="C49" s="439" t="s">
        <v>75</v>
      </c>
      <c r="D49" s="740" t="s">
        <v>76</v>
      </c>
      <c r="E49" s="741"/>
      <c r="F49" s="79"/>
      <c r="G49" s="80"/>
      <c r="H49" s="79"/>
      <c r="I49" s="80"/>
      <c r="J49" s="79"/>
      <c r="K49" s="80">
        <v>20</v>
      </c>
      <c r="L49" s="79"/>
      <c r="M49" s="80"/>
      <c r="N49" s="79"/>
      <c r="O49" s="80"/>
      <c r="P49" s="71"/>
      <c r="Q49" s="77"/>
      <c r="R49" s="71"/>
      <c r="S49" s="77"/>
      <c r="T49" s="79"/>
      <c r="U49" s="80"/>
      <c r="V49" s="79"/>
      <c r="W49" s="80"/>
      <c r="X49" s="79"/>
      <c r="Y49" s="80"/>
      <c r="Z49" s="79"/>
      <c r="AA49" s="80"/>
      <c r="AB49" s="79"/>
      <c r="AC49" s="80"/>
      <c r="AD49" s="71"/>
      <c r="AE49" s="77"/>
      <c r="AF49" s="79"/>
      <c r="AG49" s="80"/>
      <c r="AH49" s="79"/>
      <c r="AI49" s="80"/>
      <c r="AJ49" s="79"/>
      <c r="AK49" s="80"/>
      <c r="AL49" s="79"/>
      <c r="AM49" s="80"/>
      <c r="AN49" s="79"/>
      <c r="AO49" s="80"/>
      <c r="AP49" s="79"/>
      <c r="AQ49" s="80"/>
      <c r="AR49" s="71"/>
      <c r="AS49" s="77"/>
      <c r="AT49" s="79"/>
      <c r="AU49" s="80"/>
      <c r="AV49" s="79"/>
      <c r="AW49" s="80"/>
      <c r="AX49" s="79"/>
      <c r="AY49" s="80"/>
      <c r="AZ49" s="79"/>
      <c r="BA49" s="80"/>
      <c r="BB49" s="79"/>
      <c r="BC49" s="80"/>
      <c r="BD49" s="79"/>
      <c r="BE49" s="80"/>
      <c r="BF49" s="71"/>
      <c r="BG49" s="77"/>
      <c r="BH49" s="79"/>
      <c r="BI49" s="80"/>
      <c r="BJ49" s="424">
        <f t="shared" si="7"/>
        <v>20</v>
      </c>
      <c r="BK49" s="425">
        <f t="shared" si="8"/>
        <v>1</v>
      </c>
    </row>
    <row r="50" spans="1:63" ht="18" customHeight="1" x14ac:dyDescent="0.35">
      <c r="A50" s="24"/>
      <c r="B50" s="438" t="s">
        <v>26</v>
      </c>
      <c r="C50" s="434" t="s">
        <v>77</v>
      </c>
      <c r="D50" s="740" t="s">
        <v>78</v>
      </c>
      <c r="E50" s="741"/>
      <c r="F50" s="79"/>
      <c r="G50" s="80"/>
      <c r="H50" s="79"/>
      <c r="I50" s="80"/>
      <c r="J50" s="79"/>
      <c r="K50" s="80"/>
      <c r="L50" s="79"/>
      <c r="M50" s="80"/>
      <c r="N50" s="79"/>
      <c r="O50" s="80"/>
      <c r="P50" s="71"/>
      <c r="Q50" s="77"/>
      <c r="R50" s="71"/>
      <c r="S50" s="77"/>
      <c r="T50" s="79"/>
      <c r="U50" s="80"/>
      <c r="V50" s="79"/>
      <c r="W50" s="80"/>
      <c r="X50" s="79"/>
      <c r="Y50" s="80"/>
      <c r="Z50" s="79"/>
      <c r="AA50" s="80"/>
      <c r="AB50" s="79"/>
      <c r="AC50" s="80"/>
      <c r="AD50" s="71"/>
      <c r="AE50" s="77"/>
      <c r="AF50" s="79"/>
      <c r="AG50" s="80"/>
      <c r="AH50" s="79"/>
      <c r="AI50" s="80"/>
      <c r="AJ50" s="79"/>
      <c r="AK50" s="80"/>
      <c r="AL50" s="79"/>
      <c r="AM50" s="80"/>
      <c r="AN50" s="79"/>
      <c r="AO50" s="80"/>
      <c r="AP50" s="79"/>
      <c r="AQ50" s="80"/>
      <c r="AR50" s="71"/>
      <c r="AS50" s="77"/>
      <c r="AT50" s="79"/>
      <c r="AU50" s="80"/>
      <c r="AV50" s="79"/>
      <c r="AW50" s="80"/>
      <c r="AX50" s="79"/>
      <c r="AY50" s="80"/>
      <c r="AZ50" s="79"/>
      <c r="BA50" s="80"/>
      <c r="BB50" s="79"/>
      <c r="BC50" s="80"/>
      <c r="BD50" s="79"/>
      <c r="BE50" s="80"/>
      <c r="BF50" s="71"/>
      <c r="BG50" s="77"/>
      <c r="BH50" s="79"/>
      <c r="BI50" s="80"/>
      <c r="BJ50" s="424">
        <f t="shared" si="7"/>
        <v>0</v>
      </c>
      <c r="BK50" s="425">
        <f t="shared" si="8"/>
        <v>0</v>
      </c>
    </row>
    <row r="51" spans="1:63" ht="18" customHeight="1" x14ac:dyDescent="0.35">
      <c r="A51" s="24"/>
      <c r="B51" s="438" t="s">
        <v>29</v>
      </c>
      <c r="C51" s="439" t="s">
        <v>79</v>
      </c>
      <c r="D51" s="740" t="s">
        <v>80</v>
      </c>
      <c r="E51" s="741"/>
      <c r="F51" s="79"/>
      <c r="G51" s="80"/>
      <c r="H51" s="79"/>
      <c r="I51" s="80"/>
      <c r="J51" s="79"/>
      <c r="K51" s="80"/>
      <c r="L51" s="79"/>
      <c r="M51" s="80"/>
      <c r="N51" s="79"/>
      <c r="O51" s="80"/>
      <c r="P51" s="71"/>
      <c r="Q51" s="77"/>
      <c r="R51" s="71"/>
      <c r="S51" s="77"/>
      <c r="T51" s="79"/>
      <c r="U51" s="80"/>
      <c r="V51" s="79"/>
      <c r="W51" s="80"/>
      <c r="X51" s="79"/>
      <c r="Y51" s="80"/>
      <c r="Z51" s="79"/>
      <c r="AA51" s="80"/>
      <c r="AB51" s="79"/>
      <c r="AC51" s="80"/>
      <c r="AD51" s="71"/>
      <c r="AE51" s="77"/>
      <c r="AF51" s="79"/>
      <c r="AG51" s="80"/>
      <c r="AH51" s="79"/>
      <c r="AI51" s="80"/>
      <c r="AJ51" s="79"/>
      <c r="AK51" s="80"/>
      <c r="AL51" s="79"/>
      <c r="AM51" s="80"/>
      <c r="AN51" s="79"/>
      <c r="AO51" s="80"/>
      <c r="AP51" s="79"/>
      <c r="AQ51" s="80"/>
      <c r="AR51" s="71"/>
      <c r="AS51" s="77"/>
      <c r="AT51" s="79"/>
      <c r="AU51" s="80"/>
      <c r="AV51" s="79"/>
      <c r="AW51" s="80"/>
      <c r="AX51" s="79"/>
      <c r="AY51" s="80"/>
      <c r="AZ51" s="79"/>
      <c r="BA51" s="80"/>
      <c r="BB51" s="79"/>
      <c r="BC51" s="80"/>
      <c r="BD51" s="79"/>
      <c r="BE51" s="80"/>
      <c r="BF51" s="71"/>
      <c r="BG51" s="77"/>
      <c r="BH51" s="79"/>
      <c r="BI51" s="80"/>
      <c r="BJ51" s="424">
        <f t="shared" si="7"/>
        <v>0</v>
      </c>
      <c r="BK51" s="425">
        <f t="shared" si="8"/>
        <v>0</v>
      </c>
    </row>
    <row r="52" spans="1:63" ht="18" customHeight="1" x14ac:dyDescent="0.35">
      <c r="A52" s="24"/>
      <c r="B52" s="438" t="s">
        <v>46</v>
      </c>
      <c r="C52" s="439" t="s">
        <v>81</v>
      </c>
      <c r="D52" s="740" t="s">
        <v>82</v>
      </c>
      <c r="E52" s="741"/>
      <c r="F52" s="79"/>
      <c r="G52" s="80"/>
      <c r="H52" s="79"/>
      <c r="I52" s="80"/>
      <c r="J52" s="79"/>
      <c r="K52" s="80"/>
      <c r="L52" s="79"/>
      <c r="M52" s="80"/>
      <c r="N52" s="79"/>
      <c r="O52" s="80"/>
      <c r="P52" s="71"/>
      <c r="Q52" s="77"/>
      <c r="R52" s="71"/>
      <c r="S52" s="77"/>
      <c r="T52" s="79"/>
      <c r="U52" s="80"/>
      <c r="V52" s="79"/>
      <c r="W52" s="80"/>
      <c r="X52" s="79"/>
      <c r="Y52" s="80"/>
      <c r="Z52" s="79"/>
      <c r="AA52" s="80"/>
      <c r="AB52" s="79"/>
      <c r="AC52" s="80"/>
      <c r="AD52" s="71"/>
      <c r="AE52" s="77"/>
      <c r="AF52" s="79"/>
      <c r="AG52" s="80"/>
      <c r="AH52" s="79"/>
      <c r="AI52" s="80"/>
      <c r="AJ52" s="79"/>
      <c r="AK52" s="80"/>
      <c r="AL52" s="79"/>
      <c r="AM52" s="80"/>
      <c r="AN52" s="79"/>
      <c r="AO52" s="80"/>
      <c r="AP52" s="79"/>
      <c r="AQ52" s="80"/>
      <c r="AR52" s="71"/>
      <c r="AS52" s="77"/>
      <c r="AT52" s="79"/>
      <c r="AU52" s="80"/>
      <c r="AV52" s="79"/>
      <c r="AW52" s="80"/>
      <c r="AX52" s="79"/>
      <c r="AY52" s="80"/>
      <c r="AZ52" s="79"/>
      <c r="BA52" s="80"/>
      <c r="BB52" s="79"/>
      <c r="BC52" s="80"/>
      <c r="BD52" s="79"/>
      <c r="BE52" s="80"/>
      <c r="BF52" s="71"/>
      <c r="BG52" s="77"/>
      <c r="BH52" s="79"/>
      <c r="BI52" s="80"/>
      <c r="BJ52" s="424">
        <f t="shared" si="7"/>
        <v>0</v>
      </c>
      <c r="BK52" s="425">
        <f t="shared" si="8"/>
        <v>0</v>
      </c>
    </row>
    <row r="53" spans="1:63" ht="15" customHeight="1" x14ac:dyDescent="0.35">
      <c r="A53" s="24"/>
      <c r="B53" s="439"/>
      <c r="C53" s="439"/>
      <c r="D53" s="740"/>
      <c r="E53" s="741"/>
      <c r="F53" s="79"/>
      <c r="G53" s="80"/>
      <c r="H53" s="79"/>
      <c r="I53" s="80"/>
      <c r="J53" s="79"/>
      <c r="K53" s="80"/>
      <c r="L53" s="79"/>
      <c r="M53" s="80"/>
      <c r="N53" s="79"/>
      <c r="O53" s="80"/>
      <c r="P53" s="71"/>
      <c r="Q53" s="77"/>
      <c r="R53" s="71"/>
      <c r="S53" s="77"/>
      <c r="T53" s="79"/>
      <c r="U53" s="80"/>
      <c r="V53" s="79"/>
      <c r="W53" s="80"/>
      <c r="X53" s="79"/>
      <c r="Y53" s="80"/>
      <c r="Z53" s="79"/>
      <c r="AA53" s="80"/>
      <c r="AB53" s="79"/>
      <c r="AC53" s="80"/>
      <c r="AD53" s="71"/>
      <c r="AE53" s="77"/>
      <c r="AF53" s="79"/>
      <c r="AG53" s="80"/>
      <c r="AH53" s="79"/>
      <c r="AI53" s="80"/>
      <c r="AJ53" s="79"/>
      <c r="AK53" s="80"/>
      <c r="AL53" s="79"/>
      <c r="AM53" s="80"/>
      <c r="AN53" s="79"/>
      <c r="AO53" s="80"/>
      <c r="AP53" s="79"/>
      <c r="AQ53" s="80"/>
      <c r="AR53" s="71"/>
      <c r="AS53" s="77"/>
      <c r="AT53" s="79"/>
      <c r="AU53" s="80"/>
      <c r="AV53" s="79"/>
      <c r="AW53" s="80"/>
      <c r="AX53" s="79"/>
      <c r="AY53" s="80"/>
      <c r="AZ53" s="79"/>
      <c r="BA53" s="80"/>
      <c r="BB53" s="79"/>
      <c r="BC53" s="80"/>
      <c r="BD53" s="79"/>
      <c r="BE53" s="80"/>
      <c r="BF53" s="71"/>
      <c r="BG53" s="77"/>
      <c r="BH53" s="79"/>
      <c r="BI53" s="80"/>
      <c r="BJ53" s="424">
        <f t="shared" si="7"/>
        <v>0</v>
      </c>
      <c r="BK53" s="425">
        <f t="shared" si="8"/>
        <v>0</v>
      </c>
    </row>
    <row r="54" spans="1:63" ht="16.5" customHeight="1" x14ac:dyDescent="0.35">
      <c r="A54" s="24"/>
      <c r="B54" s="439"/>
      <c r="C54" s="439">
        <f>SUM(BJ56:BJ80)</f>
        <v>352</v>
      </c>
      <c r="D54" s="685" t="s">
        <v>83</v>
      </c>
      <c r="E54" s="754"/>
      <c r="F54" s="79"/>
      <c r="G54" s="80"/>
      <c r="H54" s="79"/>
      <c r="I54" s="80"/>
      <c r="J54" s="79"/>
      <c r="K54" s="80"/>
      <c r="L54" s="79"/>
      <c r="M54" s="80"/>
      <c r="N54" s="79"/>
      <c r="O54" s="80"/>
      <c r="P54" s="71"/>
      <c r="Q54" s="77"/>
      <c r="R54" s="71"/>
      <c r="S54" s="77"/>
      <c r="T54" s="79"/>
      <c r="U54" s="80"/>
      <c r="V54" s="79"/>
      <c r="W54" s="80"/>
      <c r="X54" s="79"/>
      <c r="Y54" s="80"/>
      <c r="Z54" s="79"/>
      <c r="AA54" s="80"/>
      <c r="AB54" s="79"/>
      <c r="AC54" s="80"/>
      <c r="AD54" s="71"/>
      <c r="AE54" s="77"/>
      <c r="AF54" s="79"/>
      <c r="AG54" s="80"/>
      <c r="AH54" s="79"/>
      <c r="AI54" s="80"/>
      <c r="AJ54" s="79"/>
      <c r="AK54" s="80"/>
      <c r="AL54" s="79"/>
      <c r="AM54" s="80"/>
      <c r="AN54" s="79"/>
      <c r="AO54" s="80"/>
      <c r="AP54" s="79"/>
      <c r="AQ54" s="80"/>
      <c r="AR54" s="71"/>
      <c r="AS54" s="77"/>
      <c r="AT54" s="79"/>
      <c r="AU54" s="80"/>
      <c r="AV54" s="79"/>
      <c r="AW54" s="80"/>
      <c r="AX54" s="79"/>
      <c r="AY54" s="80"/>
      <c r="AZ54" s="79"/>
      <c r="BA54" s="80"/>
      <c r="BB54" s="79"/>
      <c r="BC54" s="80"/>
      <c r="BD54" s="79"/>
      <c r="BE54" s="80"/>
      <c r="BF54" s="71"/>
      <c r="BG54" s="77"/>
      <c r="BH54" s="79"/>
      <c r="BI54" s="80"/>
      <c r="BJ54" s="424">
        <f t="shared" si="7"/>
        <v>0</v>
      </c>
      <c r="BK54" s="425">
        <f t="shared" si="8"/>
        <v>0</v>
      </c>
    </row>
    <row r="55" spans="1:63" ht="15" customHeight="1" x14ac:dyDescent="0.35">
      <c r="A55" s="24"/>
      <c r="B55" s="438" t="s">
        <v>29</v>
      </c>
      <c r="C55" s="439" t="s">
        <v>84</v>
      </c>
      <c r="D55" s="740" t="s">
        <v>43</v>
      </c>
      <c r="E55" s="741"/>
      <c r="F55" s="79"/>
      <c r="G55" s="80"/>
      <c r="H55" s="79"/>
      <c r="I55" s="80"/>
      <c r="J55" s="79"/>
      <c r="K55" s="80"/>
      <c r="L55" s="79"/>
      <c r="M55" s="80"/>
      <c r="N55" s="79"/>
      <c r="O55" s="80"/>
      <c r="P55" s="71"/>
      <c r="Q55" s="77"/>
      <c r="R55" s="71"/>
      <c r="S55" s="77"/>
      <c r="T55" s="79"/>
      <c r="U55" s="80"/>
      <c r="V55" s="79"/>
      <c r="W55" s="80"/>
      <c r="X55" s="79"/>
      <c r="Y55" s="80"/>
      <c r="Z55" s="79"/>
      <c r="AA55" s="80"/>
      <c r="AB55" s="79"/>
      <c r="AC55" s="80"/>
      <c r="AD55" s="71"/>
      <c r="AE55" s="77"/>
      <c r="AF55" s="79"/>
      <c r="AG55" s="80"/>
      <c r="AH55" s="79"/>
      <c r="AI55" s="80"/>
      <c r="AJ55" s="79"/>
      <c r="AK55" s="80"/>
      <c r="AL55" s="79"/>
      <c r="AM55" s="80"/>
      <c r="AN55" s="79"/>
      <c r="AO55" s="80"/>
      <c r="AP55" s="79"/>
      <c r="AQ55" s="80"/>
      <c r="AR55" s="71"/>
      <c r="AS55" s="77"/>
      <c r="AT55" s="79"/>
      <c r="AU55" s="80"/>
      <c r="AV55" s="79"/>
      <c r="AW55" s="80"/>
      <c r="AX55" s="79"/>
      <c r="AY55" s="80"/>
      <c r="AZ55" s="79"/>
      <c r="BA55" s="80"/>
      <c r="BB55" s="79"/>
      <c r="BC55" s="80"/>
      <c r="BD55" s="79"/>
      <c r="BE55" s="80"/>
      <c r="BF55" s="71"/>
      <c r="BG55" s="77"/>
      <c r="BH55" s="79"/>
      <c r="BI55" s="80"/>
      <c r="BJ55" s="424">
        <f t="shared" si="7"/>
        <v>0</v>
      </c>
      <c r="BK55" s="425">
        <f t="shared" si="8"/>
        <v>0</v>
      </c>
    </row>
    <row r="56" spans="1:63" ht="15" customHeight="1" x14ac:dyDescent="0.35">
      <c r="A56" s="24"/>
      <c r="B56" s="438" t="s">
        <v>85</v>
      </c>
      <c r="C56" s="439" t="s">
        <v>86</v>
      </c>
      <c r="D56" s="740" t="s">
        <v>87</v>
      </c>
      <c r="E56" s="741"/>
      <c r="F56" s="79"/>
      <c r="G56" s="80"/>
      <c r="H56" s="79"/>
      <c r="I56" s="80"/>
      <c r="J56" s="79"/>
      <c r="K56" s="80"/>
      <c r="L56" s="79"/>
      <c r="M56" s="80"/>
      <c r="N56" s="79"/>
      <c r="O56" s="80"/>
      <c r="P56" s="71"/>
      <c r="Q56" s="77"/>
      <c r="R56" s="71"/>
      <c r="S56" s="77"/>
      <c r="T56" s="79"/>
      <c r="U56" s="80"/>
      <c r="V56" s="79"/>
      <c r="W56" s="80"/>
      <c r="X56" s="79"/>
      <c r="Y56" s="80"/>
      <c r="Z56" s="79"/>
      <c r="AA56" s="80"/>
      <c r="AB56" s="79"/>
      <c r="AC56" s="80"/>
      <c r="AD56" s="71"/>
      <c r="AE56" s="77"/>
      <c r="AF56" s="79"/>
      <c r="AG56" s="80"/>
      <c r="AH56" s="79"/>
      <c r="AI56" s="80"/>
      <c r="AJ56" s="79"/>
      <c r="AK56" s="80"/>
      <c r="AL56" s="79"/>
      <c r="AM56" s="80"/>
      <c r="AN56" s="79"/>
      <c r="AO56" s="80"/>
      <c r="AP56" s="79"/>
      <c r="AQ56" s="80"/>
      <c r="AR56" s="71"/>
      <c r="AS56" s="77"/>
      <c r="AT56" s="79"/>
      <c r="AU56" s="80"/>
      <c r="AV56" s="79"/>
      <c r="AW56" s="80"/>
      <c r="AX56" s="79"/>
      <c r="AY56" s="80"/>
      <c r="AZ56" s="79"/>
      <c r="BA56" s="80"/>
      <c r="BB56" s="79"/>
      <c r="BC56" s="80"/>
      <c r="BD56" s="79"/>
      <c r="BE56" s="80"/>
      <c r="BF56" s="71"/>
      <c r="BG56" s="77"/>
      <c r="BH56" s="79"/>
      <c r="BI56" s="80"/>
      <c r="BJ56" s="424">
        <f t="shared" si="7"/>
        <v>0</v>
      </c>
      <c r="BK56" s="425">
        <f t="shared" si="8"/>
        <v>0</v>
      </c>
    </row>
    <row r="57" spans="1:63" ht="15" customHeight="1" x14ac:dyDescent="0.35">
      <c r="A57" s="24"/>
      <c r="B57" s="438" t="s">
        <v>85</v>
      </c>
      <c r="C57" s="439" t="s">
        <v>88</v>
      </c>
      <c r="D57" s="740" t="s">
        <v>89</v>
      </c>
      <c r="E57" s="741"/>
      <c r="F57" s="79"/>
      <c r="G57" s="80"/>
      <c r="H57" s="79"/>
      <c r="I57" s="80"/>
      <c r="J57" s="79"/>
      <c r="K57" s="80"/>
      <c r="L57" s="79"/>
      <c r="M57" s="80"/>
      <c r="N57" s="79"/>
      <c r="O57" s="80"/>
      <c r="P57" s="71"/>
      <c r="Q57" s="77"/>
      <c r="R57" s="71"/>
      <c r="S57" s="77"/>
      <c r="T57" s="79"/>
      <c r="U57" s="80"/>
      <c r="V57" s="79"/>
      <c r="W57" s="80"/>
      <c r="X57" s="79"/>
      <c r="Y57" s="80"/>
      <c r="Z57" s="79"/>
      <c r="AA57" s="80"/>
      <c r="AB57" s="79"/>
      <c r="AC57" s="80"/>
      <c r="AD57" s="71"/>
      <c r="AE57" s="77"/>
      <c r="AF57" s="79"/>
      <c r="AG57" s="80"/>
      <c r="AH57" s="79"/>
      <c r="AI57" s="80"/>
      <c r="AJ57" s="79"/>
      <c r="AK57" s="80"/>
      <c r="AL57" s="79"/>
      <c r="AM57" s="80"/>
      <c r="AN57" s="79"/>
      <c r="AO57" s="80"/>
      <c r="AP57" s="79"/>
      <c r="AQ57" s="80"/>
      <c r="AR57" s="71"/>
      <c r="AS57" s="77"/>
      <c r="AT57" s="79"/>
      <c r="AU57" s="80"/>
      <c r="AV57" s="79"/>
      <c r="AW57" s="80"/>
      <c r="AX57" s="79"/>
      <c r="AY57" s="80"/>
      <c r="AZ57" s="79"/>
      <c r="BA57" s="80"/>
      <c r="BB57" s="79"/>
      <c r="BC57" s="80"/>
      <c r="BD57" s="79"/>
      <c r="BE57" s="80"/>
      <c r="BF57" s="71"/>
      <c r="BG57" s="77"/>
      <c r="BH57" s="79"/>
      <c r="BI57" s="80"/>
      <c r="BJ57" s="424">
        <f t="shared" ref="BJ57:BJ88" si="9">SUM(F57:BI57)</f>
        <v>0</v>
      </c>
      <c r="BK57" s="425">
        <f t="shared" ref="BK57:BK77" si="10">COUNT(F57:BI57)</f>
        <v>0</v>
      </c>
    </row>
    <row r="58" spans="1:63" ht="15" customHeight="1" x14ac:dyDescent="0.35">
      <c r="A58" s="24"/>
      <c r="B58" s="438" t="s">
        <v>85</v>
      </c>
      <c r="C58" s="439" t="s">
        <v>90</v>
      </c>
      <c r="D58" s="740" t="s">
        <v>91</v>
      </c>
      <c r="E58" s="741"/>
      <c r="F58" s="79"/>
      <c r="G58" s="80"/>
      <c r="H58" s="79"/>
      <c r="I58" s="80"/>
      <c r="J58" s="79"/>
      <c r="K58" s="80"/>
      <c r="L58" s="79"/>
      <c r="M58" s="80"/>
      <c r="N58" s="79"/>
      <c r="O58" s="80"/>
      <c r="P58" s="71"/>
      <c r="Q58" s="77"/>
      <c r="R58" s="71"/>
      <c r="S58" s="77"/>
      <c r="T58" s="79"/>
      <c r="U58" s="80"/>
      <c r="V58" s="79"/>
      <c r="W58" s="80"/>
      <c r="X58" s="79"/>
      <c r="Y58" s="80"/>
      <c r="Z58" s="79"/>
      <c r="AA58" s="80"/>
      <c r="AB58" s="79"/>
      <c r="AC58" s="80"/>
      <c r="AD58" s="71"/>
      <c r="AE58" s="77"/>
      <c r="AF58" s="79"/>
      <c r="AG58" s="80"/>
      <c r="AH58" s="79"/>
      <c r="AI58" s="80"/>
      <c r="AJ58" s="79"/>
      <c r="AK58" s="80"/>
      <c r="AL58" s="79"/>
      <c r="AM58" s="80"/>
      <c r="AN58" s="79"/>
      <c r="AO58" s="80"/>
      <c r="AP58" s="79"/>
      <c r="AQ58" s="80"/>
      <c r="AR58" s="71"/>
      <c r="AS58" s="77"/>
      <c r="AT58" s="79"/>
      <c r="AU58" s="80"/>
      <c r="AV58" s="79"/>
      <c r="AW58" s="80"/>
      <c r="AX58" s="79"/>
      <c r="AY58" s="80"/>
      <c r="AZ58" s="79"/>
      <c r="BA58" s="80"/>
      <c r="BB58" s="79"/>
      <c r="BC58" s="80"/>
      <c r="BD58" s="79"/>
      <c r="BE58" s="80"/>
      <c r="BF58" s="71"/>
      <c r="BG58" s="77"/>
      <c r="BH58" s="79"/>
      <c r="BI58" s="80"/>
      <c r="BJ58" s="424">
        <f t="shared" si="9"/>
        <v>0</v>
      </c>
      <c r="BK58" s="425">
        <f t="shared" si="10"/>
        <v>0</v>
      </c>
    </row>
    <row r="59" spans="1:63" ht="15" customHeight="1" x14ac:dyDescent="0.35">
      <c r="A59" s="24"/>
      <c r="B59" s="438" t="s">
        <v>85</v>
      </c>
      <c r="C59" s="439" t="s">
        <v>92</v>
      </c>
      <c r="D59" s="740" t="s">
        <v>93</v>
      </c>
      <c r="E59" s="741"/>
      <c r="F59" s="79"/>
      <c r="G59" s="80"/>
      <c r="H59" s="79"/>
      <c r="I59" s="80"/>
      <c r="J59" s="79"/>
      <c r="K59" s="80"/>
      <c r="L59" s="79"/>
      <c r="M59" s="80"/>
      <c r="N59" s="79"/>
      <c r="O59" s="80"/>
      <c r="P59" s="71"/>
      <c r="Q59" s="77"/>
      <c r="R59" s="71"/>
      <c r="S59" s="77"/>
      <c r="T59" s="79"/>
      <c r="U59" s="80"/>
      <c r="V59" s="79"/>
      <c r="W59" s="80"/>
      <c r="X59" s="79"/>
      <c r="Y59" s="80"/>
      <c r="Z59" s="79"/>
      <c r="AA59" s="80"/>
      <c r="AB59" s="79"/>
      <c r="AC59" s="80"/>
      <c r="AD59" s="71"/>
      <c r="AE59" s="77"/>
      <c r="AF59" s="79"/>
      <c r="AG59" s="80"/>
      <c r="AH59" s="79"/>
      <c r="AI59" s="80"/>
      <c r="AJ59" s="79"/>
      <c r="AK59" s="80"/>
      <c r="AL59" s="79"/>
      <c r="AM59" s="80"/>
      <c r="AN59" s="79"/>
      <c r="AO59" s="80"/>
      <c r="AP59" s="79"/>
      <c r="AQ59" s="80"/>
      <c r="AR59" s="71"/>
      <c r="AS59" s="77"/>
      <c r="AT59" s="79"/>
      <c r="AU59" s="80"/>
      <c r="AV59" s="79"/>
      <c r="AW59" s="80"/>
      <c r="AX59" s="79"/>
      <c r="AY59" s="80"/>
      <c r="AZ59" s="79"/>
      <c r="BA59" s="80"/>
      <c r="BB59" s="79"/>
      <c r="BC59" s="80"/>
      <c r="BD59" s="79"/>
      <c r="BE59" s="80"/>
      <c r="BF59" s="71"/>
      <c r="BG59" s="77"/>
      <c r="BH59" s="79"/>
      <c r="BI59" s="80"/>
      <c r="BJ59" s="424">
        <f t="shared" si="9"/>
        <v>0</v>
      </c>
      <c r="BK59" s="425">
        <f t="shared" si="10"/>
        <v>0</v>
      </c>
    </row>
    <row r="60" spans="1:63" ht="15" customHeight="1" x14ac:dyDescent="0.35">
      <c r="A60" s="24"/>
      <c r="B60" s="438" t="s">
        <v>85</v>
      </c>
      <c r="C60" s="439" t="s">
        <v>94</v>
      </c>
      <c r="D60" s="740" t="s">
        <v>95</v>
      </c>
      <c r="E60" s="741"/>
      <c r="F60" s="79"/>
      <c r="G60" s="80"/>
      <c r="H60" s="79"/>
      <c r="I60" s="80"/>
      <c r="J60" s="79"/>
      <c r="K60" s="80"/>
      <c r="L60" s="79"/>
      <c r="M60" s="80"/>
      <c r="N60" s="79"/>
      <c r="O60" s="80"/>
      <c r="P60" s="71"/>
      <c r="Q60" s="77"/>
      <c r="R60" s="71"/>
      <c r="S60" s="77"/>
      <c r="T60" s="79"/>
      <c r="U60" s="80"/>
      <c r="V60" s="79"/>
      <c r="W60" s="80"/>
      <c r="X60" s="79"/>
      <c r="Y60" s="80"/>
      <c r="Z60" s="79"/>
      <c r="AA60" s="80"/>
      <c r="AB60" s="79"/>
      <c r="AC60" s="80"/>
      <c r="AD60" s="71"/>
      <c r="AE60" s="77"/>
      <c r="AF60" s="79"/>
      <c r="AG60" s="80"/>
      <c r="AH60" s="79"/>
      <c r="AI60" s="80"/>
      <c r="AJ60" s="79"/>
      <c r="AK60" s="80"/>
      <c r="AL60" s="79"/>
      <c r="AM60" s="80"/>
      <c r="AN60" s="79"/>
      <c r="AO60" s="80"/>
      <c r="AP60" s="79"/>
      <c r="AQ60" s="80"/>
      <c r="AR60" s="71"/>
      <c r="AS60" s="77"/>
      <c r="AT60" s="79"/>
      <c r="AU60" s="80"/>
      <c r="AV60" s="79"/>
      <c r="AW60" s="80"/>
      <c r="AX60" s="79"/>
      <c r="AY60" s="80"/>
      <c r="AZ60" s="79"/>
      <c r="BA60" s="80"/>
      <c r="BB60" s="79"/>
      <c r="BC60" s="80"/>
      <c r="BD60" s="79"/>
      <c r="BE60" s="80"/>
      <c r="BF60" s="71"/>
      <c r="BG60" s="77"/>
      <c r="BH60" s="79"/>
      <c r="BI60" s="80"/>
      <c r="BJ60" s="424">
        <f t="shared" si="9"/>
        <v>0</v>
      </c>
      <c r="BK60" s="425">
        <f t="shared" si="10"/>
        <v>0</v>
      </c>
    </row>
    <row r="61" spans="1:63" ht="15" customHeight="1" x14ac:dyDescent="0.35">
      <c r="A61" s="24"/>
      <c r="B61" s="438" t="s">
        <v>85</v>
      </c>
      <c r="C61" s="439" t="s">
        <v>96</v>
      </c>
      <c r="D61" s="740" t="s">
        <v>245</v>
      </c>
      <c r="E61" s="741"/>
      <c r="F61" s="79"/>
      <c r="G61" s="80"/>
      <c r="H61" s="79"/>
      <c r="I61" s="80"/>
      <c r="J61" s="79"/>
      <c r="K61" s="80"/>
      <c r="L61" s="79"/>
      <c r="M61" s="80"/>
      <c r="N61" s="79"/>
      <c r="O61" s="80"/>
      <c r="P61" s="71"/>
      <c r="Q61" s="77"/>
      <c r="R61" s="71"/>
      <c r="S61" s="77"/>
      <c r="T61" s="79"/>
      <c r="U61" s="80"/>
      <c r="V61" s="79"/>
      <c r="W61" s="80"/>
      <c r="X61" s="79"/>
      <c r="Y61" s="80"/>
      <c r="Z61" s="79"/>
      <c r="AA61" s="80"/>
      <c r="AB61" s="79"/>
      <c r="AC61" s="80"/>
      <c r="AD61" s="71"/>
      <c r="AE61" s="77"/>
      <c r="AF61" s="79"/>
      <c r="AG61" s="80"/>
      <c r="AH61" s="79"/>
      <c r="AI61" s="80"/>
      <c r="AJ61" s="79"/>
      <c r="AK61" s="80"/>
      <c r="AL61" s="79"/>
      <c r="AM61" s="80"/>
      <c r="AN61" s="79"/>
      <c r="AO61" s="80"/>
      <c r="AP61" s="79"/>
      <c r="AQ61" s="80"/>
      <c r="AR61" s="71"/>
      <c r="AS61" s="77"/>
      <c r="AT61" s="79"/>
      <c r="AU61" s="80"/>
      <c r="AV61" s="79"/>
      <c r="AW61" s="80"/>
      <c r="AX61" s="79"/>
      <c r="AY61" s="80"/>
      <c r="AZ61" s="79"/>
      <c r="BA61" s="80"/>
      <c r="BB61" s="79"/>
      <c r="BC61" s="80"/>
      <c r="BD61" s="79"/>
      <c r="BE61" s="80"/>
      <c r="BF61" s="71"/>
      <c r="BG61" s="77"/>
      <c r="BH61" s="79"/>
      <c r="BI61" s="80"/>
      <c r="BJ61" s="424">
        <f t="shared" si="9"/>
        <v>0</v>
      </c>
      <c r="BK61" s="425">
        <f t="shared" si="10"/>
        <v>0</v>
      </c>
    </row>
    <row r="62" spans="1:63" ht="15" customHeight="1" x14ac:dyDescent="0.35">
      <c r="A62" s="24"/>
      <c r="B62" s="438" t="s">
        <v>85</v>
      </c>
      <c r="C62" s="439" t="s">
        <v>98</v>
      </c>
      <c r="D62" s="740" t="s">
        <v>99</v>
      </c>
      <c r="E62" s="741"/>
      <c r="F62" s="79"/>
      <c r="G62" s="80"/>
      <c r="H62" s="79"/>
      <c r="I62" s="80"/>
      <c r="J62" s="79"/>
      <c r="K62" s="80"/>
      <c r="L62" s="79"/>
      <c r="M62" s="80"/>
      <c r="N62" s="79"/>
      <c r="O62" s="80"/>
      <c r="P62" s="71"/>
      <c r="Q62" s="77"/>
      <c r="R62" s="71"/>
      <c r="S62" s="77"/>
      <c r="T62" s="79"/>
      <c r="U62" s="80"/>
      <c r="V62" s="79"/>
      <c r="W62" s="80"/>
      <c r="X62" s="79"/>
      <c r="Y62" s="80"/>
      <c r="Z62" s="79"/>
      <c r="AA62" s="80"/>
      <c r="AB62" s="79"/>
      <c r="AC62" s="80"/>
      <c r="AD62" s="71"/>
      <c r="AE62" s="77"/>
      <c r="AF62" s="79"/>
      <c r="AG62" s="80"/>
      <c r="AH62" s="79"/>
      <c r="AI62" s="80"/>
      <c r="AJ62" s="79"/>
      <c r="AK62" s="80"/>
      <c r="AL62" s="79"/>
      <c r="AM62" s="80"/>
      <c r="AN62" s="79"/>
      <c r="AO62" s="80"/>
      <c r="AP62" s="79"/>
      <c r="AQ62" s="80"/>
      <c r="AR62" s="71"/>
      <c r="AS62" s="77"/>
      <c r="AT62" s="79"/>
      <c r="AU62" s="80"/>
      <c r="AV62" s="79"/>
      <c r="AW62" s="80"/>
      <c r="AX62" s="79"/>
      <c r="AY62" s="80"/>
      <c r="AZ62" s="79"/>
      <c r="BA62" s="80"/>
      <c r="BB62" s="79"/>
      <c r="BC62" s="80"/>
      <c r="BD62" s="79"/>
      <c r="BE62" s="80"/>
      <c r="BF62" s="71"/>
      <c r="BG62" s="77"/>
      <c r="BH62" s="79"/>
      <c r="BI62" s="80"/>
      <c r="BJ62" s="424">
        <f t="shared" si="9"/>
        <v>0</v>
      </c>
      <c r="BK62" s="425">
        <f t="shared" si="10"/>
        <v>0</v>
      </c>
    </row>
    <row r="63" spans="1:63" ht="15" customHeight="1" x14ac:dyDescent="0.35">
      <c r="A63" s="24"/>
      <c r="B63" s="438" t="s">
        <v>85</v>
      </c>
      <c r="C63" s="439" t="s">
        <v>100</v>
      </c>
      <c r="D63" s="740" t="s">
        <v>101</v>
      </c>
      <c r="E63" s="741"/>
      <c r="F63" s="79"/>
      <c r="G63" s="80"/>
      <c r="H63" s="79"/>
      <c r="I63" s="80"/>
      <c r="J63" s="79"/>
      <c r="K63" s="80"/>
      <c r="L63" s="79"/>
      <c r="M63" s="80"/>
      <c r="N63" s="79"/>
      <c r="O63" s="80"/>
      <c r="P63" s="71"/>
      <c r="Q63" s="77"/>
      <c r="R63" s="71"/>
      <c r="S63" s="77"/>
      <c r="T63" s="79"/>
      <c r="U63" s="80"/>
      <c r="V63" s="79"/>
      <c r="W63" s="80"/>
      <c r="X63" s="79"/>
      <c r="Y63" s="80"/>
      <c r="Z63" s="79"/>
      <c r="AA63" s="80"/>
      <c r="AB63" s="79"/>
      <c r="AC63" s="80"/>
      <c r="AD63" s="71"/>
      <c r="AE63" s="77"/>
      <c r="AF63" s="79"/>
      <c r="AG63" s="80"/>
      <c r="AH63" s="79"/>
      <c r="AI63" s="80"/>
      <c r="AJ63" s="79"/>
      <c r="AK63" s="80"/>
      <c r="AL63" s="79"/>
      <c r="AM63" s="80"/>
      <c r="AN63" s="79"/>
      <c r="AO63" s="80"/>
      <c r="AP63" s="79"/>
      <c r="AQ63" s="80"/>
      <c r="AR63" s="71"/>
      <c r="AS63" s="77"/>
      <c r="AT63" s="79"/>
      <c r="AU63" s="80"/>
      <c r="AV63" s="79"/>
      <c r="AW63" s="80"/>
      <c r="AX63" s="79"/>
      <c r="AY63" s="80"/>
      <c r="AZ63" s="79"/>
      <c r="BA63" s="80"/>
      <c r="BB63" s="79"/>
      <c r="BC63" s="80"/>
      <c r="BD63" s="79"/>
      <c r="BE63" s="80"/>
      <c r="BF63" s="71"/>
      <c r="BG63" s="77"/>
      <c r="BH63" s="79"/>
      <c r="BI63" s="80"/>
      <c r="BJ63" s="424">
        <f t="shared" si="9"/>
        <v>0</v>
      </c>
      <c r="BK63" s="425">
        <f t="shared" si="10"/>
        <v>0</v>
      </c>
    </row>
    <row r="64" spans="1:63" ht="15" customHeight="1" x14ac:dyDescent="0.35">
      <c r="A64" s="24"/>
      <c r="B64" s="438" t="s">
        <v>29</v>
      </c>
      <c r="C64" s="439" t="s">
        <v>102</v>
      </c>
      <c r="D64" s="740" t="s">
        <v>1040</v>
      </c>
      <c r="E64" s="741"/>
      <c r="F64" s="79"/>
      <c r="G64" s="80"/>
      <c r="H64" s="79"/>
      <c r="I64" s="80"/>
      <c r="J64" s="79">
        <v>7</v>
      </c>
      <c r="K64" s="80"/>
      <c r="L64" s="79"/>
      <c r="M64" s="80"/>
      <c r="N64" s="79"/>
      <c r="O64" s="80"/>
      <c r="P64" s="71"/>
      <c r="Q64" s="77"/>
      <c r="R64" s="71"/>
      <c r="S64" s="77"/>
      <c r="T64" s="79"/>
      <c r="U64" s="80"/>
      <c r="V64" s="79"/>
      <c r="W64" s="80"/>
      <c r="X64" s="79">
        <v>5</v>
      </c>
      <c r="Y64" s="80">
        <v>20</v>
      </c>
      <c r="Z64" s="79"/>
      <c r="AA64" s="80">
        <v>20</v>
      </c>
      <c r="AB64" s="79"/>
      <c r="AC64" s="80"/>
      <c r="AD64" s="71"/>
      <c r="AE64" s="77"/>
      <c r="AF64" s="79"/>
      <c r="AG64" s="80"/>
      <c r="AH64" s="79"/>
      <c r="AI64" s="80"/>
      <c r="AJ64" s="79"/>
      <c r="AK64" s="80"/>
      <c r="AL64" s="79"/>
      <c r="AM64" s="80"/>
      <c r="AN64" s="79"/>
      <c r="AO64" s="80"/>
      <c r="AP64" s="79"/>
      <c r="AQ64" s="80"/>
      <c r="AR64" s="71"/>
      <c r="AS64" s="77"/>
      <c r="AT64" s="79"/>
      <c r="AU64" s="80"/>
      <c r="AV64" s="79"/>
      <c r="AW64" s="80"/>
      <c r="AX64" s="79"/>
      <c r="AY64" s="80"/>
      <c r="AZ64" s="79"/>
      <c r="BA64" s="80"/>
      <c r="BB64" s="79"/>
      <c r="BC64" s="80"/>
      <c r="BD64" s="79"/>
      <c r="BE64" s="80"/>
      <c r="BF64" s="71"/>
      <c r="BG64" s="77"/>
      <c r="BH64" s="79"/>
      <c r="BI64" s="80"/>
      <c r="BJ64" s="424">
        <f t="shared" si="9"/>
        <v>52</v>
      </c>
      <c r="BK64" s="425">
        <f t="shared" si="10"/>
        <v>4</v>
      </c>
    </row>
    <row r="65" spans="1:63" ht="15" customHeight="1" x14ac:dyDescent="0.35">
      <c r="A65" s="24"/>
      <c r="B65" s="438" t="s">
        <v>104</v>
      </c>
      <c r="C65" s="439" t="s">
        <v>105</v>
      </c>
      <c r="D65" s="740" t="s">
        <v>106</v>
      </c>
      <c r="E65" s="741"/>
      <c r="F65" s="79"/>
      <c r="G65" s="80"/>
      <c r="H65" s="79"/>
      <c r="I65" s="80">
        <v>35</v>
      </c>
      <c r="J65" s="79"/>
      <c r="K65" s="80"/>
      <c r="L65" s="79"/>
      <c r="M65" s="80">
        <v>20</v>
      </c>
      <c r="N65" s="79"/>
      <c r="O65" s="80"/>
      <c r="P65" s="71"/>
      <c r="Q65" s="77"/>
      <c r="R65" s="71"/>
      <c r="S65" s="77"/>
      <c r="T65" s="79"/>
      <c r="U65" s="80"/>
      <c r="V65" s="79"/>
      <c r="W65" s="80"/>
      <c r="X65" s="79"/>
      <c r="Y65" s="80"/>
      <c r="Z65" s="79"/>
      <c r="AA65" s="80"/>
      <c r="AB65" s="79"/>
      <c r="AC65" s="80"/>
      <c r="AD65" s="71"/>
      <c r="AE65" s="77"/>
      <c r="AF65" s="79"/>
      <c r="AG65" s="80"/>
      <c r="AH65" s="79"/>
      <c r="AI65" s="80"/>
      <c r="AJ65" s="79"/>
      <c r="AK65" s="80"/>
      <c r="AL65" s="79"/>
      <c r="AM65" s="80"/>
      <c r="AN65" s="79"/>
      <c r="AO65" s="80"/>
      <c r="AP65" s="79"/>
      <c r="AQ65" s="80"/>
      <c r="AR65" s="71"/>
      <c r="AS65" s="77"/>
      <c r="AT65" s="79"/>
      <c r="AU65" s="80"/>
      <c r="AV65" s="79"/>
      <c r="AW65" s="80"/>
      <c r="AX65" s="79"/>
      <c r="AY65" s="80"/>
      <c r="AZ65" s="79"/>
      <c r="BA65" s="80"/>
      <c r="BB65" s="79"/>
      <c r="BC65" s="80"/>
      <c r="BD65" s="79"/>
      <c r="BE65" s="80"/>
      <c r="BF65" s="71"/>
      <c r="BG65" s="77"/>
      <c r="BH65" s="79"/>
      <c r="BI65" s="80"/>
      <c r="BJ65" s="424">
        <f t="shared" si="9"/>
        <v>55</v>
      </c>
      <c r="BK65" s="425">
        <f t="shared" si="10"/>
        <v>2</v>
      </c>
    </row>
    <row r="66" spans="1:63" ht="15" customHeight="1" x14ac:dyDescent="0.35">
      <c r="A66" s="24"/>
      <c r="B66" s="438" t="s">
        <v>85</v>
      </c>
      <c r="C66" s="439" t="s">
        <v>107</v>
      </c>
      <c r="D66" s="740" t="s">
        <v>108</v>
      </c>
      <c r="E66" s="741"/>
      <c r="F66" s="79"/>
      <c r="G66" s="80"/>
      <c r="H66" s="79"/>
      <c r="I66" s="80"/>
      <c r="J66" s="79"/>
      <c r="K66" s="80"/>
      <c r="L66" s="79"/>
      <c r="M66" s="80"/>
      <c r="N66" s="79"/>
      <c r="O66" s="80"/>
      <c r="P66" s="71"/>
      <c r="Q66" s="77"/>
      <c r="R66" s="71"/>
      <c r="S66" s="77"/>
      <c r="T66" s="79"/>
      <c r="U66" s="80"/>
      <c r="V66" s="79"/>
      <c r="W66" s="80"/>
      <c r="X66" s="79"/>
      <c r="Y66" s="80"/>
      <c r="Z66" s="79"/>
      <c r="AA66" s="80"/>
      <c r="AB66" s="79"/>
      <c r="AC66" s="80"/>
      <c r="AD66" s="71"/>
      <c r="AE66" s="77"/>
      <c r="AF66" s="79"/>
      <c r="AG66" s="80"/>
      <c r="AH66" s="79"/>
      <c r="AI66" s="80"/>
      <c r="AJ66" s="79"/>
      <c r="AK66" s="80"/>
      <c r="AL66" s="79"/>
      <c r="AM66" s="80"/>
      <c r="AN66" s="79"/>
      <c r="AO66" s="80"/>
      <c r="AP66" s="79"/>
      <c r="AQ66" s="80"/>
      <c r="AR66" s="71"/>
      <c r="AS66" s="77"/>
      <c r="AT66" s="79"/>
      <c r="AU66" s="80"/>
      <c r="AV66" s="79"/>
      <c r="AW66" s="80"/>
      <c r="AX66" s="79"/>
      <c r="AY66" s="80"/>
      <c r="AZ66" s="79"/>
      <c r="BA66" s="80"/>
      <c r="BB66" s="79"/>
      <c r="BC66" s="80"/>
      <c r="BD66" s="79"/>
      <c r="BE66" s="80"/>
      <c r="BF66" s="71"/>
      <c r="BG66" s="77"/>
      <c r="BH66" s="79"/>
      <c r="BI66" s="80"/>
      <c r="BJ66" s="424">
        <f t="shared" si="9"/>
        <v>0</v>
      </c>
      <c r="BK66" s="425">
        <f t="shared" si="10"/>
        <v>0</v>
      </c>
    </row>
    <row r="67" spans="1:63" ht="15" customHeight="1" x14ac:dyDescent="0.35">
      <c r="A67" s="24"/>
      <c r="B67" s="438" t="s">
        <v>109</v>
      </c>
      <c r="C67" s="439" t="s">
        <v>110</v>
      </c>
      <c r="D67" s="740" t="s">
        <v>111</v>
      </c>
      <c r="E67" s="741"/>
      <c r="F67" s="79"/>
      <c r="G67" s="80"/>
      <c r="H67" s="79"/>
      <c r="I67" s="80"/>
      <c r="J67" s="79"/>
      <c r="K67" s="80"/>
      <c r="L67" s="79"/>
      <c r="M67" s="80"/>
      <c r="N67" s="79"/>
      <c r="O67" s="80"/>
      <c r="P67" s="71"/>
      <c r="Q67" s="77"/>
      <c r="R67" s="71"/>
      <c r="S67" s="77"/>
      <c r="T67" s="79"/>
      <c r="U67" s="80"/>
      <c r="V67" s="79"/>
      <c r="W67" s="80"/>
      <c r="X67" s="79"/>
      <c r="Y67" s="80"/>
      <c r="Z67" s="79"/>
      <c r="AA67" s="80"/>
      <c r="AB67" s="79"/>
      <c r="AC67" s="80"/>
      <c r="AD67" s="71"/>
      <c r="AE67" s="77"/>
      <c r="AF67" s="79"/>
      <c r="AG67" s="80"/>
      <c r="AH67" s="79"/>
      <c r="AI67" s="80"/>
      <c r="AJ67" s="79"/>
      <c r="AK67" s="80"/>
      <c r="AL67" s="79"/>
      <c r="AM67" s="80"/>
      <c r="AN67" s="79"/>
      <c r="AO67" s="80"/>
      <c r="AP67" s="79"/>
      <c r="AQ67" s="80"/>
      <c r="AR67" s="71"/>
      <c r="AS67" s="77"/>
      <c r="AT67" s="79"/>
      <c r="AU67" s="80"/>
      <c r="AV67" s="79"/>
      <c r="AW67" s="80"/>
      <c r="AX67" s="79"/>
      <c r="AY67" s="80"/>
      <c r="AZ67" s="79"/>
      <c r="BA67" s="80"/>
      <c r="BB67" s="79"/>
      <c r="BC67" s="80"/>
      <c r="BD67" s="79"/>
      <c r="BE67" s="80"/>
      <c r="BF67" s="71"/>
      <c r="BG67" s="77"/>
      <c r="BH67" s="79"/>
      <c r="BI67" s="80"/>
      <c r="BJ67" s="424">
        <f t="shared" si="9"/>
        <v>0</v>
      </c>
      <c r="BK67" s="425">
        <f t="shared" si="10"/>
        <v>0</v>
      </c>
    </row>
    <row r="68" spans="1:63" ht="15" customHeight="1" x14ac:dyDescent="0.35">
      <c r="A68" s="24"/>
      <c r="B68" s="438" t="s">
        <v>26</v>
      </c>
      <c r="C68" s="439" t="s">
        <v>112</v>
      </c>
      <c r="D68" s="740" t="s">
        <v>54</v>
      </c>
      <c r="E68" s="741"/>
      <c r="F68" s="79"/>
      <c r="G68" s="80"/>
      <c r="H68" s="79"/>
      <c r="I68" s="80"/>
      <c r="J68" s="79"/>
      <c r="K68" s="80"/>
      <c r="L68" s="79"/>
      <c r="M68" s="80"/>
      <c r="N68" s="79"/>
      <c r="O68" s="80"/>
      <c r="P68" s="71"/>
      <c r="Q68" s="77"/>
      <c r="R68" s="71"/>
      <c r="S68" s="77"/>
      <c r="T68" s="79"/>
      <c r="U68" s="80"/>
      <c r="V68" s="79"/>
      <c r="W68" s="80"/>
      <c r="X68" s="79"/>
      <c r="Y68" s="80"/>
      <c r="Z68" s="79"/>
      <c r="AA68" s="80"/>
      <c r="AB68" s="79"/>
      <c r="AC68" s="80"/>
      <c r="AD68" s="71"/>
      <c r="AE68" s="77"/>
      <c r="AF68" s="79"/>
      <c r="AG68" s="80"/>
      <c r="AH68" s="79"/>
      <c r="AI68" s="80"/>
      <c r="AJ68" s="79"/>
      <c r="AK68" s="80"/>
      <c r="AL68" s="79"/>
      <c r="AM68" s="80"/>
      <c r="AN68" s="79"/>
      <c r="AO68" s="80"/>
      <c r="AP68" s="79"/>
      <c r="AQ68" s="80"/>
      <c r="AR68" s="71"/>
      <c r="AS68" s="77"/>
      <c r="AT68" s="79"/>
      <c r="AU68" s="80"/>
      <c r="AV68" s="79"/>
      <c r="AW68" s="80"/>
      <c r="AX68" s="79"/>
      <c r="AY68" s="80"/>
      <c r="AZ68" s="79"/>
      <c r="BA68" s="80"/>
      <c r="BB68" s="79"/>
      <c r="BC68" s="80"/>
      <c r="BD68" s="79"/>
      <c r="BE68" s="80"/>
      <c r="BF68" s="71"/>
      <c r="BG68" s="77"/>
      <c r="BH68" s="79"/>
      <c r="BI68" s="80"/>
      <c r="BJ68" s="424">
        <f t="shared" si="9"/>
        <v>0</v>
      </c>
      <c r="BK68" s="425">
        <f t="shared" si="10"/>
        <v>0</v>
      </c>
    </row>
    <row r="69" spans="1:63" ht="15" customHeight="1" x14ac:dyDescent="0.35">
      <c r="A69" s="24"/>
      <c r="B69" s="438" t="s">
        <v>29</v>
      </c>
      <c r="C69" s="439" t="s">
        <v>113</v>
      </c>
      <c r="D69" s="740" t="s">
        <v>70</v>
      </c>
      <c r="E69" s="741"/>
      <c r="F69" s="79"/>
      <c r="G69" s="80"/>
      <c r="H69" s="79"/>
      <c r="I69" s="80"/>
      <c r="J69" s="79"/>
      <c r="K69" s="80"/>
      <c r="L69" s="79"/>
      <c r="M69" s="80"/>
      <c r="N69" s="79"/>
      <c r="O69" s="80"/>
      <c r="P69" s="71"/>
      <c r="Q69" s="77"/>
      <c r="R69" s="71"/>
      <c r="S69" s="77"/>
      <c r="T69" s="79"/>
      <c r="U69" s="80"/>
      <c r="V69" s="79"/>
      <c r="W69" s="80"/>
      <c r="X69" s="79"/>
      <c r="Y69" s="80"/>
      <c r="Z69" s="79"/>
      <c r="AA69" s="80"/>
      <c r="AB69" s="79"/>
      <c r="AC69" s="80"/>
      <c r="AD69" s="71"/>
      <c r="AE69" s="77"/>
      <c r="AF69" s="79"/>
      <c r="AG69" s="80"/>
      <c r="AH69" s="79"/>
      <c r="AI69" s="80"/>
      <c r="AJ69" s="79"/>
      <c r="AK69" s="80"/>
      <c r="AL69" s="79"/>
      <c r="AM69" s="80"/>
      <c r="AN69" s="79"/>
      <c r="AO69" s="80"/>
      <c r="AP69" s="79"/>
      <c r="AQ69" s="80"/>
      <c r="AR69" s="71"/>
      <c r="AS69" s="77"/>
      <c r="AT69" s="79"/>
      <c r="AU69" s="80"/>
      <c r="AV69" s="79"/>
      <c r="AW69" s="80"/>
      <c r="AX69" s="79"/>
      <c r="AY69" s="80"/>
      <c r="AZ69" s="79"/>
      <c r="BA69" s="80"/>
      <c r="BB69" s="79"/>
      <c r="BC69" s="80"/>
      <c r="BD69" s="79"/>
      <c r="BE69" s="80"/>
      <c r="BF69" s="71"/>
      <c r="BG69" s="77"/>
      <c r="BH69" s="79"/>
      <c r="BI69" s="80"/>
      <c r="BJ69" s="424">
        <f t="shared" si="9"/>
        <v>0</v>
      </c>
      <c r="BK69" s="425">
        <f t="shared" si="10"/>
        <v>0</v>
      </c>
    </row>
    <row r="70" spans="1:63" ht="15" customHeight="1" x14ac:dyDescent="0.35">
      <c r="A70" s="24"/>
      <c r="B70" s="438" t="s">
        <v>29</v>
      </c>
      <c r="C70" s="439" t="s">
        <v>114</v>
      </c>
      <c r="D70" s="740" t="s">
        <v>72</v>
      </c>
      <c r="E70" s="741"/>
      <c r="F70" s="79"/>
      <c r="G70" s="80"/>
      <c r="H70" s="79"/>
      <c r="I70" s="80"/>
      <c r="J70" s="79"/>
      <c r="K70" s="80"/>
      <c r="L70" s="79"/>
      <c r="M70" s="80"/>
      <c r="N70" s="79"/>
      <c r="O70" s="80"/>
      <c r="P70" s="71"/>
      <c r="Q70" s="77"/>
      <c r="R70" s="71"/>
      <c r="S70" s="77"/>
      <c r="T70" s="79"/>
      <c r="U70" s="80"/>
      <c r="V70" s="79"/>
      <c r="W70" s="80"/>
      <c r="X70" s="79"/>
      <c r="Y70" s="80"/>
      <c r="Z70" s="79"/>
      <c r="AA70" s="80"/>
      <c r="AB70" s="79"/>
      <c r="AC70" s="80"/>
      <c r="AD70" s="71"/>
      <c r="AE70" s="77"/>
      <c r="AF70" s="79"/>
      <c r="AG70" s="80"/>
      <c r="AH70" s="79"/>
      <c r="AI70" s="80"/>
      <c r="AJ70" s="79"/>
      <c r="AK70" s="80"/>
      <c r="AL70" s="79"/>
      <c r="AM70" s="80"/>
      <c r="AN70" s="79"/>
      <c r="AO70" s="80"/>
      <c r="AP70" s="79"/>
      <c r="AQ70" s="80"/>
      <c r="AR70" s="71"/>
      <c r="AS70" s="77"/>
      <c r="AT70" s="79"/>
      <c r="AU70" s="80"/>
      <c r="AV70" s="79"/>
      <c r="AW70" s="80"/>
      <c r="AX70" s="79"/>
      <c r="AY70" s="80"/>
      <c r="AZ70" s="79"/>
      <c r="BA70" s="80"/>
      <c r="BB70" s="79"/>
      <c r="BC70" s="80"/>
      <c r="BD70" s="79"/>
      <c r="BE70" s="80"/>
      <c r="BF70" s="71"/>
      <c r="BG70" s="77"/>
      <c r="BH70" s="79"/>
      <c r="BI70" s="80"/>
      <c r="BJ70" s="424">
        <f t="shared" si="9"/>
        <v>0</v>
      </c>
      <c r="BK70" s="425">
        <f t="shared" si="10"/>
        <v>0</v>
      </c>
    </row>
    <row r="71" spans="1:63" ht="15" customHeight="1" x14ac:dyDescent="0.35">
      <c r="A71" s="24"/>
      <c r="B71" s="438" t="s">
        <v>44</v>
      </c>
      <c r="C71" s="439" t="s">
        <v>115</v>
      </c>
      <c r="D71" s="740" t="s">
        <v>72</v>
      </c>
      <c r="E71" s="741"/>
      <c r="F71" s="79"/>
      <c r="G71" s="80"/>
      <c r="H71" s="79"/>
      <c r="I71" s="80"/>
      <c r="J71" s="79"/>
      <c r="K71" s="80"/>
      <c r="L71" s="79"/>
      <c r="M71" s="80"/>
      <c r="N71" s="79"/>
      <c r="O71" s="80"/>
      <c r="P71" s="71"/>
      <c r="Q71" s="77"/>
      <c r="R71" s="71"/>
      <c r="S71" s="77"/>
      <c r="T71" s="79"/>
      <c r="U71" s="80"/>
      <c r="V71" s="79"/>
      <c r="W71" s="80"/>
      <c r="X71" s="79"/>
      <c r="Y71" s="80"/>
      <c r="Z71" s="79"/>
      <c r="AA71" s="80"/>
      <c r="AB71" s="79"/>
      <c r="AC71" s="80"/>
      <c r="AD71" s="71"/>
      <c r="AE71" s="77"/>
      <c r="AF71" s="79"/>
      <c r="AG71" s="80"/>
      <c r="AH71" s="79"/>
      <c r="AI71" s="80"/>
      <c r="AJ71" s="79"/>
      <c r="AK71" s="80"/>
      <c r="AL71" s="79"/>
      <c r="AM71" s="80"/>
      <c r="AN71" s="79"/>
      <c r="AO71" s="80"/>
      <c r="AP71" s="79"/>
      <c r="AQ71" s="80"/>
      <c r="AR71" s="71"/>
      <c r="AS71" s="77"/>
      <c r="AT71" s="79"/>
      <c r="AU71" s="80"/>
      <c r="AV71" s="79"/>
      <c r="AW71" s="80"/>
      <c r="AX71" s="79"/>
      <c r="AY71" s="80"/>
      <c r="AZ71" s="79"/>
      <c r="BA71" s="80"/>
      <c r="BB71" s="79"/>
      <c r="BC71" s="80"/>
      <c r="BD71" s="79"/>
      <c r="BE71" s="80"/>
      <c r="BF71" s="71"/>
      <c r="BG71" s="77"/>
      <c r="BH71" s="79"/>
      <c r="BI71" s="80"/>
      <c r="BJ71" s="424">
        <f t="shared" si="9"/>
        <v>0</v>
      </c>
      <c r="BK71" s="425">
        <f t="shared" si="10"/>
        <v>0</v>
      </c>
    </row>
    <row r="72" spans="1:63" ht="15" customHeight="1" x14ac:dyDescent="0.35">
      <c r="A72" s="24"/>
      <c r="B72" s="438" t="s">
        <v>29</v>
      </c>
      <c r="C72" s="439" t="s">
        <v>116</v>
      </c>
      <c r="D72" s="740" t="s">
        <v>74</v>
      </c>
      <c r="E72" s="741"/>
      <c r="F72" s="79"/>
      <c r="G72" s="80"/>
      <c r="H72" s="79"/>
      <c r="I72" s="80"/>
      <c r="J72" s="79"/>
      <c r="K72" s="80"/>
      <c r="L72" s="79"/>
      <c r="M72" s="80"/>
      <c r="N72" s="79"/>
      <c r="O72" s="80"/>
      <c r="P72" s="71"/>
      <c r="Q72" s="77"/>
      <c r="R72" s="71"/>
      <c r="S72" s="77"/>
      <c r="T72" s="79"/>
      <c r="U72" s="80"/>
      <c r="V72" s="79"/>
      <c r="W72" s="80"/>
      <c r="X72" s="79"/>
      <c r="Y72" s="80"/>
      <c r="Z72" s="79"/>
      <c r="AA72" s="80"/>
      <c r="AB72" s="79"/>
      <c r="AC72" s="80"/>
      <c r="AD72" s="71"/>
      <c r="AE72" s="77"/>
      <c r="AF72" s="79"/>
      <c r="AG72" s="80"/>
      <c r="AH72" s="79"/>
      <c r="AI72" s="80"/>
      <c r="AJ72" s="79"/>
      <c r="AK72" s="80"/>
      <c r="AL72" s="79"/>
      <c r="AM72" s="80"/>
      <c r="AN72" s="79"/>
      <c r="AO72" s="80"/>
      <c r="AP72" s="79"/>
      <c r="AQ72" s="80"/>
      <c r="AR72" s="71"/>
      <c r="AS72" s="77"/>
      <c r="AT72" s="79"/>
      <c r="AU72" s="80"/>
      <c r="AV72" s="79"/>
      <c r="AW72" s="80"/>
      <c r="AX72" s="79"/>
      <c r="AY72" s="80"/>
      <c r="AZ72" s="79"/>
      <c r="BA72" s="80"/>
      <c r="BB72" s="79"/>
      <c r="BC72" s="80"/>
      <c r="BD72" s="79"/>
      <c r="BE72" s="80"/>
      <c r="BF72" s="71"/>
      <c r="BG72" s="77"/>
      <c r="BH72" s="79"/>
      <c r="BI72" s="80"/>
      <c r="BJ72" s="424">
        <f t="shared" si="9"/>
        <v>0</v>
      </c>
      <c r="BK72" s="425">
        <f t="shared" si="10"/>
        <v>0</v>
      </c>
    </row>
    <row r="73" spans="1:63" ht="15" customHeight="1" x14ac:dyDescent="0.35">
      <c r="A73" s="24"/>
      <c r="B73" s="438" t="s">
        <v>29</v>
      </c>
      <c r="C73" s="439" t="s">
        <v>117</v>
      </c>
      <c r="D73" s="740" t="s">
        <v>76</v>
      </c>
      <c r="E73" s="741"/>
      <c r="F73" s="79"/>
      <c r="G73" s="80"/>
      <c r="H73" s="79"/>
      <c r="I73" s="80"/>
      <c r="J73" s="79"/>
      <c r="K73" s="80"/>
      <c r="L73" s="79"/>
      <c r="M73" s="80"/>
      <c r="N73" s="79"/>
      <c r="O73" s="80"/>
      <c r="P73" s="71"/>
      <c r="Q73" s="77"/>
      <c r="R73" s="71"/>
      <c r="S73" s="77"/>
      <c r="T73" s="79"/>
      <c r="U73" s="80"/>
      <c r="V73" s="79"/>
      <c r="W73" s="80"/>
      <c r="X73" s="79"/>
      <c r="Y73" s="80"/>
      <c r="Z73" s="79"/>
      <c r="AA73" s="80"/>
      <c r="AB73" s="79"/>
      <c r="AC73" s="80"/>
      <c r="AD73" s="71"/>
      <c r="AE73" s="77"/>
      <c r="AF73" s="79"/>
      <c r="AG73" s="80"/>
      <c r="AH73" s="79"/>
      <c r="AI73" s="80"/>
      <c r="AJ73" s="79"/>
      <c r="AK73" s="80"/>
      <c r="AL73" s="79"/>
      <c r="AM73" s="80"/>
      <c r="AN73" s="79"/>
      <c r="AO73" s="80"/>
      <c r="AP73" s="79"/>
      <c r="AQ73" s="80"/>
      <c r="AR73" s="71"/>
      <c r="AS73" s="77"/>
      <c r="AT73" s="79"/>
      <c r="AU73" s="80"/>
      <c r="AV73" s="79"/>
      <c r="AW73" s="80"/>
      <c r="AX73" s="79"/>
      <c r="AY73" s="80"/>
      <c r="AZ73" s="79"/>
      <c r="BA73" s="80"/>
      <c r="BB73" s="79"/>
      <c r="BC73" s="80"/>
      <c r="BD73" s="79"/>
      <c r="BE73" s="80"/>
      <c r="BF73" s="71"/>
      <c r="BG73" s="77"/>
      <c r="BH73" s="79"/>
      <c r="BI73" s="80"/>
      <c r="BJ73" s="424">
        <f t="shared" si="9"/>
        <v>0</v>
      </c>
      <c r="BK73" s="425">
        <f t="shared" si="10"/>
        <v>0</v>
      </c>
    </row>
    <row r="74" spans="1:63" ht="15" customHeight="1" x14ac:dyDescent="0.35">
      <c r="A74" s="24"/>
      <c r="B74" s="438" t="s">
        <v>44</v>
      </c>
      <c r="C74" s="439" t="s">
        <v>118</v>
      </c>
      <c r="D74" s="740" t="s">
        <v>76</v>
      </c>
      <c r="E74" s="741"/>
      <c r="F74" s="79"/>
      <c r="G74" s="80"/>
      <c r="H74" s="79"/>
      <c r="I74" s="80"/>
      <c r="J74" s="79"/>
      <c r="K74" s="80"/>
      <c r="L74" s="79"/>
      <c r="M74" s="80"/>
      <c r="N74" s="79"/>
      <c r="O74" s="80"/>
      <c r="P74" s="71"/>
      <c r="Q74" s="77"/>
      <c r="R74" s="71"/>
      <c r="S74" s="77"/>
      <c r="T74" s="79"/>
      <c r="U74" s="80"/>
      <c r="V74" s="79"/>
      <c r="W74" s="80"/>
      <c r="X74" s="79"/>
      <c r="Y74" s="80"/>
      <c r="Z74" s="79"/>
      <c r="AA74" s="80"/>
      <c r="AB74" s="79"/>
      <c r="AC74" s="80"/>
      <c r="AD74" s="71"/>
      <c r="AE74" s="77"/>
      <c r="AF74" s="79"/>
      <c r="AG74" s="80"/>
      <c r="AH74" s="79"/>
      <c r="AI74" s="80"/>
      <c r="AJ74" s="79"/>
      <c r="AK74" s="80"/>
      <c r="AL74" s="79"/>
      <c r="AM74" s="80"/>
      <c r="AN74" s="79"/>
      <c r="AO74" s="80"/>
      <c r="AP74" s="79"/>
      <c r="AQ74" s="80"/>
      <c r="AR74" s="71"/>
      <c r="AS74" s="77"/>
      <c r="AT74" s="79"/>
      <c r="AU74" s="80"/>
      <c r="AV74" s="79"/>
      <c r="AW74" s="80"/>
      <c r="AX74" s="79"/>
      <c r="AY74" s="80"/>
      <c r="AZ74" s="79"/>
      <c r="BA74" s="80"/>
      <c r="BB74" s="79"/>
      <c r="BC74" s="80"/>
      <c r="BD74" s="79"/>
      <c r="BE74" s="80"/>
      <c r="BF74" s="71"/>
      <c r="BG74" s="77"/>
      <c r="BH74" s="79"/>
      <c r="BI74" s="80"/>
      <c r="BJ74" s="424">
        <f t="shared" si="9"/>
        <v>0</v>
      </c>
      <c r="BK74" s="425">
        <f t="shared" si="10"/>
        <v>0</v>
      </c>
    </row>
    <row r="75" spans="1:63" ht="15" customHeight="1" x14ac:dyDescent="0.35">
      <c r="A75" s="24"/>
      <c r="B75" s="438" t="s">
        <v>109</v>
      </c>
      <c r="C75" s="439" t="s">
        <v>119</v>
      </c>
      <c r="D75" s="740" t="s">
        <v>120</v>
      </c>
      <c r="E75" s="741"/>
      <c r="F75" s="79"/>
      <c r="G75" s="80"/>
      <c r="H75" s="79"/>
      <c r="I75" s="80"/>
      <c r="J75" s="79"/>
      <c r="K75" s="80"/>
      <c r="L75" s="79"/>
      <c r="M75" s="80"/>
      <c r="N75" s="79"/>
      <c r="O75" s="80"/>
      <c r="P75" s="71"/>
      <c r="Q75" s="77"/>
      <c r="R75" s="71"/>
      <c r="S75" s="77"/>
      <c r="T75" s="79"/>
      <c r="U75" s="80"/>
      <c r="V75" s="79"/>
      <c r="W75" s="80"/>
      <c r="X75" s="79"/>
      <c r="Y75" s="80"/>
      <c r="Z75" s="79"/>
      <c r="AA75" s="80"/>
      <c r="AB75" s="79"/>
      <c r="AC75" s="80"/>
      <c r="AD75" s="71"/>
      <c r="AE75" s="77"/>
      <c r="AF75" s="79"/>
      <c r="AG75" s="80"/>
      <c r="AH75" s="79"/>
      <c r="AI75" s="80"/>
      <c r="AJ75" s="79"/>
      <c r="AK75" s="80"/>
      <c r="AL75" s="79"/>
      <c r="AM75" s="80"/>
      <c r="AN75" s="79"/>
      <c r="AO75" s="80"/>
      <c r="AP75" s="79"/>
      <c r="AQ75" s="80"/>
      <c r="AR75" s="71"/>
      <c r="AS75" s="77"/>
      <c r="AT75" s="79"/>
      <c r="AU75" s="80"/>
      <c r="AV75" s="79"/>
      <c r="AW75" s="80"/>
      <c r="AX75" s="79"/>
      <c r="AY75" s="80"/>
      <c r="AZ75" s="79"/>
      <c r="BA75" s="80"/>
      <c r="BB75" s="79"/>
      <c r="BC75" s="80"/>
      <c r="BD75" s="79"/>
      <c r="BE75" s="80"/>
      <c r="BF75" s="71"/>
      <c r="BG75" s="77"/>
      <c r="BH75" s="79"/>
      <c r="BI75" s="80"/>
      <c r="BJ75" s="424">
        <f t="shared" si="9"/>
        <v>0</v>
      </c>
      <c r="BK75" s="425">
        <f t="shared" si="10"/>
        <v>0</v>
      </c>
    </row>
    <row r="76" spans="1:63" ht="15" customHeight="1" x14ac:dyDescent="0.35">
      <c r="A76" s="24"/>
      <c r="B76" s="438" t="s">
        <v>29</v>
      </c>
      <c r="C76" s="439" t="s">
        <v>121</v>
      </c>
      <c r="D76" s="740" t="s">
        <v>122</v>
      </c>
      <c r="E76" s="741"/>
      <c r="F76" s="79"/>
      <c r="G76" s="80"/>
      <c r="H76" s="79"/>
      <c r="I76" s="80"/>
      <c r="J76" s="79"/>
      <c r="K76" s="80"/>
      <c r="L76" s="79"/>
      <c r="M76" s="80"/>
      <c r="N76" s="79"/>
      <c r="O76" s="80"/>
      <c r="P76" s="71"/>
      <c r="Q76" s="77"/>
      <c r="R76" s="71"/>
      <c r="S76" s="77"/>
      <c r="T76" s="79"/>
      <c r="U76" s="80"/>
      <c r="V76" s="79"/>
      <c r="W76" s="80"/>
      <c r="X76" s="79"/>
      <c r="Y76" s="80"/>
      <c r="Z76" s="79"/>
      <c r="AA76" s="80"/>
      <c r="AB76" s="79"/>
      <c r="AC76" s="80"/>
      <c r="AD76" s="71"/>
      <c r="AE76" s="77"/>
      <c r="AF76" s="79"/>
      <c r="AG76" s="80"/>
      <c r="AH76" s="79"/>
      <c r="AI76" s="80"/>
      <c r="AJ76" s="79"/>
      <c r="AK76" s="80"/>
      <c r="AL76" s="79"/>
      <c r="AM76" s="80"/>
      <c r="AN76" s="79"/>
      <c r="AO76" s="80"/>
      <c r="AP76" s="79"/>
      <c r="AQ76" s="80"/>
      <c r="AR76" s="71"/>
      <c r="AS76" s="77"/>
      <c r="AT76" s="79"/>
      <c r="AU76" s="80"/>
      <c r="AV76" s="79"/>
      <c r="AW76" s="80"/>
      <c r="AX76" s="79"/>
      <c r="AY76" s="80"/>
      <c r="AZ76" s="79"/>
      <c r="BA76" s="80"/>
      <c r="BB76" s="79"/>
      <c r="BC76" s="80"/>
      <c r="BD76" s="79"/>
      <c r="BE76" s="80"/>
      <c r="BF76" s="71"/>
      <c r="BG76" s="77"/>
      <c r="BH76" s="79"/>
      <c r="BI76" s="80"/>
      <c r="BJ76" s="424">
        <f t="shared" si="9"/>
        <v>0</v>
      </c>
      <c r="BK76" s="425">
        <f t="shared" si="10"/>
        <v>0</v>
      </c>
    </row>
    <row r="77" spans="1:63" ht="15" customHeight="1" x14ac:dyDescent="0.35">
      <c r="A77" s="24"/>
      <c r="B77" s="438" t="s">
        <v>109</v>
      </c>
      <c r="C77" s="439" t="s">
        <v>123</v>
      </c>
      <c r="D77" s="740" t="s">
        <v>124</v>
      </c>
      <c r="E77" s="741"/>
      <c r="F77" s="79"/>
      <c r="G77" s="80"/>
      <c r="H77" s="79"/>
      <c r="I77" s="80"/>
      <c r="J77" s="79"/>
      <c r="K77" s="80"/>
      <c r="L77" s="79"/>
      <c r="M77" s="80"/>
      <c r="N77" s="79"/>
      <c r="O77" s="80"/>
      <c r="P77" s="71"/>
      <c r="Q77" s="77"/>
      <c r="R77" s="71"/>
      <c r="S77" s="77"/>
      <c r="T77" s="79"/>
      <c r="U77" s="80"/>
      <c r="V77" s="79"/>
      <c r="W77" s="80"/>
      <c r="X77" s="79"/>
      <c r="Y77" s="80"/>
      <c r="Z77" s="79"/>
      <c r="AA77" s="80"/>
      <c r="AB77" s="79"/>
      <c r="AC77" s="80"/>
      <c r="AD77" s="71"/>
      <c r="AE77" s="77"/>
      <c r="AF77" s="79"/>
      <c r="AG77" s="80"/>
      <c r="AH77" s="79"/>
      <c r="AI77" s="80"/>
      <c r="AJ77" s="79"/>
      <c r="AK77" s="80"/>
      <c r="AL77" s="79"/>
      <c r="AM77" s="80"/>
      <c r="AN77" s="79"/>
      <c r="AO77" s="80"/>
      <c r="AP77" s="79"/>
      <c r="AQ77" s="80"/>
      <c r="AR77" s="71"/>
      <c r="AS77" s="77"/>
      <c r="AT77" s="79"/>
      <c r="AU77" s="80"/>
      <c r="AV77" s="79"/>
      <c r="AW77" s="80"/>
      <c r="AX77" s="79"/>
      <c r="AY77" s="80"/>
      <c r="AZ77" s="79"/>
      <c r="BA77" s="80"/>
      <c r="BB77" s="79"/>
      <c r="BC77" s="80"/>
      <c r="BD77" s="79"/>
      <c r="BE77" s="80"/>
      <c r="BF77" s="71"/>
      <c r="BG77" s="77"/>
      <c r="BH77" s="79"/>
      <c r="BI77" s="80"/>
      <c r="BJ77" s="424">
        <f t="shared" si="9"/>
        <v>0</v>
      </c>
      <c r="BK77" s="425">
        <f t="shared" si="10"/>
        <v>0</v>
      </c>
    </row>
    <row r="78" spans="1:63" ht="15" customHeight="1" x14ac:dyDescent="0.35">
      <c r="A78" s="24"/>
      <c r="B78" s="438" t="s">
        <v>109</v>
      </c>
      <c r="C78" s="439" t="s">
        <v>159</v>
      </c>
      <c r="D78" s="740" t="s">
        <v>160</v>
      </c>
      <c r="E78" s="741"/>
      <c r="F78" s="79"/>
      <c r="G78" s="80"/>
      <c r="H78" s="79"/>
      <c r="I78" s="80"/>
      <c r="J78" s="79">
        <v>105</v>
      </c>
      <c r="K78" s="80"/>
      <c r="L78" s="79"/>
      <c r="M78" s="80"/>
      <c r="N78" s="79"/>
      <c r="O78" s="80"/>
      <c r="P78" s="71"/>
      <c r="Q78" s="77"/>
      <c r="R78" s="71"/>
      <c r="S78" s="77"/>
      <c r="T78" s="79"/>
      <c r="U78" s="80">
        <v>35</v>
      </c>
      <c r="V78" s="79"/>
      <c r="W78" s="80">
        <v>30</v>
      </c>
      <c r="X78" s="79">
        <v>25</v>
      </c>
      <c r="Y78" s="80"/>
      <c r="Z78" s="79">
        <v>40</v>
      </c>
      <c r="AA78" s="80"/>
      <c r="AB78" s="79">
        <v>10</v>
      </c>
      <c r="AC78" s="80"/>
      <c r="AD78" s="71"/>
      <c r="AE78" s="77"/>
      <c r="AF78" s="79"/>
      <c r="AG78" s="80"/>
      <c r="AH78" s="79"/>
      <c r="AI78" s="80"/>
      <c r="AJ78" s="79"/>
      <c r="AK78" s="80"/>
      <c r="AL78" s="79"/>
      <c r="AM78" s="80"/>
      <c r="AN78" s="79"/>
      <c r="AO78" s="80"/>
      <c r="AP78" s="79"/>
      <c r="AQ78" s="80"/>
      <c r="AR78" s="71"/>
      <c r="AS78" s="77"/>
      <c r="AT78" s="79"/>
      <c r="AU78" s="80"/>
      <c r="AV78" s="79"/>
      <c r="AW78" s="80"/>
      <c r="AX78" s="79"/>
      <c r="AY78" s="80"/>
      <c r="AZ78" s="79"/>
      <c r="BA78" s="80"/>
      <c r="BB78" s="79"/>
      <c r="BC78" s="80"/>
      <c r="BD78" s="79"/>
      <c r="BE78" s="80"/>
      <c r="BF78" s="71"/>
      <c r="BG78" s="77"/>
      <c r="BH78" s="79"/>
      <c r="BI78" s="80"/>
      <c r="BJ78" s="424">
        <f t="shared" si="9"/>
        <v>245</v>
      </c>
      <c r="BK78" s="425"/>
    </row>
    <row r="79" spans="1:63" ht="15" customHeight="1" x14ac:dyDescent="0.35">
      <c r="A79" s="24"/>
      <c r="B79" s="438" t="s">
        <v>104</v>
      </c>
      <c r="C79" s="439" t="s">
        <v>125</v>
      </c>
      <c r="D79" s="740" t="s">
        <v>126</v>
      </c>
      <c r="E79" s="741"/>
      <c r="F79" s="79"/>
      <c r="G79" s="80"/>
      <c r="H79" s="79"/>
      <c r="I79" s="80"/>
      <c r="J79" s="79"/>
      <c r="K79" s="80"/>
      <c r="L79" s="79"/>
      <c r="M79" s="80"/>
      <c r="N79" s="79"/>
      <c r="O79" s="80"/>
      <c r="P79" s="71"/>
      <c r="Q79" s="77"/>
      <c r="R79" s="71"/>
      <c r="S79" s="77"/>
      <c r="T79" s="79"/>
      <c r="U79" s="80"/>
      <c r="V79" s="79"/>
      <c r="W79" s="80"/>
      <c r="X79" s="79"/>
      <c r="Y79" s="80"/>
      <c r="Z79" s="79"/>
      <c r="AA79" s="80"/>
      <c r="AB79" s="79"/>
      <c r="AC79" s="80"/>
      <c r="AD79" s="71"/>
      <c r="AE79" s="77"/>
      <c r="AF79" s="79"/>
      <c r="AG79" s="80"/>
      <c r="AH79" s="79"/>
      <c r="AI79" s="80"/>
      <c r="AJ79" s="79"/>
      <c r="AK79" s="80"/>
      <c r="AL79" s="79"/>
      <c r="AM79" s="80"/>
      <c r="AN79" s="79"/>
      <c r="AO79" s="80"/>
      <c r="AP79" s="79"/>
      <c r="AQ79" s="80"/>
      <c r="AR79" s="71"/>
      <c r="AS79" s="77"/>
      <c r="AT79" s="79"/>
      <c r="AU79" s="80"/>
      <c r="AV79" s="79"/>
      <c r="AW79" s="80"/>
      <c r="AX79" s="79"/>
      <c r="AY79" s="80"/>
      <c r="AZ79" s="79"/>
      <c r="BA79" s="80"/>
      <c r="BB79" s="79"/>
      <c r="BC79" s="80"/>
      <c r="BD79" s="79"/>
      <c r="BE79" s="80"/>
      <c r="BF79" s="71"/>
      <c r="BG79" s="77"/>
      <c r="BH79" s="79"/>
      <c r="BI79" s="80"/>
      <c r="BJ79" s="424">
        <f t="shared" si="9"/>
        <v>0</v>
      </c>
      <c r="BK79" s="425">
        <f t="shared" ref="BK79:BK102" si="11">COUNT(F79:BI79)</f>
        <v>0</v>
      </c>
    </row>
    <row r="80" spans="1:63" ht="15" customHeight="1" x14ac:dyDescent="0.35">
      <c r="A80" s="24"/>
      <c r="B80" s="438"/>
      <c r="C80" s="439"/>
      <c r="D80" s="740"/>
      <c r="E80" s="744"/>
      <c r="F80" s="79"/>
      <c r="G80" s="80"/>
      <c r="H80" s="79"/>
      <c r="I80" s="80"/>
      <c r="J80" s="79"/>
      <c r="K80" s="80"/>
      <c r="L80" s="79"/>
      <c r="M80" s="80"/>
      <c r="N80" s="79"/>
      <c r="O80" s="80"/>
      <c r="P80" s="71"/>
      <c r="Q80" s="77"/>
      <c r="R80" s="71"/>
      <c r="S80" s="77"/>
      <c r="T80" s="79"/>
      <c r="U80" s="80"/>
      <c r="V80" s="79"/>
      <c r="W80" s="80"/>
      <c r="X80" s="79"/>
      <c r="Y80" s="80"/>
      <c r="Z80" s="79"/>
      <c r="AA80" s="80"/>
      <c r="AB80" s="79"/>
      <c r="AC80" s="80"/>
      <c r="AD80" s="71"/>
      <c r="AE80" s="77"/>
      <c r="AF80" s="79"/>
      <c r="AG80" s="80"/>
      <c r="AH80" s="79"/>
      <c r="AI80" s="80"/>
      <c r="AJ80" s="79"/>
      <c r="AK80" s="80"/>
      <c r="AL80" s="79"/>
      <c r="AM80" s="80"/>
      <c r="AN80" s="79"/>
      <c r="AO80" s="80"/>
      <c r="AP80" s="79"/>
      <c r="AQ80" s="80"/>
      <c r="AR80" s="71"/>
      <c r="AS80" s="77"/>
      <c r="AT80" s="79"/>
      <c r="AU80" s="80"/>
      <c r="AV80" s="79"/>
      <c r="AW80" s="80"/>
      <c r="AX80" s="79"/>
      <c r="AY80" s="80"/>
      <c r="AZ80" s="79"/>
      <c r="BA80" s="80"/>
      <c r="BB80" s="79"/>
      <c r="BC80" s="80"/>
      <c r="BD80" s="79"/>
      <c r="BE80" s="80"/>
      <c r="BF80" s="71"/>
      <c r="BG80" s="77"/>
      <c r="BH80" s="79"/>
      <c r="BI80" s="80"/>
      <c r="BJ80" s="424">
        <f t="shared" si="9"/>
        <v>0</v>
      </c>
      <c r="BK80" s="425">
        <f t="shared" si="11"/>
        <v>0</v>
      </c>
    </row>
    <row r="81" spans="1:63" ht="15" customHeight="1" x14ac:dyDescent="0.35">
      <c r="A81" s="24"/>
      <c r="B81" s="438"/>
      <c r="C81" s="439">
        <f>SUM(BJ82:BJ84)</f>
        <v>0</v>
      </c>
      <c r="D81" s="685" t="s">
        <v>127</v>
      </c>
      <c r="E81" s="753"/>
      <c r="F81" s="79"/>
      <c r="G81" s="80"/>
      <c r="H81" s="79"/>
      <c r="I81" s="80"/>
      <c r="J81" s="79"/>
      <c r="K81" s="80"/>
      <c r="L81" s="79"/>
      <c r="M81" s="80"/>
      <c r="N81" s="79"/>
      <c r="O81" s="80"/>
      <c r="P81" s="71"/>
      <c r="Q81" s="77"/>
      <c r="R81" s="71"/>
      <c r="S81" s="77"/>
      <c r="T81" s="79"/>
      <c r="U81" s="80"/>
      <c r="V81" s="79"/>
      <c r="W81" s="80"/>
      <c r="X81" s="79"/>
      <c r="Y81" s="80"/>
      <c r="Z81" s="79"/>
      <c r="AA81" s="80"/>
      <c r="AB81" s="79"/>
      <c r="AC81" s="80"/>
      <c r="AD81" s="71"/>
      <c r="AE81" s="77"/>
      <c r="AF81" s="79"/>
      <c r="AG81" s="80"/>
      <c r="AH81" s="79"/>
      <c r="AI81" s="80"/>
      <c r="AJ81" s="79"/>
      <c r="AK81" s="80"/>
      <c r="AL81" s="79"/>
      <c r="AM81" s="80"/>
      <c r="AN81" s="79"/>
      <c r="AO81" s="80"/>
      <c r="AP81" s="79"/>
      <c r="AQ81" s="80"/>
      <c r="AR81" s="71"/>
      <c r="AS81" s="77"/>
      <c r="AT81" s="79"/>
      <c r="AU81" s="80"/>
      <c r="AV81" s="79"/>
      <c r="AW81" s="80"/>
      <c r="AX81" s="79"/>
      <c r="AY81" s="80"/>
      <c r="AZ81" s="79"/>
      <c r="BA81" s="80"/>
      <c r="BB81" s="79"/>
      <c r="BC81" s="80"/>
      <c r="BD81" s="79"/>
      <c r="BE81" s="80"/>
      <c r="BF81" s="71"/>
      <c r="BG81" s="77"/>
      <c r="BH81" s="79"/>
      <c r="BI81" s="80"/>
      <c r="BJ81" s="424">
        <f t="shared" si="9"/>
        <v>0</v>
      </c>
      <c r="BK81" s="425">
        <f t="shared" si="11"/>
        <v>0</v>
      </c>
    </row>
    <row r="82" spans="1:63" ht="15" customHeight="1" x14ac:dyDescent="0.35">
      <c r="A82" s="24"/>
      <c r="B82" s="438" t="s">
        <v>85</v>
      </c>
      <c r="C82" s="439" t="s">
        <v>128</v>
      </c>
      <c r="D82" s="740" t="s">
        <v>129</v>
      </c>
      <c r="E82" s="744"/>
      <c r="F82" s="79"/>
      <c r="G82" s="80"/>
      <c r="H82" s="79"/>
      <c r="I82" s="80"/>
      <c r="J82" s="79"/>
      <c r="K82" s="80"/>
      <c r="L82" s="79"/>
      <c r="M82" s="80"/>
      <c r="N82" s="79"/>
      <c r="O82" s="80"/>
      <c r="P82" s="71"/>
      <c r="Q82" s="77"/>
      <c r="R82" s="71"/>
      <c r="S82" s="77"/>
      <c r="T82" s="79"/>
      <c r="U82" s="80"/>
      <c r="V82" s="79"/>
      <c r="W82" s="80"/>
      <c r="X82" s="79"/>
      <c r="Y82" s="80"/>
      <c r="Z82" s="79"/>
      <c r="AA82" s="80"/>
      <c r="AB82" s="79"/>
      <c r="AC82" s="80"/>
      <c r="AD82" s="71"/>
      <c r="AE82" s="77"/>
      <c r="AF82" s="79"/>
      <c r="AG82" s="80"/>
      <c r="AH82" s="79"/>
      <c r="AI82" s="80"/>
      <c r="AJ82" s="79"/>
      <c r="AK82" s="80"/>
      <c r="AL82" s="79"/>
      <c r="AM82" s="80"/>
      <c r="AN82" s="79"/>
      <c r="AO82" s="80"/>
      <c r="AP82" s="79"/>
      <c r="AQ82" s="80"/>
      <c r="AR82" s="71"/>
      <c r="AS82" s="77"/>
      <c r="AT82" s="79"/>
      <c r="AU82" s="80"/>
      <c r="AV82" s="79"/>
      <c r="AW82" s="80"/>
      <c r="AX82" s="79"/>
      <c r="AY82" s="80"/>
      <c r="AZ82" s="79"/>
      <c r="BA82" s="80"/>
      <c r="BB82" s="79"/>
      <c r="BC82" s="80"/>
      <c r="BD82" s="79"/>
      <c r="BE82" s="80"/>
      <c r="BF82" s="71"/>
      <c r="BG82" s="77"/>
      <c r="BH82" s="79"/>
      <c r="BI82" s="80"/>
      <c r="BJ82" s="424">
        <f t="shared" si="9"/>
        <v>0</v>
      </c>
      <c r="BK82" s="425">
        <f t="shared" si="11"/>
        <v>0</v>
      </c>
    </row>
    <row r="83" spans="1:63" ht="15" customHeight="1" x14ac:dyDescent="0.35">
      <c r="A83" s="24"/>
      <c r="B83" s="438"/>
      <c r="C83" s="439"/>
      <c r="D83" s="740"/>
      <c r="E83" s="744"/>
      <c r="F83" s="79"/>
      <c r="G83" s="80"/>
      <c r="H83" s="79"/>
      <c r="I83" s="80"/>
      <c r="J83" s="79"/>
      <c r="K83" s="80"/>
      <c r="L83" s="79"/>
      <c r="M83" s="80"/>
      <c r="N83" s="79"/>
      <c r="O83" s="80"/>
      <c r="P83" s="71"/>
      <c r="Q83" s="77"/>
      <c r="R83" s="71"/>
      <c r="S83" s="77"/>
      <c r="T83" s="79"/>
      <c r="U83" s="80"/>
      <c r="V83" s="79"/>
      <c r="W83" s="80"/>
      <c r="X83" s="79"/>
      <c r="Y83" s="80"/>
      <c r="Z83" s="79"/>
      <c r="AA83" s="80"/>
      <c r="AB83" s="79"/>
      <c r="AC83" s="80"/>
      <c r="AD83" s="71"/>
      <c r="AE83" s="77"/>
      <c r="AF83" s="79"/>
      <c r="AG83" s="80"/>
      <c r="AH83" s="79"/>
      <c r="AI83" s="80"/>
      <c r="AJ83" s="79"/>
      <c r="AK83" s="80"/>
      <c r="AL83" s="79"/>
      <c r="AM83" s="80"/>
      <c r="AN83" s="79"/>
      <c r="AO83" s="80"/>
      <c r="AP83" s="79"/>
      <c r="AQ83" s="80"/>
      <c r="AR83" s="71"/>
      <c r="AS83" s="77"/>
      <c r="AT83" s="79"/>
      <c r="AU83" s="80"/>
      <c r="AV83" s="79"/>
      <c r="AW83" s="80"/>
      <c r="AX83" s="79"/>
      <c r="AY83" s="80"/>
      <c r="AZ83" s="79"/>
      <c r="BA83" s="80"/>
      <c r="BB83" s="79"/>
      <c r="BC83" s="80"/>
      <c r="BD83" s="79"/>
      <c r="BE83" s="80"/>
      <c r="BF83" s="71"/>
      <c r="BG83" s="77"/>
      <c r="BH83" s="79"/>
      <c r="BI83" s="80"/>
      <c r="BJ83" s="424">
        <f t="shared" si="9"/>
        <v>0</v>
      </c>
      <c r="BK83" s="425">
        <f t="shared" si="11"/>
        <v>0</v>
      </c>
    </row>
    <row r="84" spans="1:63" ht="15" customHeight="1" x14ac:dyDescent="0.35">
      <c r="A84" s="24"/>
      <c r="B84" s="438"/>
      <c r="C84" s="439"/>
      <c r="D84" s="740"/>
      <c r="E84" s="744"/>
      <c r="F84" s="79"/>
      <c r="G84" s="80"/>
      <c r="H84" s="79"/>
      <c r="I84" s="80"/>
      <c r="J84" s="79"/>
      <c r="K84" s="80"/>
      <c r="L84" s="79"/>
      <c r="M84" s="80"/>
      <c r="N84" s="79"/>
      <c r="O84" s="80"/>
      <c r="P84" s="71"/>
      <c r="Q84" s="77"/>
      <c r="R84" s="71"/>
      <c r="S84" s="77"/>
      <c r="T84" s="79"/>
      <c r="U84" s="80"/>
      <c r="V84" s="79"/>
      <c r="W84" s="80"/>
      <c r="X84" s="79"/>
      <c r="Y84" s="80"/>
      <c r="Z84" s="79"/>
      <c r="AA84" s="80"/>
      <c r="AB84" s="79"/>
      <c r="AC84" s="80"/>
      <c r="AD84" s="71"/>
      <c r="AE84" s="77"/>
      <c r="AF84" s="79"/>
      <c r="AG84" s="80"/>
      <c r="AH84" s="79"/>
      <c r="AI84" s="80"/>
      <c r="AJ84" s="79"/>
      <c r="AK84" s="80"/>
      <c r="AL84" s="79"/>
      <c r="AM84" s="80"/>
      <c r="AN84" s="79"/>
      <c r="AO84" s="80"/>
      <c r="AP84" s="79"/>
      <c r="AQ84" s="80"/>
      <c r="AR84" s="71"/>
      <c r="AS84" s="77"/>
      <c r="AT84" s="79"/>
      <c r="AU84" s="80"/>
      <c r="AV84" s="79"/>
      <c r="AW84" s="80"/>
      <c r="AX84" s="79"/>
      <c r="AY84" s="80"/>
      <c r="AZ84" s="79"/>
      <c r="BA84" s="80"/>
      <c r="BB84" s="79"/>
      <c r="BC84" s="80"/>
      <c r="BD84" s="79"/>
      <c r="BE84" s="80"/>
      <c r="BF84" s="71"/>
      <c r="BG84" s="77"/>
      <c r="BH84" s="79"/>
      <c r="BI84" s="80"/>
      <c r="BJ84" s="424">
        <f t="shared" si="9"/>
        <v>0</v>
      </c>
      <c r="BK84" s="425">
        <f t="shared" si="11"/>
        <v>0</v>
      </c>
    </row>
    <row r="85" spans="1:63" ht="15" customHeight="1" x14ac:dyDescent="0.35">
      <c r="A85" s="24"/>
      <c r="B85" s="438"/>
      <c r="C85" s="439">
        <f>SUM(BJ86:BJ88)</f>
        <v>0</v>
      </c>
      <c r="D85" s="685" t="s">
        <v>130</v>
      </c>
      <c r="E85" s="753"/>
      <c r="F85" s="79"/>
      <c r="G85" s="80"/>
      <c r="H85" s="79"/>
      <c r="I85" s="80"/>
      <c r="J85" s="79"/>
      <c r="K85" s="80"/>
      <c r="L85" s="79"/>
      <c r="M85" s="80"/>
      <c r="N85" s="79"/>
      <c r="O85" s="80"/>
      <c r="P85" s="71"/>
      <c r="Q85" s="77"/>
      <c r="R85" s="71"/>
      <c r="S85" s="77"/>
      <c r="T85" s="79"/>
      <c r="U85" s="80"/>
      <c r="V85" s="79"/>
      <c r="W85" s="80"/>
      <c r="X85" s="79"/>
      <c r="Y85" s="80"/>
      <c r="Z85" s="79"/>
      <c r="AA85" s="80"/>
      <c r="AB85" s="79"/>
      <c r="AC85" s="80"/>
      <c r="AD85" s="71"/>
      <c r="AE85" s="77"/>
      <c r="AF85" s="79"/>
      <c r="AG85" s="80"/>
      <c r="AH85" s="79"/>
      <c r="AI85" s="80"/>
      <c r="AJ85" s="79"/>
      <c r="AK85" s="80"/>
      <c r="AL85" s="79"/>
      <c r="AM85" s="80"/>
      <c r="AN85" s="79"/>
      <c r="AO85" s="80"/>
      <c r="AP85" s="79"/>
      <c r="AQ85" s="80"/>
      <c r="AR85" s="71"/>
      <c r="AS85" s="77"/>
      <c r="AT85" s="79"/>
      <c r="AU85" s="80"/>
      <c r="AV85" s="79"/>
      <c r="AW85" s="80"/>
      <c r="AX85" s="79"/>
      <c r="AY85" s="80"/>
      <c r="AZ85" s="79"/>
      <c r="BA85" s="80"/>
      <c r="BB85" s="79"/>
      <c r="BC85" s="80"/>
      <c r="BD85" s="79"/>
      <c r="BE85" s="80"/>
      <c r="BF85" s="71"/>
      <c r="BG85" s="77"/>
      <c r="BH85" s="79"/>
      <c r="BI85" s="80"/>
      <c r="BJ85" s="424">
        <f t="shared" si="9"/>
        <v>0</v>
      </c>
      <c r="BK85" s="425">
        <f t="shared" si="11"/>
        <v>0</v>
      </c>
    </row>
    <row r="86" spans="1:63" ht="15" customHeight="1" x14ac:dyDescent="0.35">
      <c r="A86" s="24"/>
      <c r="B86" s="438" t="s">
        <v>85</v>
      </c>
      <c r="C86" s="439" t="s">
        <v>131</v>
      </c>
      <c r="D86" s="740" t="s">
        <v>132</v>
      </c>
      <c r="E86" s="744"/>
      <c r="F86" s="79"/>
      <c r="G86" s="80"/>
      <c r="H86" s="79"/>
      <c r="I86" s="80"/>
      <c r="J86" s="79"/>
      <c r="K86" s="80"/>
      <c r="L86" s="79"/>
      <c r="M86" s="80"/>
      <c r="N86" s="79"/>
      <c r="O86" s="80"/>
      <c r="P86" s="71"/>
      <c r="Q86" s="77"/>
      <c r="R86" s="71"/>
      <c r="S86" s="77"/>
      <c r="T86" s="79"/>
      <c r="U86" s="80"/>
      <c r="V86" s="79"/>
      <c r="W86" s="80"/>
      <c r="X86" s="79"/>
      <c r="Y86" s="80"/>
      <c r="Z86" s="79"/>
      <c r="AA86" s="80"/>
      <c r="AB86" s="79"/>
      <c r="AC86" s="80"/>
      <c r="AD86" s="71"/>
      <c r="AE86" s="77"/>
      <c r="AF86" s="79"/>
      <c r="AG86" s="80"/>
      <c r="AH86" s="79"/>
      <c r="AI86" s="80"/>
      <c r="AJ86" s="79"/>
      <c r="AK86" s="80"/>
      <c r="AL86" s="79"/>
      <c r="AM86" s="80"/>
      <c r="AN86" s="79"/>
      <c r="AO86" s="80"/>
      <c r="AP86" s="79"/>
      <c r="AQ86" s="80"/>
      <c r="AR86" s="71"/>
      <c r="AS86" s="77"/>
      <c r="AT86" s="79"/>
      <c r="AU86" s="80"/>
      <c r="AV86" s="79"/>
      <c r="AW86" s="80"/>
      <c r="AX86" s="79"/>
      <c r="AY86" s="80"/>
      <c r="AZ86" s="79"/>
      <c r="BA86" s="80"/>
      <c r="BB86" s="79"/>
      <c r="BC86" s="80"/>
      <c r="BD86" s="79"/>
      <c r="BE86" s="80"/>
      <c r="BF86" s="71"/>
      <c r="BG86" s="77"/>
      <c r="BH86" s="79"/>
      <c r="BI86" s="80"/>
      <c r="BJ86" s="424">
        <f t="shared" si="9"/>
        <v>0</v>
      </c>
      <c r="BK86" s="425">
        <f t="shared" si="11"/>
        <v>0</v>
      </c>
    </row>
    <row r="87" spans="1:63" ht="15" customHeight="1" x14ac:dyDescent="0.35">
      <c r="A87" s="24"/>
      <c r="B87" s="438"/>
      <c r="C87" s="439"/>
      <c r="D87" s="740"/>
      <c r="E87" s="744"/>
      <c r="F87" s="79"/>
      <c r="G87" s="80"/>
      <c r="H87" s="79"/>
      <c r="I87" s="80"/>
      <c r="J87" s="79"/>
      <c r="K87" s="80"/>
      <c r="L87" s="79"/>
      <c r="M87" s="80"/>
      <c r="N87" s="79"/>
      <c r="O87" s="80"/>
      <c r="P87" s="71"/>
      <c r="Q87" s="77"/>
      <c r="R87" s="71"/>
      <c r="S87" s="77"/>
      <c r="T87" s="79"/>
      <c r="U87" s="80"/>
      <c r="V87" s="79"/>
      <c r="W87" s="80"/>
      <c r="X87" s="79"/>
      <c r="Y87" s="80"/>
      <c r="Z87" s="79"/>
      <c r="AA87" s="80"/>
      <c r="AB87" s="79"/>
      <c r="AC87" s="80"/>
      <c r="AD87" s="71"/>
      <c r="AE87" s="77"/>
      <c r="AF87" s="79"/>
      <c r="AG87" s="80"/>
      <c r="AH87" s="79"/>
      <c r="AI87" s="80"/>
      <c r="AJ87" s="79"/>
      <c r="AK87" s="80"/>
      <c r="AL87" s="79"/>
      <c r="AM87" s="80"/>
      <c r="AN87" s="79"/>
      <c r="AO87" s="80"/>
      <c r="AP87" s="79"/>
      <c r="AQ87" s="80"/>
      <c r="AR87" s="71"/>
      <c r="AS87" s="77"/>
      <c r="AT87" s="79"/>
      <c r="AU87" s="80"/>
      <c r="AV87" s="79"/>
      <c r="AW87" s="80"/>
      <c r="AX87" s="79"/>
      <c r="AY87" s="80"/>
      <c r="AZ87" s="79"/>
      <c r="BA87" s="80"/>
      <c r="BB87" s="79"/>
      <c r="BC87" s="80"/>
      <c r="BD87" s="79"/>
      <c r="BE87" s="80"/>
      <c r="BF87" s="71"/>
      <c r="BG87" s="77"/>
      <c r="BH87" s="79"/>
      <c r="BI87" s="80"/>
      <c r="BJ87" s="424">
        <f t="shared" si="9"/>
        <v>0</v>
      </c>
      <c r="BK87" s="425">
        <f t="shared" si="11"/>
        <v>0</v>
      </c>
    </row>
    <row r="88" spans="1:63" ht="15" customHeight="1" x14ac:dyDescent="0.35">
      <c r="A88" s="24"/>
      <c r="B88" s="438"/>
      <c r="C88" s="439"/>
      <c r="D88" s="740"/>
      <c r="E88" s="744"/>
      <c r="F88" s="79"/>
      <c r="G88" s="80"/>
      <c r="H88" s="79"/>
      <c r="I88" s="80"/>
      <c r="J88" s="79"/>
      <c r="K88" s="80"/>
      <c r="L88" s="79"/>
      <c r="M88" s="80"/>
      <c r="N88" s="79"/>
      <c r="O88" s="80"/>
      <c r="P88" s="71"/>
      <c r="Q88" s="77"/>
      <c r="R88" s="71"/>
      <c r="S88" s="77"/>
      <c r="T88" s="79"/>
      <c r="U88" s="80"/>
      <c r="V88" s="79"/>
      <c r="W88" s="80"/>
      <c r="X88" s="79"/>
      <c r="Y88" s="80"/>
      <c r="Z88" s="79"/>
      <c r="AA88" s="80"/>
      <c r="AB88" s="79"/>
      <c r="AC88" s="80"/>
      <c r="AD88" s="71"/>
      <c r="AE88" s="77"/>
      <c r="AF88" s="79"/>
      <c r="AG88" s="80"/>
      <c r="AH88" s="79"/>
      <c r="AI88" s="80"/>
      <c r="AJ88" s="79"/>
      <c r="AK88" s="80"/>
      <c r="AL88" s="79"/>
      <c r="AM88" s="80"/>
      <c r="AN88" s="79"/>
      <c r="AO88" s="80"/>
      <c r="AP88" s="79"/>
      <c r="AQ88" s="80"/>
      <c r="AR88" s="71"/>
      <c r="AS88" s="77"/>
      <c r="AT88" s="79"/>
      <c r="AU88" s="80"/>
      <c r="AV88" s="79"/>
      <c r="AW88" s="80"/>
      <c r="AX88" s="79"/>
      <c r="AY88" s="80"/>
      <c r="AZ88" s="79"/>
      <c r="BA88" s="80"/>
      <c r="BB88" s="79"/>
      <c r="BC88" s="80"/>
      <c r="BD88" s="79"/>
      <c r="BE88" s="80"/>
      <c r="BF88" s="71"/>
      <c r="BG88" s="77"/>
      <c r="BH88" s="79"/>
      <c r="BI88" s="80"/>
      <c r="BJ88" s="424">
        <f t="shared" si="9"/>
        <v>0</v>
      </c>
      <c r="BK88" s="425">
        <f t="shared" si="11"/>
        <v>0</v>
      </c>
    </row>
    <row r="89" spans="1:63" ht="15" customHeight="1" x14ac:dyDescent="0.35">
      <c r="A89" s="24"/>
      <c r="B89" s="438"/>
      <c r="C89" s="439">
        <f>SUM(BJ90:BJ96)</f>
        <v>0</v>
      </c>
      <c r="D89" s="685" t="s">
        <v>133</v>
      </c>
      <c r="E89" s="753"/>
      <c r="F89" s="79"/>
      <c r="G89" s="80"/>
      <c r="H89" s="79"/>
      <c r="I89" s="80"/>
      <c r="J89" s="79"/>
      <c r="K89" s="80"/>
      <c r="L89" s="79"/>
      <c r="M89" s="80"/>
      <c r="N89" s="79"/>
      <c r="O89" s="80"/>
      <c r="P89" s="71"/>
      <c r="Q89" s="77"/>
      <c r="R89" s="71"/>
      <c r="S89" s="77"/>
      <c r="T89" s="79"/>
      <c r="U89" s="80"/>
      <c r="V89" s="79"/>
      <c r="W89" s="80"/>
      <c r="X89" s="79"/>
      <c r="Y89" s="80"/>
      <c r="Z89" s="79"/>
      <c r="AA89" s="80"/>
      <c r="AB89" s="79"/>
      <c r="AC89" s="80"/>
      <c r="AD89" s="71"/>
      <c r="AE89" s="77"/>
      <c r="AF89" s="79"/>
      <c r="AG89" s="80"/>
      <c r="AH89" s="79"/>
      <c r="AI89" s="80"/>
      <c r="AJ89" s="79"/>
      <c r="AK89" s="80"/>
      <c r="AL89" s="79"/>
      <c r="AM89" s="80"/>
      <c r="AN89" s="79"/>
      <c r="AO89" s="80"/>
      <c r="AP89" s="79"/>
      <c r="AQ89" s="80"/>
      <c r="AR89" s="71"/>
      <c r="AS89" s="77"/>
      <c r="AT89" s="79"/>
      <c r="AU89" s="80"/>
      <c r="AV89" s="79"/>
      <c r="AW89" s="80"/>
      <c r="AX89" s="79"/>
      <c r="AY89" s="80"/>
      <c r="AZ89" s="79"/>
      <c r="BA89" s="80"/>
      <c r="BB89" s="79"/>
      <c r="BC89" s="80"/>
      <c r="BD89" s="79"/>
      <c r="BE89" s="80"/>
      <c r="BF89" s="71"/>
      <c r="BG89" s="77"/>
      <c r="BH89" s="79"/>
      <c r="BI89" s="80"/>
      <c r="BJ89" s="424">
        <f t="shared" ref="BJ89:BJ111" si="12">SUM(F89:BI89)</f>
        <v>0</v>
      </c>
      <c r="BK89" s="425">
        <f t="shared" si="11"/>
        <v>0</v>
      </c>
    </row>
    <row r="90" spans="1:63" ht="15" customHeight="1" x14ac:dyDescent="0.35">
      <c r="A90" s="24"/>
      <c r="B90" s="438" t="s">
        <v>44</v>
      </c>
      <c r="C90" s="439" t="s">
        <v>134</v>
      </c>
      <c r="D90" s="740" t="s">
        <v>135</v>
      </c>
      <c r="E90" s="744"/>
      <c r="F90" s="79"/>
      <c r="G90" s="80"/>
      <c r="H90" s="79"/>
      <c r="I90" s="80"/>
      <c r="J90" s="79"/>
      <c r="K90" s="80"/>
      <c r="L90" s="79"/>
      <c r="M90" s="80"/>
      <c r="N90" s="79"/>
      <c r="O90" s="80"/>
      <c r="P90" s="71"/>
      <c r="Q90" s="77"/>
      <c r="R90" s="71"/>
      <c r="S90" s="77"/>
      <c r="T90" s="79"/>
      <c r="U90" s="80"/>
      <c r="V90" s="79"/>
      <c r="W90" s="80"/>
      <c r="X90" s="79"/>
      <c r="Y90" s="80"/>
      <c r="Z90" s="79"/>
      <c r="AA90" s="80"/>
      <c r="AB90" s="79"/>
      <c r="AC90" s="80"/>
      <c r="AD90" s="71"/>
      <c r="AE90" s="77"/>
      <c r="AF90" s="79"/>
      <c r="AG90" s="80"/>
      <c r="AH90" s="79"/>
      <c r="AI90" s="80"/>
      <c r="AJ90" s="79"/>
      <c r="AK90" s="80"/>
      <c r="AL90" s="79"/>
      <c r="AM90" s="80"/>
      <c r="AN90" s="79"/>
      <c r="AO90" s="80"/>
      <c r="AP90" s="79"/>
      <c r="AQ90" s="80"/>
      <c r="AR90" s="71"/>
      <c r="AS90" s="77"/>
      <c r="AT90" s="79"/>
      <c r="AU90" s="80"/>
      <c r="AV90" s="79"/>
      <c r="AW90" s="80"/>
      <c r="AX90" s="79"/>
      <c r="AY90" s="80"/>
      <c r="AZ90" s="79"/>
      <c r="BA90" s="80"/>
      <c r="BB90" s="79"/>
      <c r="BC90" s="80"/>
      <c r="BD90" s="79"/>
      <c r="BE90" s="80"/>
      <c r="BF90" s="71"/>
      <c r="BG90" s="77"/>
      <c r="BH90" s="79"/>
      <c r="BI90" s="80"/>
      <c r="BJ90" s="424">
        <f t="shared" si="12"/>
        <v>0</v>
      </c>
      <c r="BK90" s="425">
        <f t="shared" si="11"/>
        <v>0</v>
      </c>
    </row>
    <row r="91" spans="1:63" ht="15" customHeight="1" x14ac:dyDescent="0.35">
      <c r="A91" s="24"/>
      <c r="B91" s="438" t="s">
        <v>44</v>
      </c>
      <c r="C91" s="439" t="s">
        <v>136</v>
      </c>
      <c r="D91" s="740" t="s">
        <v>137</v>
      </c>
      <c r="E91" s="744"/>
      <c r="F91" s="79"/>
      <c r="G91" s="80"/>
      <c r="H91" s="79"/>
      <c r="I91" s="80"/>
      <c r="J91" s="79"/>
      <c r="K91" s="80"/>
      <c r="L91" s="79"/>
      <c r="M91" s="80"/>
      <c r="N91" s="79"/>
      <c r="O91" s="80"/>
      <c r="P91" s="71"/>
      <c r="Q91" s="77"/>
      <c r="R91" s="71"/>
      <c r="S91" s="77"/>
      <c r="T91" s="79"/>
      <c r="U91" s="80"/>
      <c r="V91" s="79"/>
      <c r="W91" s="80"/>
      <c r="X91" s="79"/>
      <c r="Y91" s="80"/>
      <c r="Z91" s="79"/>
      <c r="AA91" s="80"/>
      <c r="AB91" s="79"/>
      <c r="AC91" s="80"/>
      <c r="AD91" s="71"/>
      <c r="AE91" s="77"/>
      <c r="AF91" s="79"/>
      <c r="AG91" s="80"/>
      <c r="AH91" s="79"/>
      <c r="AI91" s="80"/>
      <c r="AJ91" s="79"/>
      <c r="AK91" s="80"/>
      <c r="AL91" s="79"/>
      <c r="AM91" s="80"/>
      <c r="AN91" s="79"/>
      <c r="AO91" s="80"/>
      <c r="AP91" s="79"/>
      <c r="AQ91" s="80"/>
      <c r="AR91" s="71"/>
      <c r="AS91" s="77"/>
      <c r="AT91" s="79"/>
      <c r="AU91" s="80"/>
      <c r="AV91" s="79"/>
      <c r="AW91" s="80"/>
      <c r="AX91" s="79"/>
      <c r="AY91" s="80"/>
      <c r="AZ91" s="79"/>
      <c r="BA91" s="80"/>
      <c r="BB91" s="79"/>
      <c r="BC91" s="80"/>
      <c r="BD91" s="79"/>
      <c r="BE91" s="80"/>
      <c r="BF91" s="71"/>
      <c r="BG91" s="77"/>
      <c r="BH91" s="79"/>
      <c r="BI91" s="80"/>
      <c r="BJ91" s="424">
        <f t="shared" si="12"/>
        <v>0</v>
      </c>
      <c r="BK91" s="425">
        <f t="shared" si="11"/>
        <v>0</v>
      </c>
    </row>
    <row r="92" spans="1:63" ht="15" customHeight="1" x14ac:dyDescent="0.35">
      <c r="A92" s="24"/>
      <c r="B92" s="438" t="s">
        <v>44</v>
      </c>
      <c r="C92" s="439" t="s">
        <v>138</v>
      </c>
      <c r="D92" s="740" t="s">
        <v>139</v>
      </c>
      <c r="E92" s="744"/>
      <c r="F92" s="79"/>
      <c r="G92" s="80"/>
      <c r="H92" s="79"/>
      <c r="I92" s="80"/>
      <c r="J92" s="79"/>
      <c r="K92" s="80"/>
      <c r="L92" s="79"/>
      <c r="M92" s="80"/>
      <c r="N92" s="79"/>
      <c r="O92" s="80"/>
      <c r="P92" s="71"/>
      <c r="Q92" s="77"/>
      <c r="R92" s="71"/>
      <c r="S92" s="77"/>
      <c r="T92" s="79"/>
      <c r="U92" s="80"/>
      <c r="V92" s="79"/>
      <c r="W92" s="80"/>
      <c r="X92" s="79"/>
      <c r="Y92" s="80"/>
      <c r="Z92" s="79"/>
      <c r="AA92" s="80"/>
      <c r="AB92" s="79"/>
      <c r="AC92" s="80"/>
      <c r="AD92" s="71"/>
      <c r="AE92" s="77"/>
      <c r="AF92" s="79"/>
      <c r="AG92" s="80"/>
      <c r="AH92" s="79"/>
      <c r="AI92" s="80"/>
      <c r="AJ92" s="79"/>
      <c r="AK92" s="80"/>
      <c r="AL92" s="79"/>
      <c r="AM92" s="80"/>
      <c r="AN92" s="79"/>
      <c r="AO92" s="80"/>
      <c r="AP92" s="79"/>
      <c r="AQ92" s="80"/>
      <c r="AR92" s="71"/>
      <c r="AS92" s="77"/>
      <c r="AT92" s="79"/>
      <c r="AU92" s="80"/>
      <c r="AV92" s="79"/>
      <c r="AW92" s="80"/>
      <c r="AX92" s="79"/>
      <c r="AY92" s="80"/>
      <c r="AZ92" s="79"/>
      <c r="BA92" s="80"/>
      <c r="BB92" s="79"/>
      <c r="BC92" s="80"/>
      <c r="BD92" s="79"/>
      <c r="BE92" s="80"/>
      <c r="BF92" s="71"/>
      <c r="BG92" s="77"/>
      <c r="BH92" s="79"/>
      <c r="BI92" s="80"/>
      <c r="BJ92" s="424">
        <f t="shared" si="12"/>
        <v>0</v>
      </c>
      <c r="BK92" s="425">
        <f t="shared" si="11"/>
        <v>0</v>
      </c>
    </row>
    <row r="93" spans="1:63" ht="15.75" customHeight="1" x14ac:dyDescent="0.35">
      <c r="A93" s="24"/>
      <c r="B93" s="438" t="s">
        <v>44</v>
      </c>
      <c r="C93" s="439" t="s">
        <v>140</v>
      </c>
      <c r="D93" s="740" t="s">
        <v>141</v>
      </c>
      <c r="E93" s="744"/>
      <c r="F93" s="79"/>
      <c r="G93" s="80"/>
      <c r="H93" s="79"/>
      <c r="I93" s="80"/>
      <c r="J93" s="79"/>
      <c r="K93" s="80"/>
      <c r="L93" s="79"/>
      <c r="M93" s="80"/>
      <c r="N93" s="79"/>
      <c r="O93" s="80"/>
      <c r="P93" s="71"/>
      <c r="Q93" s="77"/>
      <c r="R93" s="71"/>
      <c r="S93" s="77"/>
      <c r="T93" s="79"/>
      <c r="U93" s="80"/>
      <c r="V93" s="79"/>
      <c r="W93" s="80"/>
      <c r="X93" s="79"/>
      <c r="Y93" s="80"/>
      <c r="Z93" s="79"/>
      <c r="AA93" s="80"/>
      <c r="AB93" s="79"/>
      <c r="AC93" s="80"/>
      <c r="AD93" s="71"/>
      <c r="AE93" s="77"/>
      <c r="AF93" s="79"/>
      <c r="AG93" s="80"/>
      <c r="AH93" s="79"/>
      <c r="AI93" s="80"/>
      <c r="AJ93" s="79"/>
      <c r="AK93" s="80"/>
      <c r="AL93" s="79"/>
      <c r="AM93" s="80"/>
      <c r="AN93" s="79"/>
      <c r="AO93" s="80"/>
      <c r="AP93" s="79"/>
      <c r="AQ93" s="80"/>
      <c r="AR93" s="71"/>
      <c r="AS93" s="77"/>
      <c r="AT93" s="79"/>
      <c r="AU93" s="80"/>
      <c r="AV93" s="79"/>
      <c r="AW93" s="80"/>
      <c r="AX93" s="79"/>
      <c r="AY93" s="80"/>
      <c r="AZ93" s="79"/>
      <c r="BA93" s="80"/>
      <c r="BB93" s="79"/>
      <c r="BC93" s="80"/>
      <c r="BD93" s="79"/>
      <c r="BE93" s="80"/>
      <c r="BF93" s="71"/>
      <c r="BG93" s="77"/>
      <c r="BH93" s="79"/>
      <c r="BI93" s="80"/>
      <c r="BJ93" s="424">
        <f t="shared" si="12"/>
        <v>0</v>
      </c>
      <c r="BK93" s="425">
        <f t="shared" si="11"/>
        <v>0</v>
      </c>
    </row>
    <row r="94" spans="1:63" ht="15" customHeight="1" x14ac:dyDescent="0.35">
      <c r="A94" s="24"/>
      <c r="B94" s="438" t="s">
        <v>44</v>
      </c>
      <c r="C94" s="439" t="s">
        <v>142</v>
      </c>
      <c r="D94" s="740" t="s">
        <v>143</v>
      </c>
      <c r="E94" s="744"/>
      <c r="F94" s="79"/>
      <c r="G94" s="80"/>
      <c r="H94" s="79"/>
      <c r="I94" s="80"/>
      <c r="J94" s="79"/>
      <c r="K94" s="80"/>
      <c r="L94" s="79"/>
      <c r="M94" s="80"/>
      <c r="N94" s="79"/>
      <c r="O94" s="80"/>
      <c r="P94" s="71"/>
      <c r="Q94" s="77"/>
      <c r="R94" s="71"/>
      <c r="S94" s="77"/>
      <c r="T94" s="79"/>
      <c r="U94" s="80"/>
      <c r="V94" s="79"/>
      <c r="W94" s="80"/>
      <c r="X94" s="79"/>
      <c r="Y94" s="80"/>
      <c r="Z94" s="79"/>
      <c r="AA94" s="80"/>
      <c r="AB94" s="79"/>
      <c r="AC94" s="80"/>
      <c r="AD94" s="71"/>
      <c r="AE94" s="77"/>
      <c r="AF94" s="79"/>
      <c r="AG94" s="80"/>
      <c r="AH94" s="79"/>
      <c r="AI94" s="80"/>
      <c r="AJ94" s="79"/>
      <c r="AK94" s="80"/>
      <c r="AL94" s="79"/>
      <c r="AM94" s="80"/>
      <c r="AN94" s="79"/>
      <c r="AO94" s="80"/>
      <c r="AP94" s="79"/>
      <c r="AQ94" s="80"/>
      <c r="AR94" s="71"/>
      <c r="AS94" s="77"/>
      <c r="AT94" s="79"/>
      <c r="AU94" s="80"/>
      <c r="AV94" s="79"/>
      <c r="AW94" s="80"/>
      <c r="AX94" s="79"/>
      <c r="AY94" s="80"/>
      <c r="AZ94" s="79"/>
      <c r="BA94" s="80"/>
      <c r="BB94" s="79"/>
      <c r="BC94" s="80"/>
      <c r="BD94" s="79"/>
      <c r="BE94" s="80"/>
      <c r="BF94" s="71"/>
      <c r="BG94" s="77"/>
      <c r="BH94" s="79"/>
      <c r="BI94" s="80"/>
      <c r="BJ94" s="424">
        <f t="shared" si="12"/>
        <v>0</v>
      </c>
      <c r="BK94" s="425">
        <f t="shared" si="11"/>
        <v>0</v>
      </c>
    </row>
    <row r="95" spans="1:63" ht="15" customHeight="1" x14ac:dyDescent="0.35">
      <c r="A95" s="24"/>
      <c r="B95" s="438" t="s">
        <v>85</v>
      </c>
      <c r="C95" s="439" t="s">
        <v>144</v>
      </c>
      <c r="D95" s="740" t="s">
        <v>143</v>
      </c>
      <c r="E95" s="744"/>
      <c r="F95" s="79"/>
      <c r="G95" s="80"/>
      <c r="H95" s="79"/>
      <c r="I95" s="80"/>
      <c r="J95" s="79"/>
      <c r="K95" s="80"/>
      <c r="L95" s="79"/>
      <c r="M95" s="80"/>
      <c r="N95" s="79"/>
      <c r="O95" s="80"/>
      <c r="P95" s="71"/>
      <c r="Q95" s="77"/>
      <c r="R95" s="71"/>
      <c r="S95" s="77"/>
      <c r="T95" s="79"/>
      <c r="U95" s="80"/>
      <c r="V95" s="79"/>
      <c r="W95" s="80"/>
      <c r="X95" s="79"/>
      <c r="Y95" s="80"/>
      <c r="Z95" s="79"/>
      <c r="AA95" s="80"/>
      <c r="AB95" s="79"/>
      <c r="AC95" s="80"/>
      <c r="AD95" s="71"/>
      <c r="AE95" s="77"/>
      <c r="AF95" s="79"/>
      <c r="AG95" s="80"/>
      <c r="AH95" s="79"/>
      <c r="AI95" s="80"/>
      <c r="AJ95" s="79"/>
      <c r="AK95" s="80"/>
      <c r="AL95" s="79"/>
      <c r="AM95" s="80"/>
      <c r="AN95" s="79"/>
      <c r="AO95" s="80"/>
      <c r="AP95" s="79"/>
      <c r="AQ95" s="80"/>
      <c r="AR95" s="71"/>
      <c r="AS95" s="77"/>
      <c r="AT95" s="79"/>
      <c r="AU95" s="80"/>
      <c r="AV95" s="79"/>
      <c r="AW95" s="80"/>
      <c r="AX95" s="79"/>
      <c r="AY95" s="80"/>
      <c r="AZ95" s="79"/>
      <c r="BA95" s="80"/>
      <c r="BB95" s="79"/>
      <c r="BC95" s="80"/>
      <c r="BD95" s="79"/>
      <c r="BE95" s="80"/>
      <c r="BF95" s="71"/>
      <c r="BG95" s="77"/>
      <c r="BH95" s="79"/>
      <c r="BI95" s="80"/>
      <c r="BJ95" s="424">
        <f t="shared" si="12"/>
        <v>0</v>
      </c>
      <c r="BK95" s="425">
        <f t="shared" si="11"/>
        <v>0</v>
      </c>
    </row>
    <row r="96" spans="1:63" ht="15.75" customHeight="1" x14ac:dyDescent="0.35">
      <c r="A96" s="24"/>
      <c r="B96" s="438"/>
      <c r="C96" s="439"/>
      <c r="D96" s="740"/>
      <c r="E96" s="744"/>
      <c r="F96" s="79"/>
      <c r="G96" s="80"/>
      <c r="H96" s="79"/>
      <c r="I96" s="80"/>
      <c r="J96" s="79"/>
      <c r="K96" s="80"/>
      <c r="L96" s="79"/>
      <c r="M96" s="80"/>
      <c r="N96" s="79"/>
      <c r="O96" s="80"/>
      <c r="P96" s="71"/>
      <c r="Q96" s="77"/>
      <c r="R96" s="71"/>
      <c r="S96" s="77"/>
      <c r="T96" s="79"/>
      <c r="U96" s="80"/>
      <c r="V96" s="79"/>
      <c r="W96" s="80"/>
      <c r="X96" s="79"/>
      <c r="Y96" s="80"/>
      <c r="Z96" s="79"/>
      <c r="AA96" s="80"/>
      <c r="AB96" s="79"/>
      <c r="AC96" s="80"/>
      <c r="AD96" s="71"/>
      <c r="AE96" s="77"/>
      <c r="AF96" s="79"/>
      <c r="AG96" s="80"/>
      <c r="AH96" s="79"/>
      <c r="AI96" s="80"/>
      <c r="AJ96" s="79"/>
      <c r="AK96" s="80"/>
      <c r="AL96" s="79"/>
      <c r="AM96" s="80"/>
      <c r="AN96" s="79"/>
      <c r="AO96" s="80"/>
      <c r="AP96" s="79"/>
      <c r="AQ96" s="80"/>
      <c r="AR96" s="71"/>
      <c r="AS96" s="77"/>
      <c r="AT96" s="79"/>
      <c r="AU96" s="80"/>
      <c r="AV96" s="79"/>
      <c r="AW96" s="80"/>
      <c r="AX96" s="79"/>
      <c r="AY96" s="80"/>
      <c r="AZ96" s="79"/>
      <c r="BA96" s="80"/>
      <c r="BB96" s="79"/>
      <c r="BC96" s="80"/>
      <c r="BD96" s="79"/>
      <c r="BE96" s="80"/>
      <c r="BF96" s="71"/>
      <c r="BG96" s="77"/>
      <c r="BH96" s="79"/>
      <c r="BI96" s="80"/>
      <c r="BJ96" s="424">
        <f t="shared" si="12"/>
        <v>0</v>
      </c>
      <c r="BK96" s="425">
        <f t="shared" si="11"/>
        <v>0</v>
      </c>
    </row>
    <row r="97" spans="1:63" ht="15.75" customHeight="1" x14ac:dyDescent="0.35">
      <c r="A97" s="24"/>
      <c r="B97" s="438"/>
      <c r="C97" s="439">
        <f>SUM(BJ98:BJ102)</f>
        <v>0</v>
      </c>
      <c r="D97" s="685" t="s">
        <v>145</v>
      </c>
      <c r="E97" s="753"/>
      <c r="F97" s="79"/>
      <c r="G97" s="80"/>
      <c r="H97" s="79"/>
      <c r="I97" s="80"/>
      <c r="J97" s="79"/>
      <c r="K97" s="80"/>
      <c r="L97" s="79"/>
      <c r="M97" s="80"/>
      <c r="N97" s="79"/>
      <c r="O97" s="80"/>
      <c r="P97" s="71"/>
      <c r="Q97" s="77"/>
      <c r="R97" s="71"/>
      <c r="S97" s="77"/>
      <c r="T97" s="79"/>
      <c r="U97" s="80"/>
      <c r="V97" s="79"/>
      <c r="W97" s="80"/>
      <c r="X97" s="79"/>
      <c r="Y97" s="80"/>
      <c r="Z97" s="79"/>
      <c r="AA97" s="80"/>
      <c r="AB97" s="79"/>
      <c r="AC97" s="80"/>
      <c r="AD97" s="71"/>
      <c r="AE97" s="77"/>
      <c r="AF97" s="79"/>
      <c r="AG97" s="80"/>
      <c r="AH97" s="79"/>
      <c r="AI97" s="80"/>
      <c r="AJ97" s="79"/>
      <c r="AK97" s="80"/>
      <c r="AL97" s="79"/>
      <c r="AM97" s="80"/>
      <c r="AN97" s="79"/>
      <c r="AO97" s="80"/>
      <c r="AP97" s="79"/>
      <c r="AQ97" s="80"/>
      <c r="AR97" s="71"/>
      <c r="AS97" s="77"/>
      <c r="AT97" s="79"/>
      <c r="AU97" s="80"/>
      <c r="AV97" s="79"/>
      <c r="AW97" s="80"/>
      <c r="AX97" s="79"/>
      <c r="AY97" s="80"/>
      <c r="AZ97" s="79"/>
      <c r="BA97" s="80"/>
      <c r="BB97" s="79"/>
      <c r="BC97" s="80"/>
      <c r="BD97" s="79"/>
      <c r="BE97" s="80"/>
      <c r="BF97" s="71"/>
      <c r="BG97" s="77"/>
      <c r="BH97" s="79"/>
      <c r="BI97" s="80"/>
      <c r="BJ97" s="424">
        <f t="shared" si="12"/>
        <v>0</v>
      </c>
      <c r="BK97" s="425">
        <f t="shared" si="11"/>
        <v>0</v>
      </c>
    </row>
    <row r="98" spans="1:63" ht="15" customHeight="1" x14ac:dyDescent="0.35">
      <c r="A98" s="24"/>
      <c r="B98" s="438" t="s">
        <v>85</v>
      </c>
      <c r="C98" s="439" t="s">
        <v>146</v>
      </c>
      <c r="D98" s="740" t="s">
        <v>147</v>
      </c>
      <c r="E98" s="744"/>
      <c r="F98" s="79"/>
      <c r="G98" s="80"/>
      <c r="H98" s="79"/>
      <c r="I98" s="80"/>
      <c r="J98" s="79"/>
      <c r="K98" s="80"/>
      <c r="L98" s="79"/>
      <c r="M98" s="80"/>
      <c r="N98" s="79"/>
      <c r="O98" s="80"/>
      <c r="P98" s="71"/>
      <c r="Q98" s="77"/>
      <c r="R98" s="71"/>
      <c r="S98" s="77"/>
      <c r="T98" s="79"/>
      <c r="U98" s="80"/>
      <c r="V98" s="79"/>
      <c r="W98" s="80"/>
      <c r="X98" s="79"/>
      <c r="Y98" s="80"/>
      <c r="Z98" s="79"/>
      <c r="AA98" s="80"/>
      <c r="AB98" s="79"/>
      <c r="AC98" s="80"/>
      <c r="AD98" s="71"/>
      <c r="AE98" s="77"/>
      <c r="AF98" s="79"/>
      <c r="AG98" s="80"/>
      <c r="AH98" s="79"/>
      <c r="AI98" s="80"/>
      <c r="AJ98" s="79"/>
      <c r="AK98" s="80"/>
      <c r="AL98" s="79"/>
      <c r="AM98" s="80"/>
      <c r="AN98" s="79"/>
      <c r="AO98" s="80"/>
      <c r="AP98" s="79"/>
      <c r="AQ98" s="80"/>
      <c r="AR98" s="71"/>
      <c r="AS98" s="77"/>
      <c r="AT98" s="79"/>
      <c r="AU98" s="80"/>
      <c r="AV98" s="79"/>
      <c r="AW98" s="80"/>
      <c r="AX98" s="79"/>
      <c r="AY98" s="80"/>
      <c r="AZ98" s="79"/>
      <c r="BA98" s="80"/>
      <c r="BB98" s="79"/>
      <c r="BC98" s="80"/>
      <c r="BD98" s="79"/>
      <c r="BE98" s="80"/>
      <c r="BF98" s="71"/>
      <c r="BG98" s="77"/>
      <c r="BH98" s="79"/>
      <c r="BI98" s="80"/>
      <c r="BJ98" s="424">
        <f t="shared" si="12"/>
        <v>0</v>
      </c>
      <c r="BK98" s="425">
        <f t="shared" si="11"/>
        <v>0</v>
      </c>
    </row>
    <row r="99" spans="1:63" ht="15" customHeight="1" x14ac:dyDescent="0.35">
      <c r="A99" s="24"/>
      <c r="B99" s="438" t="s">
        <v>44</v>
      </c>
      <c r="C99" s="439" t="s">
        <v>148</v>
      </c>
      <c r="D99" s="740" t="s">
        <v>137</v>
      </c>
      <c r="E99" s="744"/>
      <c r="F99" s="79"/>
      <c r="G99" s="80"/>
      <c r="H99" s="79"/>
      <c r="I99" s="80"/>
      <c r="J99" s="79"/>
      <c r="K99" s="80"/>
      <c r="L99" s="79"/>
      <c r="M99" s="80"/>
      <c r="N99" s="79"/>
      <c r="O99" s="80"/>
      <c r="P99" s="71"/>
      <c r="Q99" s="77"/>
      <c r="R99" s="71"/>
      <c r="S99" s="77"/>
      <c r="T99" s="79"/>
      <c r="U99" s="80"/>
      <c r="V99" s="79"/>
      <c r="W99" s="80"/>
      <c r="X99" s="79"/>
      <c r="Y99" s="80"/>
      <c r="Z99" s="79"/>
      <c r="AA99" s="80"/>
      <c r="AB99" s="79"/>
      <c r="AC99" s="80"/>
      <c r="AD99" s="71"/>
      <c r="AE99" s="77"/>
      <c r="AF99" s="79"/>
      <c r="AG99" s="80"/>
      <c r="AH99" s="79"/>
      <c r="AI99" s="80"/>
      <c r="AJ99" s="79"/>
      <c r="AK99" s="80"/>
      <c r="AL99" s="79"/>
      <c r="AM99" s="80"/>
      <c r="AN99" s="79"/>
      <c r="AO99" s="80"/>
      <c r="AP99" s="79"/>
      <c r="AQ99" s="80"/>
      <c r="AR99" s="71"/>
      <c r="AS99" s="77"/>
      <c r="AT99" s="79"/>
      <c r="AU99" s="80"/>
      <c r="AV99" s="79"/>
      <c r="AW99" s="80"/>
      <c r="AX99" s="79"/>
      <c r="AY99" s="80"/>
      <c r="AZ99" s="79"/>
      <c r="BA99" s="80"/>
      <c r="BB99" s="79"/>
      <c r="BC99" s="80"/>
      <c r="BD99" s="79"/>
      <c r="BE99" s="80"/>
      <c r="BF99" s="71"/>
      <c r="BG99" s="77"/>
      <c r="BH99" s="79"/>
      <c r="BI99" s="80"/>
      <c r="BJ99" s="424">
        <f t="shared" si="12"/>
        <v>0</v>
      </c>
      <c r="BK99" s="425">
        <f t="shared" si="11"/>
        <v>0</v>
      </c>
    </row>
    <row r="100" spans="1:63" ht="15" customHeight="1" x14ac:dyDescent="0.35">
      <c r="A100" s="24"/>
      <c r="B100" s="438" t="s">
        <v>44</v>
      </c>
      <c r="C100" s="439" t="s">
        <v>149</v>
      </c>
      <c r="D100" s="740" t="s">
        <v>150</v>
      </c>
      <c r="E100" s="744"/>
      <c r="F100" s="79"/>
      <c r="G100" s="80"/>
      <c r="H100" s="79"/>
      <c r="I100" s="80"/>
      <c r="J100" s="79"/>
      <c r="K100" s="80"/>
      <c r="L100" s="79"/>
      <c r="M100" s="80"/>
      <c r="N100" s="79"/>
      <c r="O100" s="80"/>
      <c r="P100" s="71"/>
      <c r="Q100" s="77"/>
      <c r="R100" s="71"/>
      <c r="S100" s="77"/>
      <c r="T100" s="79"/>
      <c r="U100" s="80"/>
      <c r="V100" s="79"/>
      <c r="W100" s="80"/>
      <c r="X100" s="79"/>
      <c r="Y100" s="80"/>
      <c r="Z100" s="79"/>
      <c r="AA100" s="80"/>
      <c r="AB100" s="79"/>
      <c r="AC100" s="80"/>
      <c r="AD100" s="71"/>
      <c r="AE100" s="77"/>
      <c r="AF100" s="79"/>
      <c r="AG100" s="80"/>
      <c r="AH100" s="79"/>
      <c r="AI100" s="80"/>
      <c r="AJ100" s="79"/>
      <c r="AK100" s="80"/>
      <c r="AL100" s="79"/>
      <c r="AM100" s="80"/>
      <c r="AN100" s="79"/>
      <c r="AO100" s="80"/>
      <c r="AP100" s="79"/>
      <c r="AQ100" s="80"/>
      <c r="AR100" s="71"/>
      <c r="AS100" s="77"/>
      <c r="AT100" s="79"/>
      <c r="AU100" s="80"/>
      <c r="AV100" s="79"/>
      <c r="AW100" s="80"/>
      <c r="AX100" s="79"/>
      <c r="AY100" s="80"/>
      <c r="AZ100" s="79"/>
      <c r="BA100" s="80"/>
      <c r="BB100" s="79"/>
      <c r="BC100" s="80"/>
      <c r="BD100" s="79"/>
      <c r="BE100" s="80"/>
      <c r="BF100" s="71"/>
      <c r="BG100" s="77"/>
      <c r="BH100" s="79"/>
      <c r="BI100" s="80"/>
      <c r="BJ100" s="424">
        <f t="shared" si="12"/>
        <v>0</v>
      </c>
      <c r="BK100" s="425">
        <f t="shared" si="11"/>
        <v>0</v>
      </c>
    </row>
    <row r="101" spans="1:63" ht="15" customHeight="1" x14ac:dyDescent="0.35">
      <c r="A101" s="24"/>
      <c r="B101" s="439"/>
      <c r="C101" s="439"/>
      <c r="D101" s="740"/>
      <c r="E101" s="744"/>
      <c r="F101" s="79"/>
      <c r="G101" s="80"/>
      <c r="H101" s="79"/>
      <c r="I101" s="80"/>
      <c r="J101" s="79"/>
      <c r="K101" s="80"/>
      <c r="L101" s="79"/>
      <c r="M101" s="80"/>
      <c r="N101" s="79"/>
      <c r="O101" s="80"/>
      <c r="P101" s="71"/>
      <c r="Q101" s="77"/>
      <c r="R101" s="71"/>
      <c r="S101" s="77"/>
      <c r="T101" s="79"/>
      <c r="U101" s="80"/>
      <c r="V101" s="79"/>
      <c r="W101" s="80"/>
      <c r="X101" s="79"/>
      <c r="Y101" s="80"/>
      <c r="Z101" s="79"/>
      <c r="AA101" s="80"/>
      <c r="AB101" s="79"/>
      <c r="AC101" s="80"/>
      <c r="AD101" s="71"/>
      <c r="AE101" s="77"/>
      <c r="AF101" s="79"/>
      <c r="AG101" s="80"/>
      <c r="AH101" s="79"/>
      <c r="AI101" s="80"/>
      <c r="AJ101" s="79"/>
      <c r="AK101" s="80"/>
      <c r="AL101" s="79"/>
      <c r="AM101" s="80"/>
      <c r="AN101" s="79"/>
      <c r="AO101" s="80"/>
      <c r="AP101" s="79"/>
      <c r="AQ101" s="80"/>
      <c r="AR101" s="71"/>
      <c r="AS101" s="77"/>
      <c r="AT101" s="79"/>
      <c r="AU101" s="80"/>
      <c r="AV101" s="79"/>
      <c r="AW101" s="80"/>
      <c r="AX101" s="79"/>
      <c r="AY101" s="80"/>
      <c r="AZ101" s="79"/>
      <c r="BA101" s="80"/>
      <c r="BB101" s="79"/>
      <c r="BC101" s="80"/>
      <c r="BD101" s="79"/>
      <c r="BE101" s="80"/>
      <c r="BF101" s="71"/>
      <c r="BG101" s="77"/>
      <c r="BH101" s="79"/>
      <c r="BI101" s="80"/>
      <c r="BJ101" s="424">
        <f t="shared" si="12"/>
        <v>0</v>
      </c>
      <c r="BK101" s="425">
        <f t="shared" si="11"/>
        <v>0</v>
      </c>
    </row>
    <row r="102" spans="1:63" ht="15" customHeight="1" x14ac:dyDescent="0.35">
      <c r="A102" s="24"/>
      <c r="B102" s="439"/>
      <c r="C102" s="439"/>
      <c r="D102" s="740"/>
      <c r="E102" s="744"/>
      <c r="F102" s="79"/>
      <c r="G102" s="80"/>
      <c r="H102" s="79"/>
      <c r="I102" s="80"/>
      <c r="J102" s="79"/>
      <c r="K102" s="80"/>
      <c r="L102" s="79"/>
      <c r="M102" s="80"/>
      <c r="N102" s="79"/>
      <c r="O102" s="80"/>
      <c r="P102" s="71"/>
      <c r="Q102" s="77"/>
      <c r="R102" s="71"/>
      <c r="S102" s="77"/>
      <c r="T102" s="79"/>
      <c r="U102" s="80"/>
      <c r="V102" s="79"/>
      <c r="W102" s="80"/>
      <c r="X102" s="79"/>
      <c r="Y102" s="80"/>
      <c r="Z102" s="79"/>
      <c r="AA102" s="80"/>
      <c r="AB102" s="79"/>
      <c r="AC102" s="80"/>
      <c r="AD102" s="71"/>
      <c r="AE102" s="77"/>
      <c r="AF102" s="79"/>
      <c r="AG102" s="80"/>
      <c r="AH102" s="79"/>
      <c r="AI102" s="80"/>
      <c r="AJ102" s="79"/>
      <c r="AK102" s="80"/>
      <c r="AL102" s="79"/>
      <c r="AM102" s="80"/>
      <c r="AN102" s="79"/>
      <c r="AO102" s="80"/>
      <c r="AP102" s="79"/>
      <c r="AQ102" s="80"/>
      <c r="AR102" s="71"/>
      <c r="AS102" s="77"/>
      <c r="AT102" s="79"/>
      <c r="AU102" s="80"/>
      <c r="AV102" s="79"/>
      <c r="AW102" s="80"/>
      <c r="AX102" s="79"/>
      <c r="AY102" s="80"/>
      <c r="AZ102" s="79"/>
      <c r="BA102" s="80"/>
      <c r="BB102" s="79"/>
      <c r="BC102" s="80"/>
      <c r="BD102" s="79"/>
      <c r="BE102" s="80"/>
      <c r="BF102" s="71"/>
      <c r="BG102" s="77"/>
      <c r="BH102" s="79"/>
      <c r="BI102" s="80"/>
      <c r="BJ102" s="424">
        <f t="shared" si="12"/>
        <v>0</v>
      </c>
      <c r="BK102" s="425">
        <f t="shared" si="11"/>
        <v>0</v>
      </c>
    </row>
    <row r="103" spans="1:63" ht="18.75" x14ac:dyDescent="0.3">
      <c r="A103" s="31"/>
      <c r="B103" s="440"/>
      <c r="C103" s="440"/>
      <c r="D103" s="745" t="s">
        <v>151</v>
      </c>
      <c r="E103" s="746"/>
      <c r="F103" s="441"/>
      <c r="G103" s="442"/>
      <c r="H103" s="441"/>
      <c r="I103" s="442"/>
      <c r="J103" s="441"/>
      <c r="K103" s="442"/>
      <c r="L103" s="441"/>
      <c r="M103" s="442"/>
      <c r="N103" s="441"/>
      <c r="O103" s="442"/>
      <c r="P103" s="422"/>
      <c r="Q103" s="423"/>
      <c r="R103" s="422"/>
      <c r="S103" s="423"/>
      <c r="T103" s="441"/>
      <c r="U103" s="442"/>
      <c r="V103" s="441"/>
      <c r="W103" s="442"/>
      <c r="X103" s="441"/>
      <c r="Y103" s="442"/>
      <c r="Z103" s="441"/>
      <c r="AA103" s="442"/>
      <c r="AB103" s="441"/>
      <c r="AC103" s="442"/>
      <c r="AD103" s="422"/>
      <c r="AE103" s="423"/>
      <c r="AF103" s="441"/>
      <c r="AG103" s="442"/>
      <c r="AH103" s="441"/>
      <c r="AI103" s="442"/>
      <c r="AJ103" s="441"/>
      <c r="AK103" s="442"/>
      <c r="AL103" s="441"/>
      <c r="AM103" s="442"/>
      <c r="AN103" s="441"/>
      <c r="AO103" s="442"/>
      <c r="AP103" s="441"/>
      <c r="AQ103" s="442"/>
      <c r="AR103" s="422"/>
      <c r="AS103" s="423"/>
      <c r="AT103" s="441"/>
      <c r="AU103" s="442"/>
      <c r="AV103" s="441"/>
      <c r="AW103" s="442"/>
      <c r="AX103" s="441"/>
      <c r="AY103" s="442"/>
      <c r="AZ103" s="441"/>
      <c r="BA103" s="442"/>
      <c r="BB103" s="441"/>
      <c r="BC103" s="442"/>
      <c r="BD103" s="441"/>
      <c r="BE103" s="442"/>
      <c r="BF103" s="422"/>
      <c r="BG103" s="423"/>
      <c r="BH103" s="441"/>
      <c r="BI103" s="442"/>
      <c r="BJ103" s="424">
        <f t="shared" si="12"/>
        <v>0</v>
      </c>
      <c r="BK103" s="425"/>
    </row>
    <row r="104" spans="1:63" ht="18.75" x14ac:dyDescent="0.3">
      <c r="A104" s="31"/>
      <c r="B104" s="440"/>
      <c r="C104" s="440"/>
      <c r="D104" s="747" t="s">
        <v>152</v>
      </c>
      <c r="E104" s="748"/>
      <c r="F104" s="443"/>
      <c r="G104" s="444"/>
      <c r="H104" s="443"/>
      <c r="I104" s="444"/>
      <c r="J104" s="443"/>
      <c r="K104" s="444"/>
      <c r="L104" s="443"/>
      <c r="M104" s="444"/>
      <c r="N104" s="443"/>
      <c r="O104" s="444"/>
      <c r="P104" s="422"/>
      <c r="Q104" s="423"/>
      <c r="R104" s="422"/>
      <c r="S104" s="423"/>
      <c r="T104" s="443"/>
      <c r="U104" s="444"/>
      <c r="V104" s="443"/>
      <c r="W104" s="444"/>
      <c r="X104" s="443"/>
      <c r="Y104" s="444"/>
      <c r="Z104" s="443"/>
      <c r="AA104" s="444"/>
      <c r="AB104" s="443"/>
      <c r="AC104" s="444"/>
      <c r="AD104" s="422"/>
      <c r="AE104" s="423"/>
      <c r="AF104" s="443"/>
      <c r="AG104" s="444"/>
      <c r="AH104" s="443"/>
      <c r="AI104" s="444"/>
      <c r="AJ104" s="443"/>
      <c r="AK104" s="444"/>
      <c r="AL104" s="443"/>
      <c r="AM104" s="444"/>
      <c r="AN104" s="443"/>
      <c r="AO104" s="444"/>
      <c r="AP104" s="443"/>
      <c r="AQ104" s="444"/>
      <c r="AR104" s="422"/>
      <c r="AS104" s="423"/>
      <c r="AT104" s="443"/>
      <c r="AU104" s="444"/>
      <c r="AV104" s="443"/>
      <c r="AW104" s="444"/>
      <c r="AX104" s="443"/>
      <c r="AY104" s="444"/>
      <c r="AZ104" s="443"/>
      <c r="BA104" s="444"/>
      <c r="BB104" s="443"/>
      <c r="BC104" s="444"/>
      <c r="BD104" s="443"/>
      <c r="BE104" s="444"/>
      <c r="BF104" s="422"/>
      <c r="BG104" s="423"/>
      <c r="BH104" s="443"/>
      <c r="BI104" s="444"/>
      <c r="BJ104" s="424">
        <f t="shared" si="12"/>
        <v>0</v>
      </c>
      <c r="BK104" s="425"/>
    </row>
    <row r="105" spans="1:63" s="1" customFormat="1" ht="21" x14ac:dyDescent="0.35">
      <c r="A105" s="36"/>
      <c r="B105" s="421"/>
      <c r="C105" s="421"/>
      <c r="D105" s="749" t="s">
        <v>1041</v>
      </c>
      <c r="E105" s="750"/>
      <c r="F105" s="602">
        <v>6</v>
      </c>
      <c r="G105" s="603">
        <v>6</v>
      </c>
      <c r="H105" s="601">
        <v>6</v>
      </c>
      <c r="I105" s="604">
        <v>6</v>
      </c>
      <c r="J105" s="601">
        <v>6</v>
      </c>
      <c r="K105" s="601">
        <v>6</v>
      </c>
      <c r="L105" s="602">
        <v>6</v>
      </c>
      <c r="M105" s="603">
        <v>6</v>
      </c>
      <c r="N105" s="602">
        <v>6</v>
      </c>
      <c r="O105" s="603">
        <v>6</v>
      </c>
      <c r="P105" s="605"/>
      <c r="Q105" s="606"/>
      <c r="R105" s="605"/>
      <c r="S105" s="606"/>
      <c r="T105" s="602">
        <v>6</v>
      </c>
      <c r="U105" s="603">
        <v>6</v>
      </c>
      <c r="V105" s="602">
        <v>6</v>
      </c>
      <c r="W105" s="603">
        <v>6</v>
      </c>
      <c r="X105" s="602">
        <v>6</v>
      </c>
      <c r="Y105" s="603">
        <v>6</v>
      </c>
      <c r="Z105" s="603">
        <v>6</v>
      </c>
      <c r="AA105" s="603">
        <v>6</v>
      </c>
      <c r="AB105" s="602">
        <v>6</v>
      </c>
      <c r="AC105" s="603">
        <v>6</v>
      </c>
      <c r="AD105" s="605"/>
      <c r="AE105" s="606"/>
      <c r="AF105" s="602">
        <v>6</v>
      </c>
      <c r="AG105" s="603">
        <v>6</v>
      </c>
      <c r="AH105" s="602"/>
      <c r="AI105" s="603"/>
      <c r="AJ105" s="602"/>
      <c r="AK105" s="603"/>
      <c r="AL105" s="602"/>
      <c r="AM105" s="603"/>
      <c r="AN105" s="602"/>
      <c r="AO105" s="603"/>
      <c r="AP105" s="603"/>
      <c r="AQ105" s="603"/>
      <c r="AR105" s="605"/>
      <c r="AS105" s="606"/>
      <c r="AT105" s="602"/>
      <c r="AU105" s="603"/>
      <c r="AV105" s="602"/>
      <c r="AW105" s="603"/>
      <c r="AX105" s="602"/>
      <c r="AY105" s="603"/>
      <c r="AZ105" s="602"/>
      <c r="BA105" s="603"/>
      <c r="BB105" s="602"/>
      <c r="BC105" s="603"/>
      <c r="BD105" s="602"/>
      <c r="BE105" s="603"/>
      <c r="BF105" s="605"/>
      <c r="BG105" s="606"/>
      <c r="BH105" s="602"/>
      <c r="BI105" s="603"/>
      <c r="BJ105" s="424">
        <f t="shared" si="12"/>
        <v>132</v>
      </c>
      <c r="BK105" s="445"/>
    </row>
    <row r="106" spans="1:63" s="1" customFormat="1" ht="18.75" x14ac:dyDescent="0.3">
      <c r="A106" s="36"/>
      <c r="B106" s="421"/>
      <c r="C106" s="421"/>
      <c r="D106" s="749" t="s">
        <v>154</v>
      </c>
      <c r="E106" s="750"/>
      <c r="F106" s="607"/>
      <c r="G106" s="608"/>
      <c r="H106" s="607"/>
      <c r="I106" s="608"/>
      <c r="J106" s="607"/>
      <c r="K106" s="608"/>
      <c r="L106" s="607"/>
      <c r="M106" s="608"/>
      <c r="N106" s="607"/>
      <c r="O106" s="608"/>
      <c r="P106" s="605"/>
      <c r="Q106" s="606"/>
      <c r="R106" s="605"/>
      <c r="S106" s="606"/>
      <c r="T106" s="607"/>
      <c r="U106" s="608"/>
      <c r="V106" s="607"/>
      <c r="W106" s="608"/>
      <c r="X106" s="607"/>
      <c r="Y106" s="608"/>
      <c r="Z106" s="607"/>
      <c r="AA106" s="608"/>
      <c r="AB106" s="607"/>
      <c r="AC106" s="608">
        <v>10</v>
      </c>
      <c r="AD106" s="605"/>
      <c r="AE106" s="606"/>
      <c r="AF106" s="607">
        <v>10</v>
      </c>
      <c r="AG106" s="608"/>
      <c r="AH106" s="607"/>
      <c r="AI106" s="608"/>
      <c r="AJ106" s="607"/>
      <c r="AK106" s="608"/>
      <c r="AL106" s="607"/>
      <c r="AM106" s="608"/>
      <c r="AN106" s="607"/>
      <c r="AO106" s="608"/>
      <c r="AP106" s="607"/>
      <c r="AQ106" s="608"/>
      <c r="AR106" s="605"/>
      <c r="AS106" s="606"/>
      <c r="AT106" s="607"/>
      <c r="AU106" s="608"/>
      <c r="AV106" s="607"/>
      <c r="AW106" s="608"/>
      <c r="AX106" s="607"/>
      <c r="AY106" s="608"/>
      <c r="AZ106" s="607"/>
      <c r="BA106" s="608"/>
      <c r="BB106" s="607"/>
      <c r="BC106" s="608"/>
      <c r="BD106" s="607"/>
      <c r="BE106" s="608"/>
      <c r="BF106" s="605"/>
      <c r="BG106" s="606"/>
      <c r="BH106" s="607"/>
      <c r="BI106" s="608"/>
      <c r="BJ106" s="424">
        <f t="shared" si="12"/>
        <v>20</v>
      </c>
      <c r="BK106" s="445"/>
    </row>
    <row r="107" spans="1:63" s="1" customFormat="1" ht="18.75" x14ac:dyDescent="0.3">
      <c r="A107" s="36"/>
      <c r="B107" s="421"/>
      <c r="C107" s="421"/>
      <c r="D107" s="749" t="s">
        <v>155</v>
      </c>
      <c r="E107" s="750"/>
      <c r="F107" s="607">
        <f t="shared" ref="F107:L107" si="13">(F105*60)+F106</f>
        <v>360</v>
      </c>
      <c r="G107" s="608">
        <f t="shared" si="13"/>
        <v>360</v>
      </c>
      <c r="H107" s="607">
        <f t="shared" si="13"/>
        <v>360</v>
      </c>
      <c r="I107" s="608">
        <f t="shared" si="13"/>
        <v>360</v>
      </c>
      <c r="J107" s="607">
        <f t="shared" si="13"/>
        <v>360</v>
      </c>
      <c r="K107" s="608">
        <f t="shared" si="13"/>
        <v>360</v>
      </c>
      <c r="L107" s="607">
        <f t="shared" si="13"/>
        <v>360</v>
      </c>
      <c r="M107" s="608">
        <f t="shared" ref="M107:U107" si="14">(M105*60)+M106</f>
        <v>360</v>
      </c>
      <c r="N107" s="607">
        <f t="shared" si="14"/>
        <v>360</v>
      </c>
      <c r="O107" s="608">
        <f t="shared" si="14"/>
        <v>360</v>
      </c>
      <c r="P107" s="605">
        <f t="shared" si="14"/>
        <v>0</v>
      </c>
      <c r="Q107" s="606">
        <f t="shared" si="14"/>
        <v>0</v>
      </c>
      <c r="R107" s="605">
        <f t="shared" si="14"/>
        <v>0</v>
      </c>
      <c r="S107" s="606">
        <f t="shared" si="14"/>
        <v>0</v>
      </c>
      <c r="T107" s="607">
        <f t="shared" si="14"/>
        <v>360</v>
      </c>
      <c r="U107" s="608">
        <f t="shared" si="14"/>
        <v>360</v>
      </c>
      <c r="V107" s="607">
        <f>(V105*60)+V106</f>
        <v>360</v>
      </c>
      <c r="W107" s="608">
        <f>(W105*60)+W106</f>
        <v>360</v>
      </c>
      <c r="X107" s="607">
        <f>(X105*60)+X106</f>
        <v>360</v>
      </c>
      <c r="Y107" s="608">
        <f t="shared" ref="Y107:AI107" si="15">(Y105*60)+Y106</f>
        <v>360</v>
      </c>
      <c r="Z107" s="607">
        <f t="shared" si="15"/>
        <v>360</v>
      </c>
      <c r="AA107" s="608">
        <f t="shared" si="15"/>
        <v>360</v>
      </c>
      <c r="AB107" s="607">
        <f t="shared" si="15"/>
        <v>360</v>
      </c>
      <c r="AC107" s="608">
        <f t="shared" si="15"/>
        <v>370</v>
      </c>
      <c r="AD107" s="605">
        <f t="shared" si="15"/>
        <v>0</v>
      </c>
      <c r="AE107" s="606">
        <f t="shared" si="15"/>
        <v>0</v>
      </c>
      <c r="AF107" s="607">
        <f t="shared" si="15"/>
        <v>370</v>
      </c>
      <c r="AG107" s="608">
        <f t="shared" si="15"/>
        <v>360</v>
      </c>
      <c r="AH107" s="607">
        <f t="shared" si="15"/>
        <v>0</v>
      </c>
      <c r="AI107" s="608">
        <f t="shared" si="15"/>
        <v>0</v>
      </c>
      <c r="AJ107" s="607">
        <f>(AJ105*60)+AJ106</f>
        <v>0</v>
      </c>
      <c r="AK107" s="608">
        <f>(AK105*60)+AK106</f>
        <v>0</v>
      </c>
      <c r="AL107" s="607">
        <f>(AL105*60)+AL106</f>
        <v>0</v>
      </c>
      <c r="AM107" s="608">
        <f t="shared" ref="AM107:AW107" si="16">(AM105*60)+AM106</f>
        <v>0</v>
      </c>
      <c r="AN107" s="607">
        <f t="shared" si="16"/>
        <v>0</v>
      </c>
      <c r="AO107" s="608">
        <f t="shared" si="16"/>
        <v>0</v>
      </c>
      <c r="AP107" s="607">
        <f t="shared" si="16"/>
        <v>0</v>
      </c>
      <c r="AQ107" s="608">
        <f t="shared" si="16"/>
        <v>0</v>
      </c>
      <c r="AR107" s="605">
        <f t="shared" si="16"/>
        <v>0</v>
      </c>
      <c r="AS107" s="606">
        <f t="shared" si="16"/>
        <v>0</v>
      </c>
      <c r="AT107" s="607">
        <f t="shared" si="16"/>
        <v>0</v>
      </c>
      <c r="AU107" s="608">
        <f t="shared" si="16"/>
        <v>0</v>
      </c>
      <c r="AV107" s="607">
        <f t="shared" si="16"/>
        <v>0</v>
      </c>
      <c r="AW107" s="608">
        <f t="shared" si="16"/>
        <v>0</v>
      </c>
      <c r="AX107" s="607">
        <f>(AX105*60)+AX106</f>
        <v>0</v>
      </c>
      <c r="AY107" s="608">
        <f>(AY105*60)+AY106</f>
        <v>0</v>
      </c>
      <c r="AZ107" s="607">
        <f>(AZ105*60)+AZ106</f>
        <v>0</v>
      </c>
      <c r="BA107" s="608">
        <f t="shared" ref="BA107:BI107" si="17">(BA105*60)+BA106</f>
        <v>0</v>
      </c>
      <c r="BB107" s="607">
        <f t="shared" si="17"/>
        <v>0</v>
      </c>
      <c r="BC107" s="608">
        <f t="shared" si="17"/>
        <v>0</v>
      </c>
      <c r="BD107" s="607">
        <f t="shared" si="17"/>
        <v>0</v>
      </c>
      <c r="BE107" s="608">
        <f t="shared" si="17"/>
        <v>0</v>
      </c>
      <c r="BF107" s="605">
        <f t="shared" si="17"/>
        <v>0</v>
      </c>
      <c r="BG107" s="606">
        <f t="shared" si="17"/>
        <v>0</v>
      </c>
      <c r="BH107" s="607">
        <f t="shared" si="17"/>
        <v>0</v>
      </c>
      <c r="BI107" s="608">
        <f t="shared" si="17"/>
        <v>0</v>
      </c>
      <c r="BJ107" s="424">
        <f t="shared" si="12"/>
        <v>7940</v>
      </c>
      <c r="BK107" s="445"/>
    </row>
    <row r="108" spans="1:63" s="1" customFormat="1" ht="18.75" x14ac:dyDescent="0.3">
      <c r="A108" s="36"/>
      <c r="B108" s="421"/>
      <c r="C108" s="421"/>
      <c r="D108" s="749" t="s">
        <v>156</v>
      </c>
      <c r="E108" s="750"/>
      <c r="F108" s="607">
        <f t="shared" ref="F108:AT108" si="18">F107-F109</f>
        <v>360</v>
      </c>
      <c r="G108" s="608">
        <f t="shared" si="18"/>
        <v>316</v>
      </c>
      <c r="H108" s="607">
        <f t="shared" si="18"/>
        <v>360</v>
      </c>
      <c r="I108" s="608">
        <f t="shared" si="18"/>
        <v>360</v>
      </c>
      <c r="J108" s="607">
        <f t="shared" si="18"/>
        <v>360</v>
      </c>
      <c r="K108" s="608">
        <f t="shared" si="18"/>
        <v>360</v>
      </c>
      <c r="L108" s="607">
        <f t="shared" si="18"/>
        <v>360</v>
      </c>
      <c r="M108" s="608">
        <f t="shared" si="18"/>
        <v>360</v>
      </c>
      <c r="N108" s="607">
        <f t="shared" si="18"/>
        <v>360</v>
      </c>
      <c r="O108" s="608">
        <f t="shared" si="18"/>
        <v>360</v>
      </c>
      <c r="P108" s="609">
        <f t="shared" si="18"/>
        <v>0</v>
      </c>
      <c r="Q108" s="610">
        <f t="shared" si="18"/>
        <v>0</v>
      </c>
      <c r="R108" s="609">
        <f t="shared" si="18"/>
        <v>0</v>
      </c>
      <c r="S108" s="610">
        <f t="shared" si="18"/>
        <v>0</v>
      </c>
      <c r="T108" s="607">
        <f t="shared" si="18"/>
        <v>360</v>
      </c>
      <c r="U108" s="608">
        <f t="shared" si="18"/>
        <v>360</v>
      </c>
      <c r="V108" s="607">
        <f t="shared" si="18"/>
        <v>360</v>
      </c>
      <c r="W108" s="608">
        <f t="shared" si="18"/>
        <v>360</v>
      </c>
      <c r="X108" s="607">
        <f t="shared" si="18"/>
        <v>360</v>
      </c>
      <c r="Y108" s="608">
        <f t="shared" si="18"/>
        <v>360</v>
      </c>
      <c r="Z108" s="607">
        <f t="shared" si="18"/>
        <v>305</v>
      </c>
      <c r="AA108" s="608">
        <f t="shared" si="18"/>
        <v>360</v>
      </c>
      <c r="AB108" s="607">
        <f t="shared" si="18"/>
        <v>330</v>
      </c>
      <c r="AC108" s="608">
        <f t="shared" si="18"/>
        <v>370</v>
      </c>
      <c r="AD108" s="609">
        <f t="shared" si="18"/>
        <v>0</v>
      </c>
      <c r="AE108" s="610">
        <f t="shared" si="18"/>
        <v>0</v>
      </c>
      <c r="AF108" s="607">
        <f t="shared" si="18"/>
        <v>370</v>
      </c>
      <c r="AG108" s="608">
        <f t="shared" si="18"/>
        <v>360</v>
      </c>
      <c r="AH108" s="607">
        <f t="shared" si="18"/>
        <v>0</v>
      </c>
      <c r="AI108" s="608">
        <f t="shared" si="18"/>
        <v>0</v>
      </c>
      <c r="AJ108" s="607">
        <f t="shared" si="18"/>
        <v>0</v>
      </c>
      <c r="AK108" s="608">
        <f t="shared" si="18"/>
        <v>0</v>
      </c>
      <c r="AL108" s="607">
        <f t="shared" si="18"/>
        <v>0</v>
      </c>
      <c r="AM108" s="608">
        <f t="shared" si="18"/>
        <v>0</v>
      </c>
      <c r="AN108" s="607">
        <f t="shared" si="18"/>
        <v>0</v>
      </c>
      <c r="AO108" s="608">
        <f t="shared" si="18"/>
        <v>0</v>
      </c>
      <c r="AP108" s="607">
        <f t="shared" si="18"/>
        <v>0</v>
      </c>
      <c r="AQ108" s="608">
        <f t="shared" si="18"/>
        <v>0</v>
      </c>
      <c r="AR108" s="609">
        <f t="shared" si="18"/>
        <v>0</v>
      </c>
      <c r="AS108" s="610">
        <f t="shared" si="18"/>
        <v>0</v>
      </c>
      <c r="AT108" s="607">
        <f t="shared" si="18"/>
        <v>0</v>
      </c>
      <c r="AU108" s="608">
        <f t="shared" ref="AU108:BE108" si="19">AU107-AU109</f>
        <v>0</v>
      </c>
      <c r="AV108" s="607">
        <f t="shared" si="19"/>
        <v>0</v>
      </c>
      <c r="AW108" s="608">
        <f t="shared" si="19"/>
        <v>0</v>
      </c>
      <c r="AX108" s="607">
        <f t="shared" si="19"/>
        <v>0</v>
      </c>
      <c r="AY108" s="608">
        <f t="shared" si="19"/>
        <v>0</v>
      </c>
      <c r="AZ108" s="607">
        <f t="shared" si="19"/>
        <v>0</v>
      </c>
      <c r="BA108" s="608">
        <f t="shared" si="19"/>
        <v>0</v>
      </c>
      <c r="BB108" s="607">
        <f t="shared" si="19"/>
        <v>0</v>
      </c>
      <c r="BC108" s="608">
        <f t="shared" si="19"/>
        <v>0</v>
      </c>
      <c r="BD108" s="607">
        <f t="shared" si="19"/>
        <v>0</v>
      </c>
      <c r="BE108" s="608">
        <f t="shared" si="19"/>
        <v>0</v>
      </c>
      <c r="BF108" s="609">
        <f>BF107-BF109</f>
        <v>0</v>
      </c>
      <c r="BG108" s="610">
        <f>BG107-BG109</f>
        <v>0</v>
      </c>
      <c r="BH108" s="607">
        <f>BH107-BH109</f>
        <v>0</v>
      </c>
      <c r="BI108" s="608">
        <f>BI107-BI109</f>
        <v>0</v>
      </c>
      <c r="BJ108" s="424">
        <f t="shared" si="12"/>
        <v>7811</v>
      </c>
      <c r="BK108" s="445"/>
    </row>
    <row r="109" spans="1:63" s="1" customFormat="1" ht="18.75" x14ac:dyDescent="0.3">
      <c r="A109" s="39"/>
      <c r="B109" s="446"/>
      <c r="C109" s="446"/>
      <c r="D109" s="751" t="s">
        <v>157</v>
      </c>
      <c r="E109" s="752"/>
      <c r="F109" s="611">
        <f t="shared" ref="F109:AK109" si="20">SUM(F110:F111)</f>
        <v>0</v>
      </c>
      <c r="G109" s="612">
        <f t="shared" si="20"/>
        <v>44</v>
      </c>
      <c r="H109" s="611">
        <f t="shared" si="20"/>
        <v>0</v>
      </c>
      <c r="I109" s="612">
        <f t="shared" si="20"/>
        <v>0</v>
      </c>
      <c r="J109" s="611">
        <f t="shared" si="20"/>
        <v>0</v>
      </c>
      <c r="K109" s="612">
        <f t="shared" si="20"/>
        <v>0</v>
      </c>
      <c r="L109" s="611">
        <f t="shared" si="20"/>
        <v>0</v>
      </c>
      <c r="M109" s="612">
        <f t="shared" si="20"/>
        <v>0</v>
      </c>
      <c r="N109" s="611">
        <f t="shared" si="20"/>
        <v>0</v>
      </c>
      <c r="O109" s="612">
        <f t="shared" si="20"/>
        <v>0</v>
      </c>
      <c r="P109" s="605">
        <f t="shared" si="20"/>
        <v>0</v>
      </c>
      <c r="Q109" s="606">
        <f t="shared" si="20"/>
        <v>0</v>
      </c>
      <c r="R109" s="605">
        <f t="shared" si="20"/>
        <v>0</v>
      </c>
      <c r="S109" s="606">
        <f t="shared" si="20"/>
        <v>0</v>
      </c>
      <c r="T109" s="611">
        <f t="shared" si="20"/>
        <v>0</v>
      </c>
      <c r="U109" s="612">
        <f t="shared" si="20"/>
        <v>0</v>
      </c>
      <c r="V109" s="611">
        <f t="shared" si="20"/>
        <v>0</v>
      </c>
      <c r="W109" s="612">
        <f t="shared" si="20"/>
        <v>0</v>
      </c>
      <c r="X109" s="611">
        <f t="shared" si="20"/>
        <v>0</v>
      </c>
      <c r="Y109" s="612">
        <f t="shared" si="20"/>
        <v>0</v>
      </c>
      <c r="Z109" s="611">
        <f t="shared" si="20"/>
        <v>55</v>
      </c>
      <c r="AA109" s="612">
        <f t="shared" si="20"/>
        <v>0</v>
      </c>
      <c r="AB109" s="611">
        <f t="shared" si="20"/>
        <v>30</v>
      </c>
      <c r="AC109" s="612">
        <f t="shared" si="20"/>
        <v>0</v>
      </c>
      <c r="AD109" s="605">
        <f t="shared" si="20"/>
        <v>0</v>
      </c>
      <c r="AE109" s="606">
        <f t="shared" si="20"/>
        <v>0</v>
      </c>
      <c r="AF109" s="611">
        <f t="shared" si="20"/>
        <v>0</v>
      </c>
      <c r="AG109" s="612">
        <f t="shared" si="20"/>
        <v>0</v>
      </c>
      <c r="AH109" s="611">
        <f t="shared" si="20"/>
        <v>0</v>
      </c>
      <c r="AI109" s="612">
        <f t="shared" si="20"/>
        <v>0</v>
      </c>
      <c r="AJ109" s="611">
        <f t="shared" si="20"/>
        <v>0</v>
      </c>
      <c r="AK109" s="612">
        <f t="shared" si="20"/>
        <v>0</v>
      </c>
      <c r="AL109" s="611">
        <f t="shared" ref="AL109:BI109" si="21">SUM(AL110:AL111)</f>
        <v>0</v>
      </c>
      <c r="AM109" s="612">
        <f t="shared" si="21"/>
        <v>0</v>
      </c>
      <c r="AN109" s="611">
        <f t="shared" si="21"/>
        <v>0</v>
      </c>
      <c r="AO109" s="612">
        <f t="shared" si="21"/>
        <v>0</v>
      </c>
      <c r="AP109" s="611">
        <f t="shared" si="21"/>
        <v>0</v>
      </c>
      <c r="AQ109" s="612">
        <f t="shared" si="21"/>
        <v>0</v>
      </c>
      <c r="AR109" s="605">
        <f t="shared" si="21"/>
        <v>0</v>
      </c>
      <c r="AS109" s="606">
        <f t="shared" si="21"/>
        <v>0</v>
      </c>
      <c r="AT109" s="611">
        <f t="shared" si="21"/>
        <v>0</v>
      </c>
      <c r="AU109" s="612">
        <f t="shared" si="21"/>
        <v>0</v>
      </c>
      <c r="AV109" s="611">
        <f t="shared" si="21"/>
        <v>0</v>
      </c>
      <c r="AW109" s="612">
        <f t="shared" si="21"/>
        <v>0</v>
      </c>
      <c r="AX109" s="611">
        <f t="shared" si="21"/>
        <v>0</v>
      </c>
      <c r="AY109" s="612">
        <f t="shared" si="21"/>
        <v>0</v>
      </c>
      <c r="AZ109" s="611">
        <f t="shared" si="21"/>
        <v>0</v>
      </c>
      <c r="BA109" s="612">
        <f t="shared" si="21"/>
        <v>0</v>
      </c>
      <c r="BB109" s="611">
        <f t="shared" si="21"/>
        <v>0</v>
      </c>
      <c r="BC109" s="612">
        <f t="shared" si="21"/>
        <v>0</v>
      </c>
      <c r="BD109" s="611">
        <f t="shared" si="21"/>
        <v>0</v>
      </c>
      <c r="BE109" s="612">
        <f t="shared" si="21"/>
        <v>0</v>
      </c>
      <c r="BF109" s="605">
        <f t="shared" si="21"/>
        <v>0</v>
      </c>
      <c r="BG109" s="606">
        <f t="shared" si="21"/>
        <v>0</v>
      </c>
      <c r="BH109" s="611">
        <f t="shared" si="21"/>
        <v>0</v>
      </c>
      <c r="BI109" s="612">
        <f t="shared" si="21"/>
        <v>0</v>
      </c>
      <c r="BJ109" s="424">
        <f t="shared" si="12"/>
        <v>129</v>
      </c>
      <c r="BK109" s="445"/>
    </row>
    <row r="110" spans="1:63" s="1" customFormat="1" ht="15" customHeight="1" x14ac:dyDescent="0.3">
      <c r="A110" s="42"/>
      <c r="B110" s="439"/>
      <c r="C110" s="439"/>
      <c r="D110" s="738" t="s">
        <v>158</v>
      </c>
      <c r="E110" s="739"/>
      <c r="F110" s="602"/>
      <c r="G110" s="603">
        <v>44</v>
      </c>
      <c r="H110" s="602"/>
      <c r="I110" s="603"/>
      <c r="J110" s="602"/>
      <c r="K110" s="604"/>
      <c r="L110" s="602"/>
      <c r="M110" s="603"/>
      <c r="N110" s="602"/>
      <c r="O110" s="603"/>
      <c r="P110" s="605"/>
      <c r="Q110" s="606"/>
      <c r="R110" s="605"/>
      <c r="S110" s="606"/>
      <c r="T110" s="602"/>
      <c r="U110" s="603"/>
      <c r="V110" s="602"/>
      <c r="W110" s="603"/>
      <c r="X110" s="602"/>
      <c r="Y110" s="603"/>
      <c r="Z110" s="602">
        <v>55</v>
      </c>
      <c r="AA110" s="603"/>
      <c r="AB110" s="602">
        <v>30</v>
      </c>
      <c r="AC110" s="603"/>
      <c r="AD110" s="605"/>
      <c r="AE110" s="606"/>
      <c r="AF110" s="602"/>
      <c r="AG110" s="603"/>
      <c r="AH110" s="602"/>
      <c r="AI110" s="603"/>
      <c r="AJ110" s="602"/>
      <c r="AK110" s="603"/>
      <c r="AL110" s="602"/>
      <c r="AM110" s="603"/>
      <c r="AN110" s="602"/>
      <c r="AO110" s="603"/>
      <c r="AP110" s="602"/>
      <c r="AQ110" s="603"/>
      <c r="AR110" s="605"/>
      <c r="AS110" s="606"/>
      <c r="AT110" s="602"/>
      <c r="AU110" s="603"/>
      <c r="AV110" s="602"/>
      <c r="AW110" s="603"/>
      <c r="AX110" s="602"/>
      <c r="AY110" s="603"/>
      <c r="AZ110" s="602"/>
      <c r="BA110" s="603"/>
      <c r="BB110" s="602"/>
      <c r="BC110" s="603"/>
      <c r="BD110" s="602"/>
      <c r="BE110" s="603"/>
      <c r="BF110" s="605"/>
      <c r="BG110" s="606"/>
      <c r="BH110" s="602"/>
      <c r="BI110" s="603"/>
      <c r="BJ110" s="424">
        <f t="shared" si="12"/>
        <v>129</v>
      </c>
      <c r="BK110" s="445"/>
    </row>
    <row r="111" spans="1:63" s="1" customFormat="1" ht="18.75" x14ac:dyDescent="0.3">
      <c r="A111" s="42"/>
      <c r="B111" s="439"/>
      <c r="C111" s="439"/>
      <c r="D111" s="738" t="s">
        <v>161</v>
      </c>
      <c r="E111" s="739"/>
      <c r="F111" s="602"/>
      <c r="G111" s="603"/>
      <c r="H111" s="602"/>
      <c r="I111" s="603"/>
      <c r="J111" s="602"/>
      <c r="K111" s="603"/>
      <c r="L111" s="602"/>
      <c r="M111" s="603"/>
      <c r="N111" s="602"/>
      <c r="O111" s="603"/>
      <c r="P111" s="605"/>
      <c r="Q111" s="606"/>
      <c r="R111" s="605"/>
      <c r="S111" s="606"/>
      <c r="T111" s="602"/>
      <c r="U111" s="603"/>
      <c r="V111" s="602"/>
      <c r="W111" s="603"/>
      <c r="X111" s="602"/>
      <c r="Y111" s="603"/>
      <c r="Z111" s="602"/>
      <c r="AA111" s="603"/>
      <c r="AB111" s="602"/>
      <c r="AC111" s="603"/>
      <c r="AD111" s="605"/>
      <c r="AE111" s="606"/>
      <c r="AF111" s="602"/>
      <c r="AG111" s="603"/>
      <c r="AH111" s="602"/>
      <c r="AI111" s="603"/>
      <c r="AJ111" s="602"/>
      <c r="AK111" s="603"/>
      <c r="AL111" s="602"/>
      <c r="AM111" s="603"/>
      <c r="AN111" s="602"/>
      <c r="AO111" s="603"/>
      <c r="AP111" s="602"/>
      <c r="AQ111" s="603"/>
      <c r="AR111" s="605"/>
      <c r="AS111" s="606"/>
      <c r="AT111" s="602"/>
      <c r="AU111" s="603"/>
      <c r="AV111" s="602"/>
      <c r="AW111" s="603"/>
      <c r="AX111" s="602"/>
      <c r="AY111" s="603"/>
      <c r="AZ111" s="602"/>
      <c r="BA111" s="603"/>
      <c r="BB111" s="602"/>
      <c r="BC111" s="603"/>
      <c r="BD111" s="602"/>
      <c r="BE111" s="603"/>
      <c r="BF111" s="605"/>
      <c r="BG111" s="606"/>
      <c r="BH111" s="602"/>
      <c r="BI111" s="603"/>
      <c r="BJ111" s="424">
        <f t="shared" si="12"/>
        <v>0</v>
      </c>
      <c r="BK111" s="445"/>
    </row>
    <row r="112" spans="1:63" ht="18.75" x14ac:dyDescent="0.3">
      <c r="A112" s="44"/>
      <c r="B112" s="447"/>
      <c r="C112" s="447"/>
      <c r="D112" s="742" t="s">
        <v>162</v>
      </c>
      <c r="E112" s="743"/>
      <c r="F112" s="613">
        <f t="shared" ref="F112:O112" si="22">F107-F109-F24</f>
        <v>360</v>
      </c>
      <c r="G112" s="613">
        <f t="shared" si="22"/>
        <v>291</v>
      </c>
      <c r="H112" s="613">
        <f t="shared" si="22"/>
        <v>360</v>
      </c>
      <c r="I112" s="613">
        <f t="shared" si="22"/>
        <v>325</v>
      </c>
      <c r="J112" s="613">
        <f t="shared" si="22"/>
        <v>233</v>
      </c>
      <c r="K112" s="613">
        <f t="shared" si="22"/>
        <v>303</v>
      </c>
      <c r="L112" s="613">
        <f t="shared" si="22"/>
        <v>360</v>
      </c>
      <c r="M112" s="613">
        <f t="shared" si="22"/>
        <v>340</v>
      </c>
      <c r="N112" s="613">
        <f t="shared" si="22"/>
        <v>345</v>
      </c>
      <c r="O112" s="613">
        <f t="shared" si="22"/>
        <v>360</v>
      </c>
      <c r="P112" s="613"/>
      <c r="Q112" s="613"/>
      <c r="R112" s="613"/>
      <c r="S112" s="613"/>
      <c r="T112" s="613">
        <f t="shared" ref="T112:AC112" si="23">T107-T109-T24</f>
        <v>360</v>
      </c>
      <c r="U112" s="613">
        <f t="shared" si="23"/>
        <v>325</v>
      </c>
      <c r="V112" s="613">
        <f t="shared" si="23"/>
        <v>360</v>
      </c>
      <c r="W112" s="613">
        <f t="shared" si="23"/>
        <v>330</v>
      </c>
      <c r="X112" s="613">
        <f t="shared" si="23"/>
        <v>330</v>
      </c>
      <c r="Y112" s="613">
        <f t="shared" si="23"/>
        <v>250</v>
      </c>
      <c r="Z112" s="613">
        <f t="shared" si="23"/>
        <v>265</v>
      </c>
      <c r="AA112" s="613">
        <f t="shared" si="23"/>
        <v>330</v>
      </c>
      <c r="AB112" s="613">
        <f t="shared" si="23"/>
        <v>320</v>
      </c>
      <c r="AC112" s="613">
        <f t="shared" si="23"/>
        <v>370</v>
      </c>
      <c r="AD112" s="613"/>
      <c r="AE112" s="613"/>
      <c r="AF112" s="613">
        <f>AF107-AF109-AF24</f>
        <v>370</v>
      </c>
      <c r="AG112" s="613">
        <f>AG107-AG109-AG24</f>
        <v>360</v>
      </c>
      <c r="AH112" s="613"/>
      <c r="AI112" s="613"/>
      <c r="AJ112" s="613"/>
      <c r="AK112" s="613"/>
      <c r="AL112" s="613"/>
      <c r="AM112" s="613"/>
      <c r="AN112" s="613"/>
      <c r="AO112" s="613"/>
      <c r="AP112" s="613"/>
      <c r="AQ112" s="613"/>
      <c r="AR112" s="613"/>
      <c r="AS112" s="613"/>
      <c r="AT112" s="613"/>
      <c r="AU112" s="613"/>
      <c r="AV112" s="613"/>
      <c r="AW112" s="613"/>
      <c r="AX112" s="613"/>
      <c r="AY112" s="613"/>
      <c r="AZ112" s="613"/>
      <c r="BA112" s="613"/>
      <c r="BB112" s="613"/>
      <c r="BC112" s="613"/>
      <c r="BD112" s="613"/>
      <c r="BE112" s="613"/>
      <c r="BF112" s="613"/>
      <c r="BG112" s="613"/>
      <c r="BH112" s="613"/>
      <c r="BI112" s="613"/>
      <c r="BJ112" s="448">
        <f>BJ107-BJ109-BJ24</f>
        <v>7247</v>
      </c>
      <c r="BK112" s="425"/>
    </row>
    <row r="113" spans="1:63" ht="18.75" x14ac:dyDescent="0.3">
      <c r="A113" s="44"/>
      <c r="B113" s="447"/>
      <c r="C113" s="447"/>
      <c r="D113" s="742" t="s">
        <v>163</v>
      </c>
      <c r="E113" s="743"/>
      <c r="F113" s="614">
        <f t="shared" ref="F113:L113" si="24">IFERROR(SUMPRODUCT(F5:F14/$E$5:$E$14),0)</f>
        <v>310.20408163265307</v>
      </c>
      <c r="G113" s="614">
        <f t="shared" si="24"/>
        <v>279.30612244897964</v>
      </c>
      <c r="H113" s="614">
        <f t="shared" si="24"/>
        <v>313.08163265306121</v>
      </c>
      <c r="I113" s="614">
        <f t="shared" si="24"/>
        <v>238.26530612244898</v>
      </c>
      <c r="J113" s="614">
        <f t="shared" si="24"/>
        <v>208.16326530612244</v>
      </c>
      <c r="K113" s="614">
        <f t="shared" si="24"/>
        <v>268.77551020408163</v>
      </c>
      <c r="L113" s="614">
        <f t="shared" si="24"/>
        <v>342.85714285714283</v>
      </c>
      <c r="M113" s="614">
        <f>IFERROR(SUMPRODUCT(M5:M14/$E$5:$E$14),0)</f>
        <v>270.59183673469386</v>
      </c>
      <c r="N113" s="614">
        <f>IFERROR(SUMPRODUCT(N5:N14/$E$5:$E$14),0)</f>
        <v>341.83673469387753</v>
      </c>
      <c r="O113" s="614">
        <f>IFERROR(SUMPRODUCT(O5:O14/$E$5:$E$14),0)</f>
        <v>271.83673469387753</v>
      </c>
      <c r="P113" s="614"/>
      <c r="Q113" s="614"/>
      <c r="R113" s="614"/>
      <c r="S113" s="614"/>
      <c r="T113" s="614">
        <f t="shared" ref="T113:AC113" si="25">IFERROR(SUMPRODUCT(T5:T14/$E$5:$E$14),0)</f>
        <v>346.9387755102041</v>
      </c>
      <c r="U113" s="614">
        <f t="shared" si="25"/>
        <v>321.0204081632653</v>
      </c>
      <c r="V113" s="614">
        <f t="shared" si="25"/>
        <v>336.73469387755102</v>
      </c>
      <c r="W113" s="614">
        <f t="shared" si="25"/>
        <v>329.28571428571428</v>
      </c>
      <c r="X113" s="614">
        <f t="shared" si="25"/>
        <v>306.12244897959187</v>
      </c>
      <c r="Y113" s="614">
        <f t="shared" si="25"/>
        <v>244.89795918367346</v>
      </c>
      <c r="Z113" s="614">
        <f t="shared" si="25"/>
        <v>246.73469387755102</v>
      </c>
      <c r="AA113" s="614">
        <f t="shared" si="25"/>
        <v>326.53061224489795</v>
      </c>
      <c r="AB113" s="614">
        <f t="shared" si="25"/>
        <v>318.57142857142856</v>
      </c>
      <c r="AC113" s="614">
        <f t="shared" si="25"/>
        <v>361.42857142857144</v>
      </c>
      <c r="AD113" s="614"/>
      <c r="AE113" s="614"/>
      <c r="AF113" s="614">
        <f>IFERROR(SUMPRODUCT(AF5:AF14/$E$5:$E$14),0)</f>
        <v>367.34693877551018</v>
      </c>
      <c r="AG113" s="614">
        <f>IFERROR(SUMPRODUCT(AG5:AG14/$E$5:$E$14),0)</f>
        <v>357.14285714285717</v>
      </c>
      <c r="AH113" s="614"/>
      <c r="AI113" s="614"/>
      <c r="AJ113" s="614"/>
      <c r="AK113" s="614"/>
      <c r="AL113" s="614"/>
      <c r="AM113" s="614"/>
      <c r="AN113" s="614"/>
      <c r="AO113" s="614"/>
      <c r="AP113" s="614"/>
      <c r="AQ113" s="614"/>
      <c r="AR113" s="614"/>
      <c r="AS113" s="614"/>
      <c r="AT113" s="614"/>
      <c r="AU113" s="614"/>
      <c r="AV113" s="614"/>
      <c r="AW113" s="614"/>
      <c r="AX113" s="614"/>
      <c r="AY113" s="614"/>
      <c r="AZ113" s="614"/>
      <c r="BA113" s="614"/>
      <c r="BB113" s="614"/>
      <c r="BC113" s="614"/>
      <c r="BD113" s="614"/>
      <c r="BE113" s="614"/>
      <c r="BF113" s="614"/>
      <c r="BG113" s="614"/>
      <c r="BH113" s="614"/>
      <c r="BI113" s="614"/>
      <c r="BJ113" s="448">
        <f>IFERROR(SUMPRODUCT(BJ5:BJ14/$E$5:$E$14),0)</f>
        <v>6707.6734693877552</v>
      </c>
      <c r="BK113" s="425"/>
    </row>
    <row r="114" spans="1:63" ht="18.75" x14ac:dyDescent="0.3">
      <c r="A114" s="44"/>
      <c r="B114" s="447"/>
      <c r="C114" s="447"/>
      <c r="D114" s="742" t="s">
        <v>164</v>
      </c>
      <c r="E114" s="743"/>
      <c r="F114" s="614">
        <f t="shared" ref="F114:O114" si="26">F112-F113</f>
        <v>49.795918367346928</v>
      </c>
      <c r="G114" s="614">
        <f t="shared" si="26"/>
        <v>11.693877551020364</v>
      </c>
      <c r="H114" s="614">
        <f t="shared" si="26"/>
        <v>46.918367346938794</v>
      </c>
      <c r="I114" s="614">
        <f t="shared" si="26"/>
        <v>86.734693877551024</v>
      </c>
      <c r="J114" s="614">
        <f t="shared" si="26"/>
        <v>24.83673469387756</v>
      </c>
      <c r="K114" s="614">
        <f t="shared" si="26"/>
        <v>34.224489795918373</v>
      </c>
      <c r="L114" s="614">
        <f t="shared" si="26"/>
        <v>17.142857142857167</v>
      </c>
      <c r="M114" s="614">
        <f t="shared" si="26"/>
        <v>69.408163265306143</v>
      </c>
      <c r="N114" s="614">
        <f t="shared" si="26"/>
        <v>3.1632653061224687</v>
      </c>
      <c r="O114" s="614">
        <f t="shared" si="26"/>
        <v>88.163265306122469</v>
      </c>
      <c r="P114" s="614"/>
      <c r="Q114" s="614"/>
      <c r="R114" s="614"/>
      <c r="S114" s="614"/>
      <c r="T114" s="614">
        <f t="shared" ref="T114:AC114" si="27">T112-T113</f>
        <v>13.061224489795904</v>
      </c>
      <c r="U114" s="614">
        <f t="shared" si="27"/>
        <v>3.9795918367346985</v>
      </c>
      <c r="V114" s="614">
        <f t="shared" si="27"/>
        <v>23.265306122448976</v>
      </c>
      <c r="W114" s="614">
        <f t="shared" si="27"/>
        <v>0.71428571428572241</v>
      </c>
      <c r="X114" s="614">
        <f t="shared" si="27"/>
        <v>23.877551020408134</v>
      </c>
      <c r="Y114" s="614">
        <f t="shared" si="27"/>
        <v>5.1020408163265358</v>
      </c>
      <c r="Z114" s="614">
        <f t="shared" si="27"/>
        <v>18.265306122448976</v>
      </c>
      <c r="AA114" s="614">
        <f t="shared" si="27"/>
        <v>3.4693877551020478</v>
      </c>
      <c r="AB114" s="614">
        <f t="shared" si="27"/>
        <v>1.4285714285714448</v>
      </c>
      <c r="AC114" s="614">
        <f t="shared" si="27"/>
        <v>8.5714285714285552</v>
      </c>
      <c r="AD114" s="614"/>
      <c r="AE114" s="614"/>
      <c r="AF114" s="614">
        <f>AF112-AF113</f>
        <v>2.653061224489818</v>
      </c>
      <c r="AG114" s="614">
        <f>AG112-AG113</f>
        <v>2.8571428571428328</v>
      </c>
      <c r="AH114" s="614"/>
      <c r="AI114" s="614"/>
      <c r="AJ114" s="614"/>
      <c r="AK114" s="614"/>
      <c r="AL114" s="614"/>
      <c r="AM114" s="614"/>
      <c r="AN114" s="614"/>
      <c r="AO114" s="614"/>
      <c r="AP114" s="614"/>
      <c r="AQ114" s="614"/>
      <c r="AR114" s="614"/>
      <c r="AS114" s="614"/>
      <c r="AT114" s="614"/>
      <c r="AU114" s="614"/>
      <c r="AV114" s="614"/>
      <c r="AW114" s="614"/>
      <c r="AX114" s="614"/>
      <c r="AY114" s="614"/>
      <c r="AZ114" s="614"/>
      <c r="BA114" s="614"/>
      <c r="BB114" s="614"/>
      <c r="BC114" s="614"/>
      <c r="BD114" s="614"/>
      <c r="BE114" s="614"/>
      <c r="BF114" s="614"/>
      <c r="BG114" s="614"/>
      <c r="BH114" s="614"/>
      <c r="BI114" s="614"/>
      <c r="BJ114" s="448">
        <f>BJ112-BJ113</f>
        <v>539.32653061224482</v>
      </c>
      <c r="BK114" s="425"/>
    </row>
    <row r="115" spans="1:63" ht="18.75" x14ac:dyDescent="0.3">
      <c r="A115" s="44"/>
      <c r="B115" s="447"/>
      <c r="C115" s="447"/>
      <c r="D115" s="742" t="s">
        <v>165</v>
      </c>
      <c r="E115" s="743"/>
      <c r="F115" s="614">
        <f t="shared" ref="F115:L115" si="28">SUM(F5:F15)/(F108-F24)</f>
        <v>42.394444444444446</v>
      </c>
      <c r="G115" s="614">
        <f t="shared" si="28"/>
        <v>47.096219931271477</v>
      </c>
      <c r="H115" s="614">
        <f t="shared" si="28"/>
        <v>43.161111111111111</v>
      </c>
      <c r="I115" s="614">
        <f t="shared" si="28"/>
        <v>36.132307692307691</v>
      </c>
      <c r="J115" s="614">
        <f t="shared" si="28"/>
        <v>44.231759656652358</v>
      </c>
      <c r="K115" s="614">
        <f t="shared" si="28"/>
        <v>43.762376237623762</v>
      </c>
      <c r="L115" s="614">
        <f t="shared" si="28"/>
        <v>46.694444444444443</v>
      </c>
      <c r="M115" s="614">
        <f>SUM(M5:M15)/(M108-M24)</f>
        <v>39.102941176470587</v>
      </c>
      <c r="N115" s="614">
        <f>SUM(N5:N15)/(N108-N24)</f>
        <v>48.628985507246377</v>
      </c>
      <c r="O115" s="614">
        <f>SUM(O5:O15)/(O108-O24)</f>
        <v>37.044444444444444</v>
      </c>
      <c r="P115" s="614"/>
      <c r="Q115" s="614"/>
      <c r="R115" s="614"/>
      <c r="S115" s="614"/>
      <c r="T115" s="614">
        <f t="shared" ref="T115:AC115" si="29">SUM(T5:T15)/(T108-T24)</f>
        <v>47.547222222222224</v>
      </c>
      <c r="U115" s="614">
        <f t="shared" si="29"/>
        <v>48.44</v>
      </c>
      <c r="V115" s="614">
        <f t="shared" si="29"/>
        <v>46.130555555555553</v>
      </c>
      <c r="W115" s="614">
        <f t="shared" si="29"/>
        <v>49.0030303030303</v>
      </c>
      <c r="X115" s="614">
        <f t="shared" si="29"/>
        <v>45.596969696969694</v>
      </c>
      <c r="Y115" s="614">
        <f t="shared" si="29"/>
        <v>48.18</v>
      </c>
      <c r="Z115" s="614">
        <f t="shared" si="29"/>
        <v>45.743396226415094</v>
      </c>
      <c r="AA115" s="614">
        <f t="shared" si="29"/>
        <v>48.606060606060609</v>
      </c>
      <c r="AB115" s="614">
        <f t="shared" si="29"/>
        <v>48.809375000000003</v>
      </c>
      <c r="AC115" s="614">
        <f t="shared" si="29"/>
        <v>47.88648648648649</v>
      </c>
      <c r="AD115" s="614"/>
      <c r="AE115" s="614"/>
      <c r="AF115" s="614">
        <f>SUM(AF5:AF15)/(AF108-AF24)</f>
        <v>48.775675675675679</v>
      </c>
      <c r="AG115" s="614">
        <f>SUM(AG5:AG15)/(AG108-AG24)</f>
        <v>48.644444444444446</v>
      </c>
      <c r="AH115" s="614"/>
      <c r="AI115" s="614"/>
      <c r="AJ115" s="614"/>
      <c r="AK115" s="614"/>
      <c r="AL115" s="614"/>
      <c r="AM115" s="614"/>
      <c r="AN115" s="614"/>
      <c r="AO115" s="614"/>
      <c r="AP115" s="614"/>
      <c r="AQ115" s="614"/>
      <c r="AR115" s="614"/>
      <c r="AS115" s="614"/>
      <c r="AT115" s="614"/>
      <c r="AU115" s="614"/>
      <c r="AV115" s="614"/>
      <c r="AW115" s="614"/>
      <c r="AX115" s="614"/>
      <c r="AY115" s="614"/>
      <c r="AZ115" s="614"/>
      <c r="BA115" s="614"/>
      <c r="BB115" s="614"/>
      <c r="BC115" s="614"/>
      <c r="BD115" s="614"/>
      <c r="BE115" s="614"/>
      <c r="BF115" s="614"/>
      <c r="BG115" s="614"/>
      <c r="BH115" s="614"/>
      <c r="BI115" s="614"/>
      <c r="BJ115" s="449">
        <f>SUM(BJ5:BJ15)/(BJ108-BJ24)</f>
        <v>45.511246032841179</v>
      </c>
      <c r="BK115" s="425"/>
    </row>
    <row r="116" spans="1:63" ht="23.25" x14ac:dyDescent="0.35">
      <c r="A116" s="46"/>
      <c r="B116" s="450"/>
      <c r="C116" s="450"/>
      <c r="D116" s="663" t="s">
        <v>166</v>
      </c>
      <c r="E116" s="664"/>
      <c r="F116" s="615">
        <f t="shared" ref="F116:O116" si="30">(F108-F24)/F108</f>
        <v>1</v>
      </c>
      <c r="G116" s="615">
        <f t="shared" si="30"/>
        <v>0.92088607594936711</v>
      </c>
      <c r="H116" s="615">
        <f t="shared" si="30"/>
        <v>1</v>
      </c>
      <c r="I116" s="615">
        <f t="shared" si="30"/>
        <v>0.90277777777777779</v>
      </c>
      <c r="J116" s="615">
        <f t="shared" si="30"/>
        <v>0.64722222222222225</v>
      </c>
      <c r="K116" s="615">
        <f t="shared" si="30"/>
        <v>0.84166666666666667</v>
      </c>
      <c r="L116" s="615">
        <f t="shared" si="30"/>
        <v>1</v>
      </c>
      <c r="M116" s="615">
        <f t="shared" si="30"/>
        <v>0.94444444444444442</v>
      </c>
      <c r="N116" s="615">
        <f t="shared" si="30"/>
        <v>0.95833333333333337</v>
      </c>
      <c r="O116" s="615">
        <f t="shared" si="30"/>
        <v>1</v>
      </c>
      <c r="P116" s="615"/>
      <c r="Q116" s="615"/>
      <c r="R116" s="615"/>
      <c r="S116" s="615"/>
      <c r="T116" s="615">
        <f t="shared" ref="T116:AC116" si="31">(T108-T24)/T108</f>
        <v>1</v>
      </c>
      <c r="U116" s="615">
        <f t="shared" si="31"/>
        <v>0.90277777777777779</v>
      </c>
      <c r="V116" s="615">
        <f t="shared" si="31"/>
        <v>1</v>
      </c>
      <c r="W116" s="615">
        <f t="shared" si="31"/>
        <v>0.91666666666666663</v>
      </c>
      <c r="X116" s="615">
        <f t="shared" si="31"/>
        <v>0.91666666666666663</v>
      </c>
      <c r="Y116" s="615">
        <f t="shared" si="31"/>
        <v>0.69444444444444442</v>
      </c>
      <c r="Z116" s="615">
        <f t="shared" si="31"/>
        <v>0.86885245901639341</v>
      </c>
      <c r="AA116" s="615">
        <f t="shared" si="31"/>
        <v>0.91666666666666663</v>
      </c>
      <c r="AB116" s="615">
        <f t="shared" si="31"/>
        <v>0.96969696969696972</v>
      </c>
      <c r="AC116" s="615">
        <f t="shared" si="31"/>
        <v>1</v>
      </c>
      <c r="AD116" s="615"/>
      <c r="AE116" s="615"/>
      <c r="AF116" s="615">
        <f>(AF108-AF24)/AF108</f>
        <v>1</v>
      </c>
      <c r="AG116" s="615">
        <f>(AG108-AG24)/AG108</f>
        <v>1</v>
      </c>
      <c r="AH116" s="615"/>
      <c r="AI116" s="615"/>
      <c r="AJ116" s="615"/>
      <c r="AK116" s="615"/>
      <c r="AL116" s="615"/>
      <c r="AM116" s="615"/>
      <c r="AN116" s="615"/>
      <c r="AO116" s="615"/>
      <c r="AP116" s="615"/>
      <c r="AQ116" s="615"/>
      <c r="AR116" s="615"/>
      <c r="AS116" s="615"/>
      <c r="AT116" s="615"/>
      <c r="AU116" s="615"/>
      <c r="AV116" s="615"/>
      <c r="AW116" s="615"/>
      <c r="AX116" s="615"/>
      <c r="AY116" s="615"/>
      <c r="AZ116" s="615"/>
      <c r="BA116" s="615"/>
      <c r="BB116" s="615"/>
      <c r="BC116" s="615"/>
      <c r="BD116" s="615"/>
      <c r="BE116" s="615"/>
      <c r="BF116" s="615"/>
      <c r="BG116" s="615"/>
      <c r="BH116" s="615"/>
      <c r="BI116" s="615"/>
      <c r="BJ116" s="451">
        <f>(BJ108-BJ24)/BJ108</f>
        <v>0.92779413647420306</v>
      </c>
      <c r="BK116" s="425"/>
    </row>
    <row r="117" spans="1:63" ht="23.25" x14ac:dyDescent="0.35">
      <c r="A117" s="46"/>
      <c r="B117" s="450"/>
      <c r="C117" s="450"/>
      <c r="D117" s="663" t="s">
        <v>167</v>
      </c>
      <c r="E117" s="664"/>
      <c r="F117" s="615">
        <f t="shared" ref="F117:O117" si="32">F113/F112</f>
        <v>0.86167800453514742</v>
      </c>
      <c r="G117" s="615">
        <f t="shared" si="32"/>
        <v>0.95981485377656228</v>
      </c>
      <c r="H117" s="615">
        <f t="shared" si="32"/>
        <v>0.86967120181405888</v>
      </c>
      <c r="I117" s="615">
        <f t="shared" si="32"/>
        <v>0.73312401883830458</v>
      </c>
      <c r="J117" s="615">
        <f t="shared" si="32"/>
        <v>0.89340457212928082</v>
      </c>
      <c r="K117" s="615">
        <f t="shared" si="32"/>
        <v>0.88704788846231564</v>
      </c>
      <c r="L117" s="615">
        <f t="shared" si="32"/>
        <v>0.95238095238095233</v>
      </c>
      <c r="M117" s="615">
        <f t="shared" si="32"/>
        <v>0.79585834333733485</v>
      </c>
      <c r="N117" s="615">
        <f t="shared" si="32"/>
        <v>0.99083111505471744</v>
      </c>
      <c r="O117" s="615">
        <f t="shared" si="32"/>
        <v>0.75510204081632648</v>
      </c>
      <c r="P117" s="615"/>
      <c r="Q117" s="615"/>
      <c r="R117" s="615"/>
      <c r="S117" s="615"/>
      <c r="T117" s="615">
        <f t="shared" ref="T117:AC117" si="33">T113/T112</f>
        <v>0.96371882086167804</v>
      </c>
      <c r="U117" s="615">
        <f t="shared" si="33"/>
        <v>0.98775510204081629</v>
      </c>
      <c r="V117" s="615">
        <f t="shared" si="33"/>
        <v>0.93537414965986398</v>
      </c>
      <c r="W117" s="615">
        <f t="shared" si="33"/>
        <v>0.99783549783549785</v>
      </c>
      <c r="X117" s="615">
        <f t="shared" si="33"/>
        <v>0.927643784786642</v>
      </c>
      <c r="Y117" s="615">
        <f t="shared" si="33"/>
        <v>0.97959183673469385</v>
      </c>
      <c r="Z117" s="615">
        <f t="shared" si="33"/>
        <v>0.93107431651906047</v>
      </c>
      <c r="AA117" s="615">
        <f t="shared" si="33"/>
        <v>0.98948670377241799</v>
      </c>
      <c r="AB117" s="615">
        <f t="shared" si="33"/>
        <v>0.99553571428571419</v>
      </c>
      <c r="AC117" s="615">
        <f t="shared" si="33"/>
        <v>0.97683397683397688</v>
      </c>
      <c r="AD117" s="615"/>
      <c r="AE117" s="615"/>
      <c r="AF117" s="615">
        <f>AF113/AF112</f>
        <v>0.99282956425813562</v>
      </c>
      <c r="AG117" s="615">
        <f>AG113/AG112</f>
        <v>0.99206349206349209</v>
      </c>
      <c r="AH117" s="615"/>
      <c r="AI117" s="615"/>
      <c r="AJ117" s="615"/>
      <c r="AK117" s="615"/>
      <c r="AL117" s="615"/>
      <c r="AM117" s="615"/>
      <c r="AN117" s="615"/>
      <c r="AO117" s="615"/>
      <c r="AP117" s="615"/>
      <c r="AQ117" s="615"/>
      <c r="AR117" s="615"/>
      <c r="AS117" s="615"/>
      <c r="AT117" s="615"/>
      <c r="AU117" s="615"/>
      <c r="AV117" s="615"/>
      <c r="AW117" s="615"/>
      <c r="AX117" s="615"/>
      <c r="AY117" s="615"/>
      <c r="AZ117" s="615"/>
      <c r="BA117" s="615"/>
      <c r="BB117" s="615"/>
      <c r="BC117" s="615"/>
      <c r="BD117" s="615"/>
      <c r="BE117" s="615"/>
      <c r="BF117" s="615"/>
      <c r="BG117" s="615"/>
      <c r="BH117" s="615"/>
      <c r="BI117" s="615"/>
      <c r="BJ117" s="451">
        <f>BJ113/BJ112</f>
        <v>0.92557933895236033</v>
      </c>
      <c r="BK117" s="425"/>
    </row>
    <row r="118" spans="1:63" ht="23.25" x14ac:dyDescent="0.35">
      <c r="A118" s="46"/>
      <c r="B118" s="450"/>
      <c r="C118" s="450"/>
      <c r="D118" s="663" t="s">
        <v>168</v>
      </c>
      <c r="E118" s="664"/>
      <c r="F118" s="615">
        <f t="shared" ref="F118:L118" si="34">SUM(F5:F14)/(SUM(F5:F15))</f>
        <v>0.99593762285414755</v>
      </c>
      <c r="G118" s="615">
        <f t="shared" si="34"/>
        <v>0.99861364465523528</v>
      </c>
      <c r="H118" s="615">
        <f t="shared" si="34"/>
        <v>0.98732140558630455</v>
      </c>
      <c r="I118" s="615">
        <f t="shared" si="34"/>
        <v>0.9942093161883675</v>
      </c>
      <c r="J118" s="615">
        <f t="shared" si="34"/>
        <v>0.98971472928391224</v>
      </c>
      <c r="K118" s="615">
        <f t="shared" si="34"/>
        <v>0.99321266968325794</v>
      </c>
      <c r="L118" s="615">
        <f t="shared" si="34"/>
        <v>0.99940511600237958</v>
      </c>
      <c r="M118" s="615">
        <f>SUM(M5:M14)/(SUM(M5:M15))</f>
        <v>0.99729221511846555</v>
      </c>
      <c r="N118" s="615">
        <f>SUM(N5:N14)/(SUM(N5:N15))</f>
        <v>0.99839065387137149</v>
      </c>
      <c r="O118" s="615">
        <f>SUM(O5:O14)/(SUM(O5:O15))</f>
        <v>0.99880023995200962</v>
      </c>
      <c r="P118" s="615"/>
      <c r="Q118" s="615"/>
      <c r="R118" s="615"/>
      <c r="S118" s="615"/>
      <c r="T118" s="615">
        <f t="shared" ref="T118:AC118" si="35">SUM(T5:T14)/(SUM(T5:T15))</f>
        <v>0.99316469007419528</v>
      </c>
      <c r="U118" s="615">
        <f t="shared" si="35"/>
        <v>0.9991742361684558</v>
      </c>
      <c r="V118" s="615">
        <f t="shared" si="35"/>
        <v>0.99355693382308663</v>
      </c>
      <c r="W118" s="615">
        <f t="shared" si="35"/>
        <v>0.99777379259167642</v>
      </c>
      <c r="X118" s="615">
        <f t="shared" si="35"/>
        <v>0.99687645377816181</v>
      </c>
      <c r="Y118" s="615">
        <f t="shared" si="35"/>
        <v>0.99626400996264008</v>
      </c>
      <c r="Z118" s="615">
        <f t="shared" si="35"/>
        <v>0.99736017158884671</v>
      </c>
      <c r="AA118" s="615">
        <f t="shared" si="35"/>
        <v>0.99750623441396513</v>
      </c>
      <c r="AB118" s="615">
        <f t="shared" si="35"/>
        <v>0.99942377873103272</v>
      </c>
      <c r="AC118" s="615">
        <f t="shared" si="35"/>
        <v>0.99954848176995148</v>
      </c>
      <c r="AD118" s="615"/>
      <c r="AE118" s="615"/>
      <c r="AF118" s="615">
        <f>SUM(AF5:AF14)/(SUM(AF5:AF15))</f>
        <v>0.99739568903418852</v>
      </c>
      <c r="AG118" s="615">
        <f>SUM(AG5:AG14)/(SUM(AG5:AG15))</f>
        <v>0.99931475559616267</v>
      </c>
      <c r="AH118" s="615"/>
      <c r="AI118" s="615"/>
      <c r="AJ118" s="615"/>
      <c r="AK118" s="615"/>
      <c r="AL118" s="615"/>
      <c r="AM118" s="615"/>
      <c r="AN118" s="615"/>
      <c r="AO118" s="615"/>
      <c r="AP118" s="615"/>
      <c r="AQ118" s="615"/>
      <c r="AR118" s="615"/>
      <c r="AS118" s="615"/>
      <c r="AT118" s="615"/>
      <c r="AU118" s="615"/>
      <c r="AV118" s="615"/>
      <c r="AW118" s="615"/>
      <c r="AX118" s="615"/>
      <c r="AY118" s="615"/>
      <c r="AZ118" s="615"/>
      <c r="BA118" s="615"/>
      <c r="BB118" s="615"/>
      <c r="BC118" s="615"/>
      <c r="BD118" s="615"/>
      <c r="BE118" s="615"/>
      <c r="BF118" s="615"/>
      <c r="BG118" s="615"/>
      <c r="BH118" s="615"/>
      <c r="BI118" s="615"/>
      <c r="BJ118" s="451">
        <f>SUM(BJ5:BJ14)/(SUM(BJ5:BJ15))</f>
        <v>0.99653144139227456</v>
      </c>
      <c r="BK118" s="425"/>
    </row>
    <row r="119" spans="1:63" ht="24" thickBot="1" x14ac:dyDescent="0.4">
      <c r="A119" s="46"/>
      <c r="B119" s="450"/>
      <c r="C119" s="450"/>
      <c r="D119" s="663" t="s">
        <v>169</v>
      </c>
      <c r="E119" s="664"/>
      <c r="F119" s="616">
        <f t="shared" ref="F119:O119" si="36">F118*F117*F116</f>
        <v>0.85817754350244013</v>
      </c>
      <c r="G119" s="616">
        <f t="shared" si="36"/>
        <v>0.88265476238385121</v>
      </c>
      <c r="H119" s="616">
        <f t="shared" si="36"/>
        <v>0.85864499337298739</v>
      </c>
      <c r="I119" s="616">
        <f t="shared" si="36"/>
        <v>0.65801551964281135</v>
      </c>
      <c r="J119" s="616">
        <f t="shared" si="36"/>
        <v>0.57228402713695603</v>
      </c>
      <c r="K119" s="616">
        <f t="shared" si="36"/>
        <v>0.74153122787576575</v>
      </c>
      <c r="L119" s="616">
        <f t="shared" si="36"/>
        <v>0.95181439619274244</v>
      </c>
      <c r="M119" s="616">
        <f t="shared" si="36"/>
        <v>0.74960870069476948</v>
      </c>
      <c r="N119" s="616">
        <f t="shared" si="36"/>
        <v>0.94801833630076371</v>
      </c>
      <c r="O119" s="616">
        <f t="shared" si="36"/>
        <v>0.75419609955559908</v>
      </c>
      <c r="P119" s="616"/>
      <c r="Q119" s="616"/>
      <c r="R119" s="616"/>
      <c r="S119" s="616"/>
      <c r="T119" s="616">
        <f t="shared" ref="T119:AC119" si="37">T118*T117*T116</f>
        <v>0.95713150403975744</v>
      </c>
      <c r="U119" s="616">
        <f t="shared" si="37"/>
        <v>0.89098700311393475</v>
      </c>
      <c r="V119" s="616">
        <f t="shared" si="37"/>
        <v>0.92934747211343138</v>
      </c>
      <c r="W119" s="616">
        <f t="shared" si="37"/>
        <v>0.91264626663643422</v>
      </c>
      <c r="X119" s="616">
        <f t="shared" si="37"/>
        <v>0.84768405933517155</v>
      </c>
      <c r="Y119" s="616">
        <f t="shared" si="37"/>
        <v>0.67773061902220411</v>
      </c>
      <c r="Z119" s="616">
        <f t="shared" si="37"/>
        <v>0.80683067745126502</v>
      </c>
      <c r="AA119" s="616">
        <f t="shared" si="37"/>
        <v>0.904767559559152</v>
      </c>
      <c r="AB119" s="616">
        <f t="shared" si="37"/>
        <v>0.96481169981394066</v>
      </c>
      <c r="AC119" s="616">
        <f t="shared" si="37"/>
        <v>0.97639291848570553</v>
      </c>
      <c r="AD119" s="616"/>
      <c r="AE119" s="616"/>
      <c r="AF119" s="616">
        <f>AF118*AF117*AF116</f>
        <v>0.99024392733675637</v>
      </c>
      <c r="AG119" s="616">
        <f>AG118*AG117*AG116</f>
        <v>0.99138368610730432</v>
      </c>
      <c r="AH119" s="616"/>
      <c r="AI119" s="616"/>
      <c r="AJ119" s="616"/>
      <c r="AK119" s="616"/>
      <c r="AL119" s="616"/>
      <c r="AM119" s="616"/>
      <c r="AN119" s="616"/>
      <c r="AO119" s="616"/>
      <c r="AP119" s="616"/>
      <c r="AQ119" s="616"/>
      <c r="AR119" s="616"/>
      <c r="AS119" s="616"/>
      <c r="AT119" s="616"/>
      <c r="AU119" s="616"/>
      <c r="AV119" s="616"/>
      <c r="AW119" s="616"/>
      <c r="AX119" s="616"/>
      <c r="AY119" s="616"/>
      <c r="AZ119" s="616"/>
      <c r="BA119" s="616"/>
      <c r="BB119" s="616"/>
      <c r="BC119" s="616"/>
      <c r="BD119" s="616"/>
      <c r="BE119" s="616"/>
      <c r="BF119" s="616"/>
      <c r="BG119" s="616"/>
      <c r="BH119" s="616"/>
      <c r="BI119" s="616"/>
      <c r="BJ119" s="452">
        <f>BJ118*BJ117*BJ116</f>
        <v>0.85576846893326064</v>
      </c>
      <c r="BK119" s="425"/>
    </row>
    <row r="120" spans="1:63" ht="17.25" customHeight="1" x14ac:dyDescent="0.35">
      <c r="D120" s="505"/>
      <c r="E120" s="576"/>
    </row>
    <row r="121" spans="1:63" ht="23.25" x14ac:dyDescent="0.35">
      <c r="D121" s="505"/>
      <c r="E121" s="576"/>
    </row>
    <row r="256" spans="8:8" x14ac:dyDescent="0.25">
      <c r="H256" t="s">
        <v>170</v>
      </c>
    </row>
    <row r="257" spans="8:8" x14ac:dyDescent="0.25">
      <c r="H257" t="s">
        <v>171</v>
      </c>
    </row>
    <row r="258" spans="8:8" x14ac:dyDescent="0.25">
      <c r="H258" t="s">
        <v>172</v>
      </c>
    </row>
    <row r="259" spans="8:8" x14ac:dyDescent="0.25">
      <c r="H259" t="s">
        <v>173</v>
      </c>
    </row>
    <row r="260" spans="8:8" x14ac:dyDescent="0.25">
      <c r="H260" t="s">
        <v>174</v>
      </c>
    </row>
    <row r="261" spans="8:8" x14ac:dyDescent="0.25">
      <c r="H261" t="s">
        <v>175</v>
      </c>
    </row>
    <row r="262" spans="8:8" x14ac:dyDescent="0.25">
      <c r="H262" t="s">
        <v>176</v>
      </c>
    </row>
    <row r="263" spans="8:8" x14ac:dyDescent="0.25">
      <c r="H263" t="s">
        <v>177</v>
      </c>
    </row>
    <row r="264" spans="8:8" x14ac:dyDescent="0.25">
      <c r="H264" t="s">
        <v>178</v>
      </c>
    </row>
    <row r="265" spans="8:8" x14ac:dyDescent="0.25">
      <c r="H265" t="s">
        <v>179</v>
      </c>
    </row>
    <row r="266" spans="8:8" x14ac:dyDescent="0.25">
      <c r="H266" t="s">
        <v>180</v>
      </c>
    </row>
    <row r="267" spans="8:8" x14ac:dyDescent="0.25">
      <c r="H267" t="s">
        <v>181</v>
      </c>
    </row>
    <row r="268" spans="8:8" x14ac:dyDescent="0.25">
      <c r="H268" t="s">
        <v>182</v>
      </c>
    </row>
    <row r="269" spans="8:8" x14ac:dyDescent="0.25">
      <c r="H269" t="s">
        <v>183</v>
      </c>
    </row>
    <row r="270" spans="8:8" x14ac:dyDescent="0.25">
      <c r="H270" t="s">
        <v>184</v>
      </c>
    </row>
    <row r="271" spans="8:8" x14ac:dyDescent="0.25">
      <c r="H271" t="s">
        <v>185</v>
      </c>
    </row>
    <row r="272" spans="8:8" x14ac:dyDescent="0.25">
      <c r="H272" t="s">
        <v>186</v>
      </c>
    </row>
    <row r="273" spans="8:8" x14ac:dyDescent="0.25">
      <c r="H273" t="s">
        <v>187</v>
      </c>
    </row>
    <row r="274" spans="8:8" x14ac:dyDescent="0.25">
      <c r="H274" t="s">
        <v>188</v>
      </c>
    </row>
    <row r="275" spans="8:8" x14ac:dyDescent="0.25">
      <c r="H275" t="s">
        <v>189</v>
      </c>
    </row>
    <row r="276" spans="8:8" x14ac:dyDescent="0.25">
      <c r="H276" t="s">
        <v>190</v>
      </c>
    </row>
    <row r="277" spans="8:8" x14ac:dyDescent="0.25">
      <c r="H277" t="s">
        <v>191</v>
      </c>
    </row>
    <row r="278" spans="8:8" x14ac:dyDescent="0.25">
      <c r="H278" t="s">
        <v>192</v>
      </c>
    </row>
    <row r="279" spans="8:8" x14ac:dyDescent="0.25">
      <c r="H279" t="s">
        <v>193</v>
      </c>
    </row>
    <row r="280" spans="8:8" x14ac:dyDescent="0.25">
      <c r="H280" t="s">
        <v>194</v>
      </c>
    </row>
    <row r="281" spans="8:8" x14ac:dyDescent="0.25">
      <c r="H281" t="s">
        <v>195</v>
      </c>
    </row>
    <row r="282" spans="8:8" x14ac:dyDescent="0.25">
      <c r="H282" t="s">
        <v>196</v>
      </c>
    </row>
    <row r="283" spans="8:8" x14ac:dyDescent="0.25">
      <c r="H283" t="s">
        <v>197</v>
      </c>
    </row>
    <row r="284" spans="8:8" x14ac:dyDescent="0.25">
      <c r="H284" t="s">
        <v>198</v>
      </c>
    </row>
    <row r="285" spans="8:8" x14ac:dyDescent="0.25">
      <c r="H285" t="s">
        <v>199</v>
      </c>
    </row>
    <row r="286" spans="8:8" x14ac:dyDescent="0.25">
      <c r="H286" t="s">
        <v>200</v>
      </c>
    </row>
    <row r="287" spans="8:8" x14ac:dyDescent="0.25">
      <c r="H287" t="s">
        <v>201</v>
      </c>
    </row>
    <row r="288" spans="8:8" x14ac:dyDescent="0.25">
      <c r="H288" t="s">
        <v>202</v>
      </c>
    </row>
    <row r="289" spans="8:8" x14ac:dyDescent="0.25">
      <c r="H289" t="s">
        <v>203</v>
      </c>
    </row>
    <row r="290" spans="8:8" x14ac:dyDescent="0.25">
      <c r="H290" t="s">
        <v>204</v>
      </c>
    </row>
    <row r="291" spans="8:8" x14ac:dyDescent="0.25">
      <c r="H291" t="s">
        <v>205</v>
      </c>
    </row>
    <row r="292" spans="8:8" x14ac:dyDescent="0.25">
      <c r="H292" t="s">
        <v>206</v>
      </c>
    </row>
    <row r="293" spans="8:8" x14ac:dyDescent="0.25">
      <c r="H293" t="s">
        <v>207</v>
      </c>
    </row>
    <row r="294" spans="8:8" x14ac:dyDescent="0.25">
      <c r="H294" t="s">
        <v>208</v>
      </c>
    </row>
    <row r="295" spans="8:8" x14ac:dyDescent="0.25">
      <c r="H295" t="s">
        <v>209</v>
      </c>
    </row>
    <row r="296" spans="8:8" x14ac:dyDescent="0.25">
      <c r="H296" t="s">
        <v>210</v>
      </c>
    </row>
    <row r="297" spans="8:8" x14ac:dyDescent="0.25">
      <c r="H297" t="s">
        <v>211</v>
      </c>
    </row>
    <row r="298" spans="8:8" x14ac:dyDescent="0.25">
      <c r="H298" t="s">
        <v>212</v>
      </c>
    </row>
    <row r="299" spans="8:8" x14ac:dyDescent="0.25">
      <c r="H299" t="s">
        <v>213</v>
      </c>
    </row>
    <row r="300" spans="8:8" x14ac:dyDescent="0.25">
      <c r="H300" t="s">
        <v>214</v>
      </c>
    </row>
    <row r="301" spans="8:8" x14ac:dyDescent="0.25">
      <c r="H301" t="s">
        <v>215</v>
      </c>
    </row>
    <row r="302" spans="8:8" x14ac:dyDescent="0.25">
      <c r="H302" t="s">
        <v>216</v>
      </c>
    </row>
    <row r="303" spans="8:8" x14ac:dyDescent="0.25">
      <c r="H303" t="s">
        <v>217</v>
      </c>
    </row>
    <row r="304" spans="8:8" x14ac:dyDescent="0.25">
      <c r="H304" t="s">
        <v>218</v>
      </c>
    </row>
    <row r="305" spans="8:8" x14ac:dyDescent="0.25">
      <c r="H305" t="s">
        <v>219</v>
      </c>
    </row>
    <row r="306" spans="8:8" x14ac:dyDescent="0.25">
      <c r="H306" t="s">
        <v>220</v>
      </c>
    </row>
    <row r="307" spans="8:8" x14ac:dyDescent="0.25">
      <c r="H307" t="s">
        <v>221</v>
      </c>
    </row>
    <row r="308" spans="8:8" x14ac:dyDescent="0.25">
      <c r="H308" t="s">
        <v>222</v>
      </c>
    </row>
    <row r="309" spans="8:8" x14ac:dyDescent="0.25">
      <c r="H309" t="s">
        <v>223</v>
      </c>
    </row>
    <row r="310" spans="8:8" x14ac:dyDescent="0.25">
      <c r="H310" t="s">
        <v>224</v>
      </c>
    </row>
    <row r="311" spans="8:8" x14ac:dyDescent="0.25">
      <c r="H311" t="s">
        <v>225</v>
      </c>
    </row>
  </sheetData>
  <autoFilter ref="A25:BK119" xr:uid="{00000000-0009-0000-0000-000018000000}"/>
  <mergeCells count="135">
    <mergeCell ref="AJ2:AK2"/>
    <mergeCell ref="AL2:AM2"/>
    <mergeCell ref="C2:E2"/>
    <mergeCell ref="F2:G2"/>
    <mergeCell ref="H2:I2"/>
    <mergeCell ref="J2:K2"/>
    <mergeCell ref="L2:M2"/>
    <mergeCell ref="N2:O2"/>
    <mergeCell ref="P2:Q2"/>
    <mergeCell ref="R2:S2"/>
    <mergeCell ref="T2:U2"/>
    <mergeCell ref="BF2:BG2"/>
    <mergeCell ref="BH2:BI2"/>
    <mergeCell ref="C3:E3"/>
    <mergeCell ref="D15:E15"/>
    <mergeCell ref="D16:E16"/>
    <mergeCell ref="D17:E17"/>
    <mergeCell ref="D18:E18"/>
    <mergeCell ref="D19:E19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V2:W2"/>
    <mergeCell ref="X2:Y2"/>
    <mergeCell ref="Z2:AA2"/>
    <mergeCell ref="AB2:AC2"/>
    <mergeCell ref="AD2:AE2"/>
    <mergeCell ref="AF2:AG2"/>
    <mergeCell ref="AH2:AI2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9:E79"/>
    <mergeCell ref="D80:E80"/>
    <mergeCell ref="D81:E81"/>
    <mergeCell ref="D82:E82"/>
    <mergeCell ref="D96:E96"/>
    <mergeCell ref="D97:E97"/>
    <mergeCell ref="D98:E98"/>
    <mergeCell ref="D99:E99"/>
    <mergeCell ref="D100:E100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118:E118"/>
    <mergeCell ref="D119:E119"/>
    <mergeCell ref="D110:E110"/>
    <mergeCell ref="D78:E78"/>
    <mergeCell ref="D111:E111"/>
    <mergeCell ref="D112:E112"/>
    <mergeCell ref="D113:E113"/>
    <mergeCell ref="D114:E114"/>
    <mergeCell ref="D115:E115"/>
    <mergeCell ref="D116:E116"/>
    <mergeCell ref="D117:E117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DF49-1339-4D84-97C6-32737A69286B}">
  <sheetPr>
    <tabColor rgb="FF00B050"/>
  </sheetPr>
  <dimension ref="A1:BK322"/>
  <sheetViews>
    <sheetView zoomScale="60" zoomScaleNormal="60" workbookViewId="0">
      <pane xSplit="5" ySplit="24" topLeftCell="Z109" activePane="bottomRight" state="frozen"/>
      <selection activeCell="I78" sqref="I78"/>
      <selection pane="topRight" activeCell="I78" sqref="I78"/>
      <selection pane="bottomLeft" activeCell="I78" sqref="I78"/>
      <selection pane="bottomRight" activeCell="AF121" sqref="AF121"/>
    </sheetView>
  </sheetViews>
  <sheetFormatPr defaultColWidth="9" defaultRowHeight="23.25" x14ac:dyDescent="0.35"/>
  <cols>
    <col min="1" max="3" width="15.7109375" style="505" customWidth="1"/>
    <col min="4" max="4" width="61.7109375" style="505" customWidth="1"/>
    <col min="5" max="5" width="7.85546875" style="576" customWidth="1"/>
    <col min="6" max="6" width="13.42578125" style="505" customWidth="1"/>
    <col min="7" max="7" width="13" style="505" customWidth="1"/>
    <col min="8" max="8" width="13.42578125" style="505" customWidth="1"/>
    <col min="9" max="9" width="13" style="505" customWidth="1"/>
    <col min="10" max="10" width="13.42578125" style="505" customWidth="1"/>
    <col min="11" max="11" width="13" style="505" customWidth="1"/>
    <col min="12" max="12" width="13.42578125" style="505" customWidth="1"/>
    <col min="13" max="13" width="13" style="505" customWidth="1"/>
    <col min="14" max="14" width="13.42578125" style="505" customWidth="1"/>
    <col min="15" max="15" width="13" style="505" customWidth="1"/>
    <col min="16" max="16" width="15.140625" style="505" customWidth="1"/>
    <col min="17" max="17" width="13.7109375" style="505" customWidth="1"/>
    <col min="18" max="18" width="15.140625" style="505" customWidth="1"/>
    <col min="19" max="19" width="13.7109375" style="505" customWidth="1"/>
    <col min="20" max="20" width="13.42578125" style="505" customWidth="1"/>
    <col min="21" max="21" width="13" style="505" customWidth="1"/>
    <col min="22" max="22" width="13.42578125" style="505" customWidth="1"/>
    <col min="23" max="23" width="13" style="505" customWidth="1"/>
    <col min="24" max="24" width="13.42578125" style="505" customWidth="1"/>
    <col min="25" max="25" width="13" style="505" customWidth="1"/>
    <col min="26" max="26" width="13.42578125" style="505" customWidth="1"/>
    <col min="27" max="27" width="13" style="505" customWidth="1"/>
    <col min="28" max="28" width="13.42578125" style="505" customWidth="1"/>
    <col min="29" max="29" width="13" style="505" customWidth="1"/>
    <col min="30" max="30" width="15.140625" style="505" customWidth="1"/>
    <col min="31" max="31" width="13.7109375" style="505" customWidth="1"/>
    <col min="32" max="32" width="13.42578125" style="505" customWidth="1"/>
    <col min="33" max="33" width="13" style="505" customWidth="1"/>
    <col min="34" max="34" width="13.42578125" style="505" customWidth="1"/>
    <col min="35" max="35" width="13" style="505" customWidth="1"/>
    <col min="36" max="36" width="13.42578125" style="505" customWidth="1"/>
    <col min="37" max="37" width="13" style="505" customWidth="1"/>
    <col min="38" max="38" width="13.42578125" style="505" customWidth="1"/>
    <col min="39" max="39" width="13" style="505" customWidth="1"/>
    <col min="40" max="40" width="13.42578125" style="505" customWidth="1"/>
    <col min="41" max="41" width="13" style="505" customWidth="1"/>
    <col min="42" max="42" width="13.42578125" style="505" customWidth="1"/>
    <col min="43" max="43" width="13" style="505" customWidth="1"/>
    <col min="44" max="44" width="15.140625" style="505" customWidth="1"/>
    <col min="45" max="45" width="13.7109375" style="505" customWidth="1"/>
    <col min="46" max="46" width="13.42578125" style="505" customWidth="1"/>
    <col min="47" max="47" width="13" style="505" customWidth="1"/>
    <col min="48" max="48" width="13.42578125" style="505" customWidth="1"/>
    <col min="49" max="49" width="13" style="505" customWidth="1"/>
    <col min="50" max="50" width="13.42578125" style="505" customWidth="1"/>
    <col min="51" max="51" width="13" style="505" customWidth="1"/>
    <col min="52" max="52" width="13.42578125" style="505" customWidth="1"/>
    <col min="53" max="53" width="13" style="505" customWidth="1"/>
    <col min="54" max="54" width="13.42578125" style="505" customWidth="1"/>
    <col min="55" max="55" width="13" style="505" customWidth="1"/>
    <col min="56" max="56" width="13.42578125" style="505" customWidth="1"/>
    <col min="57" max="57" width="13" style="505" customWidth="1"/>
    <col min="58" max="58" width="15.140625" style="505" customWidth="1"/>
    <col min="59" max="59" width="13.7109375" style="505" customWidth="1"/>
    <col min="60" max="60" width="13.42578125" style="505" customWidth="1"/>
    <col min="61" max="61" width="13" style="505" customWidth="1"/>
    <col min="62" max="62" width="24.42578125" style="505" bestFit="1" customWidth="1"/>
    <col min="63" max="64" width="9" style="505"/>
    <col min="65" max="65" width="9.7109375" style="505" customWidth="1"/>
    <col min="66" max="16384" width="9" style="505"/>
  </cols>
  <sheetData>
    <row r="1" spans="1:63" ht="24" thickBot="1" x14ac:dyDescent="0.4">
      <c r="F1" s="544">
        <f t="shared" ref="F1:AK1" si="0">SUM(F5:F24)</f>
        <v>0</v>
      </c>
      <c r="G1" s="544">
        <f t="shared" si="0"/>
        <v>0</v>
      </c>
      <c r="H1" s="544">
        <f t="shared" si="0"/>
        <v>0</v>
      </c>
      <c r="I1" s="544">
        <f t="shared" si="0"/>
        <v>0</v>
      </c>
      <c r="J1" s="544">
        <f t="shared" si="0"/>
        <v>0</v>
      </c>
      <c r="K1" s="544">
        <f t="shared" si="0"/>
        <v>0</v>
      </c>
      <c r="L1" s="544">
        <f t="shared" si="0"/>
        <v>0</v>
      </c>
      <c r="M1" s="544">
        <f t="shared" si="0"/>
        <v>0</v>
      </c>
      <c r="N1" s="544">
        <f t="shared" si="0"/>
        <v>0</v>
      </c>
      <c r="O1" s="544">
        <f t="shared" si="0"/>
        <v>0</v>
      </c>
      <c r="P1" s="544">
        <f t="shared" si="0"/>
        <v>0</v>
      </c>
      <c r="Q1" s="544">
        <f t="shared" si="0"/>
        <v>0</v>
      </c>
      <c r="R1" s="544">
        <f t="shared" si="0"/>
        <v>0</v>
      </c>
      <c r="S1" s="544">
        <f t="shared" si="0"/>
        <v>0</v>
      </c>
      <c r="T1" s="544">
        <f t="shared" si="0"/>
        <v>0</v>
      </c>
      <c r="U1" s="544">
        <f t="shared" si="0"/>
        <v>0</v>
      </c>
      <c r="V1" s="544">
        <f t="shared" si="0"/>
        <v>0</v>
      </c>
      <c r="W1" s="544">
        <f t="shared" si="0"/>
        <v>0</v>
      </c>
      <c r="X1" s="544">
        <f t="shared" si="0"/>
        <v>0</v>
      </c>
      <c r="Y1" s="544">
        <f t="shared" si="0"/>
        <v>0</v>
      </c>
      <c r="Z1" s="544">
        <f t="shared" si="0"/>
        <v>4000</v>
      </c>
      <c r="AA1" s="544">
        <f t="shared" si="0"/>
        <v>0</v>
      </c>
      <c r="AB1" s="544">
        <f t="shared" si="0"/>
        <v>3400</v>
      </c>
      <c r="AC1" s="544">
        <f t="shared" si="0"/>
        <v>0</v>
      </c>
      <c r="AD1" s="544">
        <f t="shared" si="0"/>
        <v>0</v>
      </c>
      <c r="AE1" s="544">
        <f t="shared" si="0"/>
        <v>0</v>
      </c>
      <c r="AF1" s="544">
        <f t="shared" si="0"/>
        <v>2302</v>
      </c>
      <c r="AG1" s="544">
        <f t="shared" si="0"/>
        <v>0</v>
      </c>
      <c r="AH1" s="544">
        <f t="shared" si="0"/>
        <v>0</v>
      </c>
      <c r="AI1" s="544">
        <f t="shared" si="0"/>
        <v>0</v>
      </c>
      <c r="AJ1" s="544">
        <f t="shared" si="0"/>
        <v>0</v>
      </c>
      <c r="AK1" s="544">
        <f t="shared" si="0"/>
        <v>0</v>
      </c>
      <c r="AL1" s="544">
        <f t="shared" ref="AL1:BJ1" si="1">SUM(AL5:AL24)</f>
        <v>0</v>
      </c>
      <c r="AM1" s="544">
        <f t="shared" si="1"/>
        <v>0</v>
      </c>
      <c r="AN1" s="544">
        <f t="shared" si="1"/>
        <v>0</v>
      </c>
      <c r="AO1" s="544">
        <f t="shared" si="1"/>
        <v>0</v>
      </c>
      <c r="AP1" s="544">
        <f t="shared" si="1"/>
        <v>0</v>
      </c>
      <c r="AQ1" s="544">
        <f t="shared" si="1"/>
        <v>0</v>
      </c>
      <c r="AR1" s="544">
        <f t="shared" si="1"/>
        <v>0</v>
      </c>
      <c r="AS1" s="544">
        <f t="shared" si="1"/>
        <v>0</v>
      </c>
      <c r="AT1" s="544">
        <f t="shared" si="1"/>
        <v>0</v>
      </c>
      <c r="AU1" s="544">
        <f t="shared" si="1"/>
        <v>0</v>
      </c>
      <c r="AV1" s="544">
        <f t="shared" si="1"/>
        <v>0</v>
      </c>
      <c r="AW1" s="544">
        <f t="shared" si="1"/>
        <v>0</v>
      </c>
      <c r="AX1" s="544">
        <f t="shared" si="1"/>
        <v>0</v>
      </c>
      <c r="AY1" s="544">
        <f t="shared" si="1"/>
        <v>0</v>
      </c>
      <c r="AZ1" s="544">
        <f t="shared" si="1"/>
        <v>0</v>
      </c>
      <c r="BA1" s="544">
        <f t="shared" si="1"/>
        <v>0</v>
      </c>
      <c r="BB1" s="544">
        <f t="shared" si="1"/>
        <v>0</v>
      </c>
      <c r="BC1" s="544">
        <f t="shared" si="1"/>
        <v>0</v>
      </c>
      <c r="BD1" s="544">
        <f t="shared" si="1"/>
        <v>0</v>
      </c>
      <c r="BE1" s="544">
        <f t="shared" si="1"/>
        <v>0</v>
      </c>
      <c r="BF1" s="544">
        <f t="shared" si="1"/>
        <v>0</v>
      </c>
      <c r="BG1" s="544">
        <f t="shared" si="1"/>
        <v>0</v>
      </c>
      <c r="BH1" s="544">
        <f t="shared" si="1"/>
        <v>0</v>
      </c>
      <c r="BI1" s="544">
        <f t="shared" si="1"/>
        <v>0</v>
      </c>
      <c r="BJ1" s="544">
        <f t="shared" si="1"/>
        <v>9702</v>
      </c>
    </row>
    <row r="2" spans="1:63" ht="24" customHeight="1" x14ac:dyDescent="0.35">
      <c r="A2" s="543"/>
      <c r="B2" s="543"/>
      <c r="C2" s="773" t="s">
        <v>0</v>
      </c>
      <c r="D2" s="774"/>
      <c r="E2" s="774"/>
      <c r="F2" s="761">
        <v>46082</v>
      </c>
      <c r="G2" s="762"/>
      <c r="H2" s="761">
        <v>46083</v>
      </c>
      <c r="I2" s="762"/>
      <c r="J2" s="761">
        <v>46084</v>
      </c>
      <c r="K2" s="762"/>
      <c r="L2" s="761">
        <v>46085</v>
      </c>
      <c r="M2" s="762"/>
      <c r="N2" s="761">
        <v>46086</v>
      </c>
      <c r="O2" s="762"/>
      <c r="P2" s="761">
        <v>46087</v>
      </c>
      <c r="Q2" s="762"/>
      <c r="R2" s="761">
        <v>46088</v>
      </c>
      <c r="S2" s="762"/>
      <c r="T2" s="761">
        <v>46089</v>
      </c>
      <c r="U2" s="762"/>
      <c r="V2" s="761">
        <v>46090</v>
      </c>
      <c r="W2" s="762"/>
      <c r="X2" s="761">
        <v>46091</v>
      </c>
      <c r="Y2" s="762"/>
      <c r="Z2" s="761">
        <v>46092</v>
      </c>
      <c r="AA2" s="762"/>
      <c r="AB2" s="761">
        <v>46093</v>
      </c>
      <c r="AC2" s="762"/>
      <c r="AD2" s="761">
        <v>46094</v>
      </c>
      <c r="AE2" s="762"/>
      <c r="AF2" s="761">
        <v>46095</v>
      </c>
      <c r="AG2" s="762"/>
      <c r="AH2" s="761">
        <v>46096</v>
      </c>
      <c r="AI2" s="762"/>
      <c r="AJ2" s="761">
        <v>46097</v>
      </c>
      <c r="AK2" s="762"/>
      <c r="AL2" s="761">
        <v>46098</v>
      </c>
      <c r="AM2" s="762"/>
      <c r="AN2" s="761">
        <v>46099</v>
      </c>
      <c r="AO2" s="762"/>
      <c r="AP2" s="761">
        <v>46100</v>
      </c>
      <c r="AQ2" s="762"/>
      <c r="AR2" s="761">
        <v>46101</v>
      </c>
      <c r="AS2" s="762"/>
      <c r="AT2" s="761">
        <v>46102</v>
      </c>
      <c r="AU2" s="762"/>
      <c r="AV2" s="761">
        <v>46103</v>
      </c>
      <c r="AW2" s="762"/>
      <c r="AX2" s="761">
        <v>46104</v>
      </c>
      <c r="AY2" s="762"/>
      <c r="AZ2" s="761">
        <v>46105</v>
      </c>
      <c r="BA2" s="762"/>
      <c r="BB2" s="761">
        <v>46106</v>
      </c>
      <c r="BC2" s="762"/>
      <c r="BD2" s="761">
        <v>46107</v>
      </c>
      <c r="BE2" s="762"/>
      <c r="BF2" s="761">
        <v>46108</v>
      </c>
      <c r="BG2" s="762"/>
      <c r="BH2" s="761">
        <v>46109</v>
      </c>
      <c r="BI2" s="762"/>
      <c r="BJ2" s="527"/>
    </row>
    <row r="3" spans="1:63" ht="24" customHeight="1" x14ac:dyDescent="0.35">
      <c r="A3" s="543"/>
      <c r="B3" s="543"/>
      <c r="C3" s="773" t="s">
        <v>1</v>
      </c>
      <c r="D3" s="774"/>
      <c r="E3" s="774"/>
      <c r="F3" s="412" t="s">
        <v>2</v>
      </c>
      <c r="G3" s="413" t="s">
        <v>3</v>
      </c>
      <c r="H3" s="412" t="s">
        <v>2</v>
      </c>
      <c r="I3" s="413" t="s">
        <v>3</v>
      </c>
      <c r="J3" s="412" t="s">
        <v>2</v>
      </c>
      <c r="K3" s="413" t="s">
        <v>3</v>
      </c>
      <c r="L3" s="412" t="s">
        <v>2</v>
      </c>
      <c r="M3" s="413" t="s">
        <v>3</v>
      </c>
      <c r="N3" s="412" t="s">
        <v>2</v>
      </c>
      <c r="O3" s="413" t="s">
        <v>3</v>
      </c>
      <c r="P3" s="412" t="s">
        <v>2</v>
      </c>
      <c r="Q3" s="414" t="s">
        <v>3</v>
      </c>
      <c r="R3" s="412" t="s">
        <v>2</v>
      </c>
      <c r="S3" s="414" t="s">
        <v>3</v>
      </c>
      <c r="T3" s="412" t="s">
        <v>2</v>
      </c>
      <c r="U3" s="413" t="s">
        <v>3</v>
      </c>
      <c r="V3" s="412" t="s">
        <v>2</v>
      </c>
      <c r="W3" s="413" t="s">
        <v>3</v>
      </c>
      <c r="X3" s="412" t="s">
        <v>2</v>
      </c>
      <c r="Y3" s="413" t="s">
        <v>3</v>
      </c>
      <c r="Z3" s="412" t="s">
        <v>2</v>
      </c>
      <c r="AA3" s="413" t="s">
        <v>3</v>
      </c>
      <c r="AB3" s="412" t="s">
        <v>2</v>
      </c>
      <c r="AC3" s="413" t="s">
        <v>3</v>
      </c>
      <c r="AD3" s="412" t="s">
        <v>2</v>
      </c>
      <c r="AE3" s="414" t="s">
        <v>3</v>
      </c>
      <c r="AF3" s="412" t="s">
        <v>2</v>
      </c>
      <c r="AG3" s="413" t="s">
        <v>3</v>
      </c>
      <c r="AH3" s="412" t="s">
        <v>2</v>
      </c>
      <c r="AI3" s="413" t="s">
        <v>3</v>
      </c>
      <c r="AJ3" s="412" t="s">
        <v>2</v>
      </c>
      <c r="AK3" s="413" t="s">
        <v>3</v>
      </c>
      <c r="AL3" s="412" t="s">
        <v>2</v>
      </c>
      <c r="AM3" s="413" t="s">
        <v>3</v>
      </c>
      <c r="AN3" s="412" t="s">
        <v>2</v>
      </c>
      <c r="AO3" s="413" t="s">
        <v>3</v>
      </c>
      <c r="AP3" s="412" t="s">
        <v>2</v>
      </c>
      <c r="AQ3" s="413" t="s">
        <v>3</v>
      </c>
      <c r="AR3" s="412" t="s">
        <v>2</v>
      </c>
      <c r="AS3" s="414" t="s">
        <v>3</v>
      </c>
      <c r="AT3" s="412" t="s">
        <v>2</v>
      </c>
      <c r="AU3" s="413" t="s">
        <v>3</v>
      </c>
      <c r="AV3" s="412" t="s">
        <v>2</v>
      </c>
      <c r="AW3" s="413" t="s">
        <v>3</v>
      </c>
      <c r="AX3" s="412" t="s">
        <v>2</v>
      </c>
      <c r="AY3" s="413" t="s">
        <v>3</v>
      </c>
      <c r="AZ3" s="412" t="s">
        <v>2</v>
      </c>
      <c r="BA3" s="413" t="s">
        <v>3</v>
      </c>
      <c r="BB3" s="412" t="s">
        <v>2</v>
      </c>
      <c r="BC3" s="413" t="s">
        <v>3</v>
      </c>
      <c r="BD3" s="412" t="s">
        <v>2</v>
      </c>
      <c r="BE3" s="413" t="s">
        <v>3</v>
      </c>
      <c r="BF3" s="412" t="s">
        <v>2</v>
      </c>
      <c r="BG3" s="414" t="s">
        <v>3</v>
      </c>
      <c r="BH3" s="412" t="s">
        <v>2</v>
      </c>
      <c r="BI3" s="413" t="s">
        <v>3</v>
      </c>
      <c r="BJ3" s="527"/>
    </row>
    <row r="4" spans="1:63" ht="46.5" customHeight="1" x14ac:dyDescent="0.35">
      <c r="A4" s="561"/>
      <c r="B4" s="561"/>
      <c r="C4" s="561" t="s">
        <v>4</v>
      </c>
      <c r="D4" s="523" t="s">
        <v>5</v>
      </c>
      <c r="E4" s="571" t="s">
        <v>6</v>
      </c>
      <c r="F4" s="418" t="s">
        <v>12</v>
      </c>
      <c r="G4" s="419"/>
      <c r="H4" s="418" t="s">
        <v>13</v>
      </c>
      <c r="I4" s="419"/>
      <c r="J4" s="418" t="s">
        <v>7</v>
      </c>
      <c r="K4" s="419"/>
      <c r="L4" s="418" t="s">
        <v>8</v>
      </c>
      <c r="M4" s="419"/>
      <c r="N4" s="418" t="s">
        <v>9</v>
      </c>
      <c r="O4" s="419"/>
      <c r="P4" s="418" t="s">
        <v>10</v>
      </c>
      <c r="Q4" s="419"/>
      <c r="R4" s="418" t="s">
        <v>11</v>
      </c>
      <c r="S4" s="419"/>
      <c r="T4" s="418" t="s">
        <v>12</v>
      </c>
      <c r="U4" s="419"/>
      <c r="V4" s="418" t="s">
        <v>13</v>
      </c>
      <c r="W4" s="419"/>
      <c r="X4" s="418" t="s">
        <v>7</v>
      </c>
      <c r="Y4" s="419"/>
      <c r="Z4" s="418" t="s">
        <v>8</v>
      </c>
      <c r="AA4" s="419"/>
      <c r="AB4" s="418" t="s">
        <v>9</v>
      </c>
      <c r="AC4" s="419"/>
      <c r="AD4" s="418" t="s">
        <v>10</v>
      </c>
      <c r="AE4" s="419"/>
      <c r="AF4" s="418" t="s">
        <v>11</v>
      </c>
      <c r="AG4" s="419"/>
      <c r="AH4" s="418" t="s">
        <v>12</v>
      </c>
      <c r="AI4" s="419"/>
      <c r="AJ4" s="418" t="s">
        <v>13</v>
      </c>
      <c r="AK4" s="419"/>
      <c r="AL4" s="418" t="s">
        <v>7</v>
      </c>
      <c r="AM4" s="419"/>
      <c r="AN4" s="418" t="s">
        <v>8</v>
      </c>
      <c r="AO4" s="419"/>
      <c r="AP4" s="418" t="s">
        <v>9</v>
      </c>
      <c r="AQ4" s="419"/>
      <c r="AR4" s="418" t="s">
        <v>10</v>
      </c>
      <c r="AS4" s="419"/>
      <c r="AT4" s="418" t="s">
        <v>11</v>
      </c>
      <c r="AU4" s="419"/>
      <c r="AV4" s="418" t="s">
        <v>12</v>
      </c>
      <c r="AW4" s="419"/>
      <c r="AX4" s="418" t="s">
        <v>13</v>
      </c>
      <c r="AY4" s="419"/>
      <c r="AZ4" s="418" t="s">
        <v>7</v>
      </c>
      <c r="BA4" s="419"/>
      <c r="BB4" s="418" t="s">
        <v>8</v>
      </c>
      <c r="BC4" s="419"/>
      <c r="BD4" s="418" t="s">
        <v>9</v>
      </c>
      <c r="BE4" s="419"/>
      <c r="BF4" s="418" t="s">
        <v>10</v>
      </c>
      <c r="BG4" s="419"/>
      <c r="BH4" s="418" t="s">
        <v>1037</v>
      </c>
      <c r="BI4" s="419"/>
    </row>
    <row r="5" spans="1:63" x14ac:dyDescent="0.35">
      <c r="A5" s="512"/>
      <c r="B5" s="512"/>
      <c r="C5" s="512">
        <f>VLOOKUP(D5,Products!B:D,2,FALSE)</f>
        <v>41815002</v>
      </c>
      <c r="D5" s="463" t="s">
        <v>613</v>
      </c>
      <c r="E5" s="589">
        <v>20</v>
      </c>
      <c r="F5" s="530"/>
      <c r="G5" s="537"/>
      <c r="H5" s="530"/>
      <c r="I5" s="537"/>
      <c r="J5" s="530"/>
      <c r="K5" s="537"/>
      <c r="L5" s="530"/>
      <c r="M5" s="537"/>
      <c r="N5" s="530"/>
      <c r="O5" s="537"/>
      <c r="P5" s="572"/>
      <c r="Q5" s="587"/>
      <c r="R5" s="572"/>
      <c r="S5" s="587"/>
      <c r="T5" s="530"/>
      <c r="U5" s="537"/>
      <c r="V5" s="530"/>
      <c r="W5" s="537"/>
      <c r="X5" s="530"/>
      <c r="Y5" s="537"/>
      <c r="Z5" s="530">
        <v>4000</v>
      </c>
      <c r="AA5" s="537"/>
      <c r="AB5" s="530">
        <v>3400</v>
      </c>
      <c r="AC5" s="537"/>
      <c r="AD5" s="572"/>
      <c r="AE5" s="587"/>
      <c r="AF5" s="530">
        <v>2302</v>
      </c>
      <c r="AG5" s="537"/>
      <c r="AH5" s="530"/>
      <c r="AI5" s="537"/>
      <c r="AJ5" s="530"/>
      <c r="AK5" s="537"/>
      <c r="AL5" s="530"/>
      <c r="AM5" s="537"/>
      <c r="AN5" s="530"/>
      <c r="AO5" s="537"/>
      <c r="AP5" s="530"/>
      <c r="AQ5" s="537"/>
      <c r="AR5" s="572"/>
      <c r="AS5" s="587"/>
      <c r="AT5" s="530"/>
      <c r="AU5" s="537"/>
      <c r="AV5" s="530"/>
      <c r="AW5" s="537"/>
      <c r="AX5" s="530"/>
      <c r="AY5" s="537"/>
      <c r="AZ5" s="530"/>
      <c r="BA5" s="537"/>
      <c r="BB5" s="530"/>
      <c r="BC5" s="537"/>
      <c r="BD5" s="530"/>
      <c r="BE5" s="537"/>
      <c r="BF5" s="572"/>
      <c r="BG5" s="587"/>
      <c r="BH5" s="530"/>
      <c r="BI5" s="537"/>
      <c r="BJ5" s="535">
        <f t="shared" ref="BJ5:BJ36" si="2">SUM(F5:BI5)</f>
        <v>9702</v>
      </c>
      <c r="BK5" s="545">
        <f t="shared" ref="BK5:BK36" si="3">COUNT(F5:BI5)</f>
        <v>3</v>
      </c>
    </row>
    <row r="6" spans="1:63" x14ac:dyDescent="0.35">
      <c r="A6" s="512"/>
      <c r="B6" s="512"/>
      <c r="C6" s="512" t="e">
        <f>VLOOKUP(D6,Products!B:D,2,FALSE)</f>
        <v>#N/A</v>
      </c>
      <c r="D6" s="628"/>
      <c r="E6" s="589">
        <v>1</v>
      </c>
      <c r="F6" s="530"/>
      <c r="G6" s="537"/>
      <c r="H6" s="530"/>
      <c r="I6" s="537"/>
      <c r="J6" s="530"/>
      <c r="K6" s="537"/>
      <c r="L6" s="530"/>
      <c r="M6" s="537"/>
      <c r="N6" s="530"/>
      <c r="O6" s="537"/>
      <c r="P6" s="572"/>
      <c r="Q6" s="587"/>
      <c r="R6" s="572"/>
      <c r="S6" s="587"/>
      <c r="T6" s="530"/>
      <c r="U6" s="537"/>
      <c r="V6" s="530"/>
      <c r="W6" s="537"/>
      <c r="X6" s="530"/>
      <c r="Y6" s="537"/>
      <c r="Z6" s="530"/>
      <c r="AA6" s="537"/>
      <c r="AB6" s="530"/>
      <c r="AC6" s="537"/>
      <c r="AD6" s="572"/>
      <c r="AE6" s="587"/>
      <c r="AF6" s="530"/>
      <c r="AG6" s="537"/>
      <c r="AH6" s="530"/>
      <c r="AI6" s="537"/>
      <c r="AJ6" s="530"/>
      <c r="AK6" s="537"/>
      <c r="AL6" s="530"/>
      <c r="AM6" s="537"/>
      <c r="AN6" s="530"/>
      <c r="AO6" s="537"/>
      <c r="AP6" s="530"/>
      <c r="AQ6" s="537"/>
      <c r="AR6" s="572"/>
      <c r="AS6" s="587"/>
      <c r="AT6" s="530"/>
      <c r="AU6" s="537"/>
      <c r="AV6" s="530"/>
      <c r="AW6" s="537"/>
      <c r="AX6" s="530"/>
      <c r="AY6" s="537"/>
      <c r="AZ6" s="530"/>
      <c r="BA6" s="537"/>
      <c r="BB6" s="530"/>
      <c r="BC6" s="537"/>
      <c r="BD6" s="530"/>
      <c r="BE6" s="537"/>
      <c r="BF6" s="572"/>
      <c r="BG6" s="587"/>
      <c r="BH6" s="530"/>
      <c r="BI6" s="537"/>
      <c r="BJ6" s="535">
        <f t="shared" si="2"/>
        <v>0</v>
      </c>
      <c r="BK6" s="545">
        <f t="shared" si="3"/>
        <v>0</v>
      </c>
    </row>
    <row r="7" spans="1:63" x14ac:dyDescent="0.35">
      <c r="A7" s="512"/>
      <c r="B7" s="512"/>
      <c r="C7" s="512" t="e">
        <f>VLOOKUP(D7,Products!B:D,2,FALSE)</f>
        <v>#N/A</v>
      </c>
      <c r="D7" s="629"/>
      <c r="E7" s="589">
        <v>1</v>
      </c>
      <c r="F7" s="530"/>
      <c r="G7" s="537"/>
      <c r="H7" s="530"/>
      <c r="I7" s="537"/>
      <c r="J7" s="530"/>
      <c r="K7" s="537"/>
      <c r="L7" s="530"/>
      <c r="M7" s="537"/>
      <c r="N7" s="530"/>
      <c r="O7" s="537"/>
      <c r="P7" s="572"/>
      <c r="Q7" s="587"/>
      <c r="R7" s="572"/>
      <c r="S7" s="587"/>
      <c r="T7" s="530"/>
      <c r="U7" s="537"/>
      <c r="V7" s="530"/>
      <c r="W7" s="537"/>
      <c r="X7" s="530"/>
      <c r="Y7" s="537"/>
      <c r="Z7" s="530"/>
      <c r="AA7" s="537"/>
      <c r="AB7" s="530"/>
      <c r="AC7" s="537"/>
      <c r="AD7" s="572"/>
      <c r="AE7" s="587"/>
      <c r="AF7" s="530"/>
      <c r="AG7" s="537"/>
      <c r="AH7" s="530"/>
      <c r="AI7" s="537"/>
      <c r="AJ7" s="530"/>
      <c r="AK7" s="537"/>
      <c r="AL7" s="530"/>
      <c r="AM7" s="537"/>
      <c r="AN7" s="530"/>
      <c r="AO7" s="537"/>
      <c r="AP7" s="530"/>
      <c r="AQ7" s="537"/>
      <c r="AR7" s="572"/>
      <c r="AS7" s="587"/>
      <c r="AT7" s="530"/>
      <c r="AU7" s="537"/>
      <c r="AV7" s="530"/>
      <c r="AW7" s="537"/>
      <c r="AX7" s="530"/>
      <c r="AY7" s="537"/>
      <c r="AZ7" s="530"/>
      <c r="BA7" s="537"/>
      <c r="BB7" s="530"/>
      <c r="BC7" s="537"/>
      <c r="BD7" s="530"/>
      <c r="BE7" s="537"/>
      <c r="BF7" s="572"/>
      <c r="BG7" s="587"/>
      <c r="BH7" s="530"/>
      <c r="BI7" s="537"/>
      <c r="BJ7" s="535">
        <f t="shared" si="2"/>
        <v>0</v>
      </c>
      <c r="BK7" s="545">
        <f t="shared" si="3"/>
        <v>0</v>
      </c>
    </row>
    <row r="8" spans="1:63" x14ac:dyDescent="0.35">
      <c r="A8" s="512"/>
      <c r="B8" s="512"/>
      <c r="C8" s="512" t="e">
        <f>VLOOKUP(D8,Products!B:D,2,FALSE)</f>
        <v>#N/A</v>
      </c>
      <c r="D8" s="628"/>
      <c r="E8" s="589">
        <v>1</v>
      </c>
      <c r="F8" s="530"/>
      <c r="G8" s="537"/>
      <c r="H8" s="530"/>
      <c r="I8" s="537"/>
      <c r="J8" s="530"/>
      <c r="K8" s="537"/>
      <c r="L8" s="530"/>
      <c r="M8" s="537"/>
      <c r="N8" s="530"/>
      <c r="O8" s="537"/>
      <c r="P8" s="572"/>
      <c r="Q8" s="587"/>
      <c r="R8" s="572"/>
      <c r="S8" s="587"/>
      <c r="T8" s="530"/>
      <c r="U8" s="537"/>
      <c r="V8" s="530"/>
      <c r="W8" s="537"/>
      <c r="X8" s="530"/>
      <c r="Y8" s="537"/>
      <c r="Z8" s="530"/>
      <c r="AA8" s="537"/>
      <c r="AB8" s="530"/>
      <c r="AC8" s="537"/>
      <c r="AD8" s="572"/>
      <c r="AE8" s="587"/>
      <c r="AF8" s="530"/>
      <c r="AG8" s="537"/>
      <c r="AH8" s="530"/>
      <c r="AI8" s="537"/>
      <c r="AJ8" s="530"/>
      <c r="AK8" s="537"/>
      <c r="AL8" s="530"/>
      <c r="AM8" s="537"/>
      <c r="AN8" s="530"/>
      <c r="AO8" s="537"/>
      <c r="AP8" s="530"/>
      <c r="AQ8" s="537"/>
      <c r="AR8" s="572"/>
      <c r="AS8" s="587"/>
      <c r="AT8" s="530"/>
      <c r="AU8" s="537"/>
      <c r="AV8" s="530"/>
      <c r="AW8" s="537"/>
      <c r="AX8" s="530"/>
      <c r="AY8" s="537"/>
      <c r="AZ8" s="530"/>
      <c r="BA8" s="537"/>
      <c r="BB8" s="530"/>
      <c r="BC8" s="537"/>
      <c r="BD8" s="530"/>
      <c r="BE8" s="537"/>
      <c r="BF8" s="572"/>
      <c r="BG8" s="587"/>
      <c r="BH8" s="530"/>
      <c r="BI8" s="537"/>
      <c r="BJ8" s="535">
        <f t="shared" si="2"/>
        <v>0</v>
      </c>
      <c r="BK8" s="545">
        <f t="shared" si="3"/>
        <v>0</v>
      </c>
    </row>
    <row r="9" spans="1:63" x14ac:dyDescent="0.35">
      <c r="A9" s="512"/>
      <c r="B9" s="512"/>
      <c r="C9" s="512" t="e">
        <f>VLOOKUP(D9,Products!B:D,2,FALSE)</f>
        <v>#N/A</v>
      </c>
      <c r="D9" s="555"/>
      <c r="E9" s="589">
        <v>1</v>
      </c>
      <c r="F9" s="530"/>
      <c r="G9" s="537"/>
      <c r="H9" s="530"/>
      <c r="I9" s="537"/>
      <c r="J9" s="530"/>
      <c r="K9" s="537"/>
      <c r="L9" s="530"/>
      <c r="M9" s="537"/>
      <c r="N9" s="530"/>
      <c r="O9" s="537"/>
      <c r="P9" s="572"/>
      <c r="Q9" s="587"/>
      <c r="R9" s="572"/>
      <c r="S9" s="587"/>
      <c r="T9" s="530"/>
      <c r="U9" s="537"/>
      <c r="V9" s="530"/>
      <c r="W9" s="537"/>
      <c r="X9" s="530"/>
      <c r="Y9" s="537"/>
      <c r="Z9" s="530"/>
      <c r="AA9" s="537"/>
      <c r="AB9" s="530"/>
      <c r="AC9" s="537"/>
      <c r="AD9" s="572"/>
      <c r="AE9" s="587"/>
      <c r="AF9" s="530"/>
      <c r="AG9" s="537"/>
      <c r="AH9" s="530"/>
      <c r="AI9" s="537"/>
      <c r="AJ9" s="530"/>
      <c r="AK9" s="537"/>
      <c r="AL9" s="530"/>
      <c r="AM9" s="537"/>
      <c r="AN9" s="530"/>
      <c r="AO9" s="537"/>
      <c r="AP9" s="530"/>
      <c r="AQ9" s="537"/>
      <c r="AR9" s="572"/>
      <c r="AS9" s="587"/>
      <c r="AT9" s="530"/>
      <c r="AU9" s="537"/>
      <c r="AV9" s="530"/>
      <c r="AW9" s="537"/>
      <c r="AX9" s="530"/>
      <c r="AY9" s="537"/>
      <c r="AZ9" s="530"/>
      <c r="BA9" s="537"/>
      <c r="BB9" s="530"/>
      <c r="BC9" s="537"/>
      <c r="BD9" s="530"/>
      <c r="BE9" s="537"/>
      <c r="BF9" s="572"/>
      <c r="BG9" s="587"/>
      <c r="BH9" s="530"/>
      <c r="BI9" s="537"/>
      <c r="BJ9" s="535">
        <f t="shared" si="2"/>
        <v>0</v>
      </c>
      <c r="BK9" s="545">
        <f t="shared" si="3"/>
        <v>0</v>
      </c>
    </row>
    <row r="10" spans="1:63" x14ac:dyDescent="0.35">
      <c r="A10" s="512"/>
      <c r="B10" s="512"/>
      <c r="C10" s="512" t="e">
        <f>VLOOKUP(D10,Products!B:D,2,FALSE)</f>
        <v>#N/A</v>
      </c>
      <c r="D10" s="555"/>
      <c r="E10" s="589">
        <v>1</v>
      </c>
      <c r="F10" s="530"/>
      <c r="G10" s="537"/>
      <c r="H10" s="530"/>
      <c r="I10" s="537"/>
      <c r="J10" s="530"/>
      <c r="K10" s="537"/>
      <c r="L10" s="530"/>
      <c r="M10" s="537"/>
      <c r="N10" s="530"/>
      <c r="O10" s="537"/>
      <c r="P10" s="572"/>
      <c r="Q10" s="587"/>
      <c r="R10" s="572"/>
      <c r="S10" s="587"/>
      <c r="T10" s="530"/>
      <c r="U10" s="537"/>
      <c r="V10" s="530"/>
      <c r="W10" s="537"/>
      <c r="X10" s="530"/>
      <c r="Y10" s="537"/>
      <c r="Z10" s="530"/>
      <c r="AA10" s="537"/>
      <c r="AB10" s="530"/>
      <c r="AC10" s="537"/>
      <c r="AD10" s="572"/>
      <c r="AE10" s="587"/>
      <c r="AF10" s="530"/>
      <c r="AG10" s="537"/>
      <c r="AH10" s="530"/>
      <c r="AI10" s="537"/>
      <c r="AJ10" s="530"/>
      <c r="AK10" s="537"/>
      <c r="AL10" s="530"/>
      <c r="AM10" s="537"/>
      <c r="AN10" s="530"/>
      <c r="AO10" s="537"/>
      <c r="AP10" s="530"/>
      <c r="AQ10" s="537"/>
      <c r="AR10" s="572"/>
      <c r="AS10" s="587"/>
      <c r="AT10" s="530"/>
      <c r="AU10" s="537"/>
      <c r="AV10" s="530"/>
      <c r="AW10" s="537"/>
      <c r="AX10" s="530"/>
      <c r="AY10" s="537"/>
      <c r="AZ10" s="530"/>
      <c r="BA10" s="537"/>
      <c r="BB10" s="530"/>
      <c r="BC10" s="537"/>
      <c r="BD10" s="530"/>
      <c r="BE10" s="537"/>
      <c r="BF10" s="572"/>
      <c r="BG10" s="587"/>
      <c r="BH10" s="530"/>
      <c r="BI10" s="537"/>
      <c r="BJ10" s="535">
        <f t="shared" si="2"/>
        <v>0</v>
      </c>
      <c r="BK10" s="545">
        <f t="shared" si="3"/>
        <v>0</v>
      </c>
    </row>
    <row r="11" spans="1:63" x14ac:dyDescent="0.35">
      <c r="A11" s="512"/>
      <c r="B11" s="512"/>
      <c r="C11" s="512" t="e">
        <f>VLOOKUP(D11,Products!B:D,2,FALSE)</f>
        <v>#N/A</v>
      </c>
      <c r="D11" s="555"/>
      <c r="E11" s="589">
        <v>1</v>
      </c>
      <c r="F11" s="530"/>
      <c r="G11" s="537"/>
      <c r="H11" s="530"/>
      <c r="I11" s="537"/>
      <c r="J11" s="530"/>
      <c r="K11" s="537"/>
      <c r="L11" s="530"/>
      <c r="M11" s="537"/>
      <c r="N11" s="530"/>
      <c r="O11" s="537"/>
      <c r="P11" s="572"/>
      <c r="Q11" s="587"/>
      <c r="R11" s="572"/>
      <c r="S11" s="587"/>
      <c r="T11" s="530"/>
      <c r="U11" s="537"/>
      <c r="V11" s="530"/>
      <c r="W11" s="537"/>
      <c r="X11" s="530"/>
      <c r="Y11" s="537"/>
      <c r="Z11" s="530"/>
      <c r="AA11" s="537"/>
      <c r="AB11" s="530"/>
      <c r="AC11" s="537"/>
      <c r="AD11" s="572"/>
      <c r="AE11" s="587"/>
      <c r="AF11" s="530"/>
      <c r="AG11" s="537"/>
      <c r="AH11" s="530"/>
      <c r="AI11" s="537"/>
      <c r="AJ11" s="530"/>
      <c r="AK11" s="537"/>
      <c r="AL11" s="530"/>
      <c r="AM11" s="537"/>
      <c r="AN11" s="530"/>
      <c r="AO11" s="537"/>
      <c r="AP11" s="530"/>
      <c r="AQ11" s="537"/>
      <c r="AR11" s="572"/>
      <c r="AS11" s="587"/>
      <c r="AT11" s="530"/>
      <c r="AU11" s="537"/>
      <c r="AV11" s="530"/>
      <c r="AW11" s="537"/>
      <c r="AX11" s="530"/>
      <c r="AY11" s="537"/>
      <c r="AZ11" s="530"/>
      <c r="BA11" s="537"/>
      <c r="BB11" s="530"/>
      <c r="BC11" s="537"/>
      <c r="BD11" s="530"/>
      <c r="BE11" s="537"/>
      <c r="BF11" s="572"/>
      <c r="BG11" s="587"/>
      <c r="BH11" s="530"/>
      <c r="BI11" s="537"/>
      <c r="BJ11" s="535">
        <f t="shared" si="2"/>
        <v>0</v>
      </c>
      <c r="BK11" s="545">
        <f t="shared" si="3"/>
        <v>0</v>
      </c>
    </row>
    <row r="12" spans="1:63" x14ac:dyDescent="0.35">
      <c r="A12" s="512"/>
      <c r="B12" s="512"/>
      <c r="C12" s="512" t="e">
        <f>VLOOKUP(D12,Products!B:D,2,FALSE)</f>
        <v>#N/A</v>
      </c>
      <c r="D12" s="555"/>
      <c r="E12" s="589">
        <v>1</v>
      </c>
      <c r="F12" s="530"/>
      <c r="G12" s="537"/>
      <c r="H12" s="530"/>
      <c r="I12" s="537"/>
      <c r="J12" s="530"/>
      <c r="K12" s="537"/>
      <c r="L12" s="530"/>
      <c r="M12" s="537"/>
      <c r="N12" s="530"/>
      <c r="O12" s="537"/>
      <c r="P12" s="572"/>
      <c r="Q12" s="587"/>
      <c r="R12" s="572"/>
      <c r="S12" s="587"/>
      <c r="T12" s="530"/>
      <c r="U12" s="537"/>
      <c r="V12" s="530"/>
      <c r="W12" s="537"/>
      <c r="X12" s="530"/>
      <c r="Y12" s="537"/>
      <c r="Z12" s="530"/>
      <c r="AA12" s="537"/>
      <c r="AB12" s="530"/>
      <c r="AC12" s="537"/>
      <c r="AD12" s="572"/>
      <c r="AE12" s="587"/>
      <c r="AF12" s="530"/>
      <c r="AG12" s="537"/>
      <c r="AH12" s="530"/>
      <c r="AI12" s="537"/>
      <c r="AJ12" s="530"/>
      <c r="AK12" s="537"/>
      <c r="AL12" s="530"/>
      <c r="AM12" s="537"/>
      <c r="AN12" s="530"/>
      <c r="AO12" s="537"/>
      <c r="AP12" s="530"/>
      <c r="AQ12" s="537"/>
      <c r="AR12" s="572"/>
      <c r="AS12" s="587"/>
      <c r="AT12" s="530"/>
      <c r="AU12" s="537"/>
      <c r="AV12" s="530"/>
      <c r="AW12" s="537"/>
      <c r="AX12" s="530"/>
      <c r="AY12" s="537"/>
      <c r="AZ12" s="530"/>
      <c r="BA12" s="537"/>
      <c r="BB12" s="530"/>
      <c r="BC12" s="537"/>
      <c r="BD12" s="530"/>
      <c r="BE12" s="537"/>
      <c r="BF12" s="572"/>
      <c r="BG12" s="587"/>
      <c r="BH12" s="530"/>
      <c r="BI12" s="537"/>
      <c r="BJ12" s="535">
        <f t="shared" si="2"/>
        <v>0</v>
      </c>
      <c r="BK12" s="545">
        <f t="shared" si="3"/>
        <v>0</v>
      </c>
    </row>
    <row r="13" spans="1:63" x14ac:dyDescent="0.35">
      <c r="A13" s="512"/>
      <c r="B13" s="512"/>
      <c r="C13" s="512" t="e">
        <f>VLOOKUP(D13,Products!B:D,2,FALSE)</f>
        <v>#N/A</v>
      </c>
      <c r="D13" s="555"/>
      <c r="E13" s="589">
        <v>1</v>
      </c>
      <c r="F13" s="530"/>
      <c r="G13" s="537"/>
      <c r="H13" s="530"/>
      <c r="I13" s="537"/>
      <c r="J13" s="530"/>
      <c r="K13" s="537"/>
      <c r="L13" s="530"/>
      <c r="M13" s="537"/>
      <c r="N13" s="530"/>
      <c r="O13" s="537"/>
      <c r="P13" s="572"/>
      <c r="Q13" s="587"/>
      <c r="R13" s="572"/>
      <c r="S13" s="587"/>
      <c r="T13" s="530"/>
      <c r="U13" s="537"/>
      <c r="V13" s="530"/>
      <c r="W13" s="537"/>
      <c r="X13" s="530"/>
      <c r="Y13" s="537"/>
      <c r="Z13" s="530"/>
      <c r="AA13" s="537"/>
      <c r="AB13" s="530"/>
      <c r="AC13" s="537"/>
      <c r="AD13" s="572"/>
      <c r="AE13" s="587"/>
      <c r="AF13" s="530"/>
      <c r="AG13" s="537"/>
      <c r="AH13" s="530"/>
      <c r="AI13" s="537"/>
      <c r="AJ13" s="530"/>
      <c r="AK13" s="537"/>
      <c r="AL13" s="530"/>
      <c r="AM13" s="537"/>
      <c r="AN13" s="530"/>
      <c r="AO13" s="537"/>
      <c r="AP13" s="530"/>
      <c r="AQ13" s="537"/>
      <c r="AR13" s="572"/>
      <c r="AS13" s="587"/>
      <c r="AT13" s="530"/>
      <c r="AU13" s="537"/>
      <c r="AV13" s="530"/>
      <c r="AW13" s="537"/>
      <c r="AX13" s="530"/>
      <c r="AY13" s="537"/>
      <c r="AZ13" s="530"/>
      <c r="BA13" s="537"/>
      <c r="BB13" s="530"/>
      <c r="BC13" s="537"/>
      <c r="BD13" s="530"/>
      <c r="BE13" s="537"/>
      <c r="BF13" s="572"/>
      <c r="BG13" s="587"/>
      <c r="BH13" s="530"/>
      <c r="BI13" s="537"/>
      <c r="BJ13" s="535">
        <f t="shared" si="2"/>
        <v>0</v>
      </c>
      <c r="BK13" s="545">
        <f t="shared" si="3"/>
        <v>0</v>
      </c>
    </row>
    <row r="14" spans="1:63" hidden="1" x14ac:dyDescent="0.35">
      <c r="A14" s="512"/>
      <c r="B14" s="512"/>
      <c r="C14" s="512" t="e">
        <f>VLOOKUP(D14,Products!B:D,2,FALSE)</f>
        <v>#N/A</v>
      </c>
      <c r="D14" s="555"/>
      <c r="E14" s="589">
        <v>1</v>
      </c>
      <c r="F14" s="530"/>
      <c r="G14" s="537"/>
      <c r="H14" s="530"/>
      <c r="I14" s="537"/>
      <c r="J14" s="530"/>
      <c r="K14" s="537"/>
      <c r="L14" s="530"/>
      <c r="M14" s="537"/>
      <c r="N14" s="530"/>
      <c r="O14" s="537"/>
      <c r="P14" s="572"/>
      <c r="Q14" s="587"/>
      <c r="R14" s="572"/>
      <c r="S14" s="587"/>
      <c r="T14" s="530"/>
      <c r="U14" s="537"/>
      <c r="V14" s="530"/>
      <c r="W14" s="537"/>
      <c r="X14" s="530"/>
      <c r="Y14" s="537"/>
      <c r="Z14" s="530"/>
      <c r="AA14" s="537"/>
      <c r="AB14" s="530"/>
      <c r="AC14" s="537"/>
      <c r="AD14" s="572"/>
      <c r="AE14" s="587"/>
      <c r="AF14" s="530"/>
      <c r="AG14" s="537"/>
      <c r="AH14" s="530"/>
      <c r="AI14" s="537"/>
      <c r="AJ14" s="530"/>
      <c r="AK14" s="537"/>
      <c r="AL14" s="530"/>
      <c r="AM14" s="537"/>
      <c r="AN14" s="530"/>
      <c r="AO14" s="537"/>
      <c r="AP14" s="530"/>
      <c r="AQ14" s="537"/>
      <c r="AR14" s="572"/>
      <c r="AS14" s="587"/>
      <c r="AT14" s="530"/>
      <c r="AU14" s="537"/>
      <c r="AV14" s="530"/>
      <c r="AW14" s="537"/>
      <c r="AX14" s="530"/>
      <c r="AY14" s="537"/>
      <c r="AZ14" s="530"/>
      <c r="BA14" s="537"/>
      <c r="BB14" s="530"/>
      <c r="BC14" s="537"/>
      <c r="BD14" s="530"/>
      <c r="BE14" s="537"/>
      <c r="BF14" s="572"/>
      <c r="BG14" s="587"/>
      <c r="BH14" s="530"/>
      <c r="BI14" s="537"/>
      <c r="BJ14" s="535">
        <f t="shared" si="2"/>
        <v>0</v>
      </c>
      <c r="BK14" s="545">
        <f t="shared" si="3"/>
        <v>0</v>
      </c>
    </row>
    <row r="15" spans="1:63" hidden="1" x14ac:dyDescent="0.35">
      <c r="A15" s="512"/>
      <c r="B15" s="512"/>
      <c r="C15" s="512" t="e">
        <f>VLOOKUP(D15,Products!B:D,2,FALSE)</f>
        <v>#N/A</v>
      </c>
      <c r="D15" s="555"/>
      <c r="E15" s="589">
        <v>1</v>
      </c>
      <c r="F15" s="530"/>
      <c r="G15" s="537"/>
      <c r="H15" s="530"/>
      <c r="I15" s="537"/>
      <c r="J15" s="530"/>
      <c r="K15" s="537"/>
      <c r="L15" s="530"/>
      <c r="M15" s="537"/>
      <c r="N15" s="530"/>
      <c r="O15" s="537"/>
      <c r="P15" s="572"/>
      <c r="Q15" s="587"/>
      <c r="R15" s="572"/>
      <c r="S15" s="587"/>
      <c r="T15" s="530"/>
      <c r="U15" s="537"/>
      <c r="V15" s="530"/>
      <c r="W15" s="537"/>
      <c r="X15" s="530"/>
      <c r="Y15" s="537"/>
      <c r="Z15" s="530"/>
      <c r="AA15" s="537"/>
      <c r="AB15" s="530"/>
      <c r="AC15" s="537"/>
      <c r="AD15" s="572"/>
      <c r="AE15" s="587"/>
      <c r="AF15" s="530"/>
      <c r="AG15" s="537"/>
      <c r="AH15" s="530"/>
      <c r="AI15" s="537"/>
      <c r="AJ15" s="530"/>
      <c r="AK15" s="537"/>
      <c r="AL15" s="530"/>
      <c r="AM15" s="537"/>
      <c r="AN15" s="530"/>
      <c r="AO15" s="537"/>
      <c r="AP15" s="530"/>
      <c r="AQ15" s="537"/>
      <c r="AR15" s="572"/>
      <c r="AS15" s="587"/>
      <c r="AT15" s="530"/>
      <c r="AU15" s="537"/>
      <c r="AV15" s="530"/>
      <c r="AW15" s="537"/>
      <c r="AX15" s="530"/>
      <c r="AY15" s="537"/>
      <c r="AZ15" s="530"/>
      <c r="BA15" s="537"/>
      <c r="BB15" s="530"/>
      <c r="BC15" s="537"/>
      <c r="BD15" s="530"/>
      <c r="BE15" s="537"/>
      <c r="BF15" s="572"/>
      <c r="BG15" s="587"/>
      <c r="BH15" s="530"/>
      <c r="BI15" s="537"/>
      <c r="BJ15" s="535">
        <f t="shared" si="2"/>
        <v>0</v>
      </c>
      <c r="BK15" s="545">
        <f t="shared" si="3"/>
        <v>0</v>
      </c>
    </row>
    <row r="16" spans="1:63" hidden="1" x14ac:dyDescent="0.35">
      <c r="A16" s="512"/>
      <c r="B16" s="512"/>
      <c r="C16" s="512" t="e">
        <f>VLOOKUP(D16,Products!B:D,2,FALSE)</f>
        <v>#N/A</v>
      </c>
      <c r="D16" s="504"/>
      <c r="E16" s="589">
        <v>1</v>
      </c>
      <c r="F16" s="530"/>
      <c r="G16" s="537"/>
      <c r="H16" s="530"/>
      <c r="I16" s="537"/>
      <c r="J16" s="530"/>
      <c r="K16" s="537"/>
      <c r="L16" s="530"/>
      <c r="M16" s="537"/>
      <c r="N16" s="530"/>
      <c r="O16" s="537"/>
      <c r="P16" s="572"/>
      <c r="Q16" s="587"/>
      <c r="R16" s="572"/>
      <c r="S16" s="587"/>
      <c r="T16" s="530"/>
      <c r="U16" s="537"/>
      <c r="V16" s="530"/>
      <c r="W16" s="537"/>
      <c r="X16" s="530"/>
      <c r="Y16" s="537"/>
      <c r="Z16" s="530"/>
      <c r="AA16" s="537"/>
      <c r="AB16" s="530"/>
      <c r="AC16" s="537"/>
      <c r="AD16" s="572"/>
      <c r="AE16" s="587"/>
      <c r="AF16" s="530"/>
      <c r="AG16" s="537"/>
      <c r="AH16" s="530"/>
      <c r="AI16" s="537"/>
      <c r="AJ16" s="530"/>
      <c r="AK16" s="537"/>
      <c r="AL16" s="530"/>
      <c r="AM16" s="537"/>
      <c r="AN16" s="530"/>
      <c r="AO16" s="537"/>
      <c r="AP16" s="530"/>
      <c r="AQ16" s="537"/>
      <c r="AR16" s="572"/>
      <c r="AS16" s="587"/>
      <c r="AT16" s="530"/>
      <c r="AU16" s="537"/>
      <c r="AV16" s="530"/>
      <c r="AW16" s="537"/>
      <c r="AX16" s="530"/>
      <c r="AY16" s="537"/>
      <c r="AZ16" s="530"/>
      <c r="BA16" s="537"/>
      <c r="BB16" s="530"/>
      <c r="BC16" s="537"/>
      <c r="BD16" s="530"/>
      <c r="BE16" s="537"/>
      <c r="BF16" s="572"/>
      <c r="BG16" s="587"/>
      <c r="BH16" s="530"/>
      <c r="BI16" s="537"/>
      <c r="BJ16" s="535">
        <f t="shared" si="2"/>
        <v>0</v>
      </c>
      <c r="BK16" s="545">
        <f t="shared" si="3"/>
        <v>0</v>
      </c>
    </row>
    <row r="17" spans="1:63" hidden="1" x14ac:dyDescent="0.35">
      <c r="A17" s="512"/>
      <c r="B17" s="512"/>
      <c r="C17" s="512" t="e">
        <f>VLOOKUP(D17,Products!B:D,2,FALSE)</f>
        <v>#N/A</v>
      </c>
      <c r="D17" s="504" t="s">
        <v>17</v>
      </c>
      <c r="E17" s="589">
        <v>1</v>
      </c>
      <c r="F17" s="530"/>
      <c r="G17" s="537"/>
      <c r="H17" s="530"/>
      <c r="I17" s="537"/>
      <c r="J17" s="530"/>
      <c r="K17" s="537"/>
      <c r="L17" s="530"/>
      <c r="M17" s="537"/>
      <c r="N17" s="530"/>
      <c r="O17" s="537"/>
      <c r="P17" s="572"/>
      <c r="Q17" s="587"/>
      <c r="R17" s="572"/>
      <c r="S17" s="587"/>
      <c r="T17" s="530"/>
      <c r="U17" s="537"/>
      <c r="V17" s="530"/>
      <c r="W17" s="537"/>
      <c r="X17" s="530"/>
      <c r="Y17" s="537"/>
      <c r="Z17" s="530"/>
      <c r="AA17" s="537"/>
      <c r="AB17" s="530"/>
      <c r="AC17" s="537"/>
      <c r="AD17" s="572"/>
      <c r="AE17" s="587"/>
      <c r="AF17" s="530"/>
      <c r="AG17" s="537"/>
      <c r="AH17" s="530"/>
      <c r="AI17" s="537"/>
      <c r="AJ17" s="530"/>
      <c r="AK17" s="537"/>
      <c r="AL17" s="530"/>
      <c r="AM17" s="537"/>
      <c r="AN17" s="530"/>
      <c r="AO17" s="537"/>
      <c r="AP17" s="530"/>
      <c r="AQ17" s="537"/>
      <c r="AR17" s="572"/>
      <c r="AS17" s="587"/>
      <c r="AT17" s="530"/>
      <c r="AU17" s="537"/>
      <c r="AV17" s="530"/>
      <c r="AW17" s="537"/>
      <c r="AX17" s="530"/>
      <c r="AY17" s="537"/>
      <c r="AZ17" s="530"/>
      <c r="BA17" s="537"/>
      <c r="BB17" s="530"/>
      <c r="BC17" s="537"/>
      <c r="BD17" s="530"/>
      <c r="BE17" s="537"/>
      <c r="BF17" s="572"/>
      <c r="BG17" s="587"/>
      <c r="BH17" s="530"/>
      <c r="BI17" s="537"/>
      <c r="BJ17" s="535">
        <f t="shared" si="2"/>
        <v>0</v>
      </c>
      <c r="BK17" s="545">
        <f t="shared" si="3"/>
        <v>0</v>
      </c>
    </row>
    <row r="18" spans="1:63" hidden="1" x14ac:dyDescent="0.35">
      <c r="A18" s="512"/>
      <c r="B18" s="512"/>
      <c r="C18" s="512" t="e">
        <f>VLOOKUP(D18,Products!B:D,2,FALSE)</f>
        <v>#N/A</v>
      </c>
      <c r="D18" s="504"/>
      <c r="E18" s="554">
        <v>1</v>
      </c>
      <c r="F18" s="530"/>
      <c r="G18" s="537"/>
      <c r="H18" s="530"/>
      <c r="I18" s="537"/>
      <c r="J18" s="530"/>
      <c r="K18" s="537"/>
      <c r="L18" s="530"/>
      <c r="M18" s="537"/>
      <c r="N18" s="530"/>
      <c r="O18" s="537"/>
      <c r="P18" s="572"/>
      <c r="Q18" s="587"/>
      <c r="R18" s="572"/>
      <c r="S18" s="587"/>
      <c r="T18" s="530"/>
      <c r="U18" s="537"/>
      <c r="V18" s="530"/>
      <c r="W18" s="537"/>
      <c r="X18" s="530"/>
      <c r="Y18" s="537"/>
      <c r="Z18" s="530"/>
      <c r="AA18" s="537"/>
      <c r="AB18" s="530"/>
      <c r="AC18" s="537"/>
      <c r="AD18" s="572"/>
      <c r="AE18" s="587"/>
      <c r="AF18" s="530"/>
      <c r="AG18" s="537"/>
      <c r="AH18" s="530"/>
      <c r="AI18" s="537"/>
      <c r="AJ18" s="530"/>
      <c r="AK18" s="537"/>
      <c r="AL18" s="530"/>
      <c r="AM18" s="537"/>
      <c r="AN18" s="530"/>
      <c r="AO18" s="537"/>
      <c r="AP18" s="530"/>
      <c r="AQ18" s="537"/>
      <c r="AR18" s="572"/>
      <c r="AS18" s="587"/>
      <c r="AT18" s="530"/>
      <c r="AU18" s="537"/>
      <c r="AV18" s="530"/>
      <c r="AW18" s="537"/>
      <c r="AX18" s="530"/>
      <c r="AY18" s="537"/>
      <c r="AZ18" s="530"/>
      <c r="BA18" s="537"/>
      <c r="BB18" s="530"/>
      <c r="BC18" s="537"/>
      <c r="BD18" s="530"/>
      <c r="BE18" s="537"/>
      <c r="BF18" s="572"/>
      <c r="BG18" s="587"/>
      <c r="BH18" s="530"/>
      <c r="BI18" s="537"/>
      <c r="BJ18" s="535">
        <f t="shared" si="2"/>
        <v>0</v>
      </c>
      <c r="BK18" s="545">
        <f t="shared" si="3"/>
        <v>0</v>
      </c>
    </row>
    <row r="19" spans="1:63" hidden="1" x14ac:dyDescent="0.35">
      <c r="A19" s="512"/>
      <c r="B19" s="512"/>
      <c r="C19" s="512" t="e">
        <f>VLOOKUP(D19,Products!B:D,2,FALSE)</f>
        <v>#N/A</v>
      </c>
      <c r="D19" s="504"/>
      <c r="E19" s="554">
        <v>1</v>
      </c>
      <c r="F19" s="530"/>
      <c r="G19" s="537"/>
      <c r="H19" s="530"/>
      <c r="I19" s="537"/>
      <c r="J19" s="530"/>
      <c r="K19" s="537"/>
      <c r="L19" s="530"/>
      <c r="M19" s="537"/>
      <c r="N19" s="530"/>
      <c r="O19" s="537"/>
      <c r="P19" s="572"/>
      <c r="Q19" s="587"/>
      <c r="R19" s="572"/>
      <c r="S19" s="587"/>
      <c r="T19" s="530"/>
      <c r="U19" s="537"/>
      <c r="V19" s="530"/>
      <c r="W19" s="537"/>
      <c r="X19" s="530"/>
      <c r="Y19" s="537"/>
      <c r="Z19" s="530"/>
      <c r="AA19" s="537"/>
      <c r="AB19" s="530"/>
      <c r="AC19" s="537"/>
      <c r="AD19" s="572"/>
      <c r="AE19" s="587"/>
      <c r="AF19" s="530"/>
      <c r="AG19" s="537"/>
      <c r="AH19" s="530"/>
      <c r="AI19" s="537"/>
      <c r="AJ19" s="530"/>
      <c r="AK19" s="537"/>
      <c r="AL19" s="530"/>
      <c r="AM19" s="537"/>
      <c r="AN19" s="530"/>
      <c r="AO19" s="537"/>
      <c r="AP19" s="530"/>
      <c r="AQ19" s="537"/>
      <c r="AR19" s="572"/>
      <c r="AS19" s="587"/>
      <c r="AT19" s="530"/>
      <c r="AU19" s="537"/>
      <c r="AV19" s="530"/>
      <c r="AW19" s="537"/>
      <c r="AX19" s="530"/>
      <c r="AY19" s="537"/>
      <c r="AZ19" s="530"/>
      <c r="BA19" s="537"/>
      <c r="BB19" s="530"/>
      <c r="BC19" s="537"/>
      <c r="BD19" s="530"/>
      <c r="BE19" s="537"/>
      <c r="BF19" s="572"/>
      <c r="BG19" s="587"/>
      <c r="BH19" s="530"/>
      <c r="BI19" s="537"/>
      <c r="BJ19" s="535">
        <f t="shared" si="2"/>
        <v>0</v>
      </c>
      <c r="BK19" s="545">
        <f t="shared" si="3"/>
        <v>0</v>
      </c>
    </row>
    <row r="20" spans="1:63" hidden="1" x14ac:dyDescent="0.35">
      <c r="A20" s="512"/>
      <c r="B20" s="512"/>
      <c r="C20" s="512" t="e">
        <f>VLOOKUP(D20,Products!B:D,2,FALSE)</f>
        <v>#N/A</v>
      </c>
      <c r="D20" s="504"/>
      <c r="E20" s="554">
        <v>1</v>
      </c>
      <c r="F20" s="530"/>
      <c r="G20" s="537"/>
      <c r="H20" s="530"/>
      <c r="I20" s="537"/>
      <c r="J20" s="530"/>
      <c r="K20" s="537"/>
      <c r="L20" s="530"/>
      <c r="M20" s="537"/>
      <c r="N20" s="530"/>
      <c r="O20" s="537"/>
      <c r="P20" s="572"/>
      <c r="Q20" s="587"/>
      <c r="R20" s="572"/>
      <c r="S20" s="587"/>
      <c r="T20" s="530"/>
      <c r="U20" s="537"/>
      <c r="V20" s="530"/>
      <c r="W20" s="537"/>
      <c r="X20" s="530"/>
      <c r="Y20" s="537"/>
      <c r="Z20" s="530"/>
      <c r="AA20" s="537"/>
      <c r="AB20" s="530"/>
      <c r="AC20" s="537"/>
      <c r="AD20" s="572"/>
      <c r="AE20" s="587"/>
      <c r="AF20" s="530"/>
      <c r="AG20" s="537"/>
      <c r="AH20" s="530"/>
      <c r="AI20" s="537"/>
      <c r="AJ20" s="530"/>
      <c r="AK20" s="537"/>
      <c r="AL20" s="530"/>
      <c r="AM20" s="537"/>
      <c r="AN20" s="530"/>
      <c r="AO20" s="537"/>
      <c r="AP20" s="530"/>
      <c r="AQ20" s="537"/>
      <c r="AR20" s="572"/>
      <c r="AS20" s="587"/>
      <c r="AT20" s="530"/>
      <c r="AU20" s="537"/>
      <c r="AV20" s="530"/>
      <c r="AW20" s="537"/>
      <c r="AX20" s="530"/>
      <c r="AY20" s="537"/>
      <c r="AZ20" s="530"/>
      <c r="BA20" s="537"/>
      <c r="BB20" s="530"/>
      <c r="BC20" s="537"/>
      <c r="BD20" s="530"/>
      <c r="BE20" s="537"/>
      <c r="BF20" s="572"/>
      <c r="BG20" s="587"/>
      <c r="BH20" s="530"/>
      <c r="BI20" s="537"/>
      <c r="BJ20" s="535">
        <f t="shared" si="2"/>
        <v>0</v>
      </c>
      <c r="BK20" s="545">
        <f t="shared" si="3"/>
        <v>0</v>
      </c>
    </row>
    <row r="21" spans="1:63" hidden="1" x14ac:dyDescent="0.35">
      <c r="A21" s="512"/>
      <c r="B21" s="512"/>
      <c r="C21" s="512" t="e">
        <f>VLOOKUP(D21,Products!B:D,2,FALSE)</f>
        <v>#N/A</v>
      </c>
      <c r="D21" s="504"/>
      <c r="E21" s="554">
        <v>1</v>
      </c>
      <c r="F21" s="530"/>
      <c r="G21" s="537"/>
      <c r="H21" s="530"/>
      <c r="I21" s="537"/>
      <c r="J21" s="530"/>
      <c r="K21" s="537"/>
      <c r="L21" s="530"/>
      <c r="M21" s="537"/>
      <c r="N21" s="530"/>
      <c r="O21" s="537"/>
      <c r="P21" s="572"/>
      <c r="Q21" s="587"/>
      <c r="R21" s="572"/>
      <c r="S21" s="587"/>
      <c r="T21" s="530"/>
      <c r="U21" s="537"/>
      <c r="V21" s="530"/>
      <c r="W21" s="537"/>
      <c r="X21" s="530"/>
      <c r="Y21" s="537"/>
      <c r="Z21" s="530"/>
      <c r="AA21" s="537"/>
      <c r="AB21" s="530"/>
      <c r="AC21" s="537"/>
      <c r="AD21" s="572"/>
      <c r="AE21" s="587"/>
      <c r="AF21" s="530"/>
      <c r="AG21" s="537"/>
      <c r="AH21" s="530"/>
      <c r="AI21" s="537"/>
      <c r="AJ21" s="530"/>
      <c r="AK21" s="537"/>
      <c r="AL21" s="530"/>
      <c r="AM21" s="537"/>
      <c r="AN21" s="530"/>
      <c r="AO21" s="537"/>
      <c r="AP21" s="530"/>
      <c r="AQ21" s="537"/>
      <c r="AR21" s="572"/>
      <c r="AS21" s="587"/>
      <c r="AT21" s="530"/>
      <c r="AU21" s="537"/>
      <c r="AV21" s="530"/>
      <c r="AW21" s="537"/>
      <c r="AX21" s="530"/>
      <c r="AY21" s="537"/>
      <c r="AZ21" s="530"/>
      <c r="BA21" s="537"/>
      <c r="BB21" s="530"/>
      <c r="BC21" s="537"/>
      <c r="BD21" s="530"/>
      <c r="BE21" s="537"/>
      <c r="BF21" s="572"/>
      <c r="BG21" s="587"/>
      <c r="BH21" s="530"/>
      <c r="BI21" s="537"/>
      <c r="BJ21" s="535">
        <f t="shared" si="2"/>
        <v>0</v>
      </c>
      <c r="BK21" s="545">
        <f t="shared" si="3"/>
        <v>0</v>
      </c>
    </row>
    <row r="22" spans="1:63" hidden="1" x14ac:dyDescent="0.35">
      <c r="A22" s="512"/>
      <c r="B22" s="512"/>
      <c r="C22" s="512" t="e">
        <f>VLOOKUP(D22,Products!B:D,2,FALSE)</f>
        <v>#N/A</v>
      </c>
      <c r="D22" s="504"/>
      <c r="E22" s="554">
        <v>1</v>
      </c>
      <c r="F22" s="530"/>
      <c r="G22" s="537"/>
      <c r="H22" s="530"/>
      <c r="I22" s="537"/>
      <c r="J22" s="530"/>
      <c r="K22" s="537"/>
      <c r="L22" s="530"/>
      <c r="M22" s="537"/>
      <c r="N22" s="530"/>
      <c r="O22" s="537"/>
      <c r="P22" s="572"/>
      <c r="Q22" s="587"/>
      <c r="R22" s="572"/>
      <c r="S22" s="587"/>
      <c r="T22" s="530"/>
      <c r="U22" s="537"/>
      <c r="V22" s="530"/>
      <c r="W22" s="537"/>
      <c r="X22" s="530"/>
      <c r="Y22" s="537"/>
      <c r="Z22" s="530"/>
      <c r="AA22" s="537"/>
      <c r="AB22" s="530"/>
      <c r="AC22" s="537"/>
      <c r="AD22" s="572"/>
      <c r="AE22" s="587"/>
      <c r="AF22" s="530"/>
      <c r="AG22" s="537"/>
      <c r="AH22" s="530"/>
      <c r="AI22" s="537"/>
      <c r="AJ22" s="530"/>
      <c r="AK22" s="537"/>
      <c r="AL22" s="530"/>
      <c r="AM22" s="537"/>
      <c r="AN22" s="530"/>
      <c r="AO22" s="537"/>
      <c r="AP22" s="530"/>
      <c r="AQ22" s="537"/>
      <c r="AR22" s="572"/>
      <c r="AS22" s="587"/>
      <c r="AT22" s="530"/>
      <c r="AU22" s="537"/>
      <c r="AV22" s="530"/>
      <c r="AW22" s="537"/>
      <c r="AX22" s="530"/>
      <c r="AY22" s="537"/>
      <c r="AZ22" s="530"/>
      <c r="BA22" s="537"/>
      <c r="BB22" s="530"/>
      <c r="BC22" s="537"/>
      <c r="BD22" s="530"/>
      <c r="BE22" s="537"/>
      <c r="BF22" s="572"/>
      <c r="BG22" s="587"/>
      <c r="BH22" s="530"/>
      <c r="BI22" s="537"/>
      <c r="BJ22" s="535">
        <f t="shared" si="2"/>
        <v>0</v>
      </c>
      <c r="BK22" s="545">
        <f t="shared" si="3"/>
        <v>0</v>
      </c>
    </row>
    <row r="23" spans="1:63" x14ac:dyDescent="0.35">
      <c r="A23" s="512"/>
      <c r="B23" s="512"/>
      <c r="C23" s="512" t="e">
        <f>VLOOKUP(D23,Products!B:D,2,FALSE)</f>
        <v>#N/A</v>
      </c>
      <c r="D23" s="504"/>
      <c r="E23" s="554">
        <v>1</v>
      </c>
      <c r="F23" s="530"/>
      <c r="G23" s="537"/>
      <c r="H23" s="530"/>
      <c r="I23" s="537"/>
      <c r="J23" s="530"/>
      <c r="K23" s="537"/>
      <c r="L23" s="530"/>
      <c r="M23" s="537"/>
      <c r="N23" s="530"/>
      <c r="O23" s="537"/>
      <c r="P23" s="572"/>
      <c r="Q23" s="587"/>
      <c r="R23" s="572"/>
      <c r="S23" s="587"/>
      <c r="T23" s="530"/>
      <c r="U23" s="537"/>
      <c r="V23" s="530"/>
      <c r="W23" s="537"/>
      <c r="X23" s="530"/>
      <c r="Y23" s="537"/>
      <c r="Z23" s="530"/>
      <c r="AA23" s="537"/>
      <c r="AB23" s="530"/>
      <c r="AC23" s="537"/>
      <c r="AD23" s="572"/>
      <c r="AE23" s="587"/>
      <c r="AF23" s="530"/>
      <c r="AG23" s="537"/>
      <c r="AH23" s="530"/>
      <c r="AI23" s="537"/>
      <c r="AJ23" s="530"/>
      <c r="AK23" s="537"/>
      <c r="AL23" s="530"/>
      <c r="AM23" s="537"/>
      <c r="AN23" s="530"/>
      <c r="AO23" s="537"/>
      <c r="AP23" s="530"/>
      <c r="AQ23" s="537"/>
      <c r="AR23" s="572"/>
      <c r="AS23" s="587"/>
      <c r="AT23" s="530"/>
      <c r="AU23" s="537"/>
      <c r="AV23" s="530"/>
      <c r="AW23" s="537"/>
      <c r="AX23" s="530"/>
      <c r="AY23" s="537"/>
      <c r="AZ23" s="530"/>
      <c r="BA23" s="537"/>
      <c r="BB23" s="530"/>
      <c r="BC23" s="537"/>
      <c r="BD23" s="530"/>
      <c r="BE23" s="537"/>
      <c r="BF23" s="572"/>
      <c r="BG23" s="587"/>
      <c r="BH23" s="630"/>
      <c r="BI23" s="537"/>
      <c r="BJ23" s="535">
        <f t="shared" si="2"/>
        <v>0</v>
      </c>
      <c r="BK23" s="545">
        <f t="shared" si="3"/>
        <v>0</v>
      </c>
    </row>
    <row r="24" spans="1:63" x14ac:dyDescent="0.35">
      <c r="A24" s="512"/>
      <c r="B24" s="512"/>
      <c r="C24" s="512" t="e">
        <f>VLOOKUP(D24,Products!B:D,2,FALSE)</f>
        <v>#N/A</v>
      </c>
      <c r="D24" s="504"/>
      <c r="E24" s="554">
        <v>1</v>
      </c>
      <c r="F24" s="530"/>
      <c r="G24" s="537"/>
      <c r="H24" s="530"/>
      <c r="I24" s="537"/>
      <c r="J24" s="530"/>
      <c r="K24" s="537"/>
      <c r="L24" s="530"/>
      <c r="M24" s="537"/>
      <c r="N24" s="530"/>
      <c r="O24" s="537"/>
      <c r="P24" s="572"/>
      <c r="Q24" s="587"/>
      <c r="R24" s="572"/>
      <c r="S24" s="587"/>
      <c r="T24" s="530"/>
      <c r="U24" s="537"/>
      <c r="V24" s="530"/>
      <c r="W24" s="537"/>
      <c r="X24" s="530"/>
      <c r="Y24" s="537"/>
      <c r="Z24" s="530"/>
      <c r="AA24" s="537"/>
      <c r="AB24" s="530"/>
      <c r="AC24" s="537"/>
      <c r="AD24" s="572"/>
      <c r="AE24" s="587"/>
      <c r="AF24" s="530"/>
      <c r="AG24" s="537"/>
      <c r="AH24" s="530"/>
      <c r="AI24" s="537"/>
      <c r="AJ24" s="530"/>
      <c r="AK24" s="537"/>
      <c r="AL24" s="530"/>
      <c r="AM24" s="537"/>
      <c r="AN24" s="530"/>
      <c r="AO24" s="537"/>
      <c r="AP24" s="530"/>
      <c r="AQ24" s="537"/>
      <c r="AR24" s="572"/>
      <c r="AS24" s="587"/>
      <c r="AT24" s="530"/>
      <c r="AU24" s="537"/>
      <c r="AV24" s="530"/>
      <c r="AW24" s="537"/>
      <c r="AX24" s="530"/>
      <c r="AY24" s="537"/>
      <c r="AZ24" s="530"/>
      <c r="BA24" s="537"/>
      <c r="BB24" s="530"/>
      <c r="BC24" s="537"/>
      <c r="BD24" s="530"/>
      <c r="BE24" s="537"/>
      <c r="BF24" s="572"/>
      <c r="BG24" s="587"/>
      <c r="BH24" s="630"/>
      <c r="BI24" s="537"/>
      <c r="BJ24" s="535">
        <f t="shared" si="2"/>
        <v>0</v>
      </c>
      <c r="BK24" s="545">
        <f t="shared" si="3"/>
        <v>0</v>
      </c>
    </row>
    <row r="25" spans="1:63" ht="30" customHeight="1" x14ac:dyDescent="0.35">
      <c r="A25" s="512"/>
      <c r="B25" s="512"/>
      <c r="C25" s="512"/>
      <c r="D25" s="771" t="s">
        <v>18</v>
      </c>
      <c r="E25" s="772"/>
      <c r="F25" s="578">
        <f>SUM(F26:F34)</f>
        <v>0</v>
      </c>
      <c r="G25" s="521">
        <f t="shared" ref="G25:BI25" si="4">SUM(G26:G34)</f>
        <v>0</v>
      </c>
      <c r="H25" s="578">
        <f t="shared" si="4"/>
        <v>0</v>
      </c>
      <c r="I25" s="521">
        <f t="shared" si="4"/>
        <v>0</v>
      </c>
      <c r="J25" s="578">
        <f t="shared" si="4"/>
        <v>0</v>
      </c>
      <c r="K25" s="521">
        <f t="shared" si="4"/>
        <v>0</v>
      </c>
      <c r="L25" s="578">
        <f t="shared" si="4"/>
        <v>0</v>
      </c>
      <c r="M25" s="521">
        <f t="shared" si="4"/>
        <v>0</v>
      </c>
      <c r="N25" s="578">
        <f t="shared" si="4"/>
        <v>0</v>
      </c>
      <c r="O25" s="521">
        <f t="shared" si="4"/>
        <v>0</v>
      </c>
      <c r="P25" s="578"/>
      <c r="Q25" s="570">
        <f t="shared" si="4"/>
        <v>0</v>
      </c>
      <c r="R25" s="578">
        <f>SUM(R26:R34)</f>
        <v>0</v>
      </c>
      <c r="S25" s="570">
        <f t="shared" si="4"/>
        <v>0</v>
      </c>
      <c r="T25" s="578">
        <f t="shared" si="4"/>
        <v>0</v>
      </c>
      <c r="U25" s="521">
        <f t="shared" si="4"/>
        <v>0</v>
      </c>
      <c r="V25" s="578">
        <f t="shared" si="4"/>
        <v>0</v>
      </c>
      <c r="W25" s="521">
        <f t="shared" si="4"/>
        <v>0</v>
      </c>
      <c r="X25" s="578">
        <f t="shared" si="4"/>
        <v>0</v>
      </c>
      <c r="Y25" s="521">
        <f t="shared" si="4"/>
        <v>0</v>
      </c>
      <c r="Z25" s="578">
        <f t="shared" si="4"/>
        <v>650</v>
      </c>
      <c r="AA25" s="521">
        <f t="shared" si="4"/>
        <v>0</v>
      </c>
      <c r="AB25" s="578">
        <f t="shared" si="4"/>
        <v>500</v>
      </c>
      <c r="AC25" s="521">
        <f t="shared" si="4"/>
        <v>0</v>
      </c>
      <c r="AD25" s="578">
        <f t="shared" si="4"/>
        <v>0</v>
      </c>
      <c r="AE25" s="570">
        <f t="shared" si="4"/>
        <v>0</v>
      </c>
      <c r="AF25" s="578">
        <f t="shared" si="4"/>
        <v>0</v>
      </c>
      <c r="AG25" s="521">
        <f t="shared" si="4"/>
        <v>0</v>
      </c>
      <c r="AH25" s="578">
        <f t="shared" si="4"/>
        <v>0</v>
      </c>
      <c r="AI25" s="521">
        <f t="shared" si="4"/>
        <v>0</v>
      </c>
      <c r="AJ25" s="578">
        <f t="shared" si="4"/>
        <v>0</v>
      </c>
      <c r="AK25" s="521">
        <f t="shared" si="4"/>
        <v>0</v>
      </c>
      <c r="AL25" s="578">
        <f t="shared" si="4"/>
        <v>0</v>
      </c>
      <c r="AM25" s="521">
        <f t="shared" si="4"/>
        <v>0</v>
      </c>
      <c r="AN25" s="578">
        <f t="shared" si="4"/>
        <v>0</v>
      </c>
      <c r="AO25" s="521">
        <f t="shared" si="4"/>
        <v>0</v>
      </c>
      <c r="AP25" s="578">
        <f t="shared" si="4"/>
        <v>0</v>
      </c>
      <c r="AQ25" s="521">
        <f t="shared" si="4"/>
        <v>0</v>
      </c>
      <c r="AR25" s="578">
        <f t="shared" si="4"/>
        <v>0</v>
      </c>
      <c r="AS25" s="570">
        <f t="shared" si="4"/>
        <v>0</v>
      </c>
      <c r="AT25" s="578">
        <f t="shared" si="4"/>
        <v>0</v>
      </c>
      <c r="AU25" s="521">
        <f t="shared" si="4"/>
        <v>0</v>
      </c>
      <c r="AV25" s="578">
        <f t="shared" si="4"/>
        <v>0</v>
      </c>
      <c r="AW25" s="521">
        <f t="shared" si="4"/>
        <v>0</v>
      </c>
      <c r="AX25" s="578">
        <f t="shared" si="4"/>
        <v>0</v>
      </c>
      <c r="AY25" s="521">
        <f t="shared" si="4"/>
        <v>0</v>
      </c>
      <c r="AZ25" s="578">
        <f t="shared" si="4"/>
        <v>0</v>
      </c>
      <c r="BA25" s="521">
        <f t="shared" si="4"/>
        <v>0</v>
      </c>
      <c r="BB25" s="578">
        <f t="shared" si="4"/>
        <v>0</v>
      </c>
      <c r="BC25" s="521">
        <f t="shared" si="4"/>
        <v>0</v>
      </c>
      <c r="BD25" s="578">
        <f t="shared" si="4"/>
        <v>0</v>
      </c>
      <c r="BE25" s="521">
        <f t="shared" si="4"/>
        <v>0</v>
      </c>
      <c r="BF25" s="578">
        <f t="shared" si="4"/>
        <v>0</v>
      </c>
      <c r="BG25" s="570">
        <f t="shared" si="4"/>
        <v>0</v>
      </c>
      <c r="BH25" s="578">
        <f t="shared" si="4"/>
        <v>0</v>
      </c>
      <c r="BI25" s="521">
        <f t="shared" si="4"/>
        <v>0</v>
      </c>
      <c r="BJ25" s="535">
        <f t="shared" si="2"/>
        <v>1150</v>
      </c>
      <c r="BK25" s="545">
        <f t="shared" si="3"/>
        <v>55</v>
      </c>
    </row>
    <row r="26" spans="1:63" x14ac:dyDescent="0.35">
      <c r="A26" s="524"/>
      <c r="B26" s="524"/>
      <c r="C26" s="524"/>
      <c r="D26" s="651" t="s">
        <v>19</v>
      </c>
      <c r="E26" s="652"/>
      <c r="F26" s="530"/>
      <c r="G26" s="537"/>
      <c r="H26" s="530"/>
      <c r="I26" s="537"/>
      <c r="J26" s="530"/>
      <c r="K26" s="537"/>
      <c r="L26" s="530"/>
      <c r="M26" s="537"/>
      <c r="N26" s="530"/>
      <c r="O26" s="537"/>
      <c r="P26" s="572"/>
      <c r="Q26" s="587"/>
      <c r="R26" s="572"/>
      <c r="S26" s="587"/>
      <c r="T26" s="530"/>
      <c r="U26" s="537"/>
      <c r="V26" s="530"/>
      <c r="W26" s="537"/>
      <c r="X26" s="530"/>
      <c r="Y26" s="537"/>
      <c r="Z26" s="530"/>
      <c r="AA26" s="537"/>
      <c r="AB26" s="530"/>
      <c r="AC26" s="537"/>
      <c r="AD26" s="572"/>
      <c r="AE26" s="587"/>
      <c r="AF26" s="530"/>
      <c r="AG26" s="537"/>
      <c r="AH26" s="530"/>
      <c r="AI26" s="537"/>
      <c r="AJ26" s="530"/>
      <c r="AK26" s="537"/>
      <c r="AL26" s="530"/>
      <c r="AM26" s="537"/>
      <c r="AN26" s="530"/>
      <c r="AO26" s="537"/>
      <c r="AP26" s="530"/>
      <c r="AQ26" s="537"/>
      <c r="AR26" s="572"/>
      <c r="AS26" s="587"/>
      <c r="AT26" s="530"/>
      <c r="AU26" s="537"/>
      <c r="AV26" s="530"/>
      <c r="AW26" s="537"/>
      <c r="AX26" s="530"/>
      <c r="AY26" s="537"/>
      <c r="AZ26" s="530"/>
      <c r="BA26" s="537"/>
      <c r="BB26" s="530"/>
      <c r="BC26" s="537"/>
      <c r="BD26" s="530"/>
      <c r="BE26" s="537"/>
      <c r="BF26" s="572"/>
      <c r="BG26" s="587"/>
      <c r="BH26" s="530"/>
      <c r="BI26" s="537"/>
      <c r="BJ26" s="535">
        <f t="shared" si="2"/>
        <v>0</v>
      </c>
      <c r="BK26" s="545">
        <f t="shared" si="3"/>
        <v>0</v>
      </c>
    </row>
    <row r="27" spans="1:63" x14ac:dyDescent="0.35">
      <c r="A27" s="524"/>
      <c r="B27" s="524"/>
      <c r="C27" s="524"/>
      <c r="D27" s="643" t="s">
        <v>20</v>
      </c>
      <c r="E27" s="644"/>
      <c r="F27" s="530"/>
      <c r="G27" s="537"/>
      <c r="H27" s="530"/>
      <c r="I27" s="537"/>
      <c r="J27" s="530"/>
      <c r="K27" s="537"/>
      <c r="L27" s="530"/>
      <c r="M27" s="537"/>
      <c r="N27" s="530"/>
      <c r="O27" s="537"/>
      <c r="P27" s="572"/>
      <c r="Q27" s="587"/>
      <c r="R27" s="572"/>
      <c r="S27" s="587"/>
      <c r="T27" s="530"/>
      <c r="U27" s="537"/>
      <c r="V27" s="530"/>
      <c r="W27" s="537"/>
      <c r="X27" s="530"/>
      <c r="Y27" s="537"/>
      <c r="Z27" s="530"/>
      <c r="AA27" s="537"/>
      <c r="AB27" s="530"/>
      <c r="AC27" s="537"/>
      <c r="AD27" s="572"/>
      <c r="AE27" s="587"/>
      <c r="AF27" s="530"/>
      <c r="AG27" s="537"/>
      <c r="AH27" s="530"/>
      <c r="AI27" s="537"/>
      <c r="AJ27" s="530"/>
      <c r="AK27" s="537"/>
      <c r="AL27" s="530"/>
      <c r="AM27" s="537"/>
      <c r="AN27" s="530"/>
      <c r="AO27" s="537"/>
      <c r="AP27" s="530"/>
      <c r="AQ27" s="537"/>
      <c r="AR27" s="572"/>
      <c r="AS27" s="587"/>
      <c r="AT27" s="530"/>
      <c r="AU27" s="537"/>
      <c r="AV27" s="530"/>
      <c r="AW27" s="537"/>
      <c r="AX27" s="530"/>
      <c r="AY27" s="537"/>
      <c r="AZ27" s="530"/>
      <c r="BA27" s="537"/>
      <c r="BB27" s="530"/>
      <c r="BC27" s="537"/>
      <c r="BD27" s="530"/>
      <c r="BE27" s="537"/>
      <c r="BF27" s="572"/>
      <c r="BG27" s="587"/>
      <c r="BH27" s="530"/>
      <c r="BI27" s="537"/>
      <c r="BJ27" s="535">
        <f t="shared" si="2"/>
        <v>0</v>
      </c>
      <c r="BK27" s="545">
        <f t="shared" si="3"/>
        <v>0</v>
      </c>
    </row>
    <row r="28" spans="1:63" x14ac:dyDescent="0.35">
      <c r="A28" s="524"/>
      <c r="B28" s="524"/>
      <c r="C28" s="524"/>
      <c r="D28" s="643" t="s">
        <v>21</v>
      </c>
      <c r="E28" s="644"/>
      <c r="F28" s="530"/>
      <c r="G28" s="537"/>
      <c r="H28" s="530"/>
      <c r="I28" s="537"/>
      <c r="J28" s="530"/>
      <c r="K28" s="537"/>
      <c r="L28" s="530"/>
      <c r="M28" s="537"/>
      <c r="N28" s="530"/>
      <c r="O28" s="537"/>
      <c r="P28" s="572"/>
      <c r="Q28" s="587"/>
      <c r="R28" s="572"/>
      <c r="S28" s="587"/>
      <c r="T28" s="530"/>
      <c r="U28" s="537"/>
      <c r="V28" s="530"/>
      <c r="W28" s="537"/>
      <c r="X28" s="530"/>
      <c r="Y28" s="537"/>
      <c r="Z28" s="530"/>
      <c r="AA28" s="537"/>
      <c r="AB28" s="530"/>
      <c r="AC28" s="537"/>
      <c r="AD28" s="572"/>
      <c r="AE28" s="587"/>
      <c r="AF28" s="530"/>
      <c r="AG28" s="537"/>
      <c r="AH28" s="530"/>
      <c r="AI28" s="537"/>
      <c r="AJ28" s="530"/>
      <c r="AK28" s="537"/>
      <c r="AL28" s="530"/>
      <c r="AM28" s="537"/>
      <c r="AN28" s="530"/>
      <c r="AO28" s="537"/>
      <c r="AP28" s="530"/>
      <c r="AQ28" s="537"/>
      <c r="AR28" s="572"/>
      <c r="AS28" s="587"/>
      <c r="AT28" s="530"/>
      <c r="AU28" s="537"/>
      <c r="AV28" s="530"/>
      <c r="AW28" s="537"/>
      <c r="AX28" s="530"/>
      <c r="AY28" s="537"/>
      <c r="AZ28" s="530"/>
      <c r="BA28" s="537"/>
      <c r="BB28" s="530"/>
      <c r="BC28" s="537"/>
      <c r="BD28" s="530"/>
      <c r="BE28" s="537"/>
      <c r="BF28" s="572"/>
      <c r="BG28" s="587"/>
      <c r="BH28" s="530"/>
      <c r="BI28" s="537"/>
      <c r="BJ28" s="535">
        <f t="shared" si="2"/>
        <v>0</v>
      </c>
      <c r="BK28" s="545">
        <f t="shared" si="3"/>
        <v>0</v>
      </c>
    </row>
    <row r="29" spans="1:63" x14ac:dyDescent="0.35">
      <c r="A29" s="524"/>
      <c r="B29" s="524"/>
      <c r="C29" s="524"/>
      <c r="D29" s="643"/>
      <c r="E29" s="644"/>
      <c r="F29" s="530"/>
      <c r="G29" s="537"/>
      <c r="H29" s="530"/>
      <c r="I29" s="537"/>
      <c r="J29" s="530"/>
      <c r="K29" s="537"/>
      <c r="L29" s="530"/>
      <c r="M29" s="537"/>
      <c r="N29" s="530"/>
      <c r="O29" s="537"/>
      <c r="P29" s="572"/>
      <c r="Q29" s="587"/>
      <c r="R29" s="572"/>
      <c r="S29" s="587"/>
      <c r="T29" s="530"/>
      <c r="U29" s="537"/>
      <c r="V29" s="530"/>
      <c r="W29" s="537"/>
      <c r="X29" s="530"/>
      <c r="Y29" s="537"/>
      <c r="Z29" s="530"/>
      <c r="AA29" s="537"/>
      <c r="AB29" s="530"/>
      <c r="AC29" s="537"/>
      <c r="AD29" s="572"/>
      <c r="AE29" s="587"/>
      <c r="AF29" s="530"/>
      <c r="AG29" s="537"/>
      <c r="AH29" s="530"/>
      <c r="AI29" s="537"/>
      <c r="AJ29" s="530"/>
      <c r="AK29" s="537"/>
      <c r="AL29" s="530"/>
      <c r="AM29" s="537"/>
      <c r="AN29" s="530"/>
      <c r="AO29" s="537"/>
      <c r="AP29" s="530"/>
      <c r="AQ29" s="537"/>
      <c r="AR29" s="572"/>
      <c r="AS29" s="587"/>
      <c r="AT29" s="530"/>
      <c r="AU29" s="537"/>
      <c r="AV29" s="530"/>
      <c r="AW29" s="537"/>
      <c r="AX29" s="530"/>
      <c r="AY29" s="537"/>
      <c r="AZ29" s="530"/>
      <c r="BA29" s="537"/>
      <c r="BB29" s="530"/>
      <c r="BC29" s="537"/>
      <c r="BD29" s="530"/>
      <c r="BE29" s="537"/>
      <c r="BF29" s="572"/>
      <c r="BG29" s="587"/>
      <c r="BH29" s="530"/>
      <c r="BI29" s="537"/>
      <c r="BJ29" s="535">
        <f t="shared" si="2"/>
        <v>0</v>
      </c>
      <c r="BK29" s="545">
        <f t="shared" si="3"/>
        <v>0</v>
      </c>
    </row>
    <row r="30" spans="1:63" x14ac:dyDescent="0.35">
      <c r="A30" s="524"/>
      <c r="B30" s="524"/>
      <c r="C30" s="524"/>
      <c r="D30" s="651" t="s">
        <v>22</v>
      </c>
      <c r="E30" s="652"/>
      <c r="F30" s="530"/>
      <c r="G30" s="537"/>
      <c r="H30" s="530"/>
      <c r="I30" s="537"/>
      <c r="J30" s="530"/>
      <c r="K30" s="537"/>
      <c r="L30" s="530"/>
      <c r="M30" s="537"/>
      <c r="N30" s="530"/>
      <c r="O30" s="537"/>
      <c r="P30" s="572"/>
      <c r="Q30" s="587"/>
      <c r="R30" s="572"/>
      <c r="S30" s="587"/>
      <c r="T30" s="530"/>
      <c r="U30" s="537"/>
      <c r="V30" s="530"/>
      <c r="W30" s="537"/>
      <c r="X30" s="530"/>
      <c r="Y30" s="537"/>
      <c r="Z30" s="530"/>
      <c r="AA30" s="537"/>
      <c r="AB30" s="530"/>
      <c r="AC30" s="537"/>
      <c r="AD30" s="572"/>
      <c r="AE30" s="587"/>
      <c r="AF30" s="530"/>
      <c r="AG30" s="537"/>
      <c r="AH30" s="530"/>
      <c r="AI30" s="537"/>
      <c r="AJ30" s="530"/>
      <c r="AK30" s="537"/>
      <c r="AL30" s="530"/>
      <c r="AM30" s="537"/>
      <c r="AN30" s="530"/>
      <c r="AO30" s="537"/>
      <c r="AP30" s="530"/>
      <c r="AQ30" s="537"/>
      <c r="AR30" s="572"/>
      <c r="AS30" s="587"/>
      <c r="AT30" s="530"/>
      <c r="AU30" s="537"/>
      <c r="AV30" s="530"/>
      <c r="AW30" s="537"/>
      <c r="AX30" s="530"/>
      <c r="AY30" s="537"/>
      <c r="AZ30" s="530"/>
      <c r="BA30" s="537"/>
      <c r="BB30" s="530"/>
      <c r="BC30" s="537"/>
      <c r="BD30" s="530"/>
      <c r="BE30" s="537"/>
      <c r="BF30" s="572"/>
      <c r="BG30" s="587"/>
      <c r="BH30" s="530"/>
      <c r="BI30" s="537"/>
      <c r="BJ30" s="535">
        <f t="shared" si="2"/>
        <v>0</v>
      </c>
      <c r="BK30" s="545">
        <f t="shared" si="3"/>
        <v>0</v>
      </c>
    </row>
    <row r="31" spans="1:63" x14ac:dyDescent="0.35">
      <c r="A31" s="524"/>
      <c r="B31" s="524"/>
      <c r="C31" s="524"/>
      <c r="D31" s="643" t="s">
        <v>20</v>
      </c>
      <c r="E31" s="644"/>
      <c r="F31" s="530"/>
      <c r="G31" s="537"/>
      <c r="H31" s="530"/>
      <c r="I31" s="537"/>
      <c r="J31" s="530"/>
      <c r="K31" s="537"/>
      <c r="L31" s="530"/>
      <c r="M31" s="537"/>
      <c r="N31" s="530"/>
      <c r="O31" s="537"/>
      <c r="P31" s="572"/>
      <c r="Q31" s="587"/>
      <c r="R31" s="572"/>
      <c r="S31" s="587"/>
      <c r="T31" s="530"/>
      <c r="U31" s="537"/>
      <c r="V31" s="530"/>
      <c r="W31" s="537"/>
      <c r="X31" s="530"/>
      <c r="Y31" s="537"/>
      <c r="Z31" s="530">
        <v>650</v>
      </c>
      <c r="AA31" s="537"/>
      <c r="AB31" s="530">
        <v>500</v>
      </c>
      <c r="AC31" s="537"/>
      <c r="AD31" s="572"/>
      <c r="AE31" s="587"/>
      <c r="AF31" s="530"/>
      <c r="AG31" s="537"/>
      <c r="AH31" s="530"/>
      <c r="AI31" s="537"/>
      <c r="AJ31" s="530"/>
      <c r="AK31" s="537"/>
      <c r="AL31" s="530"/>
      <c r="AM31" s="537"/>
      <c r="AN31" s="530"/>
      <c r="AO31" s="537"/>
      <c r="AP31" s="530"/>
      <c r="AQ31" s="537"/>
      <c r="AR31" s="572"/>
      <c r="AS31" s="587"/>
      <c r="AT31" s="530"/>
      <c r="AU31" s="537"/>
      <c r="AV31" s="530"/>
      <c r="AW31" s="537"/>
      <c r="AX31" s="530"/>
      <c r="AY31" s="537"/>
      <c r="AZ31" s="530"/>
      <c r="BA31" s="537"/>
      <c r="BB31" s="530"/>
      <c r="BC31" s="537"/>
      <c r="BD31" s="530"/>
      <c r="BE31" s="537"/>
      <c r="BF31" s="572"/>
      <c r="BG31" s="587"/>
      <c r="BH31" s="530"/>
      <c r="BI31" s="537"/>
      <c r="BJ31" s="535">
        <f t="shared" si="2"/>
        <v>1150</v>
      </c>
      <c r="BK31" s="545">
        <f t="shared" si="3"/>
        <v>2</v>
      </c>
    </row>
    <row r="32" spans="1:63" x14ac:dyDescent="0.35">
      <c r="A32" s="524"/>
      <c r="B32" s="524"/>
      <c r="C32" s="524"/>
      <c r="D32" s="643" t="s">
        <v>21</v>
      </c>
      <c r="E32" s="644"/>
      <c r="F32" s="530"/>
      <c r="G32" s="537"/>
      <c r="H32" s="530"/>
      <c r="I32" s="537"/>
      <c r="J32" s="530"/>
      <c r="K32" s="537"/>
      <c r="L32" s="530"/>
      <c r="M32" s="537"/>
      <c r="N32" s="530"/>
      <c r="O32" s="537"/>
      <c r="P32" s="572"/>
      <c r="Q32" s="587"/>
      <c r="R32" s="572"/>
      <c r="S32" s="587"/>
      <c r="T32" s="530"/>
      <c r="U32" s="537"/>
      <c r="V32" s="530"/>
      <c r="W32" s="537"/>
      <c r="X32" s="530"/>
      <c r="Y32" s="537"/>
      <c r="Z32" s="530"/>
      <c r="AA32" s="537"/>
      <c r="AB32" s="530"/>
      <c r="AC32" s="537"/>
      <c r="AD32" s="572"/>
      <c r="AE32" s="587"/>
      <c r="AF32" s="530"/>
      <c r="AG32" s="537"/>
      <c r="AH32" s="530"/>
      <c r="AI32" s="537"/>
      <c r="AJ32" s="530"/>
      <c r="AK32" s="537"/>
      <c r="AL32" s="530"/>
      <c r="AM32" s="537"/>
      <c r="AN32" s="530"/>
      <c r="AO32" s="537"/>
      <c r="AP32" s="530"/>
      <c r="AQ32" s="537"/>
      <c r="AR32" s="572"/>
      <c r="AS32" s="587"/>
      <c r="AT32" s="530"/>
      <c r="AU32" s="537"/>
      <c r="AV32" s="530"/>
      <c r="AW32" s="537"/>
      <c r="AX32" s="530"/>
      <c r="AY32" s="537"/>
      <c r="AZ32" s="530"/>
      <c r="BA32" s="537"/>
      <c r="BB32" s="530"/>
      <c r="BC32" s="537"/>
      <c r="BD32" s="530"/>
      <c r="BE32" s="537"/>
      <c r="BF32" s="572"/>
      <c r="BG32" s="587"/>
      <c r="BH32" s="530"/>
      <c r="BI32" s="537"/>
      <c r="BJ32" s="535">
        <f t="shared" si="2"/>
        <v>0</v>
      </c>
      <c r="BK32" s="545">
        <f t="shared" si="3"/>
        <v>0</v>
      </c>
    </row>
    <row r="33" spans="1:63" x14ac:dyDescent="0.35">
      <c r="A33" s="524"/>
      <c r="B33" s="524"/>
      <c r="C33" s="524"/>
      <c r="D33" s="643" t="s">
        <v>23</v>
      </c>
      <c r="E33" s="644"/>
      <c r="F33" s="530"/>
      <c r="G33" s="537"/>
      <c r="H33" s="530"/>
      <c r="I33" s="537"/>
      <c r="J33" s="530"/>
      <c r="K33" s="537"/>
      <c r="L33" s="530"/>
      <c r="M33" s="537"/>
      <c r="N33" s="530"/>
      <c r="O33" s="537"/>
      <c r="P33" s="572"/>
      <c r="Q33" s="587"/>
      <c r="R33" s="572"/>
      <c r="S33" s="587"/>
      <c r="T33" s="530"/>
      <c r="U33" s="537"/>
      <c r="V33" s="530"/>
      <c r="W33" s="537"/>
      <c r="X33" s="530"/>
      <c r="Y33" s="537"/>
      <c r="Z33" s="530"/>
      <c r="AA33" s="537"/>
      <c r="AB33" s="530"/>
      <c r="AC33" s="537"/>
      <c r="AD33" s="572"/>
      <c r="AE33" s="587"/>
      <c r="AF33" s="530"/>
      <c r="AG33" s="537"/>
      <c r="AH33" s="530"/>
      <c r="AI33" s="537"/>
      <c r="AJ33" s="530"/>
      <c r="AK33" s="537"/>
      <c r="AL33" s="530"/>
      <c r="AM33" s="537"/>
      <c r="AN33" s="530"/>
      <c r="AO33" s="537"/>
      <c r="AP33" s="530"/>
      <c r="AQ33" s="537"/>
      <c r="AR33" s="572"/>
      <c r="AS33" s="587"/>
      <c r="AT33" s="530"/>
      <c r="AU33" s="537"/>
      <c r="AV33" s="530"/>
      <c r="AW33" s="537"/>
      <c r="AX33" s="530"/>
      <c r="AY33" s="537"/>
      <c r="AZ33" s="530"/>
      <c r="BA33" s="537"/>
      <c r="BB33" s="530"/>
      <c r="BC33" s="537"/>
      <c r="BD33" s="530"/>
      <c r="BE33" s="537"/>
      <c r="BF33" s="572"/>
      <c r="BG33" s="587"/>
      <c r="BH33" s="530"/>
      <c r="BI33" s="537"/>
      <c r="BJ33" s="535">
        <f t="shared" si="2"/>
        <v>0</v>
      </c>
      <c r="BK33" s="545">
        <f t="shared" si="3"/>
        <v>0</v>
      </c>
    </row>
    <row r="34" spans="1:63" x14ac:dyDescent="0.35">
      <c r="A34" s="524"/>
      <c r="B34" s="524"/>
      <c r="C34" s="524"/>
      <c r="D34" s="643"/>
      <c r="E34" s="644"/>
      <c r="F34" s="530"/>
      <c r="G34" s="537"/>
      <c r="H34" s="530"/>
      <c r="I34" s="537"/>
      <c r="J34" s="530"/>
      <c r="K34" s="537"/>
      <c r="L34" s="530"/>
      <c r="M34" s="537"/>
      <c r="N34" s="530"/>
      <c r="O34" s="537"/>
      <c r="P34" s="572"/>
      <c r="Q34" s="587"/>
      <c r="R34" s="572"/>
      <c r="S34" s="587"/>
      <c r="T34" s="530"/>
      <c r="U34" s="537"/>
      <c r="V34" s="530"/>
      <c r="W34" s="537"/>
      <c r="X34" s="530"/>
      <c r="Y34" s="537"/>
      <c r="Z34" s="530"/>
      <c r="AA34" s="537"/>
      <c r="AB34" s="530"/>
      <c r="AC34" s="537"/>
      <c r="AD34" s="572"/>
      <c r="AE34" s="587"/>
      <c r="AF34" s="530"/>
      <c r="AG34" s="537"/>
      <c r="AH34" s="530"/>
      <c r="AI34" s="537"/>
      <c r="AJ34" s="530"/>
      <c r="AK34" s="537"/>
      <c r="AL34" s="530"/>
      <c r="AM34" s="537"/>
      <c r="AN34" s="530"/>
      <c r="AO34" s="537"/>
      <c r="AP34" s="530"/>
      <c r="AQ34" s="537"/>
      <c r="AR34" s="572"/>
      <c r="AS34" s="587"/>
      <c r="AT34" s="530"/>
      <c r="AU34" s="537"/>
      <c r="AV34" s="530"/>
      <c r="AW34" s="537"/>
      <c r="AX34" s="530"/>
      <c r="AY34" s="537"/>
      <c r="AZ34" s="530"/>
      <c r="BA34" s="537"/>
      <c r="BB34" s="530"/>
      <c r="BC34" s="537"/>
      <c r="BD34" s="530"/>
      <c r="BE34" s="537"/>
      <c r="BF34" s="572"/>
      <c r="BG34" s="587"/>
      <c r="BH34" s="530"/>
      <c r="BI34" s="537"/>
      <c r="BJ34" s="535">
        <f t="shared" si="2"/>
        <v>0</v>
      </c>
      <c r="BK34" s="545">
        <f t="shared" si="3"/>
        <v>0</v>
      </c>
    </row>
    <row r="35" spans="1:63" ht="30.75" customHeight="1" x14ac:dyDescent="0.35">
      <c r="A35" s="524"/>
      <c r="B35" s="524"/>
      <c r="C35" s="524"/>
      <c r="D35" s="769" t="s">
        <v>24</v>
      </c>
      <c r="E35" s="770"/>
      <c r="F35" s="572">
        <f>SUM(F36:F113)</f>
        <v>0</v>
      </c>
      <c r="G35" s="514">
        <f>SUM(G36:G113)</f>
        <v>0</v>
      </c>
      <c r="H35" s="572">
        <f t="shared" ref="H35:BI35" si="5">SUM(H36:H113)</f>
        <v>0</v>
      </c>
      <c r="I35" s="514">
        <f t="shared" si="5"/>
        <v>0</v>
      </c>
      <c r="J35" s="572">
        <f t="shared" si="5"/>
        <v>0</v>
      </c>
      <c r="K35" s="514">
        <f t="shared" si="5"/>
        <v>0</v>
      </c>
      <c r="L35" s="572">
        <f t="shared" si="5"/>
        <v>0</v>
      </c>
      <c r="M35" s="514">
        <f t="shared" si="5"/>
        <v>0</v>
      </c>
      <c r="N35" s="572">
        <f t="shared" si="5"/>
        <v>0</v>
      </c>
      <c r="O35" s="514">
        <f t="shared" si="5"/>
        <v>0</v>
      </c>
      <c r="P35" s="572"/>
      <c r="Q35" s="587">
        <f t="shared" si="5"/>
        <v>0</v>
      </c>
      <c r="R35" s="572">
        <f>SUM(R36:R113)</f>
        <v>0</v>
      </c>
      <c r="S35" s="587">
        <f t="shared" si="5"/>
        <v>0</v>
      </c>
      <c r="T35" s="572">
        <f t="shared" si="5"/>
        <v>0</v>
      </c>
      <c r="U35" s="514">
        <f t="shared" si="5"/>
        <v>0</v>
      </c>
      <c r="V35" s="572">
        <f t="shared" si="5"/>
        <v>0</v>
      </c>
      <c r="W35" s="514">
        <f t="shared" si="5"/>
        <v>0</v>
      </c>
      <c r="X35" s="572">
        <f t="shared" si="5"/>
        <v>0</v>
      </c>
      <c r="Y35" s="514">
        <f t="shared" si="5"/>
        <v>0</v>
      </c>
      <c r="Z35" s="572">
        <f t="shared" si="5"/>
        <v>155</v>
      </c>
      <c r="AA35" s="514">
        <f t="shared" si="5"/>
        <v>0</v>
      </c>
      <c r="AB35" s="572">
        <f t="shared" si="5"/>
        <v>180</v>
      </c>
      <c r="AC35" s="514">
        <f t="shared" si="5"/>
        <v>0</v>
      </c>
      <c r="AD35" s="572">
        <f t="shared" si="5"/>
        <v>0</v>
      </c>
      <c r="AE35" s="587">
        <f t="shared" si="5"/>
        <v>0</v>
      </c>
      <c r="AF35" s="572">
        <f t="shared" si="5"/>
        <v>0</v>
      </c>
      <c r="AG35" s="514">
        <f t="shared" si="5"/>
        <v>0</v>
      </c>
      <c r="AH35" s="572">
        <f t="shared" si="5"/>
        <v>0</v>
      </c>
      <c r="AI35" s="514">
        <f t="shared" si="5"/>
        <v>0</v>
      </c>
      <c r="AJ35" s="572">
        <f t="shared" si="5"/>
        <v>0</v>
      </c>
      <c r="AK35" s="514">
        <f t="shared" si="5"/>
        <v>0</v>
      </c>
      <c r="AL35" s="572">
        <f t="shared" si="5"/>
        <v>0</v>
      </c>
      <c r="AM35" s="514">
        <f t="shared" si="5"/>
        <v>0</v>
      </c>
      <c r="AN35" s="572">
        <f t="shared" si="5"/>
        <v>0</v>
      </c>
      <c r="AO35" s="514">
        <f t="shared" si="5"/>
        <v>0</v>
      </c>
      <c r="AP35" s="572">
        <f t="shared" si="5"/>
        <v>0</v>
      </c>
      <c r="AQ35" s="514">
        <f t="shared" si="5"/>
        <v>0</v>
      </c>
      <c r="AR35" s="572">
        <f t="shared" si="5"/>
        <v>0</v>
      </c>
      <c r="AS35" s="587">
        <f t="shared" si="5"/>
        <v>0</v>
      </c>
      <c r="AT35" s="572">
        <f t="shared" si="5"/>
        <v>0</v>
      </c>
      <c r="AU35" s="514">
        <f t="shared" si="5"/>
        <v>0</v>
      </c>
      <c r="AV35" s="572">
        <f t="shared" si="5"/>
        <v>0</v>
      </c>
      <c r="AW35" s="514">
        <f t="shared" si="5"/>
        <v>0</v>
      </c>
      <c r="AX35" s="572">
        <f t="shared" si="5"/>
        <v>0</v>
      </c>
      <c r="AY35" s="514">
        <f t="shared" si="5"/>
        <v>0</v>
      </c>
      <c r="AZ35" s="572">
        <f t="shared" si="5"/>
        <v>0</v>
      </c>
      <c r="BA35" s="514">
        <f t="shared" si="5"/>
        <v>0</v>
      </c>
      <c r="BB35" s="572">
        <f t="shared" si="5"/>
        <v>0</v>
      </c>
      <c r="BC35" s="514">
        <f t="shared" si="5"/>
        <v>0</v>
      </c>
      <c r="BD35" s="572">
        <f t="shared" si="5"/>
        <v>0</v>
      </c>
      <c r="BE35" s="514">
        <f t="shared" si="5"/>
        <v>0</v>
      </c>
      <c r="BF35" s="572">
        <f t="shared" si="5"/>
        <v>0</v>
      </c>
      <c r="BG35" s="587">
        <f t="shared" si="5"/>
        <v>0</v>
      </c>
      <c r="BH35" s="572">
        <f t="shared" si="5"/>
        <v>0</v>
      </c>
      <c r="BI35" s="514">
        <f t="shared" si="5"/>
        <v>0</v>
      </c>
      <c r="BJ35" s="535">
        <f t="shared" si="2"/>
        <v>335</v>
      </c>
      <c r="BK35" s="545">
        <f t="shared" si="3"/>
        <v>55</v>
      </c>
    </row>
    <row r="36" spans="1:63" ht="16.5" customHeight="1" x14ac:dyDescent="0.35">
      <c r="A36" s="567"/>
      <c r="B36" s="567"/>
      <c r="C36" s="556">
        <f>SUM(BJ37:BJ56)</f>
        <v>335</v>
      </c>
      <c r="D36" s="647" t="s">
        <v>25</v>
      </c>
      <c r="E36" s="648"/>
      <c r="F36" s="590"/>
      <c r="G36" s="562"/>
      <c r="H36" s="590"/>
      <c r="I36" s="562"/>
      <c r="J36" s="590"/>
      <c r="K36" s="562"/>
      <c r="L36" s="590"/>
      <c r="M36" s="562"/>
      <c r="N36" s="590"/>
      <c r="O36" s="562"/>
      <c r="P36" s="572"/>
      <c r="Q36" s="587"/>
      <c r="R36" s="572"/>
      <c r="S36" s="587"/>
      <c r="T36" s="590"/>
      <c r="U36" s="562"/>
      <c r="V36" s="590"/>
      <c r="W36" s="562"/>
      <c r="X36" s="590"/>
      <c r="Y36" s="562"/>
      <c r="Z36" s="590"/>
      <c r="AA36" s="562"/>
      <c r="AB36" s="590"/>
      <c r="AC36" s="562"/>
      <c r="AD36" s="572"/>
      <c r="AE36" s="587"/>
      <c r="AF36" s="590"/>
      <c r="AG36" s="562"/>
      <c r="AH36" s="590"/>
      <c r="AI36" s="562"/>
      <c r="AJ36" s="590"/>
      <c r="AK36" s="562"/>
      <c r="AL36" s="590"/>
      <c r="AM36" s="562"/>
      <c r="AN36" s="590"/>
      <c r="AO36" s="562"/>
      <c r="AP36" s="590"/>
      <c r="AQ36" s="562"/>
      <c r="AR36" s="572"/>
      <c r="AS36" s="587"/>
      <c r="AT36" s="590"/>
      <c r="AU36" s="562"/>
      <c r="AV36" s="590"/>
      <c r="AW36" s="562"/>
      <c r="AX36" s="590"/>
      <c r="AY36" s="562"/>
      <c r="AZ36" s="590"/>
      <c r="BA36" s="562"/>
      <c r="BB36" s="590"/>
      <c r="BC36" s="562"/>
      <c r="BD36" s="590"/>
      <c r="BE36" s="562"/>
      <c r="BF36" s="572"/>
      <c r="BG36" s="587"/>
      <c r="BH36" s="590"/>
      <c r="BI36" s="562"/>
      <c r="BJ36" s="535">
        <f t="shared" si="2"/>
        <v>0</v>
      </c>
      <c r="BK36" s="545">
        <f t="shared" si="3"/>
        <v>0</v>
      </c>
    </row>
    <row r="37" spans="1:63" ht="16.5" customHeight="1" x14ac:dyDescent="0.35">
      <c r="A37" s="567"/>
      <c r="B37" s="546" t="s">
        <v>26</v>
      </c>
      <c r="C37" s="567" t="s">
        <v>27</v>
      </c>
      <c r="D37" s="653" t="s">
        <v>28</v>
      </c>
      <c r="E37" s="654"/>
      <c r="F37" s="590"/>
      <c r="G37" s="562"/>
      <c r="H37" s="590"/>
      <c r="I37" s="562"/>
      <c r="J37" s="590"/>
      <c r="K37" s="562"/>
      <c r="L37" s="590"/>
      <c r="M37" s="562"/>
      <c r="N37" s="590"/>
      <c r="O37" s="562"/>
      <c r="P37" s="572"/>
      <c r="Q37" s="587"/>
      <c r="R37" s="572"/>
      <c r="S37" s="587"/>
      <c r="T37" s="590"/>
      <c r="U37" s="562"/>
      <c r="V37" s="590"/>
      <c r="W37" s="562"/>
      <c r="X37" s="590"/>
      <c r="Y37" s="562"/>
      <c r="Z37" s="590"/>
      <c r="AA37" s="562"/>
      <c r="AB37" s="590"/>
      <c r="AC37" s="562"/>
      <c r="AD37" s="572"/>
      <c r="AE37" s="587"/>
      <c r="AF37" s="590"/>
      <c r="AG37" s="562"/>
      <c r="AH37" s="590"/>
      <c r="AI37" s="562"/>
      <c r="AJ37" s="590"/>
      <c r="AK37" s="562"/>
      <c r="AL37" s="590"/>
      <c r="AM37" s="562"/>
      <c r="AN37" s="590"/>
      <c r="AO37" s="562"/>
      <c r="AP37" s="590"/>
      <c r="AQ37" s="562"/>
      <c r="AR37" s="572"/>
      <c r="AS37" s="587"/>
      <c r="AT37" s="590"/>
      <c r="AU37" s="562"/>
      <c r="AV37" s="590"/>
      <c r="AW37" s="562"/>
      <c r="AX37" s="590"/>
      <c r="AY37" s="562"/>
      <c r="AZ37" s="590"/>
      <c r="BA37" s="562"/>
      <c r="BB37" s="590"/>
      <c r="BC37" s="562"/>
      <c r="BD37" s="590"/>
      <c r="BE37" s="562"/>
      <c r="BF37" s="572"/>
      <c r="BG37" s="587"/>
      <c r="BH37" s="590"/>
      <c r="BI37" s="562"/>
      <c r="BJ37" s="535">
        <f t="shared" ref="BJ37:BJ68" si="6">SUM(F37:BI37)</f>
        <v>0</v>
      </c>
      <c r="BK37" s="545">
        <f t="shared" ref="BK37:BK68" si="7">COUNT(F37:BI37)</f>
        <v>0</v>
      </c>
    </row>
    <row r="38" spans="1:63" ht="15" customHeight="1" x14ac:dyDescent="0.35">
      <c r="A38" s="579"/>
      <c r="B38" s="546" t="s">
        <v>29</v>
      </c>
      <c r="C38" s="579" t="s">
        <v>30</v>
      </c>
      <c r="D38" s="653" t="s">
        <v>31</v>
      </c>
      <c r="E38" s="654"/>
      <c r="F38" s="590"/>
      <c r="G38" s="562"/>
      <c r="H38" s="590"/>
      <c r="I38" s="562"/>
      <c r="J38" s="590"/>
      <c r="K38" s="562"/>
      <c r="L38" s="590"/>
      <c r="M38" s="562"/>
      <c r="N38" s="590"/>
      <c r="O38" s="562"/>
      <c r="P38" s="572"/>
      <c r="Q38" s="587"/>
      <c r="R38" s="572"/>
      <c r="S38" s="587"/>
      <c r="T38" s="590"/>
      <c r="U38" s="562"/>
      <c r="V38" s="590"/>
      <c r="W38" s="562"/>
      <c r="X38" s="590"/>
      <c r="Y38" s="562"/>
      <c r="Z38" s="590"/>
      <c r="AA38" s="562"/>
      <c r="AB38" s="590"/>
      <c r="AC38" s="562"/>
      <c r="AD38" s="572"/>
      <c r="AE38" s="587"/>
      <c r="AF38" s="590"/>
      <c r="AG38" s="562"/>
      <c r="AH38" s="590"/>
      <c r="AI38" s="562"/>
      <c r="AJ38" s="590"/>
      <c r="AK38" s="562"/>
      <c r="AL38" s="590"/>
      <c r="AM38" s="562"/>
      <c r="AN38" s="590"/>
      <c r="AO38" s="562"/>
      <c r="AP38" s="590"/>
      <c r="AQ38" s="562"/>
      <c r="AR38" s="572"/>
      <c r="AS38" s="587"/>
      <c r="AT38" s="590"/>
      <c r="AU38" s="562"/>
      <c r="AV38" s="590"/>
      <c r="AW38" s="562"/>
      <c r="AX38" s="590"/>
      <c r="AY38" s="562"/>
      <c r="AZ38" s="590"/>
      <c r="BA38" s="562"/>
      <c r="BB38" s="590"/>
      <c r="BC38" s="562"/>
      <c r="BD38" s="590"/>
      <c r="BE38" s="562"/>
      <c r="BF38" s="572"/>
      <c r="BG38" s="587"/>
      <c r="BH38" s="590"/>
      <c r="BI38" s="562"/>
      <c r="BJ38" s="535">
        <f t="shared" si="6"/>
        <v>0</v>
      </c>
      <c r="BK38" s="545">
        <f t="shared" si="7"/>
        <v>0</v>
      </c>
    </row>
    <row r="39" spans="1:63" ht="15" customHeight="1" x14ac:dyDescent="0.35">
      <c r="A39" s="579"/>
      <c r="B39" s="546" t="s">
        <v>26</v>
      </c>
      <c r="C39" s="579" t="s">
        <v>32</v>
      </c>
      <c r="D39" s="653" t="s">
        <v>33</v>
      </c>
      <c r="E39" s="654"/>
      <c r="F39" s="590"/>
      <c r="G39" s="562"/>
      <c r="H39" s="590"/>
      <c r="I39" s="562"/>
      <c r="J39" s="590"/>
      <c r="K39" s="562"/>
      <c r="L39" s="590"/>
      <c r="M39" s="562"/>
      <c r="N39" s="590"/>
      <c r="O39" s="562"/>
      <c r="P39" s="572"/>
      <c r="Q39" s="587"/>
      <c r="R39" s="572"/>
      <c r="S39" s="587"/>
      <c r="T39" s="590"/>
      <c r="U39" s="562"/>
      <c r="V39" s="590"/>
      <c r="W39" s="562"/>
      <c r="X39" s="590"/>
      <c r="Y39" s="562"/>
      <c r="Z39" s="590"/>
      <c r="AA39" s="562"/>
      <c r="AB39" s="590"/>
      <c r="AC39" s="562"/>
      <c r="AD39" s="572"/>
      <c r="AE39" s="587"/>
      <c r="AF39" s="590"/>
      <c r="AG39" s="562"/>
      <c r="AH39" s="590"/>
      <c r="AI39" s="562"/>
      <c r="AJ39" s="590"/>
      <c r="AK39" s="562"/>
      <c r="AL39" s="590"/>
      <c r="AM39" s="562"/>
      <c r="AN39" s="590"/>
      <c r="AO39" s="562"/>
      <c r="AP39" s="590"/>
      <c r="AQ39" s="562"/>
      <c r="AR39" s="572"/>
      <c r="AS39" s="587"/>
      <c r="AT39" s="590"/>
      <c r="AU39" s="562"/>
      <c r="AV39" s="590"/>
      <c r="AW39" s="562"/>
      <c r="AX39" s="590"/>
      <c r="AY39" s="562"/>
      <c r="AZ39" s="590"/>
      <c r="BA39" s="562"/>
      <c r="BB39" s="590"/>
      <c r="BC39" s="562"/>
      <c r="BD39" s="590"/>
      <c r="BE39" s="562"/>
      <c r="BF39" s="572"/>
      <c r="BG39" s="587"/>
      <c r="BH39" s="590"/>
      <c r="BI39" s="562"/>
      <c r="BJ39" s="535">
        <f t="shared" si="6"/>
        <v>0</v>
      </c>
      <c r="BK39" s="545">
        <f t="shared" si="7"/>
        <v>0</v>
      </c>
    </row>
    <row r="40" spans="1:63" ht="15" customHeight="1" x14ac:dyDescent="0.35">
      <c r="A40" s="579"/>
      <c r="B40" s="546" t="s">
        <v>26</v>
      </c>
      <c r="C40" s="579" t="s">
        <v>34</v>
      </c>
      <c r="D40" s="653" t="s">
        <v>35</v>
      </c>
      <c r="E40" s="654"/>
      <c r="F40" s="590"/>
      <c r="G40" s="562"/>
      <c r="H40" s="590"/>
      <c r="I40" s="562"/>
      <c r="J40" s="590"/>
      <c r="K40" s="562"/>
      <c r="L40" s="590"/>
      <c r="M40" s="562"/>
      <c r="N40" s="590"/>
      <c r="O40" s="562"/>
      <c r="P40" s="572"/>
      <c r="Q40" s="587"/>
      <c r="R40" s="572"/>
      <c r="S40" s="587"/>
      <c r="T40" s="590"/>
      <c r="U40" s="562"/>
      <c r="V40" s="590"/>
      <c r="W40" s="562"/>
      <c r="X40" s="590"/>
      <c r="Y40" s="562"/>
      <c r="Z40" s="590"/>
      <c r="AA40" s="562"/>
      <c r="AB40" s="590"/>
      <c r="AC40" s="562"/>
      <c r="AD40" s="572"/>
      <c r="AE40" s="587"/>
      <c r="AF40" s="590"/>
      <c r="AG40" s="562"/>
      <c r="AH40" s="590"/>
      <c r="AI40" s="562"/>
      <c r="AJ40" s="590"/>
      <c r="AK40" s="562"/>
      <c r="AL40" s="590"/>
      <c r="AM40" s="562"/>
      <c r="AN40" s="590"/>
      <c r="AO40" s="562"/>
      <c r="AP40" s="590"/>
      <c r="AQ40" s="562"/>
      <c r="AR40" s="572"/>
      <c r="AS40" s="587"/>
      <c r="AT40" s="590"/>
      <c r="AU40" s="562"/>
      <c r="AV40" s="590"/>
      <c r="AW40" s="562"/>
      <c r="AX40" s="590"/>
      <c r="AY40" s="562"/>
      <c r="AZ40" s="590"/>
      <c r="BA40" s="562"/>
      <c r="BB40" s="590"/>
      <c r="BC40" s="562"/>
      <c r="BD40" s="590"/>
      <c r="BE40" s="562"/>
      <c r="BF40" s="572"/>
      <c r="BG40" s="587"/>
      <c r="BH40" s="590"/>
      <c r="BI40" s="562"/>
      <c r="BJ40" s="535">
        <f t="shared" si="6"/>
        <v>0</v>
      </c>
      <c r="BK40" s="545">
        <f t="shared" si="7"/>
        <v>0</v>
      </c>
    </row>
    <row r="41" spans="1:63" ht="15" customHeight="1" x14ac:dyDescent="0.35">
      <c r="A41" s="579"/>
      <c r="B41" s="546" t="s">
        <v>26</v>
      </c>
      <c r="C41" s="579" t="s">
        <v>36</v>
      </c>
      <c r="D41" s="653" t="s">
        <v>37</v>
      </c>
      <c r="E41" s="654"/>
      <c r="F41" s="590"/>
      <c r="G41" s="562"/>
      <c r="H41" s="590"/>
      <c r="I41" s="562"/>
      <c r="J41" s="590"/>
      <c r="K41" s="562"/>
      <c r="L41" s="590"/>
      <c r="M41" s="562"/>
      <c r="N41" s="590"/>
      <c r="O41" s="562"/>
      <c r="P41" s="572"/>
      <c r="Q41" s="587"/>
      <c r="R41" s="572"/>
      <c r="S41" s="587"/>
      <c r="T41" s="590"/>
      <c r="U41" s="562"/>
      <c r="V41" s="590"/>
      <c r="W41" s="562"/>
      <c r="X41" s="590"/>
      <c r="Y41" s="562"/>
      <c r="Z41" s="590">
        <v>85</v>
      </c>
      <c r="AA41" s="562"/>
      <c r="AB41" s="590">
        <v>180</v>
      </c>
      <c r="AC41" s="562"/>
      <c r="AD41" s="572"/>
      <c r="AE41" s="587"/>
      <c r="AF41" s="590"/>
      <c r="AG41" s="562"/>
      <c r="AH41" s="590"/>
      <c r="AI41" s="562"/>
      <c r="AJ41" s="590"/>
      <c r="AK41" s="562"/>
      <c r="AL41" s="590"/>
      <c r="AM41" s="562"/>
      <c r="AN41" s="590"/>
      <c r="AO41" s="562"/>
      <c r="AP41" s="590"/>
      <c r="AQ41" s="562"/>
      <c r="AR41" s="572"/>
      <c r="AS41" s="587"/>
      <c r="AT41" s="590"/>
      <c r="AU41" s="562"/>
      <c r="AV41" s="590"/>
      <c r="AW41" s="562"/>
      <c r="AX41" s="590"/>
      <c r="AY41" s="562"/>
      <c r="AZ41" s="590"/>
      <c r="BA41" s="562"/>
      <c r="BB41" s="590"/>
      <c r="BC41" s="562"/>
      <c r="BD41" s="590"/>
      <c r="BE41" s="562"/>
      <c r="BF41" s="572"/>
      <c r="BG41" s="587"/>
      <c r="BH41" s="590"/>
      <c r="BI41" s="562"/>
      <c r="BJ41" s="535">
        <f t="shared" si="6"/>
        <v>265</v>
      </c>
      <c r="BK41" s="545">
        <f t="shared" si="7"/>
        <v>2</v>
      </c>
    </row>
    <row r="42" spans="1:63" ht="15" customHeight="1" x14ac:dyDescent="0.35">
      <c r="A42" s="579"/>
      <c r="B42" s="546" t="s">
        <v>26</v>
      </c>
      <c r="C42" s="567" t="s">
        <v>38</v>
      </c>
      <c r="D42" s="653" t="s">
        <v>39</v>
      </c>
      <c r="E42" s="654"/>
      <c r="F42" s="590"/>
      <c r="G42" s="562"/>
      <c r="H42" s="590"/>
      <c r="I42" s="562"/>
      <c r="J42" s="590"/>
      <c r="K42" s="562"/>
      <c r="L42" s="590"/>
      <c r="M42" s="562"/>
      <c r="N42" s="590"/>
      <c r="O42" s="562"/>
      <c r="P42" s="572"/>
      <c r="Q42" s="587"/>
      <c r="R42" s="572"/>
      <c r="S42" s="587"/>
      <c r="T42" s="590"/>
      <c r="U42" s="562"/>
      <c r="V42" s="590"/>
      <c r="W42" s="562"/>
      <c r="X42" s="590"/>
      <c r="Y42" s="562"/>
      <c r="Z42" s="590"/>
      <c r="AA42" s="562"/>
      <c r="AB42" s="590"/>
      <c r="AC42" s="562"/>
      <c r="AD42" s="572"/>
      <c r="AE42" s="587"/>
      <c r="AF42" s="590"/>
      <c r="AG42" s="562"/>
      <c r="AH42" s="590"/>
      <c r="AI42" s="562"/>
      <c r="AJ42" s="590"/>
      <c r="AK42" s="562"/>
      <c r="AL42" s="590"/>
      <c r="AM42" s="562"/>
      <c r="AN42" s="590"/>
      <c r="AO42" s="562"/>
      <c r="AP42" s="590"/>
      <c r="AQ42" s="562"/>
      <c r="AR42" s="572"/>
      <c r="AS42" s="587"/>
      <c r="AT42" s="590"/>
      <c r="AU42" s="562"/>
      <c r="AV42" s="590"/>
      <c r="AW42" s="562"/>
      <c r="AX42" s="590"/>
      <c r="AY42" s="562"/>
      <c r="AZ42" s="590"/>
      <c r="BA42" s="562"/>
      <c r="BB42" s="590"/>
      <c r="BC42" s="562"/>
      <c r="BD42" s="590"/>
      <c r="BE42" s="562"/>
      <c r="BF42" s="572"/>
      <c r="BG42" s="587"/>
      <c r="BH42" s="590"/>
      <c r="BI42" s="562"/>
      <c r="BJ42" s="535">
        <f t="shared" si="6"/>
        <v>0</v>
      </c>
      <c r="BK42" s="545">
        <f t="shared" si="7"/>
        <v>0</v>
      </c>
    </row>
    <row r="43" spans="1:63" ht="15" customHeight="1" x14ac:dyDescent="0.35">
      <c r="A43" s="579"/>
      <c r="B43" s="546" t="s">
        <v>26</v>
      </c>
      <c r="C43" s="579" t="s">
        <v>40</v>
      </c>
      <c r="D43" s="653" t="s">
        <v>41</v>
      </c>
      <c r="E43" s="654"/>
      <c r="F43" s="590"/>
      <c r="G43" s="562"/>
      <c r="H43" s="590"/>
      <c r="I43" s="562"/>
      <c r="J43" s="590"/>
      <c r="K43" s="562"/>
      <c r="L43" s="590"/>
      <c r="M43" s="562"/>
      <c r="N43" s="590"/>
      <c r="O43" s="562"/>
      <c r="P43" s="572"/>
      <c r="Q43" s="587"/>
      <c r="R43" s="572"/>
      <c r="S43" s="587"/>
      <c r="T43" s="590"/>
      <c r="U43" s="562"/>
      <c r="V43" s="590"/>
      <c r="W43" s="562"/>
      <c r="X43" s="590"/>
      <c r="Y43" s="562"/>
      <c r="Z43" s="590"/>
      <c r="AA43" s="562"/>
      <c r="AB43" s="590"/>
      <c r="AC43" s="562"/>
      <c r="AD43" s="572"/>
      <c r="AE43" s="587"/>
      <c r="AF43" s="590"/>
      <c r="AG43" s="562"/>
      <c r="AH43" s="590"/>
      <c r="AI43" s="562"/>
      <c r="AJ43" s="590"/>
      <c r="AK43" s="562"/>
      <c r="AL43" s="590"/>
      <c r="AM43" s="562"/>
      <c r="AN43" s="590"/>
      <c r="AO43" s="562"/>
      <c r="AP43" s="590"/>
      <c r="AQ43" s="562"/>
      <c r="AR43" s="572"/>
      <c r="AS43" s="587"/>
      <c r="AT43" s="590"/>
      <c r="AU43" s="562"/>
      <c r="AV43" s="590"/>
      <c r="AW43" s="562"/>
      <c r="AX43" s="590"/>
      <c r="AY43" s="562"/>
      <c r="AZ43" s="590"/>
      <c r="BA43" s="562"/>
      <c r="BB43" s="590"/>
      <c r="BC43" s="562"/>
      <c r="BD43" s="590"/>
      <c r="BE43" s="562"/>
      <c r="BF43" s="572"/>
      <c r="BG43" s="587"/>
      <c r="BH43" s="590"/>
      <c r="BI43" s="562"/>
      <c r="BJ43" s="535">
        <f t="shared" si="6"/>
        <v>0</v>
      </c>
      <c r="BK43" s="545">
        <f t="shared" si="7"/>
        <v>0</v>
      </c>
    </row>
    <row r="44" spans="1:63" ht="15" customHeight="1" x14ac:dyDescent="0.35">
      <c r="A44" s="579"/>
      <c r="B44" s="546" t="s">
        <v>26</v>
      </c>
      <c r="C44" s="567" t="s">
        <v>42</v>
      </c>
      <c r="D44" s="653" t="s">
        <v>43</v>
      </c>
      <c r="E44" s="654"/>
      <c r="F44" s="590"/>
      <c r="G44" s="562"/>
      <c r="H44" s="590"/>
      <c r="I44" s="562"/>
      <c r="J44" s="590"/>
      <c r="K44" s="562"/>
      <c r="L44" s="590"/>
      <c r="M44" s="562"/>
      <c r="N44" s="590"/>
      <c r="O44" s="562"/>
      <c r="P44" s="572"/>
      <c r="Q44" s="587"/>
      <c r="R44" s="572"/>
      <c r="S44" s="587"/>
      <c r="T44" s="590"/>
      <c r="U44" s="562"/>
      <c r="V44" s="590"/>
      <c r="W44" s="562"/>
      <c r="X44" s="590"/>
      <c r="Y44" s="562"/>
      <c r="Z44" s="590">
        <v>70</v>
      </c>
      <c r="AA44" s="562"/>
      <c r="AB44" s="590"/>
      <c r="AC44" s="562"/>
      <c r="AD44" s="572"/>
      <c r="AE44" s="587"/>
      <c r="AF44" s="590"/>
      <c r="AG44" s="562"/>
      <c r="AH44" s="590"/>
      <c r="AI44" s="562"/>
      <c r="AJ44" s="590"/>
      <c r="AK44" s="562"/>
      <c r="AL44" s="590"/>
      <c r="AM44" s="562"/>
      <c r="AN44" s="590"/>
      <c r="AO44" s="562"/>
      <c r="AP44" s="590"/>
      <c r="AQ44" s="562"/>
      <c r="AR44" s="572"/>
      <c r="AS44" s="587"/>
      <c r="AT44" s="590"/>
      <c r="AU44" s="562"/>
      <c r="AV44" s="590"/>
      <c r="AW44" s="562"/>
      <c r="AX44" s="590"/>
      <c r="AY44" s="562"/>
      <c r="AZ44" s="590"/>
      <c r="BA44" s="562"/>
      <c r="BB44" s="590"/>
      <c r="BC44" s="562"/>
      <c r="BD44" s="590"/>
      <c r="BE44" s="562"/>
      <c r="BF44" s="572"/>
      <c r="BG44" s="587"/>
      <c r="BH44" s="590"/>
      <c r="BI44" s="562"/>
      <c r="BJ44" s="535">
        <f t="shared" si="6"/>
        <v>70</v>
      </c>
      <c r="BK44" s="545">
        <f t="shared" si="7"/>
        <v>1</v>
      </c>
    </row>
    <row r="45" spans="1:63" ht="15" customHeight="1" x14ac:dyDescent="0.35">
      <c r="A45" s="579"/>
      <c r="B45" s="546" t="s">
        <v>44</v>
      </c>
      <c r="C45" s="579" t="s">
        <v>45</v>
      </c>
      <c r="D45" s="653" t="s">
        <v>43</v>
      </c>
      <c r="E45" s="654"/>
      <c r="F45" s="590"/>
      <c r="G45" s="562"/>
      <c r="H45" s="590"/>
      <c r="I45" s="562"/>
      <c r="J45" s="590"/>
      <c r="K45" s="562"/>
      <c r="L45" s="590"/>
      <c r="M45" s="562"/>
      <c r="N45" s="590"/>
      <c r="O45" s="562"/>
      <c r="P45" s="572"/>
      <c r="Q45" s="587"/>
      <c r="R45" s="572"/>
      <c r="S45" s="587"/>
      <c r="T45" s="590"/>
      <c r="U45" s="562"/>
      <c r="V45" s="590"/>
      <c r="W45" s="562"/>
      <c r="X45" s="590"/>
      <c r="Y45" s="562"/>
      <c r="Z45" s="590"/>
      <c r="AA45" s="562"/>
      <c r="AB45" s="590"/>
      <c r="AC45" s="562"/>
      <c r="AD45" s="572"/>
      <c r="AE45" s="587"/>
      <c r="AF45" s="590"/>
      <c r="AG45" s="562"/>
      <c r="AH45" s="590"/>
      <c r="AI45" s="562"/>
      <c r="AJ45" s="590"/>
      <c r="AK45" s="562"/>
      <c r="AL45" s="590"/>
      <c r="AM45" s="562"/>
      <c r="AN45" s="590"/>
      <c r="AO45" s="562"/>
      <c r="AP45" s="590"/>
      <c r="AQ45" s="562"/>
      <c r="AR45" s="572"/>
      <c r="AS45" s="587"/>
      <c r="AT45" s="590"/>
      <c r="AU45" s="562"/>
      <c r="AV45" s="590"/>
      <c r="AW45" s="562"/>
      <c r="AX45" s="590"/>
      <c r="AY45" s="562"/>
      <c r="AZ45" s="590"/>
      <c r="BA45" s="562"/>
      <c r="BB45" s="590"/>
      <c r="BC45" s="562"/>
      <c r="BD45" s="590"/>
      <c r="BE45" s="562"/>
      <c r="BF45" s="572"/>
      <c r="BG45" s="587"/>
      <c r="BH45" s="590"/>
      <c r="BI45" s="562"/>
      <c r="BJ45" s="535">
        <f t="shared" si="6"/>
        <v>0</v>
      </c>
      <c r="BK45" s="545">
        <f t="shared" si="7"/>
        <v>0</v>
      </c>
    </row>
    <row r="46" spans="1:63" ht="15" customHeight="1" x14ac:dyDescent="0.35">
      <c r="A46" s="579"/>
      <c r="B46" s="546" t="s">
        <v>46</v>
      </c>
      <c r="C46" s="579" t="s">
        <v>47</v>
      </c>
      <c r="D46" s="653" t="s">
        <v>48</v>
      </c>
      <c r="E46" s="654"/>
      <c r="F46" s="590"/>
      <c r="G46" s="562"/>
      <c r="H46" s="590"/>
      <c r="I46" s="562"/>
      <c r="J46" s="590"/>
      <c r="K46" s="562"/>
      <c r="L46" s="590"/>
      <c r="M46" s="562"/>
      <c r="N46" s="590"/>
      <c r="O46" s="562"/>
      <c r="P46" s="572"/>
      <c r="Q46" s="587"/>
      <c r="R46" s="572"/>
      <c r="S46" s="587"/>
      <c r="T46" s="590"/>
      <c r="U46" s="562"/>
      <c r="V46" s="590"/>
      <c r="W46" s="562"/>
      <c r="X46" s="590"/>
      <c r="Y46" s="562"/>
      <c r="Z46" s="590"/>
      <c r="AA46" s="562"/>
      <c r="AB46" s="590"/>
      <c r="AC46" s="562"/>
      <c r="AD46" s="572"/>
      <c r="AE46" s="587"/>
      <c r="AF46" s="590"/>
      <c r="AG46" s="562"/>
      <c r="AH46" s="590"/>
      <c r="AI46" s="562"/>
      <c r="AJ46" s="590"/>
      <c r="AK46" s="562"/>
      <c r="AL46" s="590"/>
      <c r="AM46" s="562"/>
      <c r="AN46" s="590"/>
      <c r="AO46" s="562"/>
      <c r="AP46" s="590"/>
      <c r="AQ46" s="562"/>
      <c r="AR46" s="572"/>
      <c r="AS46" s="587"/>
      <c r="AT46" s="590"/>
      <c r="AU46" s="562"/>
      <c r="AV46" s="590"/>
      <c r="AW46" s="562"/>
      <c r="AX46" s="590"/>
      <c r="AY46" s="562"/>
      <c r="AZ46" s="590"/>
      <c r="BA46" s="562"/>
      <c r="BB46" s="590"/>
      <c r="BC46" s="562"/>
      <c r="BD46" s="590"/>
      <c r="BE46" s="562"/>
      <c r="BF46" s="572"/>
      <c r="BG46" s="587"/>
      <c r="BH46" s="590"/>
      <c r="BI46" s="562"/>
      <c r="BJ46" s="535">
        <f t="shared" si="6"/>
        <v>0</v>
      </c>
      <c r="BK46" s="545">
        <f t="shared" si="7"/>
        <v>0</v>
      </c>
    </row>
    <row r="47" spans="1:63" ht="15" customHeight="1" x14ac:dyDescent="0.35">
      <c r="A47" s="579"/>
      <c r="B47" s="546" t="s">
        <v>26</v>
      </c>
      <c r="C47" s="579" t="s">
        <v>49</v>
      </c>
      <c r="D47" s="653" t="s">
        <v>50</v>
      </c>
      <c r="E47" s="654"/>
      <c r="F47" s="590"/>
      <c r="G47" s="562"/>
      <c r="H47" s="590"/>
      <c r="I47" s="562"/>
      <c r="J47" s="590"/>
      <c r="K47" s="562"/>
      <c r="L47" s="590"/>
      <c r="M47" s="562"/>
      <c r="N47" s="590"/>
      <c r="O47" s="562"/>
      <c r="P47" s="572"/>
      <c r="Q47" s="587"/>
      <c r="R47" s="572"/>
      <c r="S47" s="587"/>
      <c r="T47" s="590"/>
      <c r="U47" s="562"/>
      <c r="V47" s="590"/>
      <c r="W47" s="562"/>
      <c r="X47" s="590"/>
      <c r="Y47" s="562"/>
      <c r="Z47" s="590"/>
      <c r="AA47" s="562"/>
      <c r="AB47" s="590"/>
      <c r="AC47" s="562"/>
      <c r="AD47" s="572"/>
      <c r="AE47" s="587"/>
      <c r="AF47" s="590"/>
      <c r="AG47" s="562"/>
      <c r="AH47" s="590"/>
      <c r="AI47" s="562"/>
      <c r="AJ47" s="590"/>
      <c r="AK47" s="562"/>
      <c r="AL47" s="590"/>
      <c r="AM47" s="562"/>
      <c r="AN47" s="590"/>
      <c r="AO47" s="562"/>
      <c r="AP47" s="590"/>
      <c r="AQ47" s="562"/>
      <c r="AR47" s="572"/>
      <c r="AS47" s="587"/>
      <c r="AT47" s="590"/>
      <c r="AU47" s="562"/>
      <c r="AV47" s="590"/>
      <c r="AW47" s="562"/>
      <c r="AX47" s="590"/>
      <c r="AY47" s="562"/>
      <c r="AZ47" s="590"/>
      <c r="BA47" s="562"/>
      <c r="BB47" s="590"/>
      <c r="BC47" s="562"/>
      <c r="BD47" s="590"/>
      <c r="BE47" s="562"/>
      <c r="BF47" s="572"/>
      <c r="BG47" s="587"/>
      <c r="BH47" s="590"/>
      <c r="BI47" s="562"/>
      <c r="BJ47" s="535">
        <f t="shared" si="6"/>
        <v>0</v>
      </c>
      <c r="BK47" s="545">
        <f t="shared" si="7"/>
        <v>0</v>
      </c>
    </row>
    <row r="48" spans="1:63" ht="15" customHeight="1" x14ac:dyDescent="0.35">
      <c r="A48" s="579"/>
      <c r="B48" s="546" t="s">
        <v>26</v>
      </c>
      <c r="C48" s="567" t="s">
        <v>51</v>
      </c>
      <c r="D48" s="653" t="s">
        <v>52</v>
      </c>
      <c r="E48" s="654"/>
      <c r="F48" s="590"/>
      <c r="G48" s="562"/>
      <c r="H48" s="590"/>
      <c r="I48" s="562"/>
      <c r="J48" s="590"/>
      <c r="K48" s="562"/>
      <c r="L48" s="590"/>
      <c r="M48" s="562"/>
      <c r="N48" s="590"/>
      <c r="O48" s="562"/>
      <c r="P48" s="572"/>
      <c r="Q48" s="587"/>
      <c r="R48" s="572"/>
      <c r="S48" s="587"/>
      <c r="T48" s="590"/>
      <c r="U48" s="562"/>
      <c r="V48" s="590"/>
      <c r="W48" s="562"/>
      <c r="X48" s="590"/>
      <c r="Y48" s="562"/>
      <c r="Z48" s="590"/>
      <c r="AA48" s="562"/>
      <c r="AB48" s="590"/>
      <c r="AC48" s="562"/>
      <c r="AD48" s="572"/>
      <c r="AE48" s="587"/>
      <c r="AF48" s="590"/>
      <c r="AG48" s="562"/>
      <c r="AH48" s="590"/>
      <c r="AI48" s="562"/>
      <c r="AJ48" s="590"/>
      <c r="AK48" s="562"/>
      <c r="AL48" s="590"/>
      <c r="AM48" s="562"/>
      <c r="AN48" s="590"/>
      <c r="AO48" s="562"/>
      <c r="AP48" s="590"/>
      <c r="AQ48" s="562"/>
      <c r="AR48" s="572"/>
      <c r="AS48" s="587"/>
      <c r="AT48" s="590"/>
      <c r="AU48" s="562"/>
      <c r="AV48" s="590"/>
      <c r="AW48" s="562"/>
      <c r="AX48" s="590"/>
      <c r="AY48" s="562"/>
      <c r="AZ48" s="590"/>
      <c r="BA48" s="562"/>
      <c r="BB48" s="590"/>
      <c r="BC48" s="562"/>
      <c r="BD48" s="590"/>
      <c r="BE48" s="562"/>
      <c r="BF48" s="572"/>
      <c r="BG48" s="587"/>
      <c r="BH48" s="590"/>
      <c r="BI48" s="562"/>
      <c r="BJ48" s="535">
        <f t="shared" si="6"/>
        <v>0</v>
      </c>
      <c r="BK48" s="545">
        <f t="shared" si="7"/>
        <v>0</v>
      </c>
    </row>
    <row r="49" spans="1:63" ht="15" customHeight="1" x14ac:dyDescent="0.35">
      <c r="A49" s="579"/>
      <c r="B49" s="546" t="s">
        <v>26</v>
      </c>
      <c r="C49" s="579" t="s">
        <v>53</v>
      </c>
      <c r="D49" s="653" t="s">
        <v>54</v>
      </c>
      <c r="E49" s="654"/>
      <c r="F49" s="590"/>
      <c r="G49" s="562"/>
      <c r="H49" s="590"/>
      <c r="I49" s="562"/>
      <c r="J49" s="590"/>
      <c r="K49" s="562"/>
      <c r="L49" s="590"/>
      <c r="M49" s="562"/>
      <c r="N49" s="590"/>
      <c r="O49" s="562"/>
      <c r="P49" s="572"/>
      <c r="Q49" s="587"/>
      <c r="R49" s="572"/>
      <c r="S49" s="587"/>
      <c r="T49" s="590"/>
      <c r="U49" s="562"/>
      <c r="V49" s="590"/>
      <c r="W49" s="562"/>
      <c r="X49" s="590"/>
      <c r="Y49" s="562"/>
      <c r="Z49" s="590"/>
      <c r="AA49" s="562"/>
      <c r="AB49" s="590"/>
      <c r="AC49" s="562"/>
      <c r="AD49" s="572"/>
      <c r="AE49" s="587"/>
      <c r="AF49" s="590"/>
      <c r="AG49" s="562"/>
      <c r="AH49" s="590"/>
      <c r="AI49" s="562"/>
      <c r="AJ49" s="590"/>
      <c r="AK49" s="562"/>
      <c r="AL49" s="590"/>
      <c r="AM49" s="562"/>
      <c r="AN49" s="590"/>
      <c r="AO49" s="562"/>
      <c r="AP49" s="590"/>
      <c r="AQ49" s="562"/>
      <c r="AR49" s="572"/>
      <c r="AS49" s="587"/>
      <c r="AT49" s="590"/>
      <c r="AU49" s="562"/>
      <c r="AV49" s="590"/>
      <c r="AW49" s="562"/>
      <c r="AX49" s="590"/>
      <c r="AY49" s="562"/>
      <c r="AZ49" s="590"/>
      <c r="BA49" s="562"/>
      <c r="BB49" s="590"/>
      <c r="BC49" s="562"/>
      <c r="BD49" s="590"/>
      <c r="BE49" s="562"/>
      <c r="BF49" s="572"/>
      <c r="BG49" s="587"/>
      <c r="BH49" s="590"/>
      <c r="BI49" s="562"/>
      <c r="BJ49" s="535">
        <f t="shared" si="6"/>
        <v>0</v>
      </c>
      <c r="BK49" s="545">
        <f t="shared" si="7"/>
        <v>0</v>
      </c>
    </row>
    <row r="50" spans="1:63" ht="15" customHeight="1" x14ac:dyDescent="0.35">
      <c r="A50" s="579"/>
      <c r="B50" s="546" t="s">
        <v>26</v>
      </c>
      <c r="C50" s="567" t="s">
        <v>55</v>
      </c>
      <c r="D50" s="653" t="s">
        <v>56</v>
      </c>
      <c r="E50" s="654"/>
      <c r="F50" s="590"/>
      <c r="G50" s="562"/>
      <c r="H50" s="590"/>
      <c r="I50" s="562"/>
      <c r="J50" s="590"/>
      <c r="K50" s="562"/>
      <c r="L50" s="590"/>
      <c r="M50" s="562"/>
      <c r="N50" s="590"/>
      <c r="O50" s="562"/>
      <c r="P50" s="572"/>
      <c r="Q50" s="587"/>
      <c r="R50" s="572"/>
      <c r="S50" s="587"/>
      <c r="T50" s="590"/>
      <c r="U50" s="562"/>
      <c r="V50" s="590"/>
      <c r="W50" s="562"/>
      <c r="X50" s="590"/>
      <c r="Y50" s="562"/>
      <c r="Z50" s="590"/>
      <c r="AA50" s="562"/>
      <c r="AB50" s="590"/>
      <c r="AC50" s="562"/>
      <c r="AD50" s="572"/>
      <c r="AE50" s="587"/>
      <c r="AF50" s="590"/>
      <c r="AG50" s="562"/>
      <c r="AH50" s="590"/>
      <c r="AI50" s="562"/>
      <c r="AJ50" s="590"/>
      <c r="AK50" s="562"/>
      <c r="AL50" s="590"/>
      <c r="AM50" s="562"/>
      <c r="AN50" s="590"/>
      <c r="AO50" s="562"/>
      <c r="AP50" s="590"/>
      <c r="AQ50" s="562"/>
      <c r="AR50" s="572"/>
      <c r="AS50" s="587"/>
      <c r="AT50" s="590"/>
      <c r="AU50" s="562"/>
      <c r="AV50" s="590"/>
      <c r="AW50" s="562"/>
      <c r="AX50" s="590"/>
      <c r="AY50" s="562"/>
      <c r="AZ50" s="590"/>
      <c r="BA50" s="562"/>
      <c r="BB50" s="590"/>
      <c r="BC50" s="562"/>
      <c r="BD50" s="590"/>
      <c r="BE50" s="562"/>
      <c r="BF50" s="572"/>
      <c r="BG50" s="587"/>
      <c r="BH50" s="590"/>
      <c r="BI50" s="562"/>
      <c r="BJ50" s="535">
        <f t="shared" si="6"/>
        <v>0</v>
      </c>
      <c r="BK50" s="545">
        <f t="shared" si="7"/>
        <v>0</v>
      </c>
    </row>
    <row r="51" spans="1:63" ht="15" customHeight="1" x14ac:dyDescent="0.35">
      <c r="A51" s="579"/>
      <c r="B51" s="546" t="s">
        <v>26</v>
      </c>
      <c r="C51" s="579" t="s">
        <v>57</v>
      </c>
      <c r="D51" s="653" t="s">
        <v>58</v>
      </c>
      <c r="E51" s="654"/>
      <c r="F51" s="590"/>
      <c r="G51" s="562"/>
      <c r="H51" s="590"/>
      <c r="I51" s="562"/>
      <c r="J51" s="590"/>
      <c r="K51" s="562"/>
      <c r="L51" s="590"/>
      <c r="M51" s="562"/>
      <c r="N51" s="590"/>
      <c r="O51" s="562"/>
      <c r="P51" s="572"/>
      <c r="Q51" s="587"/>
      <c r="R51" s="572"/>
      <c r="S51" s="587"/>
      <c r="T51" s="590"/>
      <c r="U51" s="562"/>
      <c r="V51" s="590"/>
      <c r="W51" s="562"/>
      <c r="X51" s="590"/>
      <c r="Y51" s="562"/>
      <c r="Z51" s="590"/>
      <c r="AA51" s="562"/>
      <c r="AB51" s="590"/>
      <c r="AC51" s="562"/>
      <c r="AD51" s="572"/>
      <c r="AE51" s="587"/>
      <c r="AF51" s="590"/>
      <c r="AG51" s="562"/>
      <c r="AH51" s="590"/>
      <c r="AI51" s="562"/>
      <c r="AJ51" s="590"/>
      <c r="AK51" s="562"/>
      <c r="AL51" s="590"/>
      <c r="AM51" s="562"/>
      <c r="AN51" s="590"/>
      <c r="AO51" s="562"/>
      <c r="AP51" s="590"/>
      <c r="AQ51" s="562"/>
      <c r="AR51" s="572"/>
      <c r="AS51" s="587"/>
      <c r="AT51" s="590"/>
      <c r="AU51" s="562"/>
      <c r="AV51" s="590"/>
      <c r="AW51" s="562"/>
      <c r="AX51" s="590"/>
      <c r="AY51" s="562"/>
      <c r="AZ51" s="590"/>
      <c r="BA51" s="562"/>
      <c r="BB51" s="590"/>
      <c r="BC51" s="562"/>
      <c r="BD51" s="590"/>
      <c r="BE51" s="562"/>
      <c r="BF51" s="572"/>
      <c r="BG51" s="587"/>
      <c r="BH51" s="590"/>
      <c r="BI51" s="562"/>
      <c r="BJ51" s="535">
        <f t="shared" si="6"/>
        <v>0</v>
      </c>
      <c r="BK51" s="545">
        <f t="shared" si="7"/>
        <v>0</v>
      </c>
    </row>
    <row r="52" spans="1:63" ht="15" customHeight="1" x14ac:dyDescent="0.35">
      <c r="A52" s="579"/>
      <c r="B52" s="546" t="s">
        <v>29</v>
      </c>
      <c r="C52" s="579" t="s">
        <v>59</v>
      </c>
      <c r="D52" s="653" t="s">
        <v>60</v>
      </c>
      <c r="E52" s="654"/>
      <c r="F52" s="590"/>
      <c r="G52" s="562"/>
      <c r="H52" s="590"/>
      <c r="I52" s="562"/>
      <c r="J52" s="590"/>
      <c r="K52" s="562"/>
      <c r="L52" s="590"/>
      <c r="M52" s="562"/>
      <c r="N52" s="590"/>
      <c r="O52" s="562"/>
      <c r="P52" s="572"/>
      <c r="Q52" s="587"/>
      <c r="R52" s="572"/>
      <c r="S52" s="587"/>
      <c r="T52" s="590"/>
      <c r="U52" s="562"/>
      <c r="V52" s="590"/>
      <c r="W52" s="562"/>
      <c r="X52" s="590"/>
      <c r="Y52" s="562"/>
      <c r="Z52" s="590"/>
      <c r="AA52" s="562"/>
      <c r="AB52" s="590"/>
      <c r="AC52" s="562"/>
      <c r="AD52" s="572"/>
      <c r="AE52" s="587"/>
      <c r="AF52" s="590"/>
      <c r="AG52" s="562"/>
      <c r="AH52" s="590"/>
      <c r="AI52" s="562"/>
      <c r="AJ52" s="590"/>
      <c r="AK52" s="562"/>
      <c r="AL52" s="590"/>
      <c r="AM52" s="562"/>
      <c r="AN52" s="590"/>
      <c r="AO52" s="562"/>
      <c r="AP52" s="590"/>
      <c r="AQ52" s="562"/>
      <c r="AR52" s="572"/>
      <c r="AS52" s="587"/>
      <c r="AT52" s="590"/>
      <c r="AU52" s="562"/>
      <c r="AV52" s="590"/>
      <c r="AW52" s="562"/>
      <c r="AX52" s="590"/>
      <c r="AY52" s="562"/>
      <c r="AZ52" s="590"/>
      <c r="BA52" s="562"/>
      <c r="BB52" s="590"/>
      <c r="BC52" s="562"/>
      <c r="BD52" s="590"/>
      <c r="BE52" s="562"/>
      <c r="BF52" s="572"/>
      <c r="BG52" s="587"/>
      <c r="BH52" s="590"/>
      <c r="BI52" s="562"/>
      <c r="BJ52" s="535">
        <f t="shared" si="6"/>
        <v>0</v>
      </c>
      <c r="BK52" s="545">
        <f t="shared" si="7"/>
        <v>0</v>
      </c>
    </row>
    <row r="53" spans="1:63" ht="15" customHeight="1" x14ac:dyDescent="0.35">
      <c r="A53" s="579"/>
      <c r="B53" s="546" t="s">
        <v>46</v>
      </c>
      <c r="C53" s="579" t="s">
        <v>61</v>
      </c>
      <c r="D53" s="653" t="s">
        <v>62</v>
      </c>
      <c r="E53" s="654"/>
      <c r="F53" s="590"/>
      <c r="G53" s="562"/>
      <c r="H53" s="590"/>
      <c r="I53" s="562"/>
      <c r="J53" s="590"/>
      <c r="K53" s="562"/>
      <c r="L53" s="590"/>
      <c r="M53" s="562"/>
      <c r="N53" s="590"/>
      <c r="O53" s="562"/>
      <c r="P53" s="572"/>
      <c r="Q53" s="587"/>
      <c r="R53" s="572"/>
      <c r="S53" s="587"/>
      <c r="T53" s="590"/>
      <c r="U53" s="562"/>
      <c r="V53" s="590"/>
      <c r="W53" s="562"/>
      <c r="X53" s="590"/>
      <c r="Y53" s="562"/>
      <c r="Z53" s="590"/>
      <c r="AA53" s="562"/>
      <c r="AB53" s="590"/>
      <c r="AC53" s="562"/>
      <c r="AD53" s="572"/>
      <c r="AE53" s="587"/>
      <c r="AF53" s="590"/>
      <c r="AG53" s="562"/>
      <c r="AH53" s="590"/>
      <c r="AI53" s="562"/>
      <c r="AJ53" s="590"/>
      <c r="AK53" s="562"/>
      <c r="AL53" s="590"/>
      <c r="AM53" s="562"/>
      <c r="AN53" s="590"/>
      <c r="AO53" s="562"/>
      <c r="AP53" s="590"/>
      <c r="AQ53" s="562"/>
      <c r="AR53" s="572"/>
      <c r="AS53" s="587"/>
      <c r="AT53" s="590"/>
      <c r="AU53" s="562"/>
      <c r="AV53" s="590"/>
      <c r="AW53" s="562"/>
      <c r="AX53" s="590"/>
      <c r="AY53" s="562"/>
      <c r="AZ53" s="590"/>
      <c r="BA53" s="562"/>
      <c r="BB53" s="590"/>
      <c r="BC53" s="562"/>
      <c r="BD53" s="590"/>
      <c r="BE53" s="562"/>
      <c r="BF53" s="572"/>
      <c r="BG53" s="587"/>
      <c r="BH53" s="590"/>
      <c r="BI53" s="562"/>
      <c r="BJ53" s="535">
        <f t="shared" si="6"/>
        <v>0</v>
      </c>
      <c r="BK53" s="545">
        <f t="shared" si="7"/>
        <v>0</v>
      </c>
    </row>
    <row r="54" spans="1:63" ht="15" customHeight="1" x14ac:dyDescent="0.35">
      <c r="A54" s="579"/>
      <c r="B54" s="546" t="s">
        <v>26</v>
      </c>
      <c r="C54" s="567" t="s">
        <v>63</v>
      </c>
      <c r="D54" s="653" t="s">
        <v>64</v>
      </c>
      <c r="E54" s="654"/>
      <c r="F54" s="590"/>
      <c r="G54" s="562"/>
      <c r="H54" s="590"/>
      <c r="I54" s="562"/>
      <c r="J54" s="590"/>
      <c r="K54" s="562"/>
      <c r="L54" s="590"/>
      <c r="M54" s="562"/>
      <c r="N54" s="590"/>
      <c r="O54" s="562"/>
      <c r="P54" s="572"/>
      <c r="Q54" s="587"/>
      <c r="R54" s="572"/>
      <c r="S54" s="587"/>
      <c r="T54" s="590"/>
      <c r="U54" s="562"/>
      <c r="V54" s="590"/>
      <c r="W54" s="562"/>
      <c r="X54" s="590"/>
      <c r="Y54" s="562"/>
      <c r="Z54" s="590"/>
      <c r="AA54" s="562"/>
      <c r="AB54" s="590"/>
      <c r="AC54" s="562"/>
      <c r="AD54" s="572"/>
      <c r="AE54" s="587"/>
      <c r="AF54" s="590"/>
      <c r="AG54" s="562"/>
      <c r="AH54" s="590"/>
      <c r="AI54" s="562"/>
      <c r="AJ54" s="590"/>
      <c r="AK54" s="562"/>
      <c r="AL54" s="590"/>
      <c r="AM54" s="562"/>
      <c r="AN54" s="590"/>
      <c r="AO54" s="562"/>
      <c r="AP54" s="590"/>
      <c r="AQ54" s="562"/>
      <c r="AR54" s="572"/>
      <c r="AS54" s="587"/>
      <c r="AT54" s="590"/>
      <c r="AU54" s="562"/>
      <c r="AV54" s="590"/>
      <c r="AW54" s="562"/>
      <c r="AX54" s="590"/>
      <c r="AY54" s="562"/>
      <c r="AZ54" s="590"/>
      <c r="BA54" s="562"/>
      <c r="BB54" s="590"/>
      <c r="BC54" s="562"/>
      <c r="BD54" s="590"/>
      <c r="BE54" s="562"/>
      <c r="BF54" s="572"/>
      <c r="BG54" s="587"/>
      <c r="BH54" s="590"/>
      <c r="BI54" s="562"/>
      <c r="BJ54" s="535">
        <f t="shared" si="6"/>
        <v>0</v>
      </c>
      <c r="BK54" s="545">
        <f t="shared" si="7"/>
        <v>0</v>
      </c>
    </row>
    <row r="55" spans="1:63" ht="15" customHeight="1" x14ac:dyDescent="0.35">
      <c r="A55" s="579"/>
      <c r="B55" s="546" t="s">
        <v>29</v>
      </c>
      <c r="C55" s="579" t="s">
        <v>65</v>
      </c>
      <c r="D55" s="653" t="s">
        <v>66</v>
      </c>
      <c r="E55" s="654"/>
      <c r="F55" s="590"/>
      <c r="G55" s="562"/>
      <c r="H55" s="590"/>
      <c r="I55" s="562"/>
      <c r="J55" s="590"/>
      <c r="K55" s="562"/>
      <c r="L55" s="590"/>
      <c r="M55" s="562"/>
      <c r="N55" s="590"/>
      <c r="O55" s="562"/>
      <c r="P55" s="572"/>
      <c r="Q55" s="587"/>
      <c r="R55" s="572"/>
      <c r="S55" s="587"/>
      <c r="T55" s="590"/>
      <c r="U55" s="562"/>
      <c r="V55" s="590"/>
      <c r="W55" s="562"/>
      <c r="X55" s="590"/>
      <c r="Y55" s="562"/>
      <c r="Z55" s="590"/>
      <c r="AA55" s="562"/>
      <c r="AB55" s="590"/>
      <c r="AC55" s="562"/>
      <c r="AD55" s="572"/>
      <c r="AE55" s="587"/>
      <c r="AF55" s="590"/>
      <c r="AG55" s="562"/>
      <c r="AH55" s="590"/>
      <c r="AI55" s="562"/>
      <c r="AJ55" s="590"/>
      <c r="AK55" s="562"/>
      <c r="AL55" s="590"/>
      <c r="AM55" s="562"/>
      <c r="AN55" s="590"/>
      <c r="AO55" s="562"/>
      <c r="AP55" s="590"/>
      <c r="AQ55" s="562"/>
      <c r="AR55" s="572"/>
      <c r="AS55" s="587"/>
      <c r="AT55" s="590"/>
      <c r="AU55" s="562"/>
      <c r="AV55" s="590"/>
      <c r="AW55" s="562"/>
      <c r="AX55" s="590"/>
      <c r="AY55" s="562"/>
      <c r="AZ55" s="590"/>
      <c r="BA55" s="562"/>
      <c r="BB55" s="590"/>
      <c r="BC55" s="562"/>
      <c r="BD55" s="590"/>
      <c r="BE55" s="562"/>
      <c r="BF55" s="572"/>
      <c r="BG55" s="587"/>
      <c r="BH55" s="590"/>
      <c r="BI55" s="562"/>
      <c r="BJ55" s="535">
        <f t="shared" si="6"/>
        <v>0</v>
      </c>
      <c r="BK55" s="545">
        <f t="shared" si="7"/>
        <v>0</v>
      </c>
    </row>
    <row r="56" spans="1:63" ht="15" customHeight="1" x14ac:dyDescent="0.35">
      <c r="A56" s="579"/>
      <c r="B56" s="546" t="s">
        <v>26</v>
      </c>
      <c r="C56" s="579" t="s">
        <v>67</v>
      </c>
      <c r="D56" s="653" t="s">
        <v>68</v>
      </c>
      <c r="E56" s="654"/>
      <c r="F56" s="590"/>
      <c r="G56" s="562"/>
      <c r="H56" s="590"/>
      <c r="I56" s="562"/>
      <c r="J56" s="590"/>
      <c r="K56" s="562"/>
      <c r="L56" s="590"/>
      <c r="M56" s="562"/>
      <c r="N56" s="590"/>
      <c r="O56" s="562"/>
      <c r="P56" s="572"/>
      <c r="Q56" s="587"/>
      <c r="R56" s="572"/>
      <c r="S56" s="587"/>
      <c r="T56" s="590"/>
      <c r="U56" s="562"/>
      <c r="V56" s="590"/>
      <c r="W56" s="562"/>
      <c r="X56" s="590"/>
      <c r="Y56" s="562"/>
      <c r="Z56" s="590"/>
      <c r="AA56" s="562"/>
      <c r="AB56" s="590"/>
      <c r="AC56" s="562"/>
      <c r="AD56" s="572"/>
      <c r="AE56" s="587"/>
      <c r="AF56" s="590"/>
      <c r="AG56" s="562"/>
      <c r="AH56" s="590"/>
      <c r="AI56" s="562"/>
      <c r="AJ56" s="590"/>
      <c r="AK56" s="562"/>
      <c r="AL56" s="590"/>
      <c r="AM56" s="562"/>
      <c r="AN56" s="590"/>
      <c r="AO56" s="562"/>
      <c r="AP56" s="590"/>
      <c r="AQ56" s="562"/>
      <c r="AR56" s="572"/>
      <c r="AS56" s="587"/>
      <c r="AT56" s="590"/>
      <c r="AU56" s="562"/>
      <c r="AV56" s="590"/>
      <c r="AW56" s="562"/>
      <c r="AX56" s="590"/>
      <c r="AY56" s="562"/>
      <c r="AZ56" s="590"/>
      <c r="BA56" s="562"/>
      <c r="BB56" s="590"/>
      <c r="BC56" s="562"/>
      <c r="BD56" s="590"/>
      <c r="BE56" s="562"/>
      <c r="BF56" s="572"/>
      <c r="BG56" s="587"/>
      <c r="BH56" s="590"/>
      <c r="BI56" s="562"/>
      <c r="BJ56" s="535">
        <f t="shared" si="6"/>
        <v>0</v>
      </c>
      <c r="BK56" s="545">
        <f t="shared" si="7"/>
        <v>0</v>
      </c>
    </row>
    <row r="57" spans="1:63" ht="15" customHeight="1" x14ac:dyDescent="0.35">
      <c r="A57" s="579"/>
      <c r="B57" s="546" t="s">
        <v>29</v>
      </c>
      <c r="C57" s="579" t="s">
        <v>69</v>
      </c>
      <c r="D57" s="653" t="s">
        <v>70</v>
      </c>
      <c r="E57" s="654"/>
      <c r="F57" s="590"/>
      <c r="G57" s="562"/>
      <c r="H57" s="590"/>
      <c r="I57" s="562"/>
      <c r="J57" s="590"/>
      <c r="K57" s="562"/>
      <c r="L57" s="590"/>
      <c r="M57" s="562"/>
      <c r="N57" s="590"/>
      <c r="O57" s="562"/>
      <c r="P57" s="572"/>
      <c r="Q57" s="587"/>
      <c r="R57" s="572"/>
      <c r="S57" s="587"/>
      <c r="T57" s="590"/>
      <c r="U57" s="562"/>
      <c r="V57" s="590"/>
      <c r="W57" s="562"/>
      <c r="X57" s="590"/>
      <c r="Y57" s="562"/>
      <c r="Z57" s="590"/>
      <c r="AA57" s="562"/>
      <c r="AB57" s="590"/>
      <c r="AC57" s="562"/>
      <c r="AD57" s="572"/>
      <c r="AE57" s="587"/>
      <c r="AF57" s="590"/>
      <c r="AG57" s="562"/>
      <c r="AH57" s="590"/>
      <c r="AI57" s="562"/>
      <c r="AJ57" s="590"/>
      <c r="AK57" s="562"/>
      <c r="AL57" s="590"/>
      <c r="AM57" s="562"/>
      <c r="AN57" s="590"/>
      <c r="AO57" s="562"/>
      <c r="AP57" s="590"/>
      <c r="AQ57" s="562"/>
      <c r="AR57" s="572"/>
      <c r="AS57" s="587"/>
      <c r="AT57" s="590"/>
      <c r="AU57" s="562"/>
      <c r="AV57" s="590"/>
      <c r="AW57" s="562"/>
      <c r="AX57" s="590"/>
      <c r="AY57" s="562"/>
      <c r="AZ57" s="590"/>
      <c r="BA57" s="562"/>
      <c r="BB57" s="590"/>
      <c r="BC57" s="562"/>
      <c r="BD57" s="590"/>
      <c r="BE57" s="562"/>
      <c r="BF57" s="572"/>
      <c r="BG57" s="587"/>
      <c r="BH57" s="590"/>
      <c r="BI57" s="562"/>
      <c r="BJ57" s="535">
        <f t="shared" si="6"/>
        <v>0</v>
      </c>
      <c r="BK57" s="545">
        <f t="shared" si="7"/>
        <v>0</v>
      </c>
    </row>
    <row r="58" spans="1:63" ht="15" customHeight="1" x14ac:dyDescent="0.35">
      <c r="A58" s="579"/>
      <c r="B58" s="546" t="s">
        <v>29</v>
      </c>
      <c r="C58" s="579" t="s">
        <v>71</v>
      </c>
      <c r="D58" s="653" t="s">
        <v>72</v>
      </c>
      <c r="E58" s="654"/>
      <c r="F58" s="590"/>
      <c r="G58" s="562"/>
      <c r="H58" s="590"/>
      <c r="I58" s="562"/>
      <c r="J58" s="590"/>
      <c r="K58" s="562"/>
      <c r="L58" s="590"/>
      <c r="M58" s="562"/>
      <c r="N58" s="590"/>
      <c r="O58" s="562"/>
      <c r="P58" s="572"/>
      <c r="Q58" s="587"/>
      <c r="R58" s="572"/>
      <c r="S58" s="587"/>
      <c r="T58" s="590"/>
      <c r="U58" s="562"/>
      <c r="V58" s="590"/>
      <c r="W58" s="562"/>
      <c r="X58" s="590"/>
      <c r="Y58" s="562"/>
      <c r="Z58" s="590"/>
      <c r="AA58" s="562"/>
      <c r="AB58" s="590"/>
      <c r="AC58" s="562"/>
      <c r="AD58" s="572"/>
      <c r="AE58" s="587"/>
      <c r="AF58" s="590"/>
      <c r="AG58" s="562"/>
      <c r="AH58" s="590"/>
      <c r="AI58" s="562"/>
      <c r="AJ58" s="590"/>
      <c r="AK58" s="562"/>
      <c r="AL58" s="590"/>
      <c r="AM58" s="562"/>
      <c r="AN58" s="590"/>
      <c r="AO58" s="562"/>
      <c r="AP58" s="590"/>
      <c r="AQ58" s="562"/>
      <c r="AR58" s="572"/>
      <c r="AS58" s="587"/>
      <c r="AT58" s="590"/>
      <c r="AU58" s="562"/>
      <c r="AV58" s="590"/>
      <c r="AW58" s="562"/>
      <c r="AX58" s="590"/>
      <c r="AY58" s="562"/>
      <c r="AZ58" s="590"/>
      <c r="BA58" s="562"/>
      <c r="BB58" s="590"/>
      <c r="BC58" s="562"/>
      <c r="BD58" s="590"/>
      <c r="BE58" s="562"/>
      <c r="BF58" s="572"/>
      <c r="BG58" s="587"/>
      <c r="BH58" s="590"/>
      <c r="BI58" s="562"/>
      <c r="BJ58" s="535">
        <f t="shared" si="6"/>
        <v>0</v>
      </c>
      <c r="BK58" s="545">
        <f t="shared" si="7"/>
        <v>0</v>
      </c>
    </row>
    <row r="59" spans="1:63" ht="15" customHeight="1" x14ac:dyDescent="0.35">
      <c r="A59" s="579"/>
      <c r="B59" s="546" t="s">
        <v>29</v>
      </c>
      <c r="C59" s="579" t="s">
        <v>73</v>
      </c>
      <c r="D59" s="653" t="s">
        <v>74</v>
      </c>
      <c r="E59" s="654"/>
      <c r="F59" s="590"/>
      <c r="G59" s="562"/>
      <c r="H59" s="590"/>
      <c r="I59" s="562"/>
      <c r="J59" s="590"/>
      <c r="K59" s="562"/>
      <c r="L59" s="590"/>
      <c r="M59" s="562"/>
      <c r="N59" s="590"/>
      <c r="O59" s="562"/>
      <c r="P59" s="572"/>
      <c r="Q59" s="587"/>
      <c r="R59" s="572"/>
      <c r="S59" s="587"/>
      <c r="T59" s="590"/>
      <c r="U59" s="562"/>
      <c r="V59" s="590"/>
      <c r="W59" s="562"/>
      <c r="X59" s="590"/>
      <c r="Y59" s="562"/>
      <c r="Z59" s="590"/>
      <c r="AA59" s="562"/>
      <c r="AB59" s="590"/>
      <c r="AC59" s="562"/>
      <c r="AD59" s="572"/>
      <c r="AE59" s="587"/>
      <c r="AF59" s="590"/>
      <c r="AG59" s="562"/>
      <c r="AH59" s="590"/>
      <c r="AI59" s="562"/>
      <c r="AJ59" s="590"/>
      <c r="AK59" s="562"/>
      <c r="AL59" s="590"/>
      <c r="AM59" s="562"/>
      <c r="AN59" s="590"/>
      <c r="AO59" s="562"/>
      <c r="AP59" s="590"/>
      <c r="AQ59" s="562"/>
      <c r="AR59" s="572"/>
      <c r="AS59" s="587"/>
      <c r="AT59" s="590"/>
      <c r="AU59" s="562"/>
      <c r="AV59" s="590"/>
      <c r="AW59" s="562"/>
      <c r="AX59" s="590"/>
      <c r="AY59" s="562"/>
      <c r="AZ59" s="590"/>
      <c r="BA59" s="562"/>
      <c r="BB59" s="590"/>
      <c r="BC59" s="562"/>
      <c r="BD59" s="590"/>
      <c r="BE59" s="562"/>
      <c r="BF59" s="572"/>
      <c r="BG59" s="587"/>
      <c r="BH59" s="590"/>
      <c r="BI59" s="562"/>
      <c r="BJ59" s="535">
        <f t="shared" si="6"/>
        <v>0</v>
      </c>
      <c r="BK59" s="545">
        <f t="shared" si="7"/>
        <v>0</v>
      </c>
    </row>
    <row r="60" spans="1:63" ht="15" customHeight="1" x14ac:dyDescent="0.35">
      <c r="A60" s="579"/>
      <c r="B60" s="546" t="s">
        <v>29</v>
      </c>
      <c r="C60" s="579" t="s">
        <v>75</v>
      </c>
      <c r="D60" s="653" t="s">
        <v>76</v>
      </c>
      <c r="E60" s="654"/>
      <c r="F60" s="590"/>
      <c r="G60" s="562"/>
      <c r="H60" s="590"/>
      <c r="I60" s="562"/>
      <c r="J60" s="590"/>
      <c r="K60" s="562"/>
      <c r="L60" s="590"/>
      <c r="M60" s="562"/>
      <c r="N60" s="590"/>
      <c r="O60" s="562"/>
      <c r="P60" s="572"/>
      <c r="Q60" s="587"/>
      <c r="R60" s="572"/>
      <c r="S60" s="587"/>
      <c r="T60" s="590"/>
      <c r="U60" s="562"/>
      <c r="V60" s="590"/>
      <c r="W60" s="562"/>
      <c r="X60" s="590"/>
      <c r="Y60" s="562"/>
      <c r="Z60" s="590"/>
      <c r="AA60" s="562"/>
      <c r="AB60" s="590"/>
      <c r="AC60" s="562"/>
      <c r="AD60" s="572"/>
      <c r="AE60" s="587"/>
      <c r="AF60" s="590"/>
      <c r="AG60" s="562"/>
      <c r="AH60" s="590"/>
      <c r="AI60" s="562"/>
      <c r="AJ60" s="590"/>
      <c r="AK60" s="562"/>
      <c r="AL60" s="590"/>
      <c r="AM60" s="562"/>
      <c r="AN60" s="590"/>
      <c r="AO60" s="562"/>
      <c r="AP60" s="590"/>
      <c r="AQ60" s="562"/>
      <c r="AR60" s="572"/>
      <c r="AS60" s="587"/>
      <c r="AT60" s="590"/>
      <c r="AU60" s="562"/>
      <c r="AV60" s="590"/>
      <c r="AW60" s="562"/>
      <c r="AX60" s="590"/>
      <c r="AY60" s="562"/>
      <c r="AZ60" s="590"/>
      <c r="BA60" s="562"/>
      <c r="BB60" s="590"/>
      <c r="BC60" s="562"/>
      <c r="BD60" s="590"/>
      <c r="BE60" s="562"/>
      <c r="BF60" s="572"/>
      <c r="BG60" s="587"/>
      <c r="BH60" s="590"/>
      <c r="BI60" s="562"/>
      <c r="BJ60" s="535">
        <f t="shared" si="6"/>
        <v>0</v>
      </c>
      <c r="BK60" s="545">
        <f t="shared" si="7"/>
        <v>0</v>
      </c>
    </row>
    <row r="61" spans="1:63" ht="15" customHeight="1" x14ac:dyDescent="0.35">
      <c r="A61" s="579"/>
      <c r="B61" s="546" t="s">
        <v>26</v>
      </c>
      <c r="C61" s="567" t="s">
        <v>77</v>
      </c>
      <c r="D61" s="653" t="s">
        <v>78</v>
      </c>
      <c r="E61" s="654"/>
      <c r="F61" s="590"/>
      <c r="G61" s="562"/>
      <c r="H61" s="590"/>
      <c r="I61" s="562"/>
      <c r="J61" s="590"/>
      <c r="K61" s="562"/>
      <c r="L61" s="590"/>
      <c r="M61" s="562"/>
      <c r="N61" s="590"/>
      <c r="O61" s="562"/>
      <c r="P61" s="572"/>
      <c r="Q61" s="587"/>
      <c r="R61" s="572"/>
      <c r="S61" s="587"/>
      <c r="T61" s="590"/>
      <c r="U61" s="562"/>
      <c r="V61" s="590"/>
      <c r="W61" s="562"/>
      <c r="X61" s="590"/>
      <c r="Y61" s="562"/>
      <c r="Z61" s="590"/>
      <c r="AA61" s="562"/>
      <c r="AB61" s="590"/>
      <c r="AC61" s="562"/>
      <c r="AD61" s="572"/>
      <c r="AE61" s="587"/>
      <c r="AF61" s="590"/>
      <c r="AG61" s="562"/>
      <c r="AH61" s="590"/>
      <c r="AI61" s="562"/>
      <c r="AJ61" s="590"/>
      <c r="AK61" s="562"/>
      <c r="AL61" s="590"/>
      <c r="AM61" s="562"/>
      <c r="AN61" s="590"/>
      <c r="AO61" s="562"/>
      <c r="AP61" s="590"/>
      <c r="AQ61" s="562"/>
      <c r="AR61" s="572"/>
      <c r="AS61" s="587"/>
      <c r="AT61" s="590"/>
      <c r="AU61" s="562"/>
      <c r="AV61" s="590"/>
      <c r="AW61" s="562"/>
      <c r="AX61" s="590"/>
      <c r="AY61" s="562"/>
      <c r="AZ61" s="590"/>
      <c r="BA61" s="562"/>
      <c r="BB61" s="590"/>
      <c r="BC61" s="562"/>
      <c r="BD61" s="590"/>
      <c r="BE61" s="562"/>
      <c r="BF61" s="572"/>
      <c r="BG61" s="587"/>
      <c r="BH61" s="590"/>
      <c r="BI61" s="562"/>
      <c r="BJ61" s="535">
        <f t="shared" si="6"/>
        <v>0</v>
      </c>
      <c r="BK61" s="545">
        <f t="shared" si="7"/>
        <v>0</v>
      </c>
    </row>
    <row r="62" spans="1:63" ht="15" customHeight="1" x14ac:dyDescent="0.35">
      <c r="A62" s="579"/>
      <c r="B62" s="546" t="s">
        <v>29</v>
      </c>
      <c r="C62" s="579" t="s">
        <v>79</v>
      </c>
      <c r="D62" s="653" t="s">
        <v>80</v>
      </c>
      <c r="E62" s="654"/>
      <c r="F62" s="590"/>
      <c r="G62" s="562"/>
      <c r="H62" s="590"/>
      <c r="I62" s="562"/>
      <c r="J62" s="590"/>
      <c r="K62" s="562"/>
      <c r="L62" s="590"/>
      <c r="M62" s="562"/>
      <c r="N62" s="590"/>
      <c r="O62" s="562"/>
      <c r="P62" s="572"/>
      <c r="Q62" s="587"/>
      <c r="R62" s="572"/>
      <c r="S62" s="587"/>
      <c r="T62" s="590"/>
      <c r="U62" s="562"/>
      <c r="V62" s="590"/>
      <c r="W62" s="562"/>
      <c r="X62" s="590"/>
      <c r="Y62" s="562"/>
      <c r="Z62" s="590"/>
      <c r="AA62" s="562"/>
      <c r="AB62" s="590"/>
      <c r="AC62" s="562"/>
      <c r="AD62" s="572"/>
      <c r="AE62" s="587"/>
      <c r="AF62" s="590"/>
      <c r="AG62" s="562"/>
      <c r="AH62" s="590"/>
      <c r="AI62" s="562"/>
      <c r="AJ62" s="590"/>
      <c r="AK62" s="562"/>
      <c r="AL62" s="590"/>
      <c r="AM62" s="562"/>
      <c r="AN62" s="590"/>
      <c r="AO62" s="562"/>
      <c r="AP62" s="590"/>
      <c r="AQ62" s="562"/>
      <c r="AR62" s="572"/>
      <c r="AS62" s="587"/>
      <c r="AT62" s="590"/>
      <c r="AU62" s="562"/>
      <c r="AV62" s="590"/>
      <c r="AW62" s="562"/>
      <c r="AX62" s="590"/>
      <c r="AY62" s="562"/>
      <c r="AZ62" s="590"/>
      <c r="BA62" s="562"/>
      <c r="BB62" s="590"/>
      <c r="BC62" s="562"/>
      <c r="BD62" s="590"/>
      <c r="BE62" s="562"/>
      <c r="BF62" s="572"/>
      <c r="BG62" s="587"/>
      <c r="BH62" s="590"/>
      <c r="BI62" s="562"/>
      <c r="BJ62" s="535">
        <f t="shared" si="6"/>
        <v>0</v>
      </c>
      <c r="BK62" s="545">
        <f t="shared" si="7"/>
        <v>0</v>
      </c>
    </row>
    <row r="63" spans="1:63" ht="15" customHeight="1" x14ac:dyDescent="0.35">
      <c r="A63" s="579"/>
      <c r="B63" s="546" t="s">
        <v>46</v>
      </c>
      <c r="C63" s="579" t="s">
        <v>81</v>
      </c>
      <c r="D63" s="653" t="s">
        <v>82</v>
      </c>
      <c r="E63" s="654"/>
      <c r="F63" s="590"/>
      <c r="G63" s="562"/>
      <c r="H63" s="590"/>
      <c r="I63" s="562"/>
      <c r="J63" s="590"/>
      <c r="K63" s="562"/>
      <c r="L63" s="590"/>
      <c r="M63" s="562"/>
      <c r="N63" s="590"/>
      <c r="O63" s="562"/>
      <c r="P63" s="572"/>
      <c r="Q63" s="587"/>
      <c r="R63" s="572"/>
      <c r="S63" s="587"/>
      <c r="T63" s="590"/>
      <c r="U63" s="562"/>
      <c r="V63" s="590"/>
      <c r="W63" s="562"/>
      <c r="X63" s="590"/>
      <c r="Y63" s="562"/>
      <c r="Z63" s="590"/>
      <c r="AA63" s="562"/>
      <c r="AB63" s="590"/>
      <c r="AC63" s="562"/>
      <c r="AD63" s="572"/>
      <c r="AE63" s="587"/>
      <c r="AF63" s="590"/>
      <c r="AG63" s="562"/>
      <c r="AH63" s="590"/>
      <c r="AI63" s="562"/>
      <c r="AJ63" s="590"/>
      <c r="AK63" s="562"/>
      <c r="AL63" s="590"/>
      <c r="AM63" s="562"/>
      <c r="AN63" s="590"/>
      <c r="AO63" s="562"/>
      <c r="AP63" s="590"/>
      <c r="AQ63" s="562"/>
      <c r="AR63" s="572"/>
      <c r="AS63" s="587"/>
      <c r="AT63" s="590"/>
      <c r="AU63" s="562"/>
      <c r="AV63" s="590"/>
      <c r="AW63" s="562"/>
      <c r="AX63" s="590"/>
      <c r="AY63" s="562"/>
      <c r="AZ63" s="590"/>
      <c r="BA63" s="562"/>
      <c r="BB63" s="590"/>
      <c r="BC63" s="562"/>
      <c r="BD63" s="590"/>
      <c r="BE63" s="562"/>
      <c r="BF63" s="572"/>
      <c r="BG63" s="587"/>
      <c r="BH63" s="590"/>
      <c r="BI63" s="562"/>
      <c r="BJ63" s="535">
        <f t="shared" si="6"/>
        <v>0</v>
      </c>
      <c r="BK63" s="545">
        <f t="shared" si="7"/>
        <v>0</v>
      </c>
    </row>
    <row r="64" spans="1:63" ht="15" customHeight="1" x14ac:dyDescent="0.35">
      <c r="A64" s="579"/>
      <c r="B64" s="579"/>
      <c r="C64" s="579"/>
      <c r="D64" s="653"/>
      <c r="E64" s="654"/>
      <c r="F64" s="590"/>
      <c r="G64" s="562"/>
      <c r="H64" s="590"/>
      <c r="I64" s="562"/>
      <c r="J64" s="590"/>
      <c r="K64" s="562"/>
      <c r="L64" s="590"/>
      <c r="M64" s="562"/>
      <c r="N64" s="590"/>
      <c r="O64" s="562"/>
      <c r="P64" s="572"/>
      <c r="Q64" s="587"/>
      <c r="R64" s="572"/>
      <c r="S64" s="587"/>
      <c r="T64" s="590"/>
      <c r="U64" s="562"/>
      <c r="V64" s="590"/>
      <c r="W64" s="562"/>
      <c r="X64" s="590"/>
      <c r="Y64" s="562"/>
      <c r="Z64" s="590"/>
      <c r="AA64" s="562"/>
      <c r="AB64" s="590"/>
      <c r="AC64" s="562"/>
      <c r="AD64" s="572"/>
      <c r="AE64" s="587"/>
      <c r="AF64" s="590"/>
      <c r="AG64" s="562"/>
      <c r="AH64" s="590"/>
      <c r="AI64" s="562"/>
      <c r="AJ64" s="590"/>
      <c r="AK64" s="562"/>
      <c r="AL64" s="590"/>
      <c r="AM64" s="562"/>
      <c r="AN64" s="590"/>
      <c r="AO64" s="562"/>
      <c r="AP64" s="590"/>
      <c r="AQ64" s="562"/>
      <c r="AR64" s="572"/>
      <c r="AS64" s="587"/>
      <c r="AT64" s="590"/>
      <c r="AU64" s="562"/>
      <c r="AV64" s="590"/>
      <c r="AW64" s="562"/>
      <c r="AX64" s="590"/>
      <c r="AY64" s="562"/>
      <c r="AZ64" s="590"/>
      <c r="BA64" s="562"/>
      <c r="BB64" s="590"/>
      <c r="BC64" s="562"/>
      <c r="BD64" s="590"/>
      <c r="BE64" s="562"/>
      <c r="BF64" s="572"/>
      <c r="BG64" s="587"/>
      <c r="BH64" s="590"/>
      <c r="BI64" s="562"/>
      <c r="BJ64" s="535">
        <f t="shared" si="6"/>
        <v>0</v>
      </c>
      <c r="BK64" s="545">
        <f t="shared" si="7"/>
        <v>0</v>
      </c>
    </row>
    <row r="65" spans="1:63" ht="16.5" customHeight="1" x14ac:dyDescent="0.35">
      <c r="A65" s="579"/>
      <c r="B65" s="579"/>
      <c r="C65" s="579">
        <f>SUM(BJ67:BJ91)</f>
        <v>0</v>
      </c>
      <c r="D65" s="647" t="s">
        <v>83</v>
      </c>
      <c r="E65" s="648"/>
      <c r="F65" s="590"/>
      <c r="G65" s="562"/>
      <c r="H65" s="590"/>
      <c r="I65" s="562"/>
      <c r="J65" s="590"/>
      <c r="K65" s="562"/>
      <c r="L65" s="590"/>
      <c r="M65" s="562"/>
      <c r="N65" s="590"/>
      <c r="O65" s="562"/>
      <c r="P65" s="572"/>
      <c r="Q65" s="587"/>
      <c r="R65" s="572"/>
      <c r="S65" s="587"/>
      <c r="T65" s="590"/>
      <c r="U65" s="562"/>
      <c r="V65" s="590"/>
      <c r="W65" s="562"/>
      <c r="X65" s="590"/>
      <c r="Y65" s="562"/>
      <c r="Z65" s="590"/>
      <c r="AA65" s="562"/>
      <c r="AB65" s="590"/>
      <c r="AC65" s="562"/>
      <c r="AD65" s="572"/>
      <c r="AE65" s="587"/>
      <c r="AF65" s="590"/>
      <c r="AG65" s="562"/>
      <c r="AH65" s="590"/>
      <c r="AI65" s="562"/>
      <c r="AJ65" s="590"/>
      <c r="AK65" s="562"/>
      <c r="AL65" s="590"/>
      <c r="AM65" s="562"/>
      <c r="AN65" s="590"/>
      <c r="AO65" s="562"/>
      <c r="AP65" s="590"/>
      <c r="AQ65" s="562"/>
      <c r="AR65" s="572"/>
      <c r="AS65" s="587"/>
      <c r="AT65" s="590"/>
      <c r="AU65" s="562"/>
      <c r="AV65" s="590"/>
      <c r="AW65" s="562"/>
      <c r="AX65" s="590"/>
      <c r="AY65" s="562"/>
      <c r="AZ65" s="590"/>
      <c r="BA65" s="562"/>
      <c r="BB65" s="590"/>
      <c r="BC65" s="562"/>
      <c r="BD65" s="590"/>
      <c r="BE65" s="562"/>
      <c r="BF65" s="572"/>
      <c r="BG65" s="587"/>
      <c r="BH65" s="590"/>
      <c r="BI65" s="562"/>
      <c r="BJ65" s="535">
        <f t="shared" si="6"/>
        <v>0</v>
      </c>
      <c r="BK65" s="545">
        <f t="shared" si="7"/>
        <v>0</v>
      </c>
    </row>
    <row r="66" spans="1:63" ht="15" customHeight="1" x14ac:dyDescent="0.35">
      <c r="A66" s="579"/>
      <c r="B66" s="546" t="s">
        <v>29</v>
      </c>
      <c r="C66" s="579" t="s">
        <v>84</v>
      </c>
      <c r="D66" s="653" t="s">
        <v>43</v>
      </c>
      <c r="E66" s="654"/>
      <c r="F66" s="590"/>
      <c r="G66" s="562"/>
      <c r="H66" s="590"/>
      <c r="I66" s="562"/>
      <c r="J66" s="590"/>
      <c r="K66" s="562"/>
      <c r="L66" s="590"/>
      <c r="M66" s="562"/>
      <c r="N66" s="590"/>
      <c r="O66" s="562"/>
      <c r="P66" s="572"/>
      <c r="Q66" s="587"/>
      <c r="R66" s="572"/>
      <c r="S66" s="587"/>
      <c r="T66" s="590"/>
      <c r="U66" s="562"/>
      <c r="V66" s="590"/>
      <c r="W66" s="562"/>
      <c r="X66" s="590"/>
      <c r="Y66" s="562"/>
      <c r="Z66" s="590"/>
      <c r="AA66" s="562"/>
      <c r="AB66" s="590"/>
      <c r="AC66" s="562"/>
      <c r="AD66" s="572"/>
      <c r="AE66" s="587"/>
      <c r="AF66" s="590"/>
      <c r="AG66" s="562"/>
      <c r="AH66" s="590"/>
      <c r="AI66" s="562"/>
      <c r="AJ66" s="590"/>
      <c r="AK66" s="562"/>
      <c r="AL66" s="590"/>
      <c r="AM66" s="562"/>
      <c r="AN66" s="590"/>
      <c r="AO66" s="562"/>
      <c r="AP66" s="590"/>
      <c r="AQ66" s="562"/>
      <c r="AR66" s="572"/>
      <c r="AS66" s="587"/>
      <c r="AT66" s="590"/>
      <c r="AU66" s="562"/>
      <c r="AV66" s="590"/>
      <c r="AW66" s="562"/>
      <c r="AX66" s="590"/>
      <c r="AY66" s="562"/>
      <c r="AZ66" s="590"/>
      <c r="BA66" s="562"/>
      <c r="BB66" s="590"/>
      <c r="BC66" s="562"/>
      <c r="BD66" s="590"/>
      <c r="BE66" s="562"/>
      <c r="BF66" s="572"/>
      <c r="BG66" s="587"/>
      <c r="BH66" s="590"/>
      <c r="BI66" s="562"/>
      <c r="BJ66" s="535">
        <f t="shared" si="6"/>
        <v>0</v>
      </c>
      <c r="BK66" s="545">
        <f t="shared" si="7"/>
        <v>0</v>
      </c>
    </row>
    <row r="67" spans="1:63" ht="15" customHeight="1" x14ac:dyDescent="0.35">
      <c r="A67" s="579"/>
      <c r="B67" s="546" t="s">
        <v>85</v>
      </c>
      <c r="C67" s="579" t="s">
        <v>86</v>
      </c>
      <c r="D67" s="653" t="s">
        <v>87</v>
      </c>
      <c r="E67" s="654"/>
      <c r="F67" s="590"/>
      <c r="G67" s="562"/>
      <c r="H67" s="590"/>
      <c r="I67" s="562"/>
      <c r="J67" s="590"/>
      <c r="K67" s="562"/>
      <c r="L67" s="590"/>
      <c r="M67" s="562"/>
      <c r="N67" s="590"/>
      <c r="O67" s="562"/>
      <c r="P67" s="572"/>
      <c r="Q67" s="587"/>
      <c r="R67" s="572"/>
      <c r="S67" s="587"/>
      <c r="T67" s="590"/>
      <c r="U67" s="562"/>
      <c r="V67" s="590"/>
      <c r="W67" s="562"/>
      <c r="X67" s="590"/>
      <c r="Y67" s="562"/>
      <c r="Z67" s="590"/>
      <c r="AA67" s="562"/>
      <c r="AB67" s="590"/>
      <c r="AC67" s="562"/>
      <c r="AD67" s="572"/>
      <c r="AE67" s="587"/>
      <c r="AF67" s="590"/>
      <c r="AG67" s="562"/>
      <c r="AH67" s="590"/>
      <c r="AI67" s="562"/>
      <c r="AJ67" s="590"/>
      <c r="AK67" s="562"/>
      <c r="AL67" s="590"/>
      <c r="AM67" s="562"/>
      <c r="AN67" s="590"/>
      <c r="AO67" s="562"/>
      <c r="AP67" s="590"/>
      <c r="AQ67" s="562"/>
      <c r="AR67" s="572"/>
      <c r="AS67" s="587"/>
      <c r="AT67" s="590"/>
      <c r="AU67" s="562"/>
      <c r="AV67" s="590"/>
      <c r="AW67" s="562"/>
      <c r="AX67" s="590"/>
      <c r="AY67" s="562"/>
      <c r="AZ67" s="590"/>
      <c r="BA67" s="562"/>
      <c r="BB67" s="590"/>
      <c r="BC67" s="562"/>
      <c r="BD67" s="590"/>
      <c r="BE67" s="562"/>
      <c r="BF67" s="572"/>
      <c r="BG67" s="587"/>
      <c r="BH67" s="590"/>
      <c r="BI67" s="562"/>
      <c r="BJ67" s="535">
        <f t="shared" si="6"/>
        <v>0</v>
      </c>
      <c r="BK67" s="545">
        <f t="shared" si="7"/>
        <v>0</v>
      </c>
    </row>
    <row r="68" spans="1:63" ht="15" customHeight="1" x14ac:dyDescent="0.35">
      <c r="A68" s="579"/>
      <c r="B68" s="546" t="s">
        <v>85</v>
      </c>
      <c r="C68" s="579" t="s">
        <v>88</v>
      </c>
      <c r="D68" s="653" t="s">
        <v>89</v>
      </c>
      <c r="E68" s="654"/>
      <c r="F68" s="590"/>
      <c r="G68" s="562"/>
      <c r="H68" s="590"/>
      <c r="I68" s="562"/>
      <c r="J68" s="590"/>
      <c r="K68" s="562"/>
      <c r="L68" s="590"/>
      <c r="M68" s="562"/>
      <c r="N68" s="590"/>
      <c r="O68" s="562"/>
      <c r="P68" s="572"/>
      <c r="Q68" s="587"/>
      <c r="R68" s="572"/>
      <c r="S68" s="587"/>
      <c r="T68" s="590"/>
      <c r="U68" s="562"/>
      <c r="V68" s="590"/>
      <c r="W68" s="562"/>
      <c r="X68" s="590"/>
      <c r="Y68" s="562"/>
      <c r="Z68" s="590"/>
      <c r="AA68" s="562"/>
      <c r="AB68" s="590"/>
      <c r="AC68" s="562"/>
      <c r="AD68" s="572"/>
      <c r="AE68" s="587"/>
      <c r="AF68" s="590"/>
      <c r="AG68" s="562"/>
      <c r="AH68" s="590"/>
      <c r="AI68" s="562"/>
      <c r="AJ68" s="590"/>
      <c r="AK68" s="562"/>
      <c r="AL68" s="590"/>
      <c r="AM68" s="562"/>
      <c r="AN68" s="590"/>
      <c r="AO68" s="562"/>
      <c r="AP68" s="590"/>
      <c r="AQ68" s="562"/>
      <c r="AR68" s="572"/>
      <c r="AS68" s="587"/>
      <c r="AT68" s="590"/>
      <c r="AU68" s="562"/>
      <c r="AV68" s="590"/>
      <c r="AW68" s="562"/>
      <c r="AX68" s="590"/>
      <c r="AY68" s="562"/>
      <c r="AZ68" s="590"/>
      <c r="BA68" s="562"/>
      <c r="BB68" s="590"/>
      <c r="BC68" s="562"/>
      <c r="BD68" s="590"/>
      <c r="BE68" s="562"/>
      <c r="BF68" s="572"/>
      <c r="BG68" s="587"/>
      <c r="BH68" s="590"/>
      <c r="BI68" s="562"/>
      <c r="BJ68" s="535">
        <f t="shared" si="6"/>
        <v>0</v>
      </c>
      <c r="BK68" s="545">
        <f t="shared" si="7"/>
        <v>0</v>
      </c>
    </row>
    <row r="69" spans="1:63" ht="15" customHeight="1" x14ac:dyDescent="0.35">
      <c r="A69" s="579"/>
      <c r="B69" s="546" t="s">
        <v>85</v>
      </c>
      <c r="C69" s="579" t="s">
        <v>90</v>
      </c>
      <c r="D69" s="653" t="s">
        <v>91</v>
      </c>
      <c r="E69" s="654"/>
      <c r="F69" s="590"/>
      <c r="G69" s="562"/>
      <c r="H69" s="590"/>
      <c r="I69" s="562"/>
      <c r="J69" s="590"/>
      <c r="K69" s="562"/>
      <c r="L69" s="590"/>
      <c r="M69" s="562"/>
      <c r="N69" s="590"/>
      <c r="O69" s="562"/>
      <c r="P69" s="572"/>
      <c r="Q69" s="587"/>
      <c r="R69" s="572"/>
      <c r="S69" s="587"/>
      <c r="T69" s="590"/>
      <c r="U69" s="562"/>
      <c r="V69" s="590"/>
      <c r="W69" s="562"/>
      <c r="X69" s="590"/>
      <c r="Y69" s="562"/>
      <c r="Z69" s="590"/>
      <c r="AA69" s="562"/>
      <c r="AB69" s="590"/>
      <c r="AC69" s="562"/>
      <c r="AD69" s="572"/>
      <c r="AE69" s="587"/>
      <c r="AF69" s="590"/>
      <c r="AG69" s="562"/>
      <c r="AH69" s="590"/>
      <c r="AI69" s="562"/>
      <c r="AJ69" s="590"/>
      <c r="AK69" s="562"/>
      <c r="AL69" s="590"/>
      <c r="AM69" s="562"/>
      <c r="AN69" s="590"/>
      <c r="AO69" s="562"/>
      <c r="AP69" s="590"/>
      <c r="AQ69" s="562"/>
      <c r="AR69" s="572"/>
      <c r="AS69" s="587"/>
      <c r="AT69" s="590"/>
      <c r="AU69" s="562"/>
      <c r="AV69" s="590"/>
      <c r="AW69" s="562"/>
      <c r="AX69" s="590"/>
      <c r="AY69" s="562"/>
      <c r="AZ69" s="590"/>
      <c r="BA69" s="562"/>
      <c r="BB69" s="590"/>
      <c r="BC69" s="562"/>
      <c r="BD69" s="590"/>
      <c r="BE69" s="562"/>
      <c r="BF69" s="572"/>
      <c r="BG69" s="587"/>
      <c r="BH69" s="590"/>
      <c r="BI69" s="562"/>
      <c r="BJ69" s="535">
        <f t="shared" ref="BJ69:BJ100" si="8">SUM(F69:BI69)</f>
        <v>0</v>
      </c>
      <c r="BK69" s="545">
        <f t="shared" ref="BK69:BK88" si="9">COUNT(F69:BI69)</f>
        <v>0</v>
      </c>
    </row>
    <row r="70" spans="1:63" ht="15" customHeight="1" x14ac:dyDescent="0.35">
      <c r="A70" s="579"/>
      <c r="B70" s="546" t="s">
        <v>85</v>
      </c>
      <c r="C70" s="579" t="s">
        <v>92</v>
      </c>
      <c r="D70" s="653" t="s">
        <v>93</v>
      </c>
      <c r="E70" s="654"/>
      <c r="F70" s="590"/>
      <c r="G70" s="562"/>
      <c r="H70" s="590"/>
      <c r="I70" s="562"/>
      <c r="J70" s="590"/>
      <c r="K70" s="562"/>
      <c r="L70" s="590"/>
      <c r="M70" s="562"/>
      <c r="N70" s="590"/>
      <c r="O70" s="562"/>
      <c r="P70" s="572"/>
      <c r="Q70" s="587"/>
      <c r="R70" s="572"/>
      <c r="S70" s="587"/>
      <c r="T70" s="590"/>
      <c r="U70" s="562"/>
      <c r="V70" s="590"/>
      <c r="W70" s="562"/>
      <c r="X70" s="590"/>
      <c r="Y70" s="562"/>
      <c r="Z70" s="590"/>
      <c r="AA70" s="562"/>
      <c r="AB70" s="590"/>
      <c r="AC70" s="562"/>
      <c r="AD70" s="572"/>
      <c r="AE70" s="587"/>
      <c r="AF70" s="590"/>
      <c r="AG70" s="562"/>
      <c r="AH70" s="590"/>
      <c r="AI70" s="562"/>
      <c r="AJ70" s="590"/>
      <c r="AK70" s="562"/>
      <c r="AL70" s="590"/>
      <c r="AM70" s="562"/>
      <c r="AN70" s="590"/>
      <c r="AO70" s="562"/>
      <c r="AP70" s="590"/>
      <c r="AQ70" s="562"/>
      <c r="AR70" s="572"/>
      <c r="AS70" s="587"/>
      <c r="AT70" s="590"/>
      <c r="AU70" s="562"/>
      <c r="AV70" s="590"/>
      <c r="AW70" s="562"/>
      <c r="AX70" s="590"/>
      <c r="AY70" s="562"/>
      <c r="AZ70" s="590"/>
      <c r="BA70" s="562"/>
      <c r="BB70" s="590"/>
      <c r="BC70" s="562"/>
      <c r="BD70" s="590"/>
      <c r="BE70" s="562"/>
      <c r="BF70" s="572"/>
      <c r="BG70" s="587"/>
      <c r="BH70" s="590"/>
      <c r="BI70" s="562"/>
      <c r="BJ70" s="535">
        <f t="shared" si="8"/>
        <v>0</v>
      </c>
      <c r="BK70" s="545">
        <f t="shared" si="9"/>
        <v>0</v>
      </c>
    </row>
    <row r="71" spans="1:63" ht="15" customHeight="1" x14ac:dyDescent="0.35">
      <c r="A71" s="579"/>
      <c r="B71" s="546" t="s">
        <v>85</v>
      </c>
      <c r="C71" s="579" t="s">
        <v>94</v>
      </c>
      <c r="D71" s="653" t="s">
        <v>95</v>
      </c>
      <c r="E71" s="654"/>
      <c r="F71" s="590"/>
      <c r="G71" s="562"/>
      <c r="H71" s="590"/>
      <c r="I71" s="562"/>
      <c r="J71" s="590"/>
      <c r="K71" s="562"/>
      <c r="L71" s="590"/>
      <c r="M71" s="562"/>
      <c r="N71" s="590"/>
      <c r="O71" s="562"/>
      <c r="P71" s="572"/>
      <c r="Q71" s="587"/>
      <c r="R71" s="572"/>
      <c r="S71" s="587"/>
      <c r="T71" s="590"/>
      <c r="U71" s="562"/>
      <c r="V71" s="590"/>
      <c r="W71" s="562"/>
      <c r="X71" s="590"/>
      <c r="Y71" s="562"/>
      <c r="Z71" s="590"/>
      <c r="AA71" s="562"/>
      <c r="AB71" s="590"/>
      <c r="AC71" s="562"/>
      <c r="AD71" s="572"/>
      <c r="AE71" s="587"/>
      <c r="AF71" s="590"/>
      <c r="AG71" s="562"/>
      <c r="AH71" s="590"/>
      <c r="AI71" s="562"/>
      <c r="AJ71" s="590"/>
      <c r="AK71" s="562"/>
      <c r="AL71" s="590"/>
      <c r="AM71" s="562"/>
      <c r="AN71" s="590"/>
      <c r="AO71" s="562"/>
      <c r="AP71" s="590"/>
      <c r="AQ71" s="562"/>
      <c r="AR71" s="572"/>
      <c r="AS71" s="587"/>
      <c r="AT71" s="590"/>
      <c r="AU71" s="562"/>
      <c r="AV71" s="590"/>
      <c r="AW71" s="562"/>
      <c r="AX71" s="590"/>
      <c r="AY71" s="562"/>
      <c r="AZ71" s="590"/>
      <c r="BA71" s="562"/>
      <c r="BB71" s="590"/>
      <c r="BC71" s="562"/>
      <c r="BD71" s="590"/>
      <c r="BE71" s="562"/>
      <c r="BF71" s="572"/>
      <c r="BG71" s="587"/>
      <c r="BH71" s="590"/>
      <c r="BI71" s="562"/>
      <c r="BJ71" s="535">
        <f t="shared" si="8"/>
        <v>0</v>
      </c>
      <c r="BK71" s="545">
        <f t="shared" si="9"/>
        <v>0</v>
      </c>
    </row>
    <row r="72" spans="1:63" ht="15" customHeight="1" x14ac:dyDescent="0.35">
      <c r="A72" s="579"/>
      <c r="B72" s="546" t="s">
        <v>85</v>
      </c>
      <c r="C72" s="579" t="s">
        <v>96</v>
      </c>
      <c r="D72" s="653" t="s">
        <v>245</v>
      </c>
      <c r="E72" s="654"/>
      <c r="F72" s="590"/>
      <c r="G72" s="562"/>
      <c r="H72" s="590"/>
      <c r="I72" s="562"/>
      <c r="J72" s="590"/>
      <c r="K72" s="562"/>
      <c r="L72" s="590"/>
      <c r="M72" s="562"/>
      <c r="N72" s="590"/>
      <c r="O72" s="562"/>
      <c r="P72" s="572"/>
      <c r="Q72" s="587"/>
      <c r="R72" s="572"/>
      <c r="S72" s="587"/>
      <c r="T72" s="590"/>
      <c r="U72" s="562"/>
      <c r="V72" s="590"/>
      <c r="W72" s="562"/>
      <c r="X72" s="590"/>
      <c r="Y72" s="562"/>
      <c r="Z72" s="590"/>
      <c r="AA72" s="562"/>
      <c r="AB72" s="590"/>
      <c r="AC72" s="562"/>
      <c r="AD72" s="572"/>
      <c r="AE72" s="587"/>
      <c r="AF72" s="590"/>
      <c r="AG72" s="562"/>
      <c r="AH72" s="590"/>
      <c r="AI72" s="562"/>
      <c r="AJ72" s="590"/>
      <c r="AK72" s="562"/>
      <c r="AL72" s="590"/>
      <c r="AM72" s="562"/>
      <c r="AN72" s="590"/>
      <c r="AO72" s="562"/>
      <c r="AP72" s="590"/>
      <c r="AQ72" s="562"/>
      <c r="AR72" s="572"/>
      <c r="AS72" s="587"/>
      <c r="AT72" s="590"/>
      <c r="AU72" s="562"/>
      <c r="AV72" s="590"/>
      <c r="AW72" s="562"/>
      <c r="AX72" s="590"/>
      <c r="AY72" s="562"/>
      <c r="AZ72" s="590"/>
      <c r="BA72" s="562"/>
      <c r="BB72" s="590"/>
      <c r="BC72" s="562"/>
      <c r="BD72" s="590"/>
      <c r="BE72" s="562"/>
      <c r="BF72" s="572"/>
      <c r="BG72" s="587"/>
      <c r="BH72" s="590"/>
      <c r="BI72" s="562"/>
      <c r="BJ72" s="535">
        <f t="shared" si="8"/>
        <v>0</v>
      </c>
      <c r="BK72" s="545">
        <f t="shared" si="9"/>
        <v>0</v>
      </c>
    </row>
    <row r="73" spans="1:63" ht="15" customHeight="1" x14ac:dyDescent="0.35">
      <c r="A73" s="579"/>
      <c r="B73" s="546" t="s">
        <v>85</v>
      </c>
      <c r="C73" s="579" t="s">
        <v>98</v>
      </c>
      <c r="D73" s="653" t="s">
        <v>99</v>
      </c>
      <c r="E73" s="654"/>
      <c r="F73" s="590"/>
      <c r="G73" s="562"/>
      <c r="H73" s="590"/>
      <c r="I73" s="562"/>
      <c r="J73" s="590"/>
      <c r="K73" s="562"/>
      <c r="L73" s="590"/>
      <c r="M73" s="562"/>
      <c r="N73" s="590"/>
      <c r="O73" s="562"/>
      <c r="P73" s="572"/>
      <c r="Q73" s="587"/>
      <c r="R73" s="572"/>
      <c r="S73" s="587"/>
      <c r="T73" s="590"/>
      <c r="U73" s="562"/>
      <c r="V73" s="590"/>
      <c r="W73" s="562"/>
      <c r="X73" s="590"/>
      <c r="Y73" s="562"/>
      <c r="Z73" s="590"/>
      <c r="AA73" s="562"/>
      <c r="AB73" s="590"/>
      <c r="AC73" s="562"/>
      <c r="AD73" s="572"/>
      <c r="AE73" s="587"/>
      <c r="AF73" s="590"/>
      <c r="AG73" s="562"/>
      <c r="AH73" s="590"/>
      <c r="AI73" s="562"/>
      <c r="AJ73" s="590"/>
      <c r="AK73" s="562"/>
      <c r="AL73" s="590"/>
      <c r="AM73" s="562"/>
      <c r="AN73" s="590"/>
      <c r="AO73" s="562"/>
      <c r="AP73" s="590"/>
      <c r="AQ73" s="562"/>
      <c r="AR73" s="572"/>
      <c r="AS73" s="587"/>
      <c r="AT73" s="590"/>
      <c r="AU73" s="562"/>
      <c r="AV73" s="590"/>
      <c r="AW73" s="562"/>
      <c r="AX73" s="590"/>
      <c r="AY73" s="562"/>
      <c r="AZ73" s="590"/>
      <c r="BA73" s="562"/>
      <c r="BB73" s="590"/>
      <c r="BC73" s="562"/>
      <c r="BD73" s="590"/>
      <c r="BE73" s="562"/>
      <c r="BF73" s="572"/>
      <c r="BG73" s="587"/>
      <c r="BH73" s="590"/>
      <c r="BI73" s="562"/>
      <c r="BJ73" s="535">
        <f t="shared" si="8"/>
        <v>0</v>
      </c>
      <c r="BK73" s="545">
        <f t="shared" si="9"/>
        <v>0</v>
      </c>
    </row>
    <row r="74" spans="1:63" ht="15" customHeight="1" x14ac:dyDescent="0.35">
      <c r="A74" s="579"/>
      <c r="B74" s="546" t="s">
        <v>85</v>
      </c>
      <c r="C74" s="579" t="s">
        <v>100</v>
      </c>
      <c r="D74" s="653" t="s">
        <v>101</v>
      </c>
      <c r="E74" s="654"/>
      <c r="F74" s="590"/>
      <c r="G74" s="562"/>
      <c r="H74" s="590"/>
      <c r="I74" s="562"/>
      <c r="J74" s="590"/>
      <c r="K74" s="562"/>
      <c r="L74" s="590"/>
      <c r="M74" s="562"/>
      <c r="N74" s="590"/>
      <c r="O74" s="562"/>
      <c r="P74" s="572"/>
      <c r="Q74" s="587"/>
      <c r="R74" s="572"/>
      <c r="S74" s="587"/>
      <c r="T74" s="590"/>
      <c r="U74" s="562"/>
      <c r="V74" s="590"/>
      <c r="W74" s="562"/>
      <c r="X74" s="590"/>
      <c r="Y74" s="562"/>
      <c r="Z74" s="590"/>
      <c r="AA74" s="562"/>
      <c r="AB74" s="590"/>
      <c r="AC74" s="562"/>
      <c r="AD74" s="572"/>
      <c r="AE74" s="587"/>
      <c r="AF74" s="590"/>
      <c r="AG74" s="562"/>
      <c r="AH74" s="590"/>
      <c r="AI74" s="562"/>
      <c r="AJ74" s="590"/>
      <c r="AK74" s="562"/>
      <c r="AL74" s="590"/>
      <c r="AM74" s="562"/>
      <c r="AN74" s="590"/>
      <c r="AO74" s="562"/>
      <c r="AP74" s="590"/>
      <c r="AQ74" s="562"/>
      <c r="AR74" s="572"/>
      <c r="AS74" s="587"/>
      <c r="AT74" s="590"/>
      <c r="AU74" s="562"/>
      <c r="AV74" s="590"/>
      <c r="AW74" s="562"/>
      <c r="AX74" s="590"/>
      <c r="AY74" s="562"/>
      <c r="AZ74" s="590"/>
      <c r="BA74" s="562"/>
      <c r="BB74" s="590"/>
      <c r="BC74" s="562"/>
      <c r="BD74" s="590"/>
      <c r="BE74" s="562"/>
      <c r="BF74" s="572"/>
      <c r="BG74" s="587"/>
      <c r="BH74" s="590"/>
      <c r="BI74" s="562"/>
      <c r="BJ74" s="535">
        <f t="shared" si="8"/>
        <v>0</v>
      </c>
      <c r="BK74" s="545">
        <f t="shared" si="9"/>
        <v>0</v>
      </c>
    </row>
    <row r="75" spans="1:63" ht="15" customHeight="1" x14ac:dyDescent="0.35">
      <c r="A75" s="579"/>
      <c r="B75" s="546" t="s">
        <v>29</v>
      </c>
      <c r="C75" s="579" t="s">
        <v>102</v>
      </c>
      <c r="D75" s="653" t="s">
        <v>103</v>
      </c>
      <c r="E75" s="654"/>
      <c r="F75" s="590"/>
      <c r="G75" s="562"/>
      <c r="H75" s="590"/>
      <c r="I75" s="562"/>
      <c r="J75" s="590"/>
      <c r="K75" s="562"/>
      <c r="L75" s="590"/>
      <c r="M75" s="562"/>
      <c r="N75" s="590"/>
      <c r="O75" s="562"/>
      <c r="P75" s="572"/>
      <c r="Q75" s="587"/>
      <c r="R75" s="572"/>
      <c r="S75" s="587"/>
      <c r="T75" s="590"/>
      <c r="U75" s="562"/>
      <c r="V75" s="590"/>
      <c r="W75" s="562"/>
      <c r="X75" s="590"/>
      <c r="Y75" s="562"/>
      <c r="Z75" s="590"/>
      <c r="AA75" s="562"/>
      <c r="AB75" s="590"/>
      <c r="AC75" s="562"/>
      <c r="AD75" s="572"/>
      <c r="AE75" s="587"/>
      <c r="AF75" s="590"/>
      <c r="AG75" s="562"/>
      <c r="AH75" s="590"/>
      <c r="AI75" s="562"/>
      <c r="AJ75" s="590"/>
      <c r="AK75" s="562"/>
      <c r="AL75" s="590"/>
      <c r="AM75" s="562"/>
      <c r="AN75" s="590"/>
      <c r="AO75" s="562"/>
      <c r="AP75" s="590"/>
      <c r="AQ75" s="562"/>
      <c r="AR75" s="572"/>
      <c r="AS75" s="587"/>
      <c r="AT75" s="590"/>
      <c r="AU75" s="562"/>
      <c r="AV75" s="590"/>
      <c r="AW75" s="562"/>
      <c r="AX75" s="590"/>
      <c r="AY75" s="562"/>
      <c r="AZ75" s="590"/>
      <c r="BA75" s="562"/>
      <c r="BB75" s="590"/>
      <c r="BC75" s="562"/>
      <c r="BD75" s="590"/>
      <c r="BE75" s="562"/>
      <c r="BF75" s="572"/>
      <c r="BG75" s="587"/>
      <c r="BH75" s="590"/>
      <c r="BI75" s="562"/>
      <c r="BJ75" s="535">
        <f t="shared" si="8"/>
        <v>0</v>
      </c>
      <c r="BK75" s="545">
        <f t="shared" si="9"/>
        <v>0</v>
      </c>
    </row>
    <row r="76" spans="1:63" ht="15" customHeight="1" x14ac:dyDescent="0.35">
      <c r="A76" s="579"/>
      <c r="B76" s="546" t="s">
        <v>104</v>
      </c>
      <c r="C76" s="579" t="s">
        <v>105</v>
      </c>
      <c r="D76" s="653" t="s">
        <v>106</v>
      </c>
      <c r="E76" s="654"/>
      <c r="F76" s="590"/>
      <c r="G76" s="562"/>
      <c r="H76" s="590"/>
      <c r="I76" s="562"/>
      <c r="J76" s="590"/>
      <c r="K76" s="562"/>
      <c r="L76" s="590"/>
      <c r="M76" s="562"/>
      <c r="N76" s="590"/>
      <c r="O76" s="562"/>
      <c r="P76" s="572"/>
      <c r="Q76" s="587"/>
      <c r="R76" s="572"/>
      <c r="S76" s="587"/>
      <c r="T76" s="590"/>
      <c r="U76" s="562"/>
      <c r="V76" s="590"/>
      <c r="W76" s="562"/>
      <c r="X76" s="590"/>
      <c r="Y76" s="562"/>
      <c r="Z76" s="590"/>
      <c r="AA76" s="562"/>
      <c r="AB76" s="590"/>
      <c r="AC76" s="562"/>
      <c r="AD76" s="572"/>
      <c r="AE76" s="587"/>
      <c r="AF76" s="590"/>
      <c r="AG76" s="562"/>
      <c r="AH76" s="590"/>
      <c r="AI76" s="562"/>
      <c r="AJ76" s="590"/>
      <c r="AK76" s="562"/>
      <c r="AL76" s="590"/>
      <c r="AM76" s="562"/>
      <c r="AN76" s="590"/>
      <c r="AO76" s="562"/>
      <c r="AP76" s="590"/>
      <c r="AQ76" s="562"/>
      <c r="AR76" s="572"/>
      <c r="AS76" s="587"/>
      <c r="AT76" s="590"/>
      <c r="AU76" s="562"/>
      <c r="AV76" s="590"/>
      <c r="AW76" s="562"/>
      <c r="AX76" s="590"/>
      <c r="AY76" s="562"/>
      <c r="AZ76" s="590"/>
      <c r="BA76" s="562"/>
      <c r="BB76" s="590"/>
      <c r="BC76" s="562"/>
      <c r="BD76" s="590"/>
      <c r="BE76" s="562"/>
      <c r="BF76" s="572"/>
      <c r="BG76" s="587"/>
      <c r="BH76" s="590"/>
      <c r="BI76" s="562"/>
      <c r="BJ76" s="535">
        <f t="shared" si="8"/>
        <v>0</v>
      </c>
      <c r="BK76" s="545">
        <f t="shared" si="9"/>
        <v>0</v>
      </c>
    </row>
    <row r="77" spans="1:63" ht="15" customHeight="1" x14ac:dyDescent="0.35">
      <c r="A77" s="579"/>
      <c r="B77" s="546" t="s">
        <v>85</v>
      </c>
      <c r="C77" s="579" t="s">
        <v>107</v>
      </c>
      <c r="D77" s="653" t="s">
        <v>108</v>
      </c>
      <c r="E77" s="654"/>
      <c r="F77" s="590"/>
      <c r="G77" s="562"/>
      <c r="H77" s="590"/>
      <c r="I77" s="562"/>
      <c r="J77" s="590"/>
      <c r="K77" s="562"/>
      <c r="L77" s="590"/>
      <c r="M77" s="562"/>
      <c r="N77" s="590"/>
      <c r="O77" s="562"/>
      <c r="P77" s="572"/>
      <c r="Q77" s="587"/>
      <c r="R77" s="572"/>
      <c r="S77" s="587"/>
      <c r="T77" s="590"/>
      <c r="U77" s="562"/>
      <c r="V77" s="590"/>
      <c r="W77" s="562"/>
      <c r="X77" s="590"/>
      <c r="Y77" s="562"/>
      <c r="Z77" s="590"/>
      <c r="AA77" s="562"/>
      <c r="AB77" s="590"/>
      <c r="AC77" s="562"/>
      <c r="AD77" s="572"/>
      <c r="AE77" s="587"/>
      <c r="AF77" s="590"/>
      <c r="AG77" s="562"/>
      <c r="AH77" s="590"/>
      <c r="AI77" s="562"/>
      <c r="AJ77" s="590"/>
      <c r="AK77" s="562"/>
      <c r="AL77" s="590"/>
      <c r="AM77" s="562"/>
      <c r="AN77" s="590"/>
      <c r="AO77" s="562"/>
      <c r="AP77" s="590"/>
      <c r="AQ77" s="562"/>
      <c r="AR77" s="572"/>
      <c r="AS77" s="587"/>
      <c r="AT77" s="590"/>
      <c r="AU77" s="562"/>
      <c r="AV77" s="590"/>
      <c r="AW77" s="562"/>
      <c r="AX77" s="590"/>
      <c r="AY77" s="562"/>
      <c r="AZ77" s="590"/>
      <c r="BA77" s="562"/>
      <c r="BB77" s="590"/>
      <c r="BC77" s="562"/>
      <c r="BD77" s="590"/>
      <c r="BE77" s="562"/>
      <c r="BF77" s="572"/>
      <c r="BG77" s="587"/>
      <c r="BH77" s="590"/>
      <c r="BI77" s="562"/>
      <c r="BJ77" s="535">
        <f t="shared" si="8"/>
        <v>0</v>
      </c>
      <c r="BK77" s="545">
        <f t="shared" si="9"/>
        <v>0</v>
      </c>
    </row>
    <row r="78" spans="1:63" ht="15" customHeight="1" x14ac:dyDescent="0.35">
      <c r="A78" s="579"/>
      <c r="B78" s="546" t="s">
        <v>109</v>
      </c>
      <c r="C78" s="579" t="s">
        <v>110</v>
      </c>
      <c r="D78" s="653" t="s">
        <v>111</v>
      </c>
      <c r="E78" s="654"/>
      <c r="F78" s="590"/>
      <c r="G78" s="562"/>
      <c r="H78" s="590"/>
      <c r="I78" s="562"/>
      <c r="J78" s="590"/>
      <c r="K78" s="562"/>
      <c r="L78" s="590"/>
      <c r="M78" s="562"/>
      <c r="N78" s="590"/>
      <c r="O78" s="562"/>
      <c r="P78" s="572"/>
      <c r="Q78" s="587"/>
      <c r="R78" s="572"/>
      <c r="S78" s="587"/>
      <c r="T78" s="590"/>
      <c r="U78" s="562"/>
      <c r="V78" s="590"/>
      <c r="W78" s="562"/>
      <c r="X78" s="590"/>
      <c r="Y78" s="562"/>
      <c r="Z78" s="590"/>
      <c r="AA78" s="562"/>
      <c r="AB78" s="590"/>
      <c r="AC78" s="562"/>
      <c r="AD78" s="572"/>
      <c r="AE78" s="587"/>
      <c r="AF78" s="590"/>
      <c r="AG78" s="562"/>
      <c r="AH78" s="590"/>
      <c r="AI78" s="562"/>
      <c r="AJ78" s="590"/>
      <c r="AK78" s="562"/>
      <c r="AL78" s="590"/>
      <c r="AM78" s="562"/>
      <c r="AN78" s="590"/>
      <c r="AO78" s="562"/>
      <c r="AP78" s="590"/>
      <c r="AQ78" s="562"/>
      <c r="AR78" s="572"/>
      <c r="AS78" s="587"/>
      <c r="AT78" s="590"/>
      <c r="AU78" s="562"/>
      <c r="AV78" s="590"/>
      <c r="AW78" s="562"/>
      <c r="AX78" s="590"/>
      <c r="AY78" s="562"/>
      <c r="AZ78" s="590"/>
      <c r="BA78" s="562"/>
      <c r="BB78" s="590"/>
      <c r="BC78" s="562"/>
      <c r="BD78" s="590"/>
      <c r="BE78" s="562"/>
      <c r="BF78" s="572"/>
      <c r="BG78" s="587"/>
      <c r="BH78" s="590"/>
      <c r="BI78" s="562"/>
      <c r="BJ78" s="535">
        <f t="shared" si="8"/>
        <v>0</v>
      </c>
      <c r="BK78" s="545">
        <f t="shared" si="9"/>
        <v>0</v>
      </c>
    </row>
    <row r="79" spans="1:63" ht="15" customHeight="1" x14ac:dyDescent="0.35">
      <c r="A79" s="579"/>
      <c r="B79" s="546" t="s">
        <v>26</v>
      </c>
      <c r="C79" s="579" t="s">
        <v>112</v>
      </c>
      <c r="D79" s="653" t="s">
        <v>54</v>
      </c>
      <c r="E79" s="654"/>
      <c r="F79" s="590"/>
      <c r="G79" s="562"/>
      <c r="H79" s="590"/>
      <c r="I79" s="562"/>
      <c r="J79" s="590"/>
      <c r="K79" s="562"/>
      <c r="L79" s="590"/>
      <c r="M79" s="562"/>
      <c r="N79" s="590"/>
      <c r="O79" s="562"/>
      <c r="P79" s="572"/>
      <c r="Q79" s="587"/>
      <c r="R79" s="572"/>
      <c r="S79" s="587"/>
      <c r="T79" s="590"/>
      <c r="U79" s="562"/>
      <c r="V79" s="590"/>
      <c r="W79" s="562"/>
      <c r="X79" s="590"/>
      <c r="Y79" s="562"/>
      <c r="Z79" s="590"/>
      <c r="AA79" s="562"/>
      <c r="AB79" s="590"/>
      <c r="AC79" s="562"/>
      <c r="AD79" s="572"/>
      <c r="AE79" s="587"/>
      <c r="AF79" s="590"/>
      <c r="AG79" s="562"/>
      <c r="AH79" s="590"/>
      <c r="AI79" s="562"/>
      <c r="AJ79" s="590"/>
      <c r="AK79" s="562"/>
      <c r="AL79" s="590"/>
      <c r="AM79" s="562"/>
      <c r="AN79" s="590"/>
      <c r="AO79" s="562"/>
      <c r="AP79" s="590"/>
      <c r="AQ79" s="562"/>
      <c r="AR79" s="572"/>
      <c r="AS79" s="587"/>
      <c r="AT79" s="590"/>
      <c r="AU79" s="562"/>
      <c r="AV79" s="590"/>
      <c r="AW79" s="562"/>
      <c r="AX79" s="590"/>
      <c r="AY79" s="562"/>
      <c r="AZ79" s="590"/>
      <c r="BA79" s="562"/>
      <c r="BB79" s="590"/>
      <c r="BC79" s="562"/>
      <c r="BD79" s="590"/>
      <c r="BE79" s="562"/>
      <c r="BF79" s="572"/>
      <c r="BG79" s="587"/>
      <c r="BH79" s="590"/>
      <c r="BI79" s="562"/>
      <c r="BJ79" s="535">
        <f t="shared" si="8"/>
        <v>0</v>
      </c>
      <c r="BK79" s="545">
        <f t="shared" si="9"/>
        <v>0</v>
      </c>
    </row>
    <row r="80" spans="1:63" ht="15" customHeight="1" x14ac:dyDescent="0.35">
      <c r="A80" s="579"/>
      <c r="B80" s="546" t="s">
        <v>29</v>
      </c>
      <c r="C80" s="579" t="s">
        <v>113</v>
      </c>
      <c r="D80" s="653" t="s">
        <v>70</v>
      </c>
      <c r="E80" s="654"/>
      <c r="F80" s="590"/>
      <c r="G80" s="562"/>
      <c r="H80" s="590"/>
      <c r="I80" s="562"/>
      <c r="J80" s="590"/>
      <c r="K80" s="562"/>
      <c r="L80" s="590"/>
      <c r="M80" s="562"/>
      <c r="N80" s="590"/>
      <c r="O80" s="562"/>
      <c r="P80" s="572"/>
      <c r="Q80" s="587"/>
      <c r="R80" s="572"/>
      <c r="S80" s="587"/>
      <c r="T80" s="590"/>
      <c r="U80" s="562"/>
      <c r="V80" s="590"/>
      <c r="W80" s="562"/>
      <c r="X80" s="590"/>
      <c r="Y80" s="562"/>
      <c r="Z80" s="590"/>
      <c r="AA80" s="562"/>
      <c r="AB80" s="590"/>
      <c r="AC80" s="562"/>
      <c r="AD80" s="572"/>
      <c r="AE80" s="587"/>
      <c r="AF80" s="590"/>
      <c r="AG80" s="562"/>
      <c r="AH80" s="590"/>
      <c r="AI80" s="562"/>
      <c r="AJ80" s="590"/>
      <c r="AK80" s="562"/>
      <c r="AL80" s="590"/>
      <c r="AM80" s="562"/>
      <c r="AN80" s="590"/>
      <c r="AO80" s="562"/>
      <c r="AP80" s="590"/>
      <c r="AQ80" s="562"/>
      <c r="AR80" s="572"/>
      <c r="AS80" s="587"/>
      <c r="AT80" s="590"/>
      <c r="AU80" s="562"/>
      <c r="AV80" s="590"/>
      <c r="AW80" s="562"/>
      <c r="AX80" s="590"/>
      <c r="AY80" s="562"/>
      <c r="AZ80" s="590"/>
      <c r="BA80" s="562"/>
      <c r="BB80" s="590"/>
      <c r="BC80" s="562"/>
      <c r="BD80" s="590"/>
      <c r="BE80" s="562"/>
      <c r="BF80" s="572"/>
      <c r="BG80" s="587"/>
      <c r="BH80" s="590"/>
      <c r="BI80" s="562"/>
      <c r="BJ80" s="535">
        <f t="shared" si="8"/>
        <v>0</v>
      </c>
      <c r="BK80" s="545">
        <f t="shared" si="9"/>
        <v>0</v>
      </c>
    </row>
    <row r="81" spans="1:63" ht="15" customHeight="1" x14ac:dyDescent="0.35">
      <c r="A81" s="579"/>
      <c r="B81" s="546" t="s">
        <v>29</v>
      </c>
      <c r="C81" s="579" t="s">
        <v>114</v>
      </c>
      <c r="D81" s="653" t="s">
        <v>72</v>
      </c>
      <c r="E81" s="654"/>
      <c r="F81" s="590"/>
      <c r="G81" s="562"/>
      <c r="H81" s="590"/>
      <c r="I81" s="562"/>
      <c r="J81" s="590"/>
      <c r="K81" s="562"/>
      <c r="L81" s="590"/>
      <c r="M81" s="562"/>
      <c r="N81" s="590"/>
      <c r="O81" s="562"/>
      <c r="P81" s="572"/>
      <c r="Q81" s="587"/>
      <c r="R81" s="572"/>
      <c r="S81" s="587"/>
      <c r="T81" s="590"/>
      <c r="U81" s="562"/>
      <c r="V81" s="590"/>
      <c r="W81" s="562"/>
      <c r="X81" s="590"/>
      <c r="Y81" s="562"/>
      <c r="Z81" s="590"/>
      <c r="AA81" s="562"/>
      <c r="AB81" s="590"/>
      <c r="AC81" s="562"/>
      <c r="AD81" s="572"/>
      <c r="AE81" s="587"/>
      <c r="AF81" s="590"/>
      <c r="AG81" s="562"/>
      <c r="AH81" s="590"/>
      <c r="AI81" s="562"/>
      <c r="AJ81" s="590"/>
      <c r="AK81" s="562"/>
      <c r="AL81" s="590"/>
      <c r="AM81" s="562"/>
      <c r="AN81" s="590"/>
      <c r="AO81" s="562"/>
      <c r="AP81" s="590"/>
      <c r="AQ81" s="562"/>
      <c r="AR81" s="572"/>
      <c r="AS81" s="587"/>
      <c r="AT81" s="590"/>
      <c r="AU81" s="562"/>
      <c r="AV81" s="590"/>
      <c r="AW81" s="562"/>
      <c r="AX81" s="590"/>
      <c r="AY81" s="562"/>
      <c r="AZ81" s="590"/>
      <c r="BA81" s="562"/>
      <c r="BB81" s="590"/>
      <c r="BC81" s="562"/>
      <c r="BD81" s="590"/>
      <c r="BE81" s="562"/>
      <c r="BF81" s="572"/>
      <c r="BG81" s="587"/>
      <c r="BH81" s="590"/>
      <c r="BI81" s="562"/>
      <c r="BJ81" s="535">
        <f t="shared" si="8"/>
        <v>0</v>
      </c>
      <c r="BK81" s="545">
        <f t="shared" si="9"/>
        <v>0</v>
      </c>
    </row>
    <row r="82" spans="1:63" ht="15" customHeight="1" x14ac:dyDescent="0.35">
      <c r="A82" s="579"/>
      <c r="B82" s="546" t="s">
        <v>44</v>
      </c>
      <c r="C82" s="579" t="s">
        <v>115</v>
      </c>
      <c r="D82" s="653" t="s">
        <v>72</v>
      </c>
      <c r="E82" s="654"/>
      <c r="F82" s="590"/>
      <c r="G82" s="562"/>
      <c r="H82" s="590"/>
      <c r="I82" s="562"/>
      <c r="J82" s="590"/>
      <c r="K82" s="562"/>
      <c r="L82" s="590"/>
      <c r="M82" s="562"/>
      <c r="N82" s="590"/>
      <c r="O82" s="562"/>
      <c r="P82" s="572"/>
      <c r="Q82" s="587"/>
      <c r="R82" s="572"/>
      <c r="S82" s="587"/>
      <c r="T82" s="590"/>
      <c r="U82" s="562"/>
      <c r="V82" s="590"/>
      <c r="W82" s="562"/>
      <c r="X82" s="590"/>
      <c r="Y82" s="562"/>
      <c r="Z82" s="590"/>
      <c r="AA82" s="562"/>
      <c r="AB82" s="590"/>
      <c r="AC82" s="562"/>
      <c r="AD82" s="572"/>
      <c r="AE82" s="587"/>
      <c r="AF82" s="590"/>
      <c r="AG82" s="562"/>
      <c r="AH82" s="590"/>
      <c r="AI82" s="562"/>
      <c r="AJ82" s="590"/>
      <c r="AK82" s="562"/>
      <c r="AL82" s="590"/>
      <c r="AM82" s="562"/>
      <c r="AN82" s="590"/>
      <c r="AO82" s="562"/>
      <c r="AP82" s="590"/>
      <c r="AQ82" s="562"/>
      <c r="AR82" s="572"/>
      <c r="AS82" s="587"/>
      <c r="AT82" s="590"/>
      <c r="AU82" s="562"/>
      <c r="AV82" s="590"/>
      <c r="AW82" s="562"/>
      <c r="AX82" s="590"/>
      <c r="AY82" s="562"/>
      <c r="AZ82" s="590"/>
      <c r="BA82" s="562"/>
      <c r="BB82" s="590"/>
      <c r="BC82" s="562"/>
      <c r="BD82" s="590"/>
      <c r="BE82" s="562"/>
      <c r="BF82" s="572"/>
      <c r="BG82" s="587"/>
      <c r="BH82" s="590"/>
      <c r="BI82" s="562"/>
      <c r="BJ82" s="535">
        <f t="shared" si="8"/>
        <v>0</v>
      </c>
      <c r="BK82" s="545">
        <f t="shared" si="9"/>
        <v>0</v>
      </c>
    </row>
    <row r="83" spans="1:63" ht="15" customHeight="1" x14ac:dyDescent="0.35">
      <c r="A83" s="579"/>
      <c r="B83" s="546" t="s">
        <v>29</v>
      </c>
      <c r="C83" s="579" t="s">
        <v>116</v>
      </c>
      <c r="D83" s="653" t="s">
        <v>74</v>
      </c>
      <c r="E83" s="654"/>
      <c r="F83" s="590"/>
      <c r="G83" s="562"/>
      <c r="H83" s="590"/>
      <c r="I83" s="562"/>
      <c r="J83" s="590"/>
      <c r="K83" s="562"/>
      <c r="L83" s="590"/>
      <c r="M83" s="562"/>
      <c r="N83" s="590"/>
      <c r="O83" s="562"/>
      <c r="P83" s="572"/>
      <c r="Q83" s="587"/>
      <c r="R83" s="572"/>
      <c r="S83" s="587"/>
      <c r="T83" s="590"/>
      <c r="U83" s="562"/>
      <c r="V83" s="590"/>
      <c r="W83" s="562"/>
      <c r="X83" s="590"/>
      <c r="Y83" s="562"/>
      <c r="Z83" s="590"/>
      <c r="AA83" s="562"/>
      <c r="AB83" s="590"/>
      <c r="AC83" s="562"/>
      <c r="AD83" s="572"/>
      <c r="AE83" s="587"/>
      <c r="AF83" s="590"/>
      <c r="AG83" s="562"/>
      <c r="AH83" s="590"/>
      <c r="AI83" s="562"/>
      <c r="AJ83" s="590"/>
      <c r="AK83" s="562"/>
      <c r="AL83" s="590"/>
      <c r="AM83" s="562"/>
      <c r="AN83" s="590"/>
      <c r="AO83" s="562"/>
      <c r="AP83" s="590"/>
      <c r="AQ83" s="562"/>
      <c r="AR83" s="572"/>
      <c r="AS83" s="587"/>
      <c r="AT83" s="590"/>
      <c r="AU83" s="562"/>
      <c r="AV83" s="590"/>
      <c r="AW83" s="562"/>
      <c r="AX83" s="590"/>
      <c r="AY83" s="562"/>
      <c r="AZ83" s="590"/>
      <c r="BA83" s="562"/>
      <c r="BB83" s="590"/>
      <c r="BC83" s="562"/>
      <c r="BD83" s="590"/>
      <c r="BE83" s="562"/>
      <c r="BF83" s="572"/>
      <c r="BG83" s="587"/>
      <c r="BH83" s="590"/>
      <c r="BI83" s="562"/>
      <c r="BJ83" s="535">
        <f t="shared" si="8"/>
        <v>0</v>
      </c>
      <c r="BK83" s="545">
        <f t="shared" si="9"/>
        <v>0</v>
      </c>
    </row>
    <row r="84" spans="1:63" ht="15" customHeight="1" x14ac:dyDescent="0.35">
      <c r="A84" s="579"/>
      <c r="B84" s="546" t="s">
        <v>29</v>
      </c>
      <c r="C84" s="579" t="s">
        <v>117</v>
      </c>
      <c r="D84" s="653" t="s">
        <v>76</v>
      </c>
      <c r="E84" s="654"/>
      <c r="F84" s="590"/>
      <c r="G84" s="562"/>
      <c r="H84" s="590"/>
      <c r="I84" s="562"/>
      <c r="J84" s="590"/>
      <c r="K84" s="562"/>
      <c r="L84" s="590"/>
      <c r="M84" s="562"/>
      <c r="N84" s="590"/>
      <c r="O84" s="562"/>
      <c r="P84" s="572"/>
      <c r="Q84" s="587"/>
      <c r="R84" s="572"/>
      <c r="S84" s="587"/>
      <c r="T84" s="590"/>
      <c r="U84" s="562"/>
      <c r="V84" s="590"/>
      <c r="W84" s="562"/>
      <c r="X84" s="590"/>
      <c r="Y84" s="562"/>
      <c r="Z84" s="590"/>
      <c r="AA84" s="562"/>
      <c r="AB84" s="590"/>
      <c r="AC84" s="562"/>
      <c r="AD84" s="572"/>
      <c r="AE84" s="587"/>
      <c r="AF84" s="590"/>
      <c r="AG84" s="562"/>
      <c r="AH84" s="590"/>
      <c r="AI84" s="562"/>
      <c r="AJ84" s="590"/>
      <c r="AK84" s="562"/>
      <c r="AL84" s="590"/>
      <c r="AM84" s="562"/>
      <c r="AN84" s="590"/>
      <c r="AO84" s="562"/>
      <c r="AP84" s="590"/>
      <c r="AQ84" s="562"/>
      <c r="AR84" s="572"/>
      <c r="AS84" s="587"/>
      <c r="AT84" s="590"/>
      <c r="AU84" s="562"/>
      <c r="AV84" s="590"/>
      <c r="AW84" s="562"/>
      <c r="AX84" s="590"/>
      <c r="AY84" s="562"/>
      <c r="AZ84" s="590"/>
      <c r="BA84" s="562"/>
      <c r="BB84" s="590"/>
      <c r="BC84" s="562"/>
      <c r="BD84" s="590"/>
      <c r="BE84" s="562"/>
      <c r="BF84" s="572"/>
      <c r="BG84" s="587"/>
      <c r="BH84" s="590"/>
      <c r="BI84" s="562"/>
      <c r="BJ84" s="535">
        <f t="shared" si="8"/>
        <v>0</v>
      </c>
      <c r="BK84" s="545">
        <f t="shared" si="9"/>
        <v>0</v>
      </c>
    </row>
    <row r="85" spans="1:63" ht="15" customHeight="1" x14ac:dyDescent="0.35">
      <c r="A85" s="579"/>
      <c r="B85" s="546" t="s">
        <v>44</v>
      </c>
      <c r="C85" s="579" t="s">
        <v>118</v>
      </c>
      <c r="D85" s="653" t="s">
        <v>76</v>
      </c>
      <c r="E85" s="654"/>
      <c r="F85" s="590"/>
      <c r="G85" s="562"/>
      <c r="H85" s="590"/>
      <c r="I85" s="562"/>
      <c r="J85" s="590"/>
      <c r="K85" s="562"/>
      <c r="L85" s="590"/>
      <c r="M85" s="562"/>
      <c r="N85" s="590"/>
      <c r="O85" s="562"/>
      <c r="P85" s="572"/>
      <c r="Q85" s="587"/>
      <c r="R85" s="572"/>
      <c r="S85" s="587"/>
      <c r="T85" s="590"/>
      <c r="U85" s="562"/>
      <c r="V85" s="590"/>
      <c r="W85" s="562"/>
      <c r="X85" s="590"/>
      <c r="Y85" s="562"/>
      <c r="Z85" s="590"/>
      <c r="AA85" s="562"/>
      <c r="AB85" s="590"/>
      <c r="AC85" s="562"/>
      <c r="AD85" s="572"/>
      <c r="AE85" s="587"/>
      <c r="AF85" s="590"/>
      <c r="AG85" s="562"/>
      <c r="AH85" s="590"/>
      <c r="AI85" s="562"/>
      <c r="AJ85" s="590"/>
      <c r="AK85" s="562"/>
      <c r="AL85" s="590"/>
      <c r="AM85" s="562"/>
      <c r="AN85" s="590"/>
      <c r="AO85" s="562"/>
      <c r="AP85" s="590"/>
      <c r="AQ85" s="562"/>
      <c r="AR85" s="572"/>
      <c r="AS85" s="587"/>
      <c r="AT85" s="590"/>
      <c r="AU85" s="562"/>
      <c r="AV85" s="590"/>
      <c r="AW85" s="562"/>
      <c r="AX85" s="590"/>
      <c r="AY85" s="562"/>
      <c r="AZ85" s="590"/>
      <c r="BA85" s="562"/>
      <c r="BB85" s="590"/>
      <c r="BC85" s="562"/>
      <c r="BD85" s="590"/>
      <c r="BE85" s="562"/>
      <c r="BF85" s="572"/>
      <c r="BG85" s="587"/>
      <c r="BH85" s="590"/>
      <c r="BI85" s="562"/>
      <c r="BJ85" s="535">
        <f t="shared" si="8"/>
        <v>0</v>
      </c>
      <c r="BK85" s="545">
        <f t="shared" si="9"/>
        <v>0</v>
      </c>
    </row>
    <row r="86" spans="1:63" ht="15" customHeight="1" x14ac:dyDescent="0.35">
      <c r="A86" s="579"/>
      <c r="B86" s="546" t="s">
        <v>109</v>
      </c>
      <c r="C86" s="579" t="s">
        <v>119</v>
      </c>
      <c r="D86" s="653" t="s">
        <v>120</v>
      </c>
      <c r="E86" s="654"/>
      <c r="F86" s="590"/>
      <c r="G86" s="562"/>
      <c r="H86" s="590"/>
      <c r="I86" s="562"/>
      <c r="J86" s="590"/>
      <c r="K86" s="562"/>
      <c r="L86" s="590"/>
      <c r="M86" s="562"/>
      <c r="N86" s="590"/>
      <c r="O86" s="562"/>
      <c r="P86" s="572"/>
      <c r="Q86" s="587"/>
      <c r="R86" s="572"/>
      <c r="S86" s="587"/>
      <c r="T86" s="590"/>
      <c r="U86" s="562"/>
      <c r="V86" s="590"/>
      <c r="W86" s="562"/>
      <c r="X86" s="590"/>
      <c r="Y86" s="562"/>
      <c r="Z86" s="590"/>
      <c r="AA86" s="562"/>
      <c r="AB86" s="590"/>
      <c r="AC86" s="562"/>
      <c r="AD86" s="572"/>
      <c r="AE86" s="587"/>
      <c r="AF86" s="590"/>
      <c r="AG86" s="562"/>
      <c r="AH86" s="590"/>
      <c r="AI86" s="562"/>
      <c r="AJ86" s="590"/>
      <c r="AK86" s="562"/>
      <c r="AL86" s="590"/>
      <c r="AM86" s="562"/>
      <c r="AN86" s="590"/>
      <c r="AO86" s="562"/>
      <c r="AP86" s="590"/>
      <c r="AQ86" s="562"/>
      <c r="AR86" s="572"/>
      <c r="AS86" s="587"/>
      <c r="AT86" s="590"/>
      <c r="AU86" s="562"/>
      <c r="AV86" s="590"/>
      <c r="AW86" s="562"/>
      <c r="AX86" s="590"/>
      <c r="AY86" s="562"/>
      <c r="AZ86" s="590"/>
      <c r="BA86" s="562"/>
      <c r="BB86" s="590"/>
      <c r="BC86" s="562"/>
      <c r="BD86" s="590"/>
      <c r="BE86" s="562"/>
      <c r="BF86" s="572"/>
      <c r="BG86" s="587"/>
      <c r="BH86" s="590"/>
      <c r="BI86" s="562"/>
      <c r="BJ86" s="535">
        <f t="shared" si="8"/>
        <v>0</v>
      </c>
      <c r="BK86" s="545">
        <f t="shared" si="9"/>
        <v>0</v>
      </c>
    </row>
    <row r="87" spans="1:63" ht="15" customHeight="1" x14ac:dyDescent="0.35">
      <c r="A87" s="579"/>
      <c r="B87" s="546" t="s">
        <v>29</v>
      </c>
      <c r="C87" s="579" t="s">
        <v>121</v>
      </c>
      <c r="D87" s="653" t="s">
        <v>122</v>
      </c>
      <c r="E87" s="654"/>
      <c r="F87" s="590"/>
      <c r="G87" s="562"/>
      <c r="H87" s="590"/>
      <c r="I87" s="562"/>
      <c r="J87" s="590"/>
      <c r="K87" s="562"/>
      <c r="L87" s="590"/>
      <c r="M87" s="562"/>
      <c r="N87" s="590"/>
      <c r="O87" s="562"/>
      <c r="P87" s="572"/>
      <c r="Q87" s="587"/>
      <c r="R87" s="572"/>
      <c r="S87" s="587"/>
      <c r="T87" s="590"/>
      <c r="U87" s="562"/>
      <c r="V87" s="590"/>
      <c r="W87" s="562"/>
      <c r="X87" s="590"/>
      <c r="Y87" s="562"/>
      <c r="Z87" s="590"/>
      <c r="AA87" s="562"/>
      <c r="AB87" s="590"/>
      <c r="AC87" s="562"/>
      <c r="AD87" s="572"/>
      <c r="AE87" s="587"/>
      <c r="AF87" s="590"/>
      <c r="AG87" s="562"/>
      <c r="AH87" s="590"/>
      <c r="AI87" s="562"/>
      <c r="AJ87" s="590"/>
      <c r="AK87" s="562"/>
      <c r="AL87" s="590"/>
      <c r="AM87" s="562"/>
      <c r="AN87" s="590"/>
      <c r="AO87" s="562"/>
      <c r="AP87" s="590"/>
      <c r="AQ87" s="562"/>
      <c r="AR87" s="572"/>
      <c r="AS87" s="587"/>
      <c r="AT87" s="590"/>
      <c r="AU87" s="562"/>
      <c r="AV87" s="590"/>
      <c r="AW87" s="562"/>
      <c r="AX87" s="590"/>
      <c r="AY87" s="562"/>
      <c r="AZ87" s="590"/>
      <c r="BA87" s="562"/>
      <c r="BB87" s="590"/>
      <c r="BC87" s="562"/>
      <c r="BD87" s="590"/>
      <c r="BE87" s="562"/>
      <c r="BF87" s="572"/>
      <c r="BG87" s="587"/>
      <c r="BH87" s="590"/>
      <c r="BI87" s="562"/>
      <c r="BJ87" s="535">
        <f t="shared" si="8"/>
        <v>0</v>
      </c>
      <c r="BK87" s="545">
        <f t="shared" si="9"/>
        <v>0</v>
      </c>
    </row>
    <row r="88" spans="1:63" ht="15" customHeight="1" x14ac:dyDescent="0.35">
      <c r="A88" s="579"/>
      <c r="B88" s="546" t="s">
        <v>109</v>
      </c>
      <c r="C88" s="579" t="s">
        <v>123</v>
      </c>
      <c r="D88" s="653" t="s">
        <v>124</v>
      </c>
      <c r="E88" s="654"/>
      <c r="F88" s="590"/>
      <c r="G88" s="562"/>
      <c r="H88" s="590"/>
      <c r="I88" s="562"/>
      <c r="J88" s="590"/>
      <c r="K88" s="562"/>
      <c r="L88" s="590"/>
      <c r="M88" s="562"/>
      <c r="N88" s="590"/>
      <c r="O88" s="562"/>
      <c r="P88" s="572"/>
      <c r="Q88" s="587"/>
      <c r="R88" s="572"/>
      <c r="S88" s="587"/>
      <c r="T88" s="590"/>
      <c r="U88" s="562"/>
      <c r="V88" s="590"/>
      <c r="W88" s="562"/>
      <c r="X88" s="590"/>
      <c r="Y88" s="562"/>
      <c r="Z88" s="590"/>
      <c r="AA88" s="562"/>
      <c r="AB88" s="590"/>
      <c r="AC88" s="562"/>
      <c r="AD88" s="572"/>
      <c r="AE88" s="587"/>
      <c r="AF88" s="590"/>
      <c r="AG88" s="562"/>
      <c r="AH88" s="590"/>
      <c r="AI88" s="562"/>
      <c r="AJ88" s="590"/>
      <c r="AK88" s="562"/>
      <c r="AL88" s="590"/>
      <c r="AM88" s="562"/>
      <c r="AN88" s="590"/>
      <c r="AO88" s="562"/>
      <c r="AP88" s="590"/>
      <c r="AQ88" s="562"/>
      <c r="AR88" s="572"/>
      <c r="AS88" s="587"/>
      <c r="AT88" s="590"/>
      <c r="AU88" s="562"/>
      <c r="AV88" s="590"/>
      <c r="AW88" s="562"/>
      <c r="AX88" s="590"/>
      <c r="AY88" s="562"/>
      <c r="AZ88" s="590"/>
      <c r="BA88" s="562"/>
      <c r="BB88" s="590"/>
      <c r="BC88" s="562"/>
      <c r="BD88" s="590"/>
      <c r="BE88" s="562"/>
      <c r="BF88" s="572"/>
      <c r="BG88" s="587"/>
      <c r="BH88" s="590"/>
      <c r="BI88" s="562"/>
      <c r="BJ88" s="535">
        <f t="shared" si="8"/>
        <v>0</v>
      </c>
      <c r="BK88" s="545">
        <f t="shared" si="9"/>
        <v>0</v>
      </c>
    </row>
    <row r="89" spans="1:63" ht="15" customHeight="1" x14ac:dyDescent="0.35">
      <c r="A89" s="579"/>
      <c r="B89" s="546" t="s">
        <v>109</v>
      </c>
      <c r="C89" s="579" t="s">
        <v>159</v>
      </c>
      <c r="D89" s="653" t="s">
        <v>160</v>
      </c>
      <c r="E89" s="654"/>
      <c r="F89" s="590"/>
      <c r="G89" s="562"/>
      <c r="H89" s="590"/>
      <c r="I89" s="562"/>
      <c r="J89" s="590"/>
      <c r="K89" s="562"/>
      <c r="L89" s="590"/>
      <c r="M89" s="562"/>
      <c r="N89" s="590"/>
      <c r="O89" s="562"/>
      <c r="P89" s="572"/>
      <c r="Q89" s="587"/>
      <c r="R89" s="572"/>
      <c r="S89" s="587"/>
      <c r="T89" s="590"/>
      <c r="U89" s="562"/>
      <c r="V89" s="590"/>
      <c r="W89" s="562"/>
      <c r="X89" s="590"/>
      <c r="Y89" s="562"/>
      <c r="Z89" s="590"/>
      <c r="AA89" s="562"/>
      <c r="AB89" s="590"/>
      <c r="AC89" s="562"/>
      <c r="AD89" s="572"/>
      <c r="AE89" s="587"/>
      <c r="AF89" s="590"/>
      <c r="AG89" s="562"/>
      <c r="AH89" s="590"/>
      <c r="AI89" s="562"/>
      <c r="AJ89" s="590"/>
      <c r="AK89" s="562"/>
      <c r="AL89" s="590"/>
      <c r="AM89" s="562"/>
      <c r="AN89" s="590"/>
      <c r="AO89" s="562"/>
      <c r="AP89" s="590"/>
      <c r="AQ89" s="562"/>
      <c r="AR89" s="572"/>
      <c r="AS89" s="587"/>
      <c r="AT89" s="590"/>
      <c r="AU89" s="562"/>
      <c r="AV89" s="590"/>
      <c r="AW89" s="562"/>
      <c r="AX89" s="590"/>
      <c r="AY89" s="562"/>
      <c r="AZ89" s="590"/>
      <c r="BA89" s="562"/>
      <c r="BB89" s="590"/>
      <c r="BC89" s="562"/>
      <c r="BD89" s="590"/>
      <c r="BE89" s="562"/>
      <c r="BF89" s="572"/>
      <c r="BG89" s="587"/>
      <c r="BH89" s="590"/>
      <c r="BI89" s="562"/>
      <c r="BJ89" s="535">
        <f t="shared" si="8"/>
        <v>0</v>
      </c>
      <c r="BK89" s="545"/>
    </row>
    <row r="90" spans="1:63" ht="15" customHeight="1" x14ac:dyDescent="0.35">
      <c r="A90" s="579"/>
      <c r="B90" s="546" t="s">
        <v>104</v>
      </c>
      <c r="C90" s="579" t="s">
        <v>125</v>
      </c>
      <c r="D90" s="653" t="s">
        <v>126</v>
      </c>
      <c r="E90" s="654"/>
      <c r="F90" s="590"/>
      <c r="G90" s="562"/>
      <c r="H90" s="590"/>
      <c r="I90" s="562"/>
      <c r="J90" s="590"/>
      <c r="K90" s="562"/>
      <c r="L90" s="590"/>
      <c r="M90" s="562"/>
      <c r="N90" s="590"/>
      <c r="O90" s="562"/>
      <c r="P90" s="572"/>
      <c r="Q90" s="587"/>
      <c r="R90" s="572"/>
      <c r="S90" s="587"/>
      <c r="T90" s="590"/>
      <c r="U90" s="562"/>
      <c r="V90" s="590"/>
      <c r="W90" s="562"/>
      <c r="X90" s="590"/>
      <c r="Y90" s="562"/>
      <c r="Z90" s="590"/>
      <c r="AA90" s="562"/>
      <c r="AB90" s="590"/>
      <c r="AC90" s="562"/>
      <c r="AD90" s="572"/>
      <c r="AE90" s="587"/>
      <c r="AF90" s="590"/>
      <c r="AG90" s="562"/>
      <c r="AH90" s="590"/>
      <c r="AI90" s="562"/>
      <c r="AJ90" s="590"/>
      <c r="AK90" s="562"/>
      <c r="AL90" s="590"/>
      <c r="AM90" s="562"/>
      <c r="AN90" s="590"/>
      <c r="AO90" s="562"/>
      <c r="AP90" s="590"/>
      <c r="AQ90" s="562"/>
      <c r="AR90" s="572"/>
      <c r="AS90" s="587"/>
      <c r="AT90" s="590"/>
      <c r="AU90" s="562"/>
      <c r="AV90" s="590"/>
      <c r="AW90" s="562"/>
      <c r="AX90" s="590"/>
      <c r="AY90" s="562"/>
      <c r="AZ90" s="590"/>
      <c r="BA90" s="562"/>
      <c r="BB90" s="590"/>
      <c r="BC90" s="562"/>
      <c r="BD90" s="590"/>
      <c r="BE90" s="562"/>
      <c r="BF90" s="572"/>
      <c r="BG90" s="587"/>
      <c r="BH90" s="590"/>
      <c r="BI90" s="562"/>
      <c r="BJ90" s="535">
        <f t="shared" si="8"/>
        <v>0</v>
      </c>
      <c r="BK90" s="545">
        <f t="shared" ref="BK90:BK113" si="10">COUNT(F90:BI90)</f>
        <v>0</v>
      </c>
    </row>
    <row r="91" spans="1:63" ht="15" customHeight="1" x14ac:dyDescent="0.35">
      <c r="A91" s="579"/>
      <c r="B91" s="546"/>
      <c r="C91" s="579"/>
      <c r="D91" s="653"/>
      <c r="E91" s="654"/>
      <c r="F91" s="590"/>
      <c r="G91" s="562"/>
      <c r="H91" s="590"/>
      <c r="I91" s="562"/>
      <c r="J91" s="590"/>
      <c r="K91" s="562"/>
      <c r="L91" s="590"/>
      <c r="M91" s="562"/>
      <c r="N91" s="590"/>
      <c r="O91" s="562"/>
      <c r="P91" s="572"/>
      <c r="Q91" s="587"/>
      <c r="R91" s="572"/>
      <c r="S91" s="587"/>
      <c r="T91" s="590"/>
      <c r="U91" s="562"/>
      <c r="V91" s="590"/>
      <c r="W91" s="562"/>
      <c r="X91" s="590"/>
      <c r="Y91" s="562"/>
      <c r="Z91" s="590"/>
      <c r="AA91" s="562"/>
      <c r="AB91" s="590"/>
      <c r="AC91" s="562"/>
      <c r="AD91" s="572"/>
      <c r="AE91" s="587"/>
      <c r="AF91" s="590"/>
      <c r="AG91" s="562"/>
      <c r="AH91" s="590"/>
      <c r="AI91" s="562"/>
      <c r="AJ91" s="590"/>
      <c r="AK91" s="562"/>
      <c r="AL91" s="590"/>
      <c r="AM91" s="562"/>
      <c r="AN91" s="590"/>
      <c r="AO91" s="562"/>
      <c r="AP91" s="590"/>
      <c r="AQ91" s="562"/>
      <c r="AR91" s="572"/>
      <c r="AS91" s="587"/>
      <c r="AT91" s="590"/>
      <c r="AU91" s="562"/>
      <c r="AV91" s="590"/>
      <c r="AW91" s="562"/>
      <c r="AX91" s="590"/>
      <c r="AY91" s="562"/>
      <c r="AZ91" s="590"/>
      <c r="BA91" s="562"/>
      <c r="BB91" s="590"/>
      <c r="BC91" s="562"/>
      <c r="BD91" s="590"/>
      <c r="BE91" s="562"/>
      <c r="BF91" s="572"/>
      <c r="BG91" s="587"/>
      <c r="BH91" s="590"/>
      <c r="BI91" s="562"/>
      <c r="BJ91" s="535">
        <f t="shared" si="8"/>
        <v>0</v>
      </c>
      <c r="BK91" s="545">
        <f t="shared" si="10"/>
        <v>0</v>
      </c>
    </row>
    <row r="92" spans="1:63" ht="15" customHeight="1" x14ac:dyDescent="0.35">
      <c r="A92" s="579"/>
      <c r="B92" s="546"/>
      <c r="C92" s="579">
        <f>SUM(BJ93:BJ95)</f>
        <v>0</v>
      </c>
      <c r="D92" s="647" t="s">
        <v>127</v>
      </c>
      <c r="E92" s="648"/>
      <c r="F92" s="590"/>
      <c r="G92" s="562"/>
      <c r="H92" s="590"/>
      <c r="I92" s="562"/>
      <c r="J92" s="590"/>
      <c r="K92" s="562"/>
      <c r="L92" s="590"/>
      <c r="M92" s="562"/>
      <c r="N92" s="590"/>
      <c r="O92" s="562"/>
      <c r="P92" s="572"/>
      <c r="Q92" s="587"/>
      <c r="R92" s="572"/>
      <c r="S92" s="587"/>
      <c r="T92" s="590"/>
      <c r="U92" s="562"/>
      <c r="V92" s="590"/>
      <c r="W92" s="562"/>
      <c r="X92" s="590"/>
      <c r="Y92" s="562"/>
      <c r="Z92" s="590"/>
      <c r="AA92" s="562"/>
      <c r="AB92" s="590"/>
      <c r="AC92" s="562"/>
      <c r="AD92" s="572"/>
      <c r="AE92" s="587"/>
      <c r="AF92" s="590"/>
      <c r="AG92" s="562"/>
      <c r="AH92" s="590"/>
      <c r="AI92" s="562"/>
      <c r="AJ92" s="590"/>
      <c r="AK92" s="562"/>
      <c r="AL92" s="590"/>
      <c r="AM92" s="562"/>
      <c r="AN92" s="590"/>
      <c r="AO92" s="562"/>
      <c r="AP92" s="590"/>
      <c r="AQ92" s="562"/>
      <c r="AR92" s="572"/>
      <c r="AS92" s="587"/>
      <c r="AT92" s="590"/>
      <c r="AU92" s="562"/>
      <c r="AV92" s="590"/>
      <c r="AW92" s="562"/>
      <c r="AX92" s="590"/>
      <c r="AY92" s="562"/>
      <c r="AZ92" s="590"/>
      <c r="BA92" s="562"/>
      <c r="BB92" s="590"/>
      <c r="BC92" s="562"/>
      <c r="BD92" s="590"/>
      <c r="BE92" s="562"/>
      <c r="BF92" s="572"/>
      <c r="BG92" s="587"/>
      <c r="BH92" s="590"/>
      <c r="BI92" s="562"/>
      <c r="BJ92" s="535">
        <f t="shared" si="8"/>
        <v>0</v>
      </c>
      <c r="BK92" s="545">
        <f t="shared" si="10"/>
        <v>0</v>
      </c>
    </row>
    <row r="93" spans="1:63" ht="15" customHeight="1" x14ac:dyDescent="0.35">
      <c r="A93" s="579"/>
      <c r="B93" s="546" t="s">
        <v>85</v>
      </c>
      <c r="C93" s="579" t="s">
        <v>128</v>
      </c>
      <c r="D93" s="653" t="s">
        <v>129</v>
      </c>
      <c r="E93" s="654"/>
      <c r="F93" s="590"/>
      <c r="G93" s="562"/>
      <c r="H93" s="590"/>
      <c r="I93" s="562"/>
      <c r="J93" s="590"/>
      <c r="K93" s="562"/>
      <c r="L93" s="590"/>
      <c r="M93" s="562"/>
      <c r="N93" s="590"/>
      <c r="O93" s="562"/>
      <c r="P93" s="572"/>
      <c r="Q93" s="587"/>
      <c r="R93" s="572"/>
      <c r="S93" s="587"/>
      <c r="T93" s="590"/>
      <c r="U93" s="562"/>
      <c r="V93" s="590"/>
      <c r="W93" s="562"/>
      <c r="X93" s="590"/>
      <c r="Y93" s="562"/>
      <c r="Z93" s="590"/>
      <c r="AA93" s="562"/>
      <c r="AB93" s="590"/>
      <c r="AC93" s="562"/>
      <c r="AD93" s="572"/>
      <c r="AE93" s="587"/>
      <c r="AF93" s="590"/>
      <c r="AG93" s="562"/>
      <c r="AH93" s="590"/>
      <c r="AI93" s="562"/>
      <c r="AJ93" s="590"/>
      <c r="AK93" s="562"/>
      <c r="AL93" s="590"/>
      <c r="AM93" s="562"/>
      <c r="AN93" s="590"/>
      <c r="AO93" s="562"/>
      <c r="AP93" s="590"/>
      <c r="AQ93" s="562"/>
      <c r="AR93" s="572"/>
      <c r="AS93" s="587"/>
      <c r="AT93" s="590"/>
      <c r="AU93" s="562"/>
      <c r="AV93" s="590"/>
      <c r="AW93" s="562"/>
      <c r="AX93" s="590"/>
      <c r="AY93" s="562"/>
      <c r="AZ93" s="590"/>
      <c r="BA93" s="562"/>
      <c r="BB93" s="590"/>
      <c r="BC93" s="562"/>
      <c r="BD93" s="590"/>
      <c r="BE93" s="562"/>
      <c r="BF93" s="572"/>
      <c r="BG93" s="587"/>
      <c r="BH93" s="590"/>
      <c r="BI93" s="562"/>
      <c r="BJ93" s="535">
        <f t="shared" si="8"/>
        <v>0</v>
      </c>
      <c r="BK93" s="545">
        <f t="shared" si="10"/>
        <v>0</v>
      </c>
    </row>
    <row r="94" spans="1:63" ht="15" customHeight="1" x14ac:dyDescent="0.35">
      <c r="A94" s="579"/>
      <c r="B94" s="546"/>
      <c r="C94" s="579"/>
      <c r="D94" s="653"/>
      <c r="E94" s="654"/>
      <c r="F94" s="590"/>
      <c r="G94" s="562"/>
      <c r="H94" s="590"/>
      <c r="I94" s="562"/>
      <c r="J94" s="590"/>
      <c r="K94" s="562"/>
      <c r="L94" s="590"/>
      <c r="M94" s="562"/>
      <c r="N94" s="590"/>
      <c r="O94" s="562"/>
      <c r="P94" s="572"/>
      <c r="Q94" s="587"/>
      <c r="R94" s="572"/>
      <c r="S94" s="587"/>
      <c r="T94" s="590"/>
      <c r="U94" s="562"/>
      <c r="V94" s="590"/>
      <c r="W94" s="562"/>
      <c r="X94" s="590"/>
      <c r="Y94" s="562"/>
      <c r="Z94" s="590"/>
      <c r="AA94" s="562"/>
      <c r="AB94" s="590"/>
      <c r="AC94" s="562"/>
      <c r="AD94" s="572"/>
      <c r="AE94" s="587"/>
      <c r="AF94" s="590"/>
      <c r="AG94" s="562"/>
      <c r="AH94" s="590"/>
      <c r="AI94" s="562"/>
      <c r="AJ94" s="590"/>
      <c r="AK94" s="562"/>
      <c r="AL94" s="590"/>
      <c r="AM94" s="562"/>
      <c r="AN94" s="590"/>
      <c r="AO94" s="562"/>
      <c r="AP94" s="590"/>
      <c r="AQ94" s="562"/>
      <c r="AR94" s="572"/>
      <c r="AS94" s="587"/>
      <c r="AT94" s="590"/>
      <c r="AU94" s="562"/>
      <c r="AV94" s="590"/>
      <c r="AW94" s="562"/>
      <c r="AX94" s="590"/>
      <c r="AY94" s="562"/>
      <c r="AZ94" s="590"/>
      <c r="BA94" s="562"/>
      <c r="BB94" s="590"/>
      <c r="BC94" s="562"/>
      <c r="BD94" s="590"/>
      <c r="BE94" s="562"/>
      <c r="BF94" s="572"/>
      <c r="BG94" s="587"/>
      <c r="BH94" s="590"/>
      <c r="BI94" s="562"/>
      <c r="BJ94" s="535">
        <f t="shared" si="8"/>
        <v>0</v>
      </c>
      <c r="BK94" s="545">
        <f t="shared" si="10"/>
        <v>0</v>
      </c>
    </row>
    <row r="95" spans="1:63" ht="15" customHeight="1" x14ac:dyDescent="0.35">
      <c r="A95" s="579"/>
      <c r="B95" s="546"/>
      <c r="C95" s="579"/>
      <c r="D95" s="653"/>
      <c r="E95" s="654"/>
      <c r="F95" s="590"/>
      <c r="G95" s="562"/>
      <c r="H95" s="590"/>
      <c r="I95" s="562"/>
      <c r="J95" s="590"/>
      <c r="K95" s="562"/>
      <c r="L95" s="590"/>
      <c r="M95" s="562"/>
      <c r="N95" s="590"/>
      <c r="O95" s="562"/>
      <c r="P95" s="572"/>
      <c r="Q95" s="587"/>
      <c r="R95" s="572"/>
      <c r="S95" s="587"/>
      <c r="T95" s="590"/>
      <c r="U95" s="562"/>
      <c r="V95" s="590"/>
      <c r="W95" s="562"/>
      <c r="X95" s="590"/>
      <c r="Y95" s="562"/>
      <c r="Z95" s="590"/>
      <c r="AA95" s="562"/>
      <c r="AB95" s="590"/>
      <c r="AC95" s="562"/>
      <c r="AD95" s="572"/>
      <c r="AE95" s="587"/>
      <c r="AF95" s="590"/>
      <c r="AG95" s="562"/>
      <c r="AH95" s="590"/>
      <c r="AI95" s="562"/>
      <c r="AJ95" s="590"/>
      <c r="AK95" s="562"/>
      <c r="AL95" s="590"/>
      <c r="AM95" s="562"/>
      <c r="AN95" s="590"/>
      <c r="AO95" s="562"/>
      <c r="AP95" s="590"/>
      <c r="AQ95" s="562"/>
      <c r="AR95" s="572"/>
      <c r="AS95" s="587"/>
      <c r="AT95" s="590"/>
      <c r="AU95" s="562"/>
      <c r="AV95" s="590"/>
      <c r="AW95" s="562"/>
      <c r="AX95" s="590"/>
      <c r="AY95" s="562"/>
      <c r="AZ95" s="590"/>
      <c r="BA95" s="562"/>
      <c r="BB95" s="590"/>
      <c r="BC95" s="562"/>
      <c r="BD95" s="590"/>
      <c r="BE95" s="562"/>
      <c r="BF95" s="572"/>
      <c r="BG95" s="587"/>
      <c r="BH95" s="590"/>
      <c r="BI95" s="562"/>
      <c r="BJ95" s="535">
        <f t="shared" si="8"/>
        <v>0</v>
      </c>
      <c r="BK95" s="545">
        <f t="shared" si="10"/>
        <v>0</v>
      </c>
    </row>
    <row r="96" spans="1:63" ht="15" customHeight="1" x14ac:dyDescent="0.35">
      <c r="A96" s="579"/>
      <c r="B96" s="546"/>
      <c r="C96" s="579">
        <f>SUM(BJ97:BJ99)</f>
        <v>0</v>
      </c>
      <c r="D96" s="647" t="s">
        <v>130</v>
      </c>
      <c r="E96" s="648"/>
      <c r="F96" s="590"/>
      <c r="G96" s="562"/>
      <c r="H96" s="590"/>
      <c r="I96" s="562"/>
      <c r="J96" s="590"/>
      <c r="K96" s="562"/>
      <c r="L96" s="590"/>
      <c r="M96" s="562"/>
      <c r="N96" s="590"/>
      <c r="O96" s="562"/>
      <c r="P96" s="572"/>
      <c r="Q96" s="587"/>
      <c r="R96" s="572"/>
      <c r="S96" s="587"/>
      <c r="T96" s="590"/>
      <c r="U96" s="562"/>
      <c r="V96" s="590"/>
      <c r="W96" s="562"/>
      <c r="X96" s="590"/>
      <c r="Y96" s="562"/>
      <c r="Z96" s="590"/>
      <c r="AA96" s="562"/>
      <c r="AB96" s="590"/>
      <c r="AC96" s="562"/>
      <c r="AD96" s="572"/>
      <c r="AE96" s="587"/>
      <c r="AF96" s="590"/>
      <c r="AG96" s="562"/>
      <c r="AH96" s="590"/>
      <c r="AI96" s="562"/>
      <c r="AJ96" s="590"/>
      <c r="AK96" s="562"/>
      <c r="AL96" s="590"/>
      <c r="AM96" s="562"/>
      <c r="AN96" s="590"/>
      <c r="AO96" s="562"/>
      <c r="AP96" s="590"/>
      <c r="AQ96" s="562"/>
      <c r="AR96" s="572"/>
      <c r="AS96" s="587"/>
      <c r="AT96" s="590"/>
      <c r="AU96" s="562"/>
      <c r="AV96" s="590"/>
      <c r="AW96" s="562"/>
      <c r="AX96" s="590"/>
      <c r="AY96" s="562"/>
      <c r="AZ96" s="590"/>
      <c r="BA96" s="562"/>
      <c r="BB96" s="590"/>
      <c r="BC96" s="562"/>
      <c r="BD96" s="590"/>
      <c r="BE96" s="562"/>
      <c r="BF96" s="572"/>
      <c r="BG96" s="587"/>
      <c r="BH96" s="590"/>
      <c r="BI96" s="562"/>
      <c r="BJ96" s="535">
        <f t="shared" si="8"/>
        <v>0</v>
      </c>
      <c r="BK96" s="545">
        <f t="shared" si="10"/>
        <v>0</v>
      </c>
    </row>
    <row r="97" spans="1:63" ht="15" customHeight="1" x14ac:dyDescent="0.35">
      <c r="A97" s="579"/>
      <c r="B97" s="546" t="s">
        <v>85</v>
      </c>
      <c r="C97" s="579" t="s">
        <v>131</v>
      </c>
      <c r="D97" s="653" t="s">
        <v>132</v>
      </c>
      <c r="E97" s="654"/>
      <c r="F97" s="590"/>
      <c r="G97" s="562"/>
      <c r="H97" s="590"/>
      <c r="I97" s="562"/>
      <c r="J97" s="590"/>
      <c r="K97" s="562"/>
      <c r="L97" s="590"/>
      <c r="M97" s="562"/>
      <c r="N97" s="590"/>
      <c r="O97" s="562"/>
      <c r="P97" s="572"/>
      <c r="Q97" s="587"/>
      <c r="R97" s="572"/>
      <c r="S97" s="587"/>
      <c r="T97" s="590"/>
      <c r="U97" s="562"/>
      <c r="V97" s="590"/>
      <c r="W97" s="562"/>
      <c r="X97" s="590"/>
      <c r="Y97" s="562"/>
      <c r="Z97" s="590"/>
      <c r="AA97" s="562"/>
      <c r="AB97" s="590"/>
      <c r="AC97" s="562"/>
      <c r="AD97" s="572"/>
      <c r="AE97" s="587"/>
      <c r="AF97" s="590"/>
      <c r="AG97" s="562"/>
      <c r="AH97" s="590"/>
      <c r="AI97" s="562"/>
      <c r="AJ97" s="590"/>
      <c r="AK97" s="562"/>
      <c r="AL97" s="590"/>
      <c r="AM97" s="562"/>
      <c r="AN97" s="590"/>
      <c r="AO97" s="562"/>
      <c r="AP97" s="590"/>
      <c r="AQ97" s="562"/>
      <c r="AR97" s="572"/>
      <c r="AS97" s="587"/>
      <c r="AT97" s="590"/>
      <c r="AU97" s="562"/>
      <c r="AV97" s="590"/>
      <c r="AW97" s="562"/>
      <c r="AX97" s="590"/>
      <c r="AY97" s="562"/>
      <c r="AZ97" s="590"/>
      <c r="BA97" s="562"/>
      <c r="BB97" s="590"/>
      <c r="BC97" s="562"/>
      <c r="BD97" s="590"/>
      <c r="BE97" s="562"/>
      <c r="BF97" s="572"/>
      <c r="BG97" s="587"/>
      <c r="BH97" s="590"/>
      <c r="BI97" s="562"/>
      <c r="BJ97" s="535">
        <f t="shared" si="8"/>
        <v>0</v>
      </c>
      <c r="BK97" s="545">
        <f t="shared" si="10"/>
        <v>0</v>
      </c>
    </row>
    <row r="98" spans="1:63" ht="15" customHeight="1" x14ac:dyDescent="0.35">
      <c r="A98" s="579"/>
      <c r="B98" s="546"/>
      <c r="C98" s="579"/>
      <c r="D98" s="653"/>
      <c r="E98" s="654"/>
      <c r="F98" s="590"/>
      <c r="G98" s="562"/>
      <c r="H98" s="590"/>
      <c r="I98" s="562"/>
      <c r="J98" s="590"/>
      <c r="K98" s="562"/>
      <c r="L98" s="590"/>
      <c r="M98" s="562"/>
      <c r="N98" s="590"/>
      <c r="O98" s="562"/>
      <c r="P98" s="572"/>
      <c r="Q98" s="587"/>
      <c r="R98" s="572"/>
      <c r="S98" s="587"/>
      <c r="T98" s="590"/>
      <c r="U98" s="562"/>
      <c r="V98" s="590"/>
      <c r="W98" s="562"/>
      <c r="X98" s="590"/>
      <c r="Y98" s="562"/>
      <c r="Z98" s="590"/>
      <c r="AA98" s="562"/>
      <c r="AB98" s="590"/>
      <c r="AC98" s="562"/>
      <c r="AD98" s="572"/>
      <c r="AE98" s="587"/>
      <c r="AF98" s="590"/>
      <c r="AG98" s="562"/>
      <c r="AH98" s="590"/>
      <c r="AI98" s="562"/>
      <c r="AJ98" s="590"/>
      <c r="AK98" s="562"/>
      <c r="AL98" s="590"/>
      <c r="AM98" s="562"/>
      <c r="AN98" s="590"/>
      <c r="AO98" s="562"/>
      <c r="AP98" s="590"/>
      <c r="AQ98" s="562"/>
      <c r="AR98" s="572"/>
      <c r="AS98" s="587"/>
      <c r="AT98" s="590"/>
      <c r="AU98" s="562"/>
      <c r="AV98" s="590"/>
      <c r="AW98" s="562"/>
      <c r="AX98" s="590"/>
      <c r="AY98" s="562"/>
      <c r="AZ98" s="590"/>
      <c r="BA98" s="562"/>
      <c r="BB98" s="590"/>
      <c r="BC98" s="562"/>
      <c r="BD98" s="590"/>
      <c r="BE98" s="562"/>
      <c r="BF98" s="572"/>
      <c r="BG98" s="587"/>
      <c r="BH98" s="590"/>
      <c r="BI98" s="562"/>
      <c r="BJ98" s="535">
        <f t="shared" si="8"/>
        <v>0</v>
      </c>
      <c r="BK98" s="545">
        <f t="shared" si="10"/>
        <v>0</v>
      </c>
    </row>
    <row r="99" spans="1:63" ht="15" customHeight="1" x14ac:dyDescent="0.35">
      <c r="A99" s="579"/>
      <c r="B99" s="546"/>
      <c r="C99" s="579"/>
      <c r="D99" s="653"/>
      <c r="E99" s="654"/>
      <c r="F99" s="590"/>
      <c r="G99" s="562"/>
      <c r="H99" s="590"/>
      <c r="I99" s="562"/>
      <c r="J99" s="590"/>
      <c r="K99" s="562"/>
      <c r="L99" s="590"/>
      <c r="M99" s="562"/>
      <c r="N99" s="590"/>
      <c r="O99" s="562"/>
      <c r="P99" s="572"/>
      <c r="Q99" s="587"/>
      <c r="R99" s="572"/>
      <c r="S99" s="587"/>
      <c r="T99" s="590"/>
      <c r="U99" s="562"/>
      <c r="V99" s="590"/>
      <c r="W99" s="562"/>
      <c r="X99" s="590"/>
      <c r="Y99" s="562"/>
      <c r="Z99" s="590"/>
      <c r="AA99" s="562"/>
      <c r="AB99" s="590"/>
      <c r="AC99" s="562"/>
      <c r="AD99" s="572"/>
      <c r="AE99" s="587"/>
      <c r="AF99" s="590"/>
      <c r="AG99" s="562"/>
      <c r="AH99" s="590"/>
      <c r="AI99" s="562"/>
      <c r="AJ99" s="590"/>
      <c r="AK99" s="562"/>
      <c r="AL99" s="590"/>
      <c r="AM99" s="562"/>
      <c r="AN99" s="590"/>
      <c r="AO99" s="562"/>
      <c r="AP99" s="590"/>
      <c r="AQ99" s="562"/>
      <c r="AR99" s="572"/>
      <c r="AS99" s="587"/>
      <c r="AT99" s="590"/>
      <c r="AU99" s="562"/>
      <c r="AV99" s="590"/>
      <c r="AW99" s="562"/>
      <c r="AX99" s="590"/>
      <c r="AY99" s="562"/>
      <c r="AZ99" s="590"/>
      <c r="BA99" s="562"/>
      <c r="BB99" s="590"/>
      <c r="BC99" s="562"/>
      <c r="BD99" s="590"/>
      <c r="BE99" s="562"/>
      <c r="BF99" s="572"/>
      <c r="BG99" s="587"/>
      <c r="BH99" s="590"/>
      <c r="BI99" s="562"/>
      <c r="BJ99" s="535">
        <f t="shared" si="8"/>
        <v>0</v>
      </c>
      <c r="BK99" s="545">
        <f t="shared" si="10"/>
        <v>0</v>
      </c>
    </row>
    <row r="100" spans="1:63" ht="15" customHeight="1" x14ac:dyDescent="0.35">
      <c r="A100" s="579"/>
      <c r="B100" s="546"/>
      <c r="C100" s="579">
        <f>SUM(BJ101:BJ107)</f>
        <v>0</v>
      </c>
      <c r="D100" s="647" t="s">
        <v>133</v>
      </c>
      <c r="E100" s="648"/>
      <c r="F100" s="590"/>
      <c r="G100" s="562"/>
      <c r="H100" s="590"/>
      <c r="I100" s="562"/>
      <c r="J100" s="590"/>
      <c r="K100" s="562"/>
      <c r="L100" s="590"/>
      <c r="M100" s="562"/>
      <c r="N100" s="590"/>
      <c r="O100" s="562"/>
      <c r="P100" s="572"/>
      <c r="Q100" s="587"/>
      <c r="R100" s="572"/>
      <c r="S100" s="587"/>
      <c r="T100" s="590"/>
      <c r="U100" s="562"/>
      <c r="V100" s="590"/>
      <c r="W100" s="562"/>
      <c r="X100" s="590"/>
      <c r="Y100" s="562"/>
      <c r="Z100" s="590"/>
      <c r="AA100" s="562"/>
      <c r="AB100" s="590"/>
      <c r="AC100" s="562"/>
      <c r="AD100" s="572"/>
      <c r="AE100" s="587"/>
      <c r="AF100" s="590"/>
      <c r="AG100" s="562"/>
      <c r="AH100" s="590"/>
      <c r="AI100" s="562"/>
      <c r="AJ100" s="590"/>
      <c r="AK100" s="562"/>
      <c r="AL100" s="590"/>
      <c r="AM100" s="562"/>
      <c r="AN100" s="590"/>
      <c r="AO100" s="562"/>
      <c r="AP100" s="590"/>
      <c r="AQ100" s="562"/>
      <c r="AR100" s="572"/>
      <c r="AS100" s="587"/>
      <c r="AT100" s="590"/>
      <c r="AU100" s="562"/>
      <c r="AV100" s="590"/>
      <c r="AW100" s="562"/>
      <c r="AX100" s="590"/>
      <c r="AY100" s="562"/>
      <c r="AZ100" s="590"/>
      <c r="BA100" s="562"/>
      <c r="BB100" s="590"/>
      <c r="BC100" s="562"/>
      <c r="BD100" s="590"/>
      <c r="BE100" s="562"/>
      <c r="BF100" s="572"/>
      <c r="BG100" s="587"/>
      <c r="BH100" s="590"/>
      <c r="BI100" s="562"/>
      <c r="BJ100" s="535">
        <f t="shared" si="8"/>
        <v>0</v>
      </c>
      <c r="BK100" s="545">
        <f t="shared" si="10"/>
        <v>0</v>
      </c>
    </row>
    <row r="101" spans="1:63" ht="15" customHeight="1" x14ac:dyDescent="0.35">
      <c r="A101" s="579"/>
      <c r="B101" s="546" t="s">
        <v>44</v>
      </c>
      <c r="C101" s="579" t="s">
        <v>134</v>
      </c>
      <c r="D101" s="653" t="s">
        <v>135</v>
      </c>
      <c r="E101" s="654"/>
      <c r="F101" s="590"/>
      <c r="G101" s="562"/>
      <c r="H101" s="590"/>
      <c r="I101" s="562"/>
      <c r="J101" s="590"/>
      <c r="K101" s="562"/>
      <c r="L101" s="590"/>
      <c r="M101" s="562"/>
      <c r="N101" s="590"/>
      <c r="O101" s="562"/>
      <c r="P101" s="572"/>
      <c r="Q101" s="587"/>
      <c r="R101" s="572"/>
      <c r="S101" s="587"/>
      <c r="T101" s="590"/>
      <c r="U101" s="562"/>
      <c r="V101" s="590"/>
      <c r="W101" s="562"/>
      <c r="X101" s="590"/>
      <c r="Y101" s="562"/>
      <c r="Z101" s="590"/>
      <c r="AA101" s="562"/>
      <c r="AB101" s="590"/>
      <c r="AC101" s="562"/>
      <c r="AD101" s="572"/>
      <c r="AE101" s="587"/>
      <c r="AF101" s="590"/>
      <c r="AG101" s="562"/>
      <c r="AH101" s="590"/>
      <c r="AI101" s="562"/>
      <c r="AJ101" s="590"/>
      <c r="AK101" s="562"/>
      <c r="AL101" s="590"/>
      <c r="AM101" s="562"/>
      <c r="AN101" s="590"/>
      <c r="AO101" s="562"/>
      <c r="AP101" s="590"/>
      <c r="AQ101" s="562"/>
      <c r="AR101" s="572"/>
      <c r="AS101" s="587"/>
      <c r="AT101" s="590"/>
      <c r="AU101" s="562"/>
      <c r="AV101" s="590"/>
      <c r="AW101" s="562"/>
      <c r="AX101" s="590"/>
      <c r="AY101" s="562"/>
      <c r="AZ101" s="590"/>
      <c r="BA101" s="562"/>
      <c r="BB101" s="590"/>
      <c r="BC101" s="562"/>
      <c r="BD101" s="590"/>
      <c r="BE101" s="562"/>
      <c r="BF101" s="572"/>
      <c r="BG101" s="587"/>
      <c r="BH101" s="590"/>
      <c r="BI101" s="562"/>
      <c r="BJ101" s="535">
        <f t="shared" ref="BJ101:BJ122" si="11">SUM(F101:BI101)</f>
        <v>0</v>
      </c>
      <c r="BK101" s="545">
        <f t="shared" si="10"/>
        <v>0</v>
      </c>
    </row>
    <row r="102" spans="1:63" ht="15" customHeight="1" x14ac:dyDescent="0.35">
      <c r="A102" s="579"/>
      <c r="B102" s="546" t="s">
        <v>44</v>
      </c>
      <c r="C102" s="579" t="s">
        <v>136</v>
      </c>
      <c r="D102" s="653" t="s">
        <v>137</v>
      </c>
      <c r="E102" s="654"/>
      <c r="F102" s="590"/>
      <c r="G102" s="562"/>
      <c r="H102" s="590"/>
      <c r="I102" s="562"/>
      <c r="J102" s="590"/>
      <c r="K102" s="562"/>
      <c r="L102" s="590"/>
      <c r="M102" s="562"/>
      <c r="N102" s="590"/>
      <c r="O102" s="562"/>
      <c r="P102" s="572"/>
      <c r="Q102" s="587"/>
      <c r="R102" s="572"/>
      <c r="S102" s="587"/>
      <c r="T102" s="590"/>
      <c r="U102" s="562"/>
      <c r="V102" s="590"/>
      <c r="W102" s="562"/>
      <c r="X102" s="590"/>
      <c r="Y102" s="562"/>
      <c r="Z102" s="590"/>
      <c r="AA102" s="562"/>
      <c r="AB102" s="590"/>
      <c r="AC102" s="562"/>
      <c r="AD102" s="572"/>
      <c r="AE102" s="587"/>
      <c r="AF102" s="590"/>
      <c r="AG102" s="562"/>
      <c r="AH102" s="590"/>
      <c r="AI102" s="562"/>
      <c r="AJ102" s="590"/>
      <c r="AK102" s="562"/>
      <c r="AL102" s="590"/>
      <c r="AM102" s="562"/>
      <c r="AN102" s="590"/>
      <c r="AO102" s="562"/>
      <c r="AP102" s="590"/>
      <c r="AQ102" s="562"/>
      <c r="AR102" s="572"/>
      <c r="AS102" s="587"/>
      <c r="AT102" s="590"/>
      <c r="AU102" s="562"/>
      <c r="AV102" s="590"/>
      <c r="AW102" s="562"/>
      <c r="AX102" s="590"/>
      <c r="AY102" s="562"/>
      <c r="AZ102" s="590"/>
      <c r="BA102" s="562"/>
      <c r="BB102" s="590"/>
      <c r="BC102" s="562"/>
      <c r="BD102" s="590"/>
      <c r="BE102" s="562"/>
      <c r="BF102" s="572"/>
      <c r="BG102" s="587"/>
      <c r="BH102" s="590"/>
      <c r="BI102" s="562"/>
      <c r="BJ102" s="535">
        <f t="shared" si="11"/>
        <v>0</v>
      </c>
      <c r="BK102" s="545">
        <f t="shared" si="10"/>
        <v>0</v>
      </c>
    </row>
    <row r="103" spans="1:63" ht="15" customHeight="1" x14ac:dyDescent="0.35">
      <c r="A103" s="579"/>
      <c r="B103" s="546" t="s">
        <v>44</v>
      </c>
      <c r="C103" s="579" t="s">
        <v>138</v>
      </c>
      <c r="D103" s="653" t="s">
        <v>139</v>
      </c>
      <c r="E103" s="654"/>
      <c r="F103" s="590"/>
      <c r="G103" s="562"/>
      <c r="H103" s="590"/>
      <c r="I103" s="562"/>
      <c r="J103" s="590"/>
      <c r="K103" s="562"/>
      <c r="L103" s="590"/>
      <c r="M103" s="562"/>
      <c r="N103" s="590"/>
      <c r="O103" s="562"/>
      <c r="P103" s="572"/>
      <c r="Q103" s="587"/>
      <c r="R103" s="572"/>
      <c r="S103" s="587"/>
      <c r="T103" s="590"/>
      <c r="U103" s="562"/>
      <c r="V103" s="590"/>
      <c r="W103" s="562"/>
      <c r="X103" s="590"/>
      <c r="Y103" s="562"/>
      <c r="Z103" s="590"/>
      <c r="AA103" s="562"/>
      <c r="AB103" s="590"/>
      <c r="AC103" s="562"/>
      <c r="AD103" s="572"/>
      <c r="AE103" s="587"/>
      <c r="AF103" s="590"/>
      <c r="AG103" s="562"/>
      <c r="AH103" s="590"/>
      <c r="AI103" s="562"/>
      <c r="AJ103" s="590"/>
      <c r="AK103" s="562"/>
      <c r="AL103" s="590"/>
      <c r="AM103" s="562"/>
      <c r="AN103" s="590"/>
      <c r="AO103" s="562"/>
      <c r="AP103" s="590"/>
      <c r="AQ103" s="562"/>
      <c r="AR103" s="572"/>
      <c r="AS103" s="587"/>
      <c r="AT103" s="590"/>
      <c r="AU103" s="562"/>
      <c r="AV103" s="590"/>
      <c r="AW103" s="562"/>
      <c r="AX103" s="590"/>
      <c r="AY103" s="562"/>
      <c r="AZ103" s="590"/>
      <c r="BA103" s="562"/>
      <c r="BB103" s="590"/>
      <c r="BC103" s="562"/>
      <c r="BD103" s="590"/>
      <c r="BE103" s="562"/>
      <c r="BF103" s="572"/>
      <c r="BG103" s="587"/>
      <c r="BH103" s="590"/>
      <c r="BI103" s="562"/>
      <c r="BJ103" s="535">
        <f t="shared" si="11"/>
        <v>0</v>
      </c>
      <c r="BK103" s="545">
        <f t="shared" si="10"/>
        <v>0</v>
      </c>
    </row>
    <row r="104" spans="1:63" ht="15.75" customHeight="1" x14ac:dyDescent="0.35">
      <c r="A104" s="579"/>
      <c r="B104" s="546" t="s">
        <v>44</v>
      </c>
      <c r="C104" s="579" t="s">
        <v>140</v>
      </c>
      <c r="D104" s="653" t="s">
        <v>141</v>
      </c>
      <c r="E104" s="654"/>
      <c r="F104" s="590"/>
      <c r="G104" s="562"/>
      <c r="H104" s="590"/>
      <c r="I104" s="562"/>
      <c r="J104" s="590"/>
      <c r="K104" s="562"/>
      <c r="L104" s="590"/>
      <c r="M104" s="562"/>
      <c r="N104" s="590"/>
      <c r="O104" s="562"/>
      <c r="P104" s="572"/>
      <c r="Q104" s="587"/>
      <c r="R104" s="572"/>
      <c r="S104" s="587"/>
      <c r="T104" s="590"/>
      <c r="U104" s="562"/>
      <c r="V104" s="590"/>
      <c r="W104" s="562"/>
      <c r="X104" s="590"/>
      <c r="Y104" s="562"/>
      <c r="Z104" s="590"/>
      <c r="AA104" s="562"/>
      <c r="AB104" s="590"/>
      <c r="AC104" s="562"/>
      <c r="AD104" s="572"/>
      <c r="AE104" s="587"/>
      <c r="AF104" s="590"/>
      <c r="AG104" s="562"/>
      <c r="AH104" s="590"/>
      <c r="AI104" s="562"/>
      <c r="AJ104" s="590"/>
      <c r="AK104" s="562"/>
      <c r="AL104" s="590"/>
      <c r="AM104" s="562"/>
      <c r="AN104" s="590"/>
      <c r="AO104" s="562"/>
      <c r="AP104" s="590"/>
      <c r="AQ104" s="562"/>
      <c r="AR104" s="572"/>
      <c r="AS104" s="587"/>
      <c r="AT104" s="590"/>
      <c r="AU104" s="562"/>
      <c r="AV104" s="590"/>
      <c r="AW104" s="562"/>
      <c r="AX104" s="590"/>
      <c r="AY104" s="562"/>
      <c r="AZ104" s="590"/>
      <c r="BA104" s="562"/>
      <c r="BB104" s="590"/>
      <c r="BC104" s="562"/>
      <c r="BD104" s="590"/>
      <c r="BE104" s="562"/>
      <c r="BF104" s="572"/>
      <c r="BG104" s="587"/>
      <c r="BH104" s="590"/>
      <c r="BI104" s="562"/>
      <c r="BJ104" s="535">
        <f t="shared" si="11"/>
        <v>0</v>
      </c>
      <c r="BK104" s="545">
        <f t="shared" si="10"/>
        <v>0</v>
      </c>
    </row>
    <row r="105" spans="1:63" ht="15" customHeight="1" x14ac:dyDescent="0.35">
      <c r="A105" s="579"/>
      <c r="B105" s="546" t="s">
        <v>44</v>
      </c>
      <c r="C105" s="579" t="s">
        <v>142</v>
      </c>
      <c r="D105" s="653" t="s">
        <v>143</v>
      </c>
      <c r="E105" s="654"/>
      <c r="F105" s="590"/>
      <c r="G105" s="562"/>
      <c r="H105" s="590"/>
      <c r="I105" s="562"/>
      <c r="J105" s="590"/>
      <c r="K105" s="562"/>
      <c r="L105" s="590"/>
      <c r="M105" s="562"/>
      <c r="N105" s="590"/>
      <c r="O105" s="562"/>
      <c r="P105" s="572"/>
      <c r="Q105" s="587"/>
      <c r="R105" s="572"/>
      <c r="S105" s="587"/>
      <c r="T105" s="590"/>
      <c r="U105" s="562"/>
      <c r="V105" s="590"/>
      <c r="W105" s="562"/>
      <c r="X105" s="590"/>
      <c r="Y105" s="562"/>
      <c r="Z105" s="590"/>
      <c r="AA105" s="562"/>
      <c r="AB105" s="590"/>
      <c r="AC105" s="562"/>
      <c r="AD105" s="572"/>
      <c r="AE105" s="587"/>
      <c r="AF105" s="590"/>
      <c r="AG105" s="562"/>
      <c r="AH105" s="590"/>
      <c r="AI105" s="562"/>
      <c r="AJ105" s="590"/>
      <c r="AK105" s="562"/>
      <c r="AL105" s="590"/>
      <c r="AM105" s="562"/>
      <c r="AN105" s="590"/>
      <c r="AO105" s="562"/>
      <c r="AP105" s="590"/>
      <c r="AQ105" s="562"/>
      <c r="AR105" s="572"/>
      <c r="AS105" s="587"/>
      <c r="AT105" s="590"/>
      <c r="AU105" s="562"/>
      <c r="AV105" s="590"/>
      <c r="AW105" s="562"/>
      <c r="AX105" s="590"/>
      <c r="AY105" s="562"/>
      <c r="AZ105" s="590"/>
      <c r="BA105" s="562"/>
      <c r="BB105" s="590"/>
      <c r="BC105" s="562"/>
      <c r="BD105" s="590"/>
      <c r="BE105" s="562"/>
      <c r="BF105" s="572"/>
      <c r="BG105" s="587"/>
      <c r="BH105" s="590"/>
      <c r="BI105" s="562"/>
      <c r="BJ105" s="535">
        <f t="shared" si="11"/>
        <v>0</v>
      </c>
      <c r="BK105" s="545">
        <f t="shared" si="10"/>
        <v>0</v>
      </c>
    </row>
    <row r="106" spans="1:63" ht="15" customHeight="1" x14ac:dyDescent="0.35">
      <c r="A106" s="579"/>
      <c r="B106" s="546" t="s">
        <v>85</v>
      </c>
      <c r="C106" s="579" t="s">
        <v>144</v>
      </c>
      <c r="D106" s="653" t="s">
        <v>143</v>
      </c>
      <c r="E106" s="654"/>
      <c r="F106" s="590"/>
      <c r="G106" s="562"/>
      <c r="H106" s="590"/>
      <c r="I106" s="562"/>
      <c r="J106" s="590"/>
      <c r="K106" s="562"/>
      <c r="L106" s="590"/>
      <c r="M106" s="562"/>
      <c r="N106" s="590"/>
      <c r="O106" s="562"/>
      <c r="P106" s="572"/>
      <c r="Q106" s="587"/>
      <c r="R106" s="572"/>
      <c r="S106" s="587"/>
      <c r="T106" s="590"/>
      <c r="U106" s="562"/>
      <c r="V106" s="590"/>
      <c r="W106" s="562"/>
      <c r="X106" s="590"/>
      <c r="Y106" s="562"/>
      <c r="Z106" s="590"/>
      <c r="AA106" s="562"/>
      <c r="AB106" s="590"/>
      <c r="AC106" s="562"/>
      <c r="AD106" s="572"/>
      <c r="AE106" s="587"/>
      <c r="AF106" s="590"/>
      <c r="AG106" s="562"/>
      <c r="AH106" s="590"/>
      <c r="AI106" s="562"/>
      <c r="AJ106" s="590"/>
      <c r="AK106" s="562"/>
      <c r="AL106" s="590"/>
      <c r="AM106" s="562"/>
      <c r="AN106" s="590"/>
      <c r="AO106" s="562"/>
      <c r="AP106" s="590"/>
      <c r="AQ106" s="562"/>
      <c r="AR106" s="572"/>
      <c r="AS106" s="587"/>
      <c r="AT106" s="590"/>
      <c r="AU106" s="562"/>
      <c r="AV106" s="590"/>
      <c r="AW106" s="562"/>
      <c r="AX106" s="590"/>
      <c r="AY106" s="562"/>
      <c r="AZ106" s="590"/>
      <c r="BA106" s="562"/>
      <c r="BB106" s="590"/>
      <c r="BC106" s="562"/>
      <c r="BD106" s="590"/>
      <c r="BE106" s="562"/>
      <c r="BF106" s="572"/>
      <c r="BG106" s="587"/>
      <c r="BH106" s="590"/>
      <c r="BI106" s="562"/>
      <c r="BJ106" s="535">
        <f t="shared" si="11"/>
        <v>0</v>
      </c>
      <c r="BK106" s="545">
        <f t="shared" si="10"/>
        <v>0</v>
      </c>
    </row>
    <row r="107" spans="1:63" ht="15.75" customHeight="1" x14ac:dyDescent="0.35">
      <c r="A107" s="579"/>
      <c r="B107" s="546"/>
      <c r="C107" s="579"/>
      <c r="D107" s="653"/>
      <c r="E107" s="654"/>
      <c r="F107" s="590"/>
      <c r="G107" s="562"/>
      <c r="H107" s="590"/>
      <c r="I107" s="562"/>
      <c r="J107" s="590"/>
      <c r="K107" s="562"/>
      <c r="L107" s="590"/>
      <c r="M107" s="562"/>
      <c r="N107" s="590"/>
      <c r="O107" s="562"/>
      <c r="P107" s="572"/>
      <c r="Q107" s="587"/>
      <c r="R107" s="572"/>
      <c r="S107" s="587"/>
      <c r="T107" s="590"/>
      <c r="U107" s="562"/>
      <c r="V107" s="590"/>
      <c r="W107" s="562"/>
      <c r="X107" s="590"/>
      <c r="Y107" s="562"/>
      <c r="Z107" s="590"/>
      <c r="AA107" s="562"/>
      <c r="AB107" s="590"/>
      <c r="AC107" s="562"/>
      <c r="AD107" s="572"/>
      <c r="AE107" s="587"/>
      <c r="AF107" s="590"/>
      <c r="AG107" s="562"/>
      <c r="AH107" s="590"/>
      <c r="AI107" s="562"/>
      <c r="AJ107" s="590"/>
      <c r="AK107" s="562"/>
      <c r="AL107" s="590"/>
      <c r="AM107" s="562"/>
      <c r="AN107" s="590"/>
      <c r="AO107" s="562"/>
      <c r="AP107" s="590"/>
      <c r="AQ107" s="562"/>
      <c r="AR107" s="572"/>
      <c r="AS107" s="587"/>
      <c r="AT107" s="590"/>
      <c r="AU107" s="562"/>
      <c r="AV107" s="590"/>
      <c r="AW107" s="562"/>
      <c r="AX107" s="590"/>
      <c r="AY107" s="562"/>
      <c r="AZ107" s="590"/>
      <c r="BA107" s="562"/>
      <c r="BB107" s="590"/>
      <c r="BC107" s="562"/>
      <c r="BD107" s="590"/>
      <c r="BE107" s="562"/>
      <c r="BF107" s="572"/>
      <c r="BG107" s="587"/>
      <c r="BH107" s="590"/>
      <c r="BI107" s="562"/>
      <c r="BJ107" s="535">
        <f t="shared" si="11"/>
        <v>0</v>
      </c>
      <c r="BK107" s="545">
        <f t="shared" si="10"/>
        <v>0</v>
      </c>
    </row>
    <row r="108" spans="1:63" ht="15.75" customHeight="1" x14ac:dyDescent="0.35">
      <c r="A108" s="579"/>
      <c r="B108" s="546"/>
      <c r="C108" s="579">
        <f>SUM(BJ109:BJ113)</f>
        <v>0</v>
      </c>
      <c r="D108" s="647" t="s">
        <v>145</v>
      </c>
      <c r="E108" s="648"/>
      <c r="F108" s="590"/>
      <c r="G108" s="562"/>
      <c r="H108" s="590"/>
      <c r="I108" s="562"/>
      <c r="J108" s="590"/>
      <c r="K108" s="562"/>
      <c r="L108" s="590"/>
      <c r="M108" s="562"/>
      <c r="N108" s="590"/>
      <c r="O108" s="562"/>
      <c r="P108" s="572"/>
      <c r="Q108" s="587"/>
      <c r="R108" s="572"/>
      <c r="S108" s="587"/>
      <c r="T108" s="590"/>
      <c r="U108" s="562"/>
      <c r="V108" s="590"/>
      <c r="W108" s="562"/>
      <c r="X108" s="590"/>
      <c r="Y108" s="562"/>
      <c r="Z108" s="590"/>
      <c r="AA108" s="562"/>
      <c r="AB108" s="590"/>
      <c r="AC108" s="562"/>
      <c r="AD108" s="572"/>
      <c r="AE108" s="587"/>
      <c r="AF108" s="590"/>
      <c r="AG108" s="562"/>
      <c r="AH108" s="590"/>
      <c r="AI108" s="562"/>
      <c r="AJ108" s="590"/>
      <c r="AK108" s="562"/>
      <c r="AL108" s="590"/>
      <c r="AM108" s="562"/>
      <c r="AN108" s="590"/>
      <c r="AO108" s="562"/>
      <c r="AP108" s="590"/>
      <c r="AQ108" s="562"/>
      <c r="AR108" s="572"/>
      <c r="AS108" s="587"/>
      <c r="AT108" s="590"/>
      <c r="AU108" s="562"/>
      <c r="AV108" s="590"/>
      <c r="AW108" s="562"/>
      <c r="AX108" s="590"/>
      <c r="AY108" s="562"/>
      <c r="AZ108" s="590"/>
      <c r="BA108" s="562"/>
      <c r="BB108" s="590"/>
      <c r="BC108" s="562"/>
      <c r="BD108" s="590"/>
      <c r="BE108" s="562"/>
      <c r="BF108" s="572"/>
      <c r="BG108" s="587"/>
      <c r="BH108" s="590"/>
      <c r="BI108" s="562"/>
      <c r="BJ108" s="535">
        <f t="shared" si="11"/>
        <v>0</v>
      </c>
      <c r="BK108" s="545">
        <f t="shared" si="10"/>
        <v>0</v>
      </c>
    </row>
    <row r="109" spans="1:63" ht="15" customHeight="1" x14ac:dyDescent="0.35">
      <c r="A109" s="579"/>
      <c r="B109" s="546" t="s">
        <v>85</v>
      </c>
      <c r="C109" s="579" t="s">
        <v>146</v>
      </c>
      <c r="D109" s="653" t="s">
        <v>147</v>
      </c>
      <c r="E109" s="654"/>
      <c r="F109" s="590"/>
      <c r="G109" s="562"/>
      <c r="H109" s="590"/>
      <c r="I109" s="562"/>
      <c r="J109" s="590"/>
      <c r="K109" s="562"/>
      <c r="L109" s="590"/>
      <c r="M109" s="562"/>
      <c r="N109" s="590"/>
      <c r="O109" s="562"/>
      <c r="P109" s="572"/>
      <c r="Q109" s="587"/>
      <c r="R109" s="572"/>
      <c r="S109" s="587"/>
      <c r="T109" s="590"/>
      <c r="U109" s="562"/>
      <c r="V109" s="590"/>
      <c r="W109" s="562"/>
      <c r="X109" s="590"/>
      <c r="Y109" s="562"/>
      <c r="Z109" s="590"/>
      <c r="AA109" s="562"/>
      <c r="AB109" s="590"/>
      <c r="AC109" s="562"/>
      <c r="AD109" s="572"/>
      <c r="AE109" s="587"/>
      <c r="AF109" s="590"/>
      <c r="AG109" s="562"/>
      <c r="AH109" s="590"/>
      <c r="AI109" s="562"/>
      <c r="AJ109" s="590"/>
      <c r="AK109" s="562"/>
      <c r="AL109" s="590"/>
      <c r="AM109" s="562"/>
      <c r="AN109" s="590"/>
      <c r="AO109" s="562"/>
      <c r="AP109" s="590"/>
      <c r="AQ109" s="562"/>
      <c r="AR109" s="572"/>
      <c r="AS109" s="587"/>
      <c r="AT109" s="590"/>
      <c r="AU109" s="562"/>
      <c r="AV109" s="590"/>
      <c r="AW109" s="562"/>
      <c r="AX109" s="590"/>
      <c r="AY109" s="562"/>
      <c r="AZ109" s="590"/>
      <c r="BA109" s="562"/>
      <c r="BB109" s="590"/>
      <c r="BC109" s="562"/>
      <c r="BD109" s="590"/>
      <c r="BE109" s="562"/>
      <c r="BF109" s="572"/>
      <c r="BG109" s="587"/>
      <c r="BH109" s="590"/>
      <c r="BI109" s="562"/>
      <c r="BJ109" s="535">
        <f t="shared" si="11"/>
        <v>0</v>
      </c>
      <c r="BK109" s="545">
        <f t="shared" si="10"/>
        <v>0</v>
      </c>
    </row>
    <row r="110" spans="1:63" ht="15" customHeight="1" x14ac:dyDescent="0.35">
      <c r="A110" s="579"/>
      <c r="B110" s="546" t="s">
        <v>44</v>
      </c>
      <c r="C110" s="579" t="s">
        <v>148</v>
      </c>
      <c r="D110" s="653" t="s">
        <v>137</v>
      </c>
      <c r="E110" s="654"/>
      <c r="F110" s="590"/>
      <c r="G110" s="562"/>
      <c r="H110" s="590"/>
      <c r="I110" s="562"/>
      <c r="J110" s="590"/>
      <c r="K110" s="562"/>
      <c r="L110" s="590"/>
      <c r="M110" s="562"/>
      <c r="N110" s="590"/>
      <c r="O110" s="562"/>
      <c r="P110" s="572"/>
      <c r="Q110" s="587"/>
      <c r="R110" s="572"/>
      <c r="S110" s="587"/>
      <c r="T110" s="590"/>
      <c r="U110" s="562"/>
      <c r="V110" s="590"/>
      <c r="W110" s="562"/>
      <c r="X110" s="590"/>
      <c r="Y110" s="562"/>
      <c r="Z110" s="590"/>
      <c r="AA110" s="562"/>
      <c r="AB110" s="590"/>
      <c r="AC110" s="562"/>
      <c r="AD110" s="572"/>
      <c r="AE110" s="587"/>
      <c r="AF110" s="590"/>
      <c r="AG110" s="562"/>
      <c r="AH110" s="590"/>
      <c r="AI110" s="562"/>
      <c r="AJ110" s="590"/>
      <c r="AK110" s="562"/>
      <c r="AL110" s="590"/>
      <c r="AM110" s="562"/>
      <c r="AN110" s="590"/>
      <c r="AO110" s="562"/>
      <c r="AP110" s="590"/>
      <c r="AQ110" s="562"/>
      <c r="AR110" s="572"/>
      <c r="AS110" s="587"/>
      <c r="AT110" s="590"/>
      <c r="AU110" s="562"/>
      <c r="AV110" s="590"/>
      <c r="AW110" s="562"/>
      <c r="AX110" s="590"/>
      <c r="AY110" s="562"/>
      <c r="AZ110" s="590"/>
      <c r="BA110" s="562"/>
      <c r="BB110" s="590"/>
      <c r="BC110" s="562"/>
      <c r="BD110" s="590"/>
      <c r="BE110" s="562"/>
      <c r="BF110" s="572"/>
      <c r="BG110" s="587"/>
      <c r="BH110" s="590"/>
      <c r="BI110" s="562"/>
      <c r="BJ110" s="535">
        <f t="shared" si="11"/>
        <v>0</v>
      </c>
      <c r="BK110" s="545">
        <f t="shared" si="10"/>
        <v>0</v>
      </c>
    </row>
    <row r="111" spans="1:63" ht="15" customHeight="1" x14ac:dyDescent="0.35">
      <c r="A111" s="579"/>
      <c r="B111" s="546" t="s">
        <v>44</v>
      </c>
      <c r="C111" s="579" t="s">
        <v>149</v>
      </c>
      <c r="D111" s="653" t="s">
        <v>150</v>
      </c>
      <c r="E111" s="654"/>
      <c r="F111" s="590"/>
      <c r="G111" s="562"/>
      <c r="H111" s="590"/>
      <c r="I111" s="562"/>
      <c r="J111" s="590"/>
      <c r="K111" s="562"/>
      <c r="L111" s="590"/>
      <c r="M111" s="562"/>
      <c r="N111" s="590"/>
      <c r="O111" s="562"/>
      <c r="P111" s="572"/>
      <c r="Q111" s="587"/>
      <c r="R111" s="572"/>
      <c r="S111" s="587"/>
      <c r="T111" s="590"/>
      <c r="U111" s="562"/>
      <c r="V111" s="590"/>
      <c r="W111" s="562"/>
      <c r="X111" s="590"/>
      <c r="Y111" s="562"/>
      <c r="Z111" s="590"/>
      <c r="AA111" s="562"/>
      <c r="AB111" s="590"/>
      <c r="AC111" s="562"/>
      <c r="AD111" s="572"/>
      <c r="AE111" s="587"/>
      <c r="AF111" s="590"/>
      <c r="AG111" s="562"/>
      <c r="AH111" s="590"/>
      <c r="AI111" s="562"/>
      <c r="AJ111" s="590"/>
      <c r="AK111" s="562"/>
      <c r="AL111" s="590"/>
      <c r="AM111" s="562"/>
      <c r="AN111" s="590"/>
      <c r="AO111" s="562"/>
      <c r="AP111" s="590"/>
      <c r="AQ111" s="562"/>
      <c r="AR111" s="572"/>
      <c r="AS111" s="587"/>
      <c r="AT111" s="590"/>
      <c r="AU111" s="562"/>
      <c r="AV111" s="590"/>
      <c r="AW111" s="562"/>
      <c r="AX111" s="590"/>
      <c r="AY111" s="562"/>
      <c r="AZ111" s="590"/>
      <c r="BA111" s="562"/>
      <c r="BB111" s="590"/>
      <c r="BC111" s="562"/>
      <c r="BD111" s="590"/>
      <c r="BE111" s="562"/>
      <c r="BF111" s="572"/>
      <c r="BG111" s="587"/>
      <c r="BH111" s="590"/>
      <c r="BI111" s="562"/>
      <c r="BJ111" s="535">
        <f t="shared" si="11"/>
        <v>0</v>
      </c>
      <c r="BK111" s="545">
        <f t="shared" si="10"/>
        <v>0</v>
      </c>
    </row>
    <row r="112" spans="1:63" ht="15" customHeight="1" x14ac:dyDescent="0.35">
      <c r="A112" s="579"/>
      <c r="B112" s="579"/>
      <c r="C112" s="579"/>
      <c r="D112" s="653"/>
      <c r="E112" s="654"/>
      <c r="F112" s="590"/>
      <c r="G112" s="562"/>
      <c r="H112" s="590"/>
      <c r="I112" s="562"/>
      <c r="J112" s="590"/>
      <c r="K112" s="562"/>
      <c r="L112" s="590"/>
      <c r="M112" s="562"/>
      <c r="N112" s="590"/>
      <c r="O112" s="562"/>
      <c r="P112" s="572"/>
      <c r="Q112" s="587"/>
      <c r="R112" s="572"/>
      <c r="S112" s="587"/>
      <c r="T112" s="590"/>
      <c r="U112" s="562"/>
      <c r="V112" s="590"/>
      <c r="W112" s="562"/>
      <c r="X112" s="590"/>
      <c r="Y112" s="562"/>
      <c r="Z112" s="590"/>
      <c r="AA112" s="562"/>
      <c r="AB112" s="590"/>
      <c r="AC112" s="562"/>
      <c r="AD112" s="572"/>
      <c r="AE112" s="587"/>
      <c r="AF112" s="590"/>
      <c r="AG112" s="562"/>
      <c r="AH112" s="590"/>
      <c r="AI112" s="562"/>
      <c r="AJ112" s="590"/>
      <c r="AK112" s="562"/>
      <c r="AL112" s="590"/>
      <c r="AM112" s="562"/>
      <c r="AN112" s="590"/>
      <c r="AO112" s="562"/>
      <c r="AP112" s="590"/>
      <c r="AQ112" s="562"/>
      <c r="AR112" s="572"/>
      <c r="AS112" s="587"/>
      <c r="AT112" s="590"/>
      <c r="AU112" s="562"/>
      <c r="AV112" s="590"/>
      <c r="AW112" s="562"/>
      <c r="AX112" s="590"/>
      <c r="AY112" s="562"/>
      <c r="AZ112" s="590"/>
      <c r="BA112" s="562"/>
      <c r="BB112" s="590"/>
      <c r="BC112" s="562"/>
      <c r="BD112" s="590"/>
      <c r="BE112" s="562"/>
      <c r="BF112" s="572"/>
      <c r="BG112" s="587"/>
      <c r="BH112" s="590"/>
      <c r="BI112" s="562"/>
      <c r="BJ112" s="535">
        <f t="shared" si="11"/>
        <v>0</v>
      </c>
      <c r="BK112" s="545">
        <f t="shared" si="10"/>
        <v>0</v>
      </c>
    </row>
    <row r="113" spans="1:63" ht="15" customHeight="1" x14ac:dyDescent="0.35">
      <c r="A113" s="579"/>
      <c r="B113" s="579"/>
      <c r="C113" s="579"/>
      <c r="D113" s="653"/>
      <c r="E113" s="654"/>
      <c r="F113" s="590"/>
      <c r="G113" s="562"/>
      <c r="H113" s="590"/>
      <c r="I113" s="562"/>
      <c r="J113" s="590"/>
      <c r="K113" s="562"/>
      <c r="L113" s="590"/>
      <c r="M113" s="562"/>
      <c r="N113" s="590"/>
      <c r="O113" s="562"/>
      <c r="P113" s="572"/>
      <c r="Q113" s="587"/>
      <c r="R113" s="572"/>
      <c r="S113" s="587"/>
      <c r="T113" s="590"/>
      <c r="U113" s="562"/>
      <c r="V113" s="590"/>
      <c r="W113" s="562"/>
      <c r="X113" s="590"/>
      <c r="Y113" s="562"/>
      <c r="Z113" s="590"/>
      <c r="AA113" s="562"/>
      <c r="AB113" s="590"/>
      <c r="AC113" s="562"/>
      <c r="AD113" s="572"/>
      <c r="AE113" s="587"/>
      <c r="AF113" s="590"/>
      <c r="AG113" s="562"/>
      <c r="AH113" s="590"/>
      <c r="AI113" s="562"/>
      <c r="AJ113" s="590"/>
      <c r="AK113" s="562"/>
      <c r="AL113" s="590"/>
      <c r="AM113" s="562"/>
      <c r="AN113" s="590"/>
      <c r="AO113" s="562"/>
      <c r="AP113" s="590"/>
      <c r="AQ113" s="562"/>
      <c r="AR113" s="572"/>
      <c r="AS113" s="587"/>
      <c r="AT113" s="590"/>
      <c r="AU113" s="562"/>
      <c r="AV113" s="590"/>
      <c r="AW113" s="562"/>
      <c r="AX113" s="590"/>
      <c r="AY113" s="562"/>
      <c r="AZ113" s="590"/>
      <c r="BA113" s="562"/>
      <c r="BB113" s="590"/>
      <c r="BC113" s="562"/>
      <c r="BD113" s="590"/>
      <c r="BE113" s="562"/>
      <c r="BF113" s="572"/>
      <c r="BG113" s="587"/>
      <c r="BH113" s="590"/>
      <c r="BI113" s="562"/>
      <c r="BJ113" s="535">
        <f t="shared" si="11"/>
        <v>0</v>
      </c>
      <c r="BK113" s="545">
        <f t="shared" si="10"/>
        <v>0</v>
      </c>
    </row>
    <row r="114" spans="1:63" x14ac:dyDescent="0.35">
      <c r="A114" s="583"/>
      <c r="B114" s="583"/>
      <c r="C114" s="583"/>
      <c r="D114" s="661" t="s">
        <v>151</v>
      </c>
      <c r="E114" s="662"/>
      <c r="F114" s="536"/>
      <c r="G114" s="573"/>
      <c r="H114" s="536"/>
      <c r="I114" s="573"/>
      <c r="J114" s="536"/>
      <c r="K114" s="573"/>
      <c r="L114" s="536"/>
      <c r="M114" s="573"/>
      <c r="N114" s="536"/>
      <c r="O114" s="573"/>
      <c r="P114" s="572"/>
      <c r="Q114" s="587"/>
      <c r="R114" s="572"/>
      <c r="S114" s="587"/>
      <c r="T114" s="536"/>
      <c r="U114" s="573"/>
      <c r="V114" s="536"/>
      <c r="W114" s="573"/>
      <c r="X114" s="536"/>
      <c r="Y114" s="573"/>
      <c r="Z114" s="536"/>
      <c r="AA114" s="573"/>
      <c r="AB114" s="536"/>
      <c r="AC114" s="573"/>
      <c r="AD114" s="572"/>
      <c r="AE114" s="587"/>
      <c r="AF114" s="536"/>
      <c r="AG114" s="573"/>
      <c r="AH114" s="536"/>
      <c r="AI114" s="573"/>
      <c r="AJ114" s="536"/>
      <c r="AK114" s="573"/>
      <c r="AL114" s="536"/>
      <c r="AM114" s="573"/>
      <c r="AN114" s="536"/>
      <c r="AO114" s="573"/>
      <c r="AP114" s="536"/>
      <c r="AQ114" s="573"/>
      <c r="AR114" s="572"/>
      <c r="AS114" s="587"/>
      <c r="AT114" s="536"/>
      <c r="AU114" s="573"/>
      <c r="AV114" s="536"/>
      <c r="AW114" s="573"/>
      <c r="AX114" s="536"/>
      <c r="AY114" s="573"/>
      <c r="AZ114" s="536"/>
      <c r="BA114" s="573"/>
      <c r="BB114" s="536"/>
      <c r="BC114" s="573"/>
      <c r="BD114" s="536"/>
      <c r="BE114" s="573"/>
      <c r="BF114" s="572"/>
      <c r="BG114" s="587"/>
      <c r="BH114" s="536"/>
      <c r="BI114" s="573"/>
      <c r="BJ114" s="535">
        <f t="shared" si="11"/>
        <v>0</v>
      </c>
      <c r="BK114" s="545"/>
    </row>
    <row r="115" spans="1:63" x14ac:dyDescent="0.35">
      <c r="A115" s="583"/>
      <c r="B115" s="583"/>
      <c r="C115" s="583"/>
      <c r="D115" s="655" t="s">
        <v>152</v>
      </c>
      <c r="E115" s="656"/>
      <c r="F115" s="588"/>
      <c r="G115" s="574"/>
      <c r="H115" s="588"/>
      <c r="I115" s="574"/>
      <c r="J115" s="588"/>
      <c r="K115" s="574"/>
      <c r="L115" s="588"/>
      <c r="M115" s="574"/>
      <c r="N115" s="588"/>
      <c r="O115" s="574"/>
      <c r="P115" s="572"/>
      <c r="Q115" s="587"/>
      <c r="R115" s="572"/>
      <c r="S115" s="587"/>
      <c r="T115" s="588"/>
      <c r="U115" s="574"/>
      <c r="V115" s="588"/>
      <c r="W115" s="574"/>
      <c r="X115" s="588"/>
      <c r="Y115" s="574"/>
      <c r="Z115" s="588"/>
      <c r="AA115" s="574"/>
      <c r="AB115" s="588"/>
      <c r="AC115" s="574"/>
      <c r="AD115" s="572"/>
      <c r="AE115" s="587"/>
      <c r="AF115" s="588"/>
      <c r="AG115" s="574"/>
      <c r="AH115" s="588"/>
      <c r="AI115" s="574"/>
      <c r="AJ115" s="588"/>
      <c r="AK115" s="574"/>
      <c r="AL115" s="588"/>
      <c r="AM115" s="574"/>
      <c r="AN115" s="588"/>
      <c r="AO115" s="574"/>
      <c r="AP115" s="588"/>
      <c r="AQ115" s="574"/>
      <c r="AR115" s="572"/>
      <c r="AS115" s="587"/>
      <c r="AT115" s="588"/>
      <c r="AU115" s="574"/>
      <c r="AV115" s="588"/>
      <c r="AW115" s="574"/>
      <c r="AX115" s="588"/>
      <c r="AY115" s="574"/>
      <c r="AZ115" s="588"/>
      <c r="BA115" s="574"/>
      <c r="BB115" s="588"/>
      <c r="BC115" s="574"/>
      <c r="BD115" s="588"/>
      <c r="BE115" s="574"/>
      <c r="BF115" s="572"/>
      <c r="BG115" s="587"/>
      <c r="BH115" s="588"/>
      <c r="BI115" s="574"/>
      <c r="BJ115" s="535">
        <f t="shared" si="11"/>
        <v>0</v>
      </c>
      <c r="BK115" s="545"/>
    </row>
    <row r="116" spans="1:63" s="531" customFormat="1" x14ac:dyDescent="0.35">
      <c r="A116" s="551"/>
      <c r="B116" s="551"/>
      <c r="C116" s="551"/>
      <c r="D116" s="657" t="s">
        <v>1041</v>
      </c>
      <c r="E116" s="658"/>
      <c r="F116" s="513"/>
      <c r="G116" s="557"/>
      <c r="H116" s="513"/>
      <c r="I116" s="557"/>
      <c r="J116" s="513"/>
      <c r="K116" s="557"/>
      <c r="L116" s="513"/>
      <c r="M116" s="557"/>
      <c r="N116" s="513"/>
      <c r="O116" s="557"/>
      <c r="P116" s="572"/>
      <c r="Q116" s="587"/>
      <c r="R116" s="572"/>
      <c r="S116" s="587"/>
      <c r="T116" s="513"/>
      <c r="U116" s="557"/>
      <c r="V116" s="513"/>
      <c r="W116" s="557"/>
      <c r="X116" s="513"/>
      <c r="Y116" s="557"/>
      <c r="Z116" s="513">
        <v>6</v>
      </c>
      <c r="AA116" s="557"/>
      <c r="AB116" s="513">
        <v>6</v>
      </c>
      <c r="AC116" s="557"/>
      <c r="AD116" s="572"/>
      <c r="AE116" s="587"/>
      <c r="AF116" s="513">
        <v>6</v>
      </c>
      <c r="AG116" s="557"/>
      <c r="AH116" s="513"/>
      <c r="AI116" s="557"/>
      <c r="AJ116" s="513"/>
      <c r="AK116" s="557"/>
      <c r="AL116" s="513"/>
      <c r="AM116" s="557"/>
      <c r="AN116" s="513"/>
      <c r="AO116" s="557"/>
      <c r="AP116" s="513"/>
      <c r="AQ116" s="557"/>
      <c r="AR116" s="572"/>
      <c r="AS116" s="587"/>
      <c r="AT116" s="513"/>
      <c r="AU116" s="557"/>
      <c r="AV116" s="513"/>
      <c r="AW116" s="557"/>
      <c r="AX116" s="513"/>
      <c r="AY116" s="557"/>
      <c r="AZ116" s="513"/>
      <c r="BA116" s="557"/>
      <c r="BB116" s="513"/>
      <c r="BC116" s="557"/>
      <c r="BD116" s="513"/>
      <c r="BE116" s="557"/>
      <c r="BF116" s="572"/>
      <c r="BG116" s="587"/>
      <c r="BH116" s="513"/>
      <c r="BI116" s="557"/>
      <c r="BJ116" s="535">
        <f t="shared" si="11"/>
        <v>18</v>
      </c>
      <c r="BK116" s="591"/>
    </row>
    <row r="117" spans="1:63" s="531" customFormat="1" x14ac:dyDescent="0.35">
      <c r="A117" s="551"/>
      <c r="B117" s="551"/>
      <c r="C117" s="551"/>
      <c r="D117" s="657" t="s">
        <v>154</v>
      </c>
      <c r="E117" s="658"/>
      <c r="F117" s="530"/>
      <c r="G117" s="537"/>
      <c r="H117" s="530"/>
      <c r="I117" s="537"/>
      <c r="J117" s="530"/>
      <c r="K117" s="537"/>
      <c r="L117" s="530"/>
      <c r="M117" s="537"/>
      <c r="N117" s="530"/>
      <c r="O117" s="537"/>
      <c r="P117" s="572"/>
      <c r="Q117" s="587"/>
      <c r="R117" s="572"/>
      <c r="S117" s="587"/>
      <c r="T117" s="530"/>
      <c r="U117" s="537"/>
      <c r="V117" s="530"/>
      <c r="W117" s="537"/>
      <c r="X117" s="530"/>
      <c r="Y117" s="537"/>
      <c r="Z117" s="530"/>
      <c r="AA117" s="537"/>
      <c r="AB117" s="530"/>
      <c r="AC117" s="537"/>
      <c r="AD117" s="572"/>
      <c r="AE117" s="587"/>
      <c r="AF117" s="530"/>
      <c r="AG117" s="537"/>
      <c r="AH117" s="530"/>
      <c r="AI117" s="537"/>
      <c r="AJ117" s="530"/>
      <c r="AK117" s="537"/>
      <c r="AL117" s="530"/>
      <c r="AM117" s="537"/>
      <c r="AN117" s="530"/>
      <c r="AO117" s="537"/>
      <c r="AP117" s="530"/>
      <c r="AQ117" s="537"/>
      <c r="AR117" s="572"/>
      <c r="AS117" s="587"/>
      <c r="AT117" s="530"/>
      <c r="AU117" s="537"/>
      <c r="AV117" s="530"/>
      <c r="AW117" s="537"/>
      <c r="AX117" s="530"/>
      <c r="AY117" s="537"/>
      <c r="AZ117" s="530"/>
      <c r="BA117" s="537"/>
      <c r="BB117" s="530"/>
      <c r="BC117" s="537"/>
      <c r="BD117" s="530"/>
      <c r="BE117" s="537"/>
      <c r="BF117" s="572"/>
      <c r="BG117" s="587"/>
      <c r="BH117" s="530"/>
      <c r="BI117" s="537"/>
      <c r="BJ117" s="535">
        <f t="shared" si="11"/>
        <v>0</v>
      </c>
      <c r="BK117" s="591"/>
    </row>
    <row r="118" spans="1:63" s="531" customFormat="1" x14ac:dyDescent="0.35">
      <c r="A118" s="551"/>
      <c r="B118" s="551"/>
      <c r="C118" s="551"/>
      <c r="D118" s="657" t="s">
        <v>155</v>
      </c>
      <c r="E118" s="658"/>
      <c r="F118" s="530">
        <f t="shared" ref="F118:BI118" si="12">(F116*60)+F117</f>
        <v>0</v>
      </c>
      <c r="G118" s="537">
        <f t="shared" si="12"/>
        <v>0</v>
      </c>
      <c r="H118" s="530">
        <f t="shared" si="12"/>
        <v>0</v>
      </c>
      <c r="I118" s="537">
        <f t="shared" si="12"/>
        <v>0</v>
      </c>
      <c r="J118" s="530">
        <f t="shared" si="12"/>
        <v>0</v>
      </c>
      <c r="K118" s="537">
        <f t="shared" si="12"/>
        <v>0</v>
      </c>
      <c r="L118" s="530">
        <f t="shared" si="12"/>
        <v>0</v>
      </c>
      <c r="M118" s="537">
        <f t="shared" si="12"/>
        <v>0</v>
      </c>
      <c r="N118" s="530">
        <f t="shared" si="12"/>
        <v>0</v>
      </c>
      <c r="O118" s="537">
        <f t="shared" si="12"/>
        <v>0</v>
      </c>
      <c r="P118" s="587">
        <f>(P116*60)+P117</f>
        <v>0</v>
      </c>
      <c r="Q118" s="587">
        <f t="shared" si="12"/>
        <v>0</v>
      </c>
      <c r="R118" s="587">
        <f>(R116*60)+R117</f>
        <v>0</v>
      </c>
      <c r="S118" s="587">
        <f t="shared" si="12"/>
        <v>0</v>
      </c>
      <c r="T118" s="530">
        <f t="shared" si="12"/>
        <v>0</v>
      </c>
      <c r="U118" s="537">
        <f t="shared" si="12"/>
        <v>0</v>
      </c>
      <c r="V118" s="530">
        <f t="shared" si="12"/>
        <v>0</v>
      </c>
      <c r="W118" s="537">
        <f t="shared" si="12"/>
        <v>0</v>
      </c>
      <c r="X118" s="530">
        <f t="shared" si="12"/>
        <v>0</v>
      </c>
      <c r="Y118" s="537">
        <f t="shared" si="12"/>
        <v>0</v>
      </c>
      <c r="Z118" s="530">
        <f t="shared" si="12"/>
        <v>360</v>
      </c>
      <c r="AA118" s="537">
        <f t="shared" si="12"/>
        <v>0</v>
      </c>
      <c r="AB118" s="530">
        <f t="shared" si="12"/>
        <v>360</v>
      </c>
      <c r="AC118" s="537">
        <f t="shared" si="12"/>
        <v>0</v>
      </c>
      <c r="AD118" s="587">
        <f t="shared" si="12"/>
        <v>0</v>
      </c>
      <c r="AE118" s="587">
        <f t="shared" si="12"/>
        <v>0</v>
      </c>
      <c r="AF118" s="530">
        <f t="shared" si="12"/>
        <v>360</v>
      </c>
      <c r="AG118" s="537">
        <f t="shared" si="12"/>
        <v>0</v>
      </c>
      <c r="AH118" s="530">
        <f t="shared" si="12"/>
        <v>0</v>
      </c>
      <c r="AI118" s="537">
        <f t="shared" si="12"/>
        <v>0</v>
      </c>
      <c r="AJ118" s="530">
        <f t="shared" si="12"/>
        <v>0</v>
      </c>
      <c r="AK118" s="537">
        <f t="shared" si="12"/>
        <v>0</v>
      </c>
      <c r="AL118" s="530">
        <f t="shared" si="12"/>
        <v>0</v>
      </c>
      <c r="AM118" s="537">
        <f t="shared" si="12"/>
        <v>0</v>
      </c>
      <c r="AN118" s="530">
        <f t="shared" si="12"/>
        <v>0</v>
      </c>
      <c r="AO118" s="537">
        <f t="shared" si="12"/>
        <v>0</v>
      </c>
      <c r="AP118" s="530">
        <f t="shared" si="12"/>
        <v>0</v>
      </c>
      <c r="AQ118" s="537">
        <f t="shared" si="12"/>
        <v>0</v>
      </c>
      <c r="AR118" s="587">
        <f t="shared" si="12"/>
        <v>0</v>
      </c>
      <c r="AS118" s="587">
        <f t="shared" si="12"/>
        <v>0</v>
      </c>
      <c r="AT118" s="530">
        <f t="shared" si="12"/>
        <v>0</v>
      </c>
      <c r="AU118" s="537">
        <f t="shared" si="12"/>
        <v>0</v>
      </c>
      <c r="AV118" s="530">
        <f t="shared" si="12"/>
        <v>0</v>
      </c>
      <c r="AW118" s="537">
        <f t="shared" si="12"/>
        <v>0</v>
      </c>
      <c r="AX118" s="530">
        <f t="shared" si="12"/>
        <v>0</v>
      </c>
      <c r="AY118" s="537">
        <f t="shared" si="12"/>
        <v>0</v>
      </c>
      <c r="AZ118" s="530">
        <f t="shared" si="12"/>
        <v>0</v>
      </c>
      <c r="BA118" s="537">
        <f t="shared" si="12"/>
        <v>0</v>
      </c>
      <c r="BB118" s="530">
        <f t="shared" si="12"/>
        <v>0</v>
      </c>
      <c r="BC118" s="537">
        <f t="shared" si="12"/>
        <v>0</v>
      </c>
      <c r="BD118" s="530">
        <f t="shared" si="12"/>
        <v>0</v>
      </c>
      <c r="BE118" s="537">
        <f t="shared" si="12"/>
        <v>0</v>
      </c>
      <c r="BF118" s="587">
        <f t="shared" si="12"/>
        <v>0</v>
      </c>
      <c r="BG118" s="587">
        <f t="shared" si="12"/>
        <v>0</v>
      </c>
      <c r="BH118" s="530">
        <f t="shared" si="12"/>
        <v>0</v>
      </c>
      <c r="BI118" s="537">
        <f t="shared" si="12"/>
        <v>0</v>
      </c>
      <c r="BJ118" s="535">
        <f t="shared" si="11"/>
        <v>1080</v>
      </c>
      <c r="BK118" s="591"/>
    </row>
    <row r="119" spans="1:63" s="531" customFormat="1" x14ac:dyDescent="0.35">
      <c r="A119" s="551"/>
      <c r="B119" s="551"/>
      <c r="C119" s="551"/>
      <c r="D119" s="657" t="s">
        <v>156</v>
      </c>
      <c r="E119" s="658"/>
      <c r="F119" s="530">
        <f t="shared" ref="F119:BI119" si="13">F118-F120</f>
        <v>0</v>
      </c>
      <c r="G119" s="537">
        <f t="shared" si="13"/>
        <v>0</v>
      </c>
      <c r="H119" s="530">
        <f t="shared" si="13"/>
        <v>0</v>
      </c>
      <c r="I119" s="537">
        <f t="shared" si="13"/>
        <v>0</v>
      </c>
      <c r="J119" s="530">
        <f t="shared" si="13"/>
        <v>0</v>
      </c>
      <c r="K119" s="537">
        <f t="shared" si="13"/>
        <v>0</v>
      </c>
      <c r="L119" s="530">
        <f t="shared" si="13"/>
        <v>0</v>
      </c>
      <c r="M119" s="537">
        <f t="shared" si="13"/>
        <v>0</v>
      </c>
      <c r="N119" s="530">
        <f t="shared" si="13"/>
        <v>0</v>
      </c>
      <c r="O119" s="537">
        <f t="shared" si="13"/>
        <v>0</v>
      </c>
      <c r="P119" s="586">
        <f>P118-P120</f>
        <v>0</v>
      </c>
      <c r="Q119" s="586">
        <f t="shared" si="13"/>
        <v>0</v>
      </c>
      <c r="R119" s="586">
        <f>R118-R120</f>
        <v>0</v>
      </c>
      <c r="S119" s="586">
        <f t="shared" si="13"/>
        <v>0</v>
      </c>
      <c r="T119" s="530">
        <f t="shared" si="13"/>
        <v>0</v>
      </c>
      <c r="U119" s="537">
        <f t="shared" si="13"/>
        <v>0</v>
      </c>
      <c r="V119" s="530">
        <f t="shared" si="13"/>
        <v>0</v>
      </c>
      <c r="W119" s="537">
        <f t="shared" si="13"/>
        <v>0</v>
      </c>
      <c r="X119" s="530">
        <f t="shared" si="13"/>
        <v>0</v>
      </c>
      <c r="Y119" s="537">
        <f t="shared" si="13"/>
        <v>0</v>
      </c>
      <c r="Z119" s="530">
        <f t="shared" si="13"/>
        <v>360</v>
      </c>
      <c r="AA119" s="537">
        <f t="shared" si="13"/>
        <v>0</v>
      </c>
      <c r="AB119" s="530">
        <f t="shared" si="13"/>
        <v>360</v>
      </c>
      <c r="AC119" s="537">
        <f t="shared" si="13"/>
        <v>0</v>
      </c>
      <c r="AD119" s="586">
        <f t="shared" si="13"/>
        <v>0</v>
      </c>
      <c r="AE119" s="586">
        <f t="shared" si="13"/>
        <v>0</v>
      </c>
      <c r="AF119" s="530">
        <f t="shared" si="13"/>
        <v>120</v>
      </c>
      <c r="AG119" s="537">
        <f t="shared" si="13"/>
        <v>0</v>
      </c>
      <c r="AH119" s="530">
        <f t="shared" si="13"/>
        <v>0</v>
      </c>
      <c r="AI119" s="537">
        <f t="shared" si="13"/>
        <v>0</v>
      </c>
      <c r="AJ119" s="530">
        <f t="shared" si="13"/>
        <v>0</v>
      </c>
      <c r="AK119" s="537">
        <f t="shared" si="13"/>
        <v>0</v>
      </c>
      <c r="AL119" s="530">
        <f t="shared" si="13"/>
        <v>0</v>
      </c>
      <c r="AM119" s="537">
        <f t="shared" si="13"/>
        <v>0</v>
      </c>
      <c r="AN119" s="530">
        <f t="shared" si="13"/>
        <v>0</v>
      </c>
      <c r="AO119" s="537">
        <f t="shared" si="13"/>
        <v>0</v>
      </c>
      <c r="AP119" s="530">
        <f t="shared" si="13"/>
        <v>0</v>
      </c>
      <c r="AQ119" s="537">
        <f t="shared" si="13"/>
        <v>0</v>
      </c>
      <c r="AR119" s="586">
        <f t="shared" si="13"/>
        <v>0</v>
      </c>
      <c r="AS119" s="586">
        <f t="shared" si="13"/>
        <v>0</v>
      </c>
      <c r="AT119" s="530">
        <f t="shared" si="13"/>
        <v>0</v>
      </c>
      <c r="AU119" s="537">
        <f t="shared" si="13"/>
        <v>0</v>
      </c>
      <c r="AV119" s="530">
        <f t="shared" si="13"/>
        <v>0</v>
      </c>
      <c r="AW119" s="537">
        <f t="shared" si="13"/>
        <v>0</v>
      </c>
      <c r="AX119" s="530">
        <f t="shared" si="13"/>
        <v>0</v>
      </c>
      <c r="AY119" s="537">
        <f t="shared" si="13"/>
        <v>0</v>
      </c>
      <c r="AZ119" s="530">
        <f t="shared" si="13"/>
        <v>0</v>
      </c>
      <c r="BA119" s="537">
        <f t="shared" si="13"/>
        <v>0</v>
      </c>
      <c r="BB119" s="530">
        <f t="shared" si="13"/>
        <v>0</v>
      </c>
      <c r="BC119" s="537">
        <f t="shared" si="13"/>
        <v>0</v>
      </c>
      <c r="BD119" s="530">
        <f t="shared" si="13"/>
        <v>0</v>
      </c>
      <c r="BE119" s="537">
        <f t="shared" si="13"/>
        <v>0</v>
      </c>
      <c r="BF119" s="586">
        <f t="shared" si="13"/>
        <v>0</v>
      </c>
      <c r="BG119" s="586">
        <f t="shared" si="13"/>
        <v>0</v>
      </c>
      <c r="BH119" s="530">
        <f t="shared" si="13"/>
        <v>0</v>
      </c>
      <c r="BI119" s="537">
        <f t="shared" si="13"/>
        <v>0</v>
      </c>
      <c r="BJ119" s="535">
        <f t="shared" si="11"/>
        <v>840</v>
      </c>
      <c r="BK119" s="591"/>
    </row>
    <row r="120" spans="1:63" s="531" customFormat="1" x14ac:dyDescent="0.35">
      <c r="A120" s="568"/>
      <c r="B120" s="568"/>
      <c r="C120" s="568"/>
      <c r="D120" s="767" t="s">
        <v>157</v>
      </c>
      <c r="E120" s="768"/>
      <c r="F120" s="563">
        <f t="shared" ref="F120:BI120" si="14">SUM(F121:F122)</f>
        <v>0</v>
      </c>
      <c r="G120" s="525">
        <f t="shared" si="14"/>
        <v>0</v>
      </c>
      <c r="H120" s="563">
        <f t="shared" si="14"/>
        <v>0</v>
      </c>
      <c r="I120" s="525">
        <f t="shared" si="14"/>
        <v>0</v>
      </c>
      <c r="J120" s="563">
        <f>SUM(J121:J122)</f>
        <v>0</v>
      </c>
      <c r="K120" s="525">
        <f t="shared" si="14"/>
        <v>0</v>
      </c>
      <c r="L120" s="563">
        <f t="shared" si="14"/>
        <v>0</v>
      </c>
      <c r="M120" s="525">
        <f t="shared" si="14"/>
        <v>0</v>
      </c>
      <c r="N120" s="563">
        <f t="shared" si="14"/>
        <v>0</v>
      </c>
      <c r="O120" s="525">
        <f t="shared" si="14"/>
        <v>0</v>
      </c>
      <c r="P120" s="587">
        <f>SUM(P121:P122)</f>
        <v>0</v>
      </c>
      <c r="Q120" s="587">
        <f t="shared" si="14"/>
        <v>0</v>
      </c>
      <c r="R120" s="587">
        <f>SUM(R121:R122)</f>
        <v>0</v>
      </c>
      <c r="S120" s="587">
        <f t="shared" si="14"/>
        <v>0</v>
      </c>
      <c r="T120" s="563">
        <f t="shared" si="14"/>
        <v>0</v>
      </c>
      <c r="U120" s="525">
        <f t="shared" si="14"/>
        <v>0</v>
      </c>
      <c r="V120" s="563">
        <f t="shared" si="14"/>
        <v>0</v>
      </c>
      <c r="W120" s="525">
        <f t="shared" si="14"/>
        <v>0</v>
      </c>
      <c r="X120" s="563">
        <f t="shared" si="14"/>
        <v>0</v>
      </c>
      <c r="Y120" s="525">
        <f t="shared" si="14"/>
        <v>0</v>
      </c>
      <c r="Z120" s="563">
        <f t="shared" si="14"/>
        <v>0</v>
      </c>
      <c r="AA120" s="525">
        <f t="shared" si="14"/>
        <v>0</v>
      </c>
      <c r="AB120" s="563">
        <f t="shared" si="14"/>
        <v>0</v>
      </c>
      <c r="AC120" s="525">
        <f t="shared" si="14"/>
        <v>0</v>
      </c>
      <c r="AD120" s="587">
        <f t="shared" si="14"/>
        <v>0</v>
      </c>
      <c r="AE120" s="587">
        <f t="shared" si="14"/>
        <v>0</v>
      </c>
      <c r="AF120" s="563">
        <f t="shared" si="14"/>
        <v>240</v>
      </c>
      <c r="AG120" s="525">
        <f t="shared" si="14"/>
        <v>0</v>
      </c>
      <c r="AH120" s="563">
        <f t="shared" si="14"/>
        <v>0</v>
      </c>
      <c r="AI120" s="525">
        <f t="shared" si="14"/>
        <v>0</v>
      </c>
      <c r="AJ120" s="563">
        <f t="shared" si="14"/>
        <v>0</v>
      </c>
      <c r="AK120" s="525">
        <f t="shared" si="14"/>
        <v>0</v>
      </c>
      <c r="AL120" s="563">
        <f t="shared" si="14"/>
        <v>0</v>
      </c>
      <c r="AM120" s="525">
        <f t="shared" si="14"/>
        <v>0</v>
      </c>
      <c r="AN120" s="563">
        <f t="shared" si="14"/>
        <v>0</v>
      </c>
      <c r="AO120" s="525">
        <f t="shared" si="14"/>
        <v>0</v>
      </c>
      <c r="AP120" s="563">
        <f t="shared" si="14"/>
        <v>0</v>
      </c>
      <c r="AQ120" s="525">
        <f t="shared" si="14"/>
        <v>0</v>
      </c>
      <c r="AR120" s="587">
        <f t="shared" si="14"/>
        <v>0</v>
      </c>
      <c r="AS120" s="587">
        <f t="shared" si="14"/>
        <v>0</v>
      </c>
      <c r="AT120" s="563">
        <f t="shared" si="14"/>
        <v>0</v>
      </c>
      <c r="AU120" s="525">
        <f t="shared" si="14"/>
        <v>0</v>
      </c>
      <c r="AV120" s="563">
        <f t="shared" si="14"/>
        <v>0</v>
      </c>
      <c r="AW120" s="525">
        <f t="shared" si="14"/>
        <v>0</v>
      </c>
      <c r="AX120" s="563">
        <f t="shared" si="14"/>
        <v>0</v>
      </c>
      <c r="AY120" s="525">
        <f t="shared" si="14"/>
        <v>0</v>
      </c>
      <c r="AZ120" s="563">
        <f t="shared" si="14"/>
        <v>0</v>
      </c>
      <c r="BA120" s="525">
        <f t="shared" si="14"/>
        <v>0</v>
      </c>
      <c r="BB120" s="563">
        <f t="shared" si="14"/>
        <v>0</v>
      </c>
      <c r="BC120" s="525">
        <f t="shared" si="14"/>
        <v>0</v>
      </c>
      <c r="BD120" s="563">
        <f t="shared" si="14"/>
        <v>0</v>
      </c>
      <c r="BE120" s="525">
        <f t="shared" si="14"/>
        <v>0</v>
      </c>
      <c r="BF120" s="587">
        <f t="shared" si="14"/>
        <v>0</v>
      </c>
      <c r="BG120" s="587">
        <f t="shared" si="14"/>
        <v>0</v>
      </c>
      <c r="BH120" s="563">
        <f t="shared" si="14"/>
        <v>0</v>
      </c>
      <c r="BI120" s="525">
        <f t="shared" si="14"/>
        <v>0</v>
      </c>
      <c r="BJ120" s="535">
        <f t="shared" si="11"/>
        <v>240</v>
      </c>
      <c r="BK120" s="591"/>
    </row>
    <row r="121" spans="1:63" s="531" customFormat="1" x14ac:dyDescent="0.35">
      <c r="A121" s="579"/>
      <c r="B121" s="579"/>
      <c r="C121" s="579"/>
      <c r="D121" s="665" t="s">
        <v>158</v>
      </c>
      <c r="E121" s="666"/>
      <c r="F121" s="513"/>
      <c r="G121" s="557"/>
      <c r="H121" s="513"/>
      <c r="I121" s="557"/>
      <c r="J121" s="513"/>
      <c r="K121" s="557"/>
      <c r="L121" s="513"/>
      <c r="M121" s="557"/>
      <c r="N121" s="513"/>
      <c r="O121" s="557"/>
      <c r="P121" s="572"/>
      <c r="Q121" s="587"/>
      <c r="R121" s="572"/>
      <c r="S121" s="587"/>
      <c r="T121" s="513"/>
      <c r="U121" s="557"/>
      <c r="V121" s="513"/>
      <c r="W121" s="557"/>
      <c r="X121" s="513"/>
      <c r="Y121" s="557"/>
      <c r="Z121" s="513"/>
      <c r="AA121" s="557"/>
      <c r="AB121" s="513"/>
      <c r="AC121" s="557"/>
      <c r="AD121" s="572"/>
      <c r="AE121" s="587"/>
      <c r="AF121" s="513">
        <f>4*60</f>
        <v>240</v>
      </c>
      <c r="AG121" s="557"/>
      <c r="AH121" s="513"/>
      <c r="AI121" s="557"/>
      <c r="AJ121" s="513"/>
      <c r="AK121" s="557"/>
      <c r="AL121" s="513"/>
      <c r="AM121" s="557"/>
      <c r="AN121" s="513"/>
      <c r="AO121" s="557"/>
      <c r="AP121" s="513"/>
      <c r="AQ121" s="557"/>
      <c r="AR121" s="572"/>
      <c r="AS121" s="587"/>
      <c r="AT121" s="513"/>
      <c r="AU121" s="557"/>
      <c r="AV121" s="513"/>
      <c r="AW121" s="557"/>
      <c r="AX121" s="513"/>
      <c r="AY121" s="557"/>
      <c r="AZ121" s="513"/>
      <c r="BA121" s="557"/>
      <c r="BB121" s="513"/>
      <c r="BC121" s="557"/>
      <c r="BD121" s="513"/>
      <c r="BE121" s="557"/>
      <c r="BF121" s="572"/>
      <c r="BG121" s="587"/>
      <c r="BH121" s="513"/>
      <c r="BI121" s="557"/>
      <c r="BJ121" s="535">
        <f t="shared" si="11"/>
        <v>240</v>
      </c>
      <c r="BK121" s="591"/>
    </row>
    <row r="122" spans="1:63" s="531" customFormat="1" x14ac:dyDescent="0.35">
      <c r="A122" s="579"/>
      <c r="B122" s="579"/>
      <c r="C122" s="579"/>
      <c r="D122" s="665" t="s">
        <v>161</v>
      </c>
      <c r="E122" s="666"/>
      <c r="F122" s="513"/>
      <c r="G122" s="557"/>
      <c r="H122" s="513"/>
      <c r="I122" s="557"/>
      <c r="J122" s="513"/>
      <c r="K122" s="557"/>
      <c r="L122" s="513"/>
      <c r="M122" s="557"/>
      <c r="N122" s="513"/>
      <c r="O122" s="557"/>
      <c r="P122" s="572"/>
      <c r="Q122" s="587"/>
      <c r="R122" s="572"/>
      <c r="S122" s="587"/>
      <c r="T122" s="513"/>
      <c r="U122" s="557"/>
      <c r="V122" s="513"/>
      <c r="W122" s="557"/>
      <c r="X122" s="513"/>
      <c r="Y122" s="557"/>
      <c r="Z122" s="513"/>
      <c r="AA122" s="557"/>
      <c r="AB122" s="513"/>
      <c r="AC122" s="557"/>
      <c r="AD122" s="572"/>
      <c r="AE122" s="587"/>
      <c r="AF122" s="513"/>
      <c r="AG122" s="557"/>
      <c r="AH122" s="513"/>
      <c r="AI122" s="557"/>
      <c r="AJ122" s="513"/>
      <c r="AK122" s="557"/>
      <c r="AL122" s="513"/>
      <c r="AM122" s="557"/>
      <c r="AN122" s="513"/>
      <c r="AO122" s="557"/>
      <c r="AP122" s="513"/>
      <c r="AQ122" s="557"/>
      <c r="AR122" s="572"/>
      <c r="AS122" s="587"/>
      <c r="AT122" s="513"/>
      <c r="AU122" s="557"/>
      <c r="AV122" s="513"/>
      <c r="AW122" s="557"/>
      <c r="AX122" s="513"/>
      <c r="AY122" s="557"/>
      <c r="AZ122" s="513"/>
      <c r="BA122" s="557"/>
      <c r="BB122" s="513"/>
      <c r="BC122" s="557"/>
      <c r="BD122" s="513"/>
      <c r="BE122" s="557"/>
      <c r="BF122" s="572"/>
      <c r="BG122" s="587"/>
      <c r="BH122" s="513"/>
      <c r="BI122" s="557"/>
      <c r="BJ122" s="535">
        <f t="shared" si="11"/>
        <v>0</v>
      </c>
      <c r="BK122" s="591"/>
    </row>
    <row r="123" spans="1:63" x14ac:dyDescent="0.35">
      <c r="A123" s="518"/>
      <c r="B123" s="518"/>
      <c r="C123" s="518"/>
      <c r="D123" s="667" t="s">
        <v>162</v>
      </c>
      <c r="E123" s="668"/>
      <c r="F123" s="536"/>
      <c r="G123" s="573"/>
      <c r="H123" s="536"/>
      <c r="I123" s="573"/>
      <c r="J123" s="536"/>
      <c r="K123" s="573"/>
      <c r="L123" s="536"/>
      <c r="M123" s="573"/>
      <c r="N123" s="536">
        <f>N118-N120-N35</f>
        <v>0</v>
      </c>
      <c r="O123" s="573"/>
      <c r="P123" s="572"/>
      <c r="Q123" s="587"/>
      <c r="R123" s="572"/>
      <c r="S123" s="587"/>
      <c r="T123" s="536"/>
      <c r="U123" s="573"/>
      <c r="V123" s="536"/>
      <c r="W123" s="573"/>
      <c r="X123" s="536"/>
      <c r="Y123" s="573"/>
      <c r="Z123" s="536">
        <f>Z118-Z120-Z35</f>
        <v>205</v>
      </c>
      <c r="AA123" s="573"/>
      <c r="AB123" s="536">
        <f>AB118-AB120-AB35</f>
        <v>180</v>
      </c>
      <c r="AC123" s="573"/>
      <c r="AD123" s="572"/>
      <c r="AE123" s="587"/>
      <c r="AF123" s="536">
        <f>AF118-AF120-AF35</f>
        <v>120</v>
      </c>
      <c r="AG123" s="573"/>
      <c r="AH123" s="536"/>
      <c r="AI123" s="573"/>
      <c r="AJ123" s="536"/>
      <c r="AK123" s="573"/>
      <c r="AL123" s="536"/>
      <c r="AM123" s="573"/>
      <c r="AN123" s="536"/>
      <c r="AO123" s="573"/>
      <c r="AP123" s="536"/>
      <c r="AQ123" s="573"/>
      <c r="AR123" s="572"/>
      <c r="AS123" s="587"/>
      <c r="AT123" s="536"/>
      <c r="AU123" s="573"/>
      <c r="AV123" s="536"/>
      <c r="AW123" s="573"/>
      <c r="AX123" s="536"/>
      <c r="AY123" s="573"/>
      <c r="AZ123" s="536"/>
      <c r="BA123" s="573"/>
      <c r="BB123" s="536"/>
      <c r="BC123" s="573"/>
      <c r="BD123" s="536"/>
      <c r="BE123" s="573"/>
      <c r="BF123" s="572"/>
      <c r="BG123" s="587"/>
      <c r="BH123" s="536"/>
      <c r="BI123" s="573"/>
      <c r="BJ123" s="509">
        <f>BJ118-BJ120-BJ35</f>
        <v>505</v>
      </c>
      <c r="BK123" s="545"/>
    </row>
    <row r="124" spans="1:63" x14ac:dyDescent="0.35">
      <c r="A124" s="518"/>
      <c r="B124" s="518"/>
      <c r="C124" s="518"/>
      <c r="D124" s="667" t="s">
        <v>163</v>
      </c>
      <c r="E124" s="668"/>
      <c r="F124" s="547"/>
      <c r="G124" s="532"/>
      <c r="H124" s="547"/>
      <c r="I124" s="532"/>
      <c r="J124" s="547"/>
      <c r="K124" s="532"/>
      <c r="L124" s="547"/>
      <c r="M124" s="532"/>
      <c r="N124" s="547">
        <f>IFERROR(SUMPRODUCT(N5:N24/$E$5:$E$24),0)</f>
        <v>0</v>
      </c>
      <c r="O124" s="532"/>
      <c r="P124" s="539"/>
      <c r="Q124" s="587"/>
      <c r="R124" s="539"/>
      <c r="S124" s="587"/>
      <c r="T124" s="547"/>
      <c r="U124" s="532"/>
      <c r="V124" s="547"/>
      <c r="W124" s="532"/>
      <c r="X124" s="547"/>
      <c r="Y124" s="532"/>
      <c r="Z124" s="547">
        <f>IFERROR(SUMPRODUCT(Z5:Z24/$E$5:$E$24),0)</f>
        <v>200</v>
      </c>
      <c r="AA124" s="532"/>
      <c r="AB124" s="547">
        <f>IFERROR(SUMPRODUCT(AB5:AB24/$E$5:$E$24),0)</f>
        <v>170</v>
      </c>
      <c r="AC124" s="532"/>
      <c r="AD124" s="539"/>
      <c r="AE124" s="587"/>
      <c r="AF124" s="547">
        <f>IFERROR(SUMPRODUCT(AF5:AF24/$E$5:$E$24),0)</f>
        <v>115.1</v>
      </c>
      <c r="AG124" s="532"/>
      <c r="AH124" s="547"/>
      <c r="AI124" s="532"/>
      <c r="AJ124" s="547"/>
      <c r="AK124" s="532"/>
      <c r="AL124" s="547"/>
      <c r="AM124" s="532"/>
      <c r="AN124" s="547"/>
      <c r="AO124" s="532"/>
      <c r="AP124" s="547"/>
      <c r="AQ124" s="532"/>
      <c r="AR124" s="539"/>
      <c r="AS124" s="587"/>
      <c r="AT124" s="547"/>
      <c r="AU124" s="532"/>
      <c r="AV124" s="547"/>
      <c r="AW124" s="532"/>
      <c r="AX124" s="547"/>
      <c r="AY124" s="532"/>
      <c r="AZ124" s="547"/>
      <c r="BA124" s="532"/>
      <c r="BB124" s="547"/>
      <c r="BC124" s="532"/>
      <c r="BD124" s="547"/>
      <c r="BE124" s="532"/>
      <c r="BF124" s="539"/>
      <c r="BG124" s="587"/>
      <c r="BH124" s="547"/>
      <c r="BI124" s="532"/>
      <c r="BJ124" s="509">
        <f>IFERROR(SUMPRODUCT(BJ5:BJ24/$E$5:$E$24),0)</f>
        <v>485.1</v>
      </c>
      <c r="BK124" s="545"/>
    </row>
    <row r="125" spans="1:63" x14ac:dyDescent="0.35">
      <c r="A125" s="518"/>
      <c r="B125" s="518"/>
      <c r="C125" s="518"/>
      <c r="D125" s="667" t="s">
        <v>164</v>
      </c>
      <c r="E125" s="668"/>
      <c r="F125" s="547"/>
      <c r="G125" s="532"/>
      <c r="H125" s="547"/>
      <c r="I125" s="532"/>
      <c r="J125" s="547"/>
      <c r="K125" s="532"/>
      <c r="L125" s="547"/>
      <c r="M125" s="532"/>
      <c r="N125" s="547">
        <f>N123-N124</f>
        <v>0</v>
      </c>
      <c r="O125" s="532"/>
      <c r="P125" s="539"/>
      <c r="Q125" s="587"/>
      <c r="R125" s="539"/>
      <c r="S125" s="587"/>
      <c r="T125" s="547"/>
      <c r="U125" s="532"/>
      <c r="V125" s="547"/>
      <c r="W125" s="532"/>
      <c r="X125" s="547"/>
      <c r="Y125" s="532"/>
      <c r="Z125" s="547">
        <f>Z123-Z124</f>
        <v>5</v>
      </c>
      <c r="AA125" s="532"/>
      <c r="AB125" s="547">
        <f>AB123-AB124</f>
        <v>10</v>
      </c>
      <c r="AC125" s="532"/>
      <c r="AD125" s="539"/>
      <c r="AE125" s="587"/>
      <c r="AF125" s="547">
        <f>AF123-AF124</f>
        <v>4.9000000000000057</v>
      </c>
      <c r="AG125" s="532"/>
      <c r="AH125" s="547"/>
      <c r="AI125" s="532"/>
      <c r="AJ125" s="547"/>
      <c r="AK125" s="532"/>
      <c r="AL125" s="547"/>
      <c r="AM125" s="532"/>
      <c r="AN125" s="547"/>
      <c r="AO125" s="532"/>
      <c r="AP125" s="547"/>
      <c r="AQ125" s="532"/>
      <c r="AR125" s="539"/>
      <c r="AS125" s="587"/>
      <c r="AT125" s="547"/>
      <c r="AU125" s="532"/>
      <c r="AV125" s="547"/>
      <c r="AW125" s="532"/>
      <c r="AX125" s="547"/>
      <c r="AY125" s="532"/>
      <c r="AZ125" s="547"/>
      <c r="BA125" s="532"/>
      <c r="BB125" s="547"/>
      <c r="BC125" s="532"/>
      <c r="BD125" s="547"/>
      <c r="BE125" s="532"/>
      <c r="BF125" s="539"/>
      <c r="BG125" s="587"/>
      <c r="BH125" s="547"/>
      <c r="BI125" s="532"/>
      <c r="BJ125" s="509">
        <f>BJ123-BJ124</f>
        <v>19.899999999999977</v>
      </c>
      <c r="BK125" s="545"/>
    </row>
    <row r="126" spans="1:63" x14ac:dyDescent="0.35">
      <c r="A126" s="518"/>
      <c r="B126" s="518"/>
      <c r="C126" s="518"/>
      <c r="D126" s="667" t="s">
        <v>165</v>
      </c>
      <c r="E126" s="668"/>
      <c r="F126" s="547"/>
      <c r="G126" s="532"/>
      <c r="H126" s="547"/>
      <c r="I126" s="532"/>
      <c r="J126" s="547"/>
      <c r="K126" s="532"/>
      <c r="L126" s="547"/>
      <c r="M126" s="532"/>
      <c r="N126" s="547" t="e">
        <f>SUM(N5:N25)/(N119-N35)</f>
        <v>#DIV/0!</v>
      </c>
      <c r="O126" s="532"/>
      <c r="P126" s="539"/>
      <c r="Q126" s="587"/>
      <c r="R126" s="539"/>
      <c r="S126" s="587"/>
      <c r="T126" s="547"/>
      <c r="U126" s="532"/>
      <c r="V126" s="547"/>
      <c r="W126" s="532"/>
      <c r="X126" s="547"/>
      <c r="Y126" s="532"/>
      <c r="Z126" s="547">
        <f>SUM(Z5:Z25)/(Z119-Z35)</f>
        <v>22.682926829268293</v>
      </c>
      <c r="AA126" s="532"/>
      <c r="AB126" s="547">
        <f>SUM(AB5:AB25)/(AB119-AB35)</f>
        <v>21.666666666666668</v>
      </c>
      <c r="AC126" s="532"/>
      <c r="AD126" s="539"/>
      <c r="AE126" s="587"/>
      <c r="AF126" s="547">
        <f>SUM(AF5:AF25)/(AF119-AF35)</f>
        <v>19.183333333333334</v>
      </c>
      <c r="AG126" s="532"/>
      <c r="AH126" s="547"/>
      <c r="AI126" s="532"/>
      <c r="AJ126" s="547"/>
      <c r="AK126" s="532"/>
      <c r="AL126" s="547"/>
      <c r="AM126" s="532"/>
      <c r="AN126" s="547"/>
      <c r="AO126" s="532"/>
      <c r="AP126" s="547"/>
      <c r="AQ126" s="532"/>
      <c r="AR126" s="539"/>
      <c r="AS126" s="587"/>
      <c r="AT126" s="547"/>
      <c r="AU126" s="532"/>
      <c r="AV126" s="547"/>
      <c r="AW126" s="532"/>
      <c r="AX126" s="547"/>
      <c r="AY126" s="532"/>
      <c r="AZ126" s="547"/>
      <c r="BA126" s="532"/>
      <c r="BB126" s="547"/>
      <c r="BC126" s="532"/>
      <c r="BD126" s="547"/>
      <c r="BE126" s="532"/>
      <c r="BF126" s="539"/>
      <c r="BG126" s="587"/>
      <c r="BH126" s="547"/>
      <c r="BI126" s="532"/>
      <c r="BJ126" s="582">
        <f>SUM(BJ5:BJ25)/(BJ119-BJ35)</f>
        <v>21.48910891089109</v>
      </c>
      <c r="BK126" s="545"/>
    </row>
    <row r="127" spans="1:63" x14ac:dyDescent="0.35">
      <c r="A127" s="581"/>
      <c r="B127" s="581"/>
      <c r="C127" s="581"/>
      <c r="D127" s="663" t="s">
        <v>166</v>
      </c>
      <c r="E127" s="664"/>
      <c r="F127" s="508"/>
      <c r="G127" s="569"/>
      <c r="H127" s="508"/>
      <c r="I127" s="569"/>
      <c r="J127" s="508"/>
      <c r="K127" s="569"/>
      <c r="L127" s="508"/>
      <c r="M127" s="569"/>
      <c r="N127" s="508" t="e">
        <f>(N119-N35)/N119</f>
        <v>#DIV/0!</v>
      </c>
      <c r="O127" s="569"/>
      <c r="P127" s="550"/>
      <c r="Q127" s="587"/>
      <c r="R127" s="550"/>
      <c r="S127" s="587"/>
      <c r="T127" s="508"/>
      <c r="U127" s="569"/>
      <c r="V127" s="508"/>
      <c r="W127" s="569"/>
      <c r="X127" s="508"/>
      <c r="Y127" s="569"/>
      <c r="Z127" s="508">
        <f>(Z119-Z35)/Z119</f>
        <v>0.56944444444444442</v>
      </c>
      <c r="AA127" s="569"/>
      <c r="AB127" s="508">
        <f>(AB119-AB35)/AB119</f>
        <v>0.5</v>
      </c>
      <c r="AC127" s="569"/>
      <c r="AD127" s="550"/>
      <c r="AE127" s="587"/>
      <c r="AF127" s="508">
        <f>(AF119-AF35)/AF119</f>
        <v>1</v>
      </c>
      <c r="AG127" s="569"/>
      <c r="AH127" s="508"/>
      <c r="AI127" s="569"/>
      <c r="AJ127" s="508"/>
      <c r="AK127" s="569"/>
      <c r="AL127" s="508"/>
      <c r="AM127" s="569"/>
      <c r="AN127" s="508"/>
      <c r="AO127" s="569"/>
      <c r="AP127" s="508"/>
      <c r="AQ127" s="569"/>
      <c r="AR127" s="550"/>
      <c r="AS127" s="587"/>
      <c r="AT127" s="508"/>
      <c r="AU127" s="569"/>
      <c r="AV127" s="508"/>
      <c r="AW127" s="569"/>
      <c r="AX127" s="508"/>
      <c r="AY127" s="569"/>
      <c r="AZ127" s="508"/>
      <c r="BA127" s="569"/>
      <c r="BB127" s="508"/>
      <c r="BC127" s="569"/>
      <c r="BD127" s="508"/>
      <c r="BE127" s="569"/>
      <c r="BF127" s="550"/>
      <c r="BG127" s="587"/>
      <c r="BH127" s="508"/>
      <c r="BI127" s="569"/>
      <c r="BJ127" s="528">
        <f>(BJ119-BJ35)/BJ119</f>
        <v>0.60119047619047616</v>
      </c>
      <c r="BK127" s="545"/>
    </row>
    <row r="128" spans="1:63" x14ac:dyDescent="0.35">
      <c r="A128" s="581"/>
      <c r="B128" s="581"/>
      <c r="C128" s="581"/>
      <c r="D128" s="663" t="s">
        <v>167</v>
      </c>
      <c r="E128" s="664"/>
      <c r="F128" s="508"/>
      <c r="G128" s="569"/>
      <c r="H128" s="508"/>
      <c r="I128" s="569"/>
      <c r="J128" s="508"/>
      <c r="K128" s="569"/>
      <c r="L128" s="508"/>
      <c r="M128" s="569"/>
      <c r="N128" s="508" t="e">
        <f>N124/N123</f>
        <v>#DIV/0!</v>
      </c>
      <c r="O128" s="569"/>
      <c r="P128" s="550"/>
      <c r="Q128" s="587"/>
      <c r="R128" s="550"/>
      <c r="S128" s="587"/>
      <c r="T128" s="508"/>
      <c r="U128" s="569"/>
      <c r="V128" s="508"/>
      <c r="W128" s="569"/>
      <c r="X128" s="508"/>
      <c r="Y128" s="569"/>
      <c r="Z128" s="508">
        <f>Z124/Z123</f>
        <v>0.97560975609756095</v>
      </c>
      <c r="AA128" s="569"/>
      <c r="AB128" s="508">
        <f>AB124/AB123</f>
        <v>0.94444444444444442</v>
      </c>
      <c r="AC128" s="569"/>
      <c r="AD128" s="550"/>
      <c r="AE128" s="587"/>
      <c r="AF128" s="508">
        <f>AF124/AF123</f>
        <v>0.95916666666666661</v>
      </c>
      <c r="AG128" s="569"/>
      <c r="AH128" s="508"/>
      <c r="AI128" s="569"/>
      <c r="AJ128" s="508"/>
      <c r="AK128" s="569"/>
      <c r="AL128" s="508"/>
      <c r="AM128" s="569"/>
      <c r="AN128" s="508"/>
      <c r="AO128" s="569"/>
      <c r="AP128" s="508"/>
      <c r="AQ128" s="569"/>
      <c r="AR128" s="550"/>
      <c r="AS128" s="587"/>
      <c r="AT128" s="508"/>
      <c r="AU128" s="569"/>
      <c r="AV128" s="508"/>
      <c r="AW128" s="569"/>
      <c r="AX128" s="508"/>
      <c r="AY128" s="569"/>
      <c r="AZ128" s="508"/>
      <c r="BA128" s="569"/>
      <c r="BB128" s="508"/>
      <c r="BC128" s="569"/>
      <c r="BD128" s="508"/>
      <c r="BE128" s="569"/>
      <c r="BF128" s="550"/>
      <c r="BG128" s="587"/>
      <c r="BH128" s="508"/>
      <c r="BI128" s="569"/>
      <c r="BJ128" s="528">
        <f>BJ124/BJ123</f>
        <v>0.96059405940594067</v>
      </c>
      <c r="BK128" s="545"/>
    </row>
    <row r="129" spans="1:63" x14ac:dyDescent="0.35">
      <c r="A129" s="581"/>
      <c r="B129" s="581"/>
      <c r="C129" s="581"/>
      <c r="D129" s="663" t="s">
        <v>168</v>
      </c>
      <c r="E129" s="664"/>
      <c r="F129" s="508"/>
      <c r="G129" s="569"/>
      <c r="H129" s="508"/>
      <c r="I129" s="569"/>
      <c r="J129" s="508"/>
      <c r="K129" s="569"/>
      <c r="L129" s="508"/>
      <c r="M129" s="569"/>
      <c r="N129" s="508" t="e">
        <f>SUM(N5:N24)/(SUM(N5:N25))</f>
        <v>#DIV/0!</v>
      </c>
      <c r="O129" s="569"/>
      <c r="P129" s="550"/>
      <c r="Q129" s="587"/>
      <c r="R129" s="550"/>
      <c r="S129" s="587"/>
      <c r="T129" s="508"/>
      <c r="U129" s="569"/>
      <c r="V129" s="508"/>
      <c r="W129" s="569"/>
      <c r="X129" s="508"/>
      <c r="Y129" s="569"/>
      <c r="Z129" s="508">
        <f>SUM(Z5:Z24)/(SUM(Z5:Z25))</f>
        <v>0.86021505376344087</v>
      </c>
      <c r="AA129" s="569"/>
      <c r="AB129" s="508">
        <f>SUM(AB5:AB24)/(SUM(AB5:AB25))</f>
        <v>0.87179487179487181</v>
      </c>
      <c r="AC129" s="569"/>
      <c r="AD129" s="550"/>
      <c r="AE129" s="587"/>
      <c r="AF129" s="508">
        <f>SUM(AF5:AF24)/(SUM(AF5:AF25))</f>
        <v>1</v>
      </c>
      <c r="AG129" s="569"/>
      <c r="AH129" s="508"/>
      <c r="AI129" s="569"/>
      <c r="AJ129" s="508"/>
      <c r="AK129" s="569"/>
      <c r="AL129" s="508"/>
      <c r="AM129" s="569"/>
      <c r="AN129" s="508"/>
      <c r="AO129" s="569"/>
      <c r="AP129" s="508"/>
      <c r="AQ129" s="569"/>
      <c r="AR129" s="550"/>
      <c r="AS129" s="587"/>
      <c r="AT129" s="508"/>
      <c r="AU129" s="569"/>
      <c r="AV129" s="508"/>
      <c r="AW129" s="569"/>
      <c r="AX129" s="508"/>
      <c r="AY129" s="569"/>
      <c r="AZ129" s="508"/>
      <c r="BA129" s="569"/>
      <c r="BB129" s="508"/>
      <c r="BC129" s="569"/>
      <c r="BD129" s="508"/>
      <c r="BE129" s="569"/>
      <c r="BF129" s="550"/>
      <c r="BG129" s="587"/>
      <c r="BH129" s="508"/>
      <c r="BI129" s="569"/>
      <c r="BJ129" s="528">
        <f>SUM(BJ5:BJ24)/(SUM(BJ5:BJ25))</f>
        <v>0.89402875046074459</v>
      </c>
      <c r="BK129" s="545"/>
    </row>
    <row r="130" spans="1:63" ht="24" thickBot="1" x14ac:dyDescent="0.4">
      <c r="A130" s="581"/>
      <c r="B130" s="581"/>
      <c r="C130" s="581"/>
      <c r="D130" s="663" t="s">
        <v>169</v>
      </c>
      <c r="E130" s="664"/>
      <c r="F130" s="517"/>
      <c r="G130" s="564"/>
      <c r="H130" s="517"/>
      <c r="I130" s="564"/>
      <c r="J130" s="517"/>
      <c r="K130" s="564"/>
      <c r="L130" s="517"/>
      <c r="M130" s="564"/>
      <c r="N130" s="517" t="e">
        <f>N129*N128*N127</f>
        <v>#DIV/0!</v>
      </c>
      <c r="O130" s="564"/>
      <c r="P130" s="559"/>
      <c r="Q130" s="548"/>
      <c r="R130" s="559"/>
      <c r="S130" s="548"/>
      <c r="T130" s="517"/>
      <c r="U130" s="564"/>
      <c r="V130" s="517"/>
      <c r="W130" s="564"/>
      <c r="X130" s="517"/>
      <c r="Y130" s="564"/>
      <c r="Z130" s="517">
        <f>Z129*Z128*Z127</f>
        <v>0.47789725209080047</v>
      </c>
      <c r="AA130" s="564"/>
      <c r="AB130" s="517">
        <f>AB129*AB128*AB127</f>
        <v>0.4116809116809117</v>
      </c>
      <c r="AC130" s="564"/>
      <c r="AD130" s="559"/>
      <c r="AE130" s="548"/>
      <c r="AF130" s="517">
        <f>AF129*AF128*AF127</f>
        <v>0.95916666666666661</v>
      </c>
      <c r="AG130" s="564"/>
      <c r="AH130" s="517"/>
      <c r="AI130" s="564"/>
      <c r="AJ130" s="517"/>
      <c r="AK130" s="564"/>
      <c r="AL130" s="517"/>
      <c r="AM130" s="564"/>
      <c r="AN130" s="517"/>
      <c r="AO130" s="564"/>
      <c r="AP130" s="517"/>
      <c r="AQ130" s="564"/>
      <c r="AR130" s="559"/>
      <c r="AS130" s="548"/>
      <c r="AT130" s="517"/>
      <c r="AU130" s="564"/>
      <c r="AV130" s="517"/>
      <c r="AW130" s="564"/>
      <c r="AX130" s="517"/>
      <c r="AY130" s="564"/>
      <c r="AZ130" s="517"/>
      <c r="BA130" s="564"/>
      <c r="BB130" s="517"/>
      <c r="BC130" s="564"/>
      <c r="BD130" s="517"/>
      <c r="BE130" s="564"/>
      <c r="BF130" s="559"/>
      <c r="BG130" s="548"/>
      <c r="BH130" s="517"/>
      <c r="BI130" s="564"/>
      <c r="BJ130" s="584">
        <f>BJ129*BJ128*BJ127</f>
        <v>0.51630160339108</v>
      </c>
      <c r="BK130" s="545"/>
    </row>
    <row r="131" spans="1:63" ht="17.25" customHeight="1" x14ac:dyDescent="0.35"/>
    <row r="267" spans="8:8" x14ac:dyDescent="0.35">
      <c r="H267" s="505" t="s">
        <v>170</v>
      </c>
    </row>
    <row r="268" spans="8:8" x14ac:dyDescent="0.35">
      <c r="H268" s="505" t="s">
        <v>171</v>
      </c>
    </row>
    <row r="269" spans="8:8" x14ac:dyDescent="0.35">
      <c r="H269" s="505" t="s">
        <v>172</v>
      </c>
    </row>
    <row r="270" spans="8:8" x14ac:dyDescent="0.35">
      <c r="H270" s="505" t="s">
        <v>173</v>
      </c>
    </row>
    <row r="271" spans="8:8" x14ac:dyDescent="0.35">
      <c r="H271" s="505" t="s">
        <v>174</v>
      </c>
    </row>
    <row r="272" spans="8:8" x14ac:dyDescent="0.35">
      <c r="H272" s="505" t="s">
        <v>175</v>
      </c>
    </row>
    <row r="273" spans="8:8" x14ac:dyDescent="0.35">
      <c r="H273" s="505" t="s">
        <v>176</v>
      </c>
    </row>
    <row r="274" spans="8:8" x14ac:dyDescent="0.35">
      <c r="H274" s="505" t="s">
        <v>177</v>
      </c>
    </row>
    <row r="275" spans="8:8" x14ac:dyDescent="0.35">
      <c r="H275" s="505" t="s">
        <v>178</v>
      </c>
    </row>
    <row r="276" spans="8:8" x14ac:dyDescent="0.35">
      <c r="H276" s="505" t="s">
        <v>179</v>
      </c>
    </row>
    <row r="277" spans="8:8" x14ac:dyDescent="0.35">
      <c r="H277" s="505" t="s">
        <v>180</v>
      </c>
    </row>
    <row r="278" spans="8:8" x14ac:dyDescent="0.35">
      <c r="H278" s="505" t="s">
        <v>181</v>
      </c>
    </row>
    <row r="279" spans="8:8" x14ac:dyDescent="0.35">
      <c r="H279" s="505" t="s">
        <v>182</v>
      </c>
    </row>
    <row r="280" spans="8:8" x14ac:dyDescent="0.35">
      <c r="H280" s="505" t="s">
        <v>183</v>
      </c>
    </row>
    <row r="281" spans="8:8" x14ac:dyDescent="0.35">
      <c r="H281" s="505" t="s">
        <v>184</v>
      </c>
    </row>
    <row r="282" spans="8:8" x14ac:dyDescent="0.35">
      <c r="H282" s="505" t="s">
        <v>185</v>
      </c>
    </row>
    <row r="283" spans="8:8" x14ac:dyDescent="0.35">
      <c r="H283" s="505" t="s">
        <v>186</v>
      </c>
    </row>
    <row r="284" spans="8:8" x14ac:dyDescent="0.35">
      <c r="H284" s="505" t="s">
        <v>187</v>
      </c>
    </row>
    <row r="285" spans="8:8" x14ac:dyDescent="0.35">
      <c r="H285" s="505" t="s">
        <v>188</v>
      </c>
    </row>
    <row r="286" spans="8:8" x14ac:dyDescent="0.35">
      <c r="H286" s="505" t="s">
        <v>189</v>
      </c>
    </row>
    <row r="287" spans="8:8" x14ac:dyDescent="0.35">
      <c r="H287" s="505" t="s">
        <v>190</v>
      </c>
    </row>
    <row r="288" spans="8:8" x14ac:dyDescent="0.35">
      <c r="H288" s="505" t="s">
        <v>191</v>
      </c>
    </row>
    <row r="289" spans="8:8" x14ac:dyDescent="0.35">
      <c r="H289" s="505" t="s">
        <v>192</v>
      </c>
    </row>
    <row r="290" spans="8:8" x14ac:dyDescent="0.35">
      <c r="H290" s="505" t="s">
        <v>193</v>
      </c>
    </row>
    <row r="291" spans="8:8" x14ac:dyDescent="0.35">
      <c r="H291" s="505" t="s">
        <v>194</v>
      </c>
    </row>
    <row r="292" spans="8:8" x14ac:dyDescent="0.35">
      <c r="H292" s="505" t="s">
        <v>195</v>
      </c>
    </row>
    <row r="293" spans="8:8" x14ac:dyDescent="0.35">
      <c r="H293" s="505" t="s">
        <v>196</v>
      </c>
    </row>
    <row r="294" spans="8:8" x14ac:dyDescent="0.35">
      <c r="H294" s="505" t="s">
        <v>197</v>
      </c>
    </row>
    <row r="295" spans="8:8" x14ac:dyDescent="0.35">
      <c r="H295" s="505" t="s">
        <v>198</v>
      </c>
    </row>
    <row r="296" spans="8:8" x14ac:dyDescent="0.35">
      <c r="H296" s="505" t="s">
        <v>199</v>
      </c>
    </row>
    <row r="297" spans="8:8" x14ac:dyDescent="0.35">
      <c r="H297" s="505" t="s">
        <v>200</v>
      </c>
    </row>
    <row r="298" spans="8:8" x14ac:dyDescent="0.35">
      <c r="H298" s="505" t="s">
        <v>201</v>
      </c>
    </row>
    <row r="299" spans="8:8" x14ac:dyDescent="0.35">
      <c r="H299" s="505" t="s">
        <v>202</v>
      </c>
    </row>
    <row r="300" spans="8:8" x14ac:dyDescent="0.35">
      <c r="H300" s="505" t="s">
        <v>203</v>
      </c>
    </row>
    <row r="301" spans="8:8" x14ac:dyDescent="0.35">
      <c r="H301" s="505" t="s">
        <v>204</v>
      </c>
    </row>
    <row r="302" spans="8:8" x14ac:dyDescent="0.35">
      <c r="H302" s="505" t="s">
        <v>205</v>
      </c>
    </row>
    <row r="303" spans="8:8" x14ac:dyDescent="0.35">
      <c r="H303" s="505" t="s">
        <v>206</v>
      </c>
    </row>
    <row r="304" spans="8:8" x14ac:dyDescent="0.35">
      <c r="H304" s="505" t="s">
        <v>207</v>
      </c>
    </row>
    <row r="305" spans="8:8" x14ac:dyDescent="0.35">
      <c r="H305" s="505" t="s">
        <v>208</v>
      </c>
    </row>
    <row r="306" spans="8:8" x14ac:dyDescent="0.35">
      <c r="H306" s="505" t="s">
        <v>209</v>
      </c>
    </row>
    <row r="307" spans="8:8" x14ac:dyDescent="0.35">
      <c r="H307" s="505" t="s">
        <v>210</v>
      </c>
    </row>
    <row r="308" spans="8:8" x14ac:dyDescent="0.35">
      <c r="H308" s="505" t="s">
        <v>211</v>
      </c>
    </row>
    <row r="309" spans="8:8" x14ac:dyDescent="0.35">
      <c r="H309" s="505" t="s">
        <v>212</v>
      </c>
    </row>
    <row r="310" spans="8:8" x14ac:dyDescent="0.35">
      <c r="H310" s="505" t="s">
        <v>213</v>
      </c>
    </row>
    <row r="311" spans="8:8" x14ac:dyDescent="0.35">
      <c r="H311" s="505" t="s">
        <v>214</v>
      </c>
    </row>
    <row r="312" spans="8:8" x14ac:dyDescent="0.35">
      <c r="H312" s="505" t="s">
        <v>215</v>
      </c>
    </row>
    <row r="313" spans="8:8" x14ac:dyDescent="0.35">
      <c r="H313" s="505" t="s">
        <v>216</v>
      </c>
    </row>
    <row r="314" spans="8:8" x14ac:dyDescent="0.35">
      <c r="H314" s="505" t="s">
        <v>217</v>
      </c>
    </row>
    <row r="315" spans="8:8" x14ac:dyDescent="0.35">
      <c r="H315" s="505" t="s">
        <v>218</v>
      </c>
    </row>
    <row r="316" spans="8:8" x14ac:dyDescent="0.35">
      <c r="H316" s="505" t="s">
        <v>219</v>
      </c>
    </row>
    <row r="317" spans="8:8" x14ac:dyDescent="0.35">
      <c r="H317" s="505" t="s">
        <v>220</v>
      </c>
    </row>
    <row r="318" spans="8:8" x14ac:dyDescent="0.35">
      <c r="H318" s="505" t="s">
        <v>221</v>
      </c>
    </row>
    <row r="319" spans="8:8" x14ac:dyDescent="0.35">
      <c r="H319" s="505" t="s">
        <v>222</v>
      </c>
    </row>
    <row r="320" spans="8:8" x14ac:dyDescent="0.35">
      <c r="H320" s="505" t="s">
        <v>223</v>
      </c>
    </row>
    <row r="321" spans="8:8" x14ac:dyDescent="0.35">
      <c r="H321" s="505" t="s">
        <v>224</v>
      </c>
    </row>
    <row r="322" spans="8:8" x14ac:dyDescent="0.35">
      <c r="H322" s="505" t="s">
        <v>225</v>
      </c>
    </row>
  </sheetData>
  <autoFilter ref="A36:BK130" xr:uid="{00000000-0009-0000-0000-000018000000}"/>
  <mergeCells count="136">
    <mergeCell ref="BF2:BG2"/>
    <mergeCell ref="BH2:BI2"/>
    <mergeCell ref="C3:E3"/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  <mergeCell ref="Z2:AA2"/>
    <mergeCell ref="BB2:BC2"/>
    <mergeCell ref="BD2:BE2"/>
    <mergeCell ref="C2:E2"/>
    <mergeCell ref="F2:G2"/>
    <mergeCell ref="H2:I2"/>
    <mergeCell ref="J2:K2"/>
    <mergeCell ref="L2:M2"/>
    <mergeCell ref="N2:O2"/>
    <mergeCell ref="AF2:AG2"/>
    <mergeCell ref="AH2:AI2"/>
    <mergeCell ref="AJ2:AK2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27:E127"/>
    <mergeCell ref="D128:E128"/>
    <mergeCell ref="D129:E129"/>
    <mergeCell ref="D130:E130"/>
    <mergeCell ref="D121:E121"/>
    <mergeCell ref="D122:E122"/>
    <mergeCell ref="D123:E123"/>
    <mergeCell ref="D124:E124"/>
    <mergeCell ref="D125:E125"/>
    <mergeCell ref="D126:E126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B3F9-7C6F-49CF-9928-59F51655A107}">
  <sheetPr>
    <tabColor rgb="FF00B050"/>
  </sheetPr>
  <dimension ref="A1:BK327"/>
  <sheetViews>
    <sheetView zoomScale="55" zoomScaleNormal="55" workbookViewId="0">
      <pane xSplit="5" ySplit="29" topLeftCell="V105" activePane="bottomRight" state="frozen"/>
      <selection activeCell="I78" sqref="I78"/>
      <selection pane="topRight" activeCell="I78" sqref="I78"/>
      <selection pane="bottomLeft" activeCell="I78" sqref="I78"/>
      <selection pane="bottomRight" activeCell="X127" sqref="X127"/>
    </sheetView>
  </sheetViews>
  <sheetFormatPr defaultColWidth="9" defaultRowHeight="23.25" x14ac:dyDescent="0.35"/>
  <cols>
    <col min="1" max="3" width="15.7109375" style="505" customWidth="1"/>
    <col min="4" max="4" width="66.85546875" style="505" bestFit="1" customWidth="1"/>
    <col min="5" max="5" width="7.85546875" style="576" customWidth="1"/>
    <col min="6" max="15" width="13" style="505" customWidth="1"/>
    <col min="16" max="16" width="13.28515625" style="505" customWidth="1"/>
    <col min="17" max="17" width="13.42578125" style="505" customWidth="1"/>
    <col min="18" max="18" width="13.28515625" style="505" customWidth="1"/>
    <col min="19" max="19" width="13.42578125" style="505" customWidth="1"/>
    <col min="20" max="29" width="13" style="505" customWidth="1"/>
    <col min="30" max="30" width="13.28515625" style="505" customWidth="1"/>
    <col min="31" max="31" width="13.42578125" style="505" customWidth="1"/>
    <col min="32" max="43" width="13" style="505" customWidth="1"/>
    <col min="44" max="44" width="13.28515625" style="505" customWidth="1"/>
    <col min="45" max="45" width="13.42578125" style="505" customWidth="1"/>
    <col min="46" max="57" width="13" style="505" customWidth="1"/>
    <col min="58" max="58" width="13.28515625" style="505" customWidth="1"/>
    <col min="59" max="59" width="13.42578125" style="505" customWidth="1"/>
    <col min="60" max="61" width="13" style="505" customWidth="1"/>
    <col min="62" max="62" width="12.140625" style="505" customWidth="1"/>
    <col min="63" max="64" width="9" style="505"/>
    <col min="65" max="65" width="9.7109375" style="505" customWidth="1"/>
    <col min="66" max="16384" width="9" style="505"/>
  </cols>
  <sheetData>
    <row r="1" spans="1:63" ht="24" thickBot="1" x14ac:dyDescent="0.4">
      <c r="F1" s="544">
        <f t="shared" ref="F1:AK1" si="0">SUM(F5:F29)</f>
        <v>9850</v>
      </c>
      <c r="G1" s="544">
        <f t="shared" si="0"/>
        <v>0</v>
      </c>
      <c r="H1" s="544">
        <f t="shared" si="0"/>
        <v>9601</v>
      </c>
      <c r="I1" s="544">
        <f t="shared" si="0"/>
        <v>0</v>
      </c>
      <c r="J1" s="544">
        <f t="shared" si="0"/>
        <v>4274</v>
      </c>
      <c r="K1" s="544">
        <f t="shared" si="0"/>
        <v>0</v>
      </c>
      <c r="L1" s="544">
        <f t="shared" si="0"/>
        <v>0</v>
      </c>
      <c r="M1" s="544">
        <f t="shared" si="0"/>
        <v>0</v>
      </c>
      <c r="N1" s="544">
        <f t="shared" si="0"/>
        <v>2573</v>
      </c>
      <c r="O1" s="544">
        <f t="shared" si="0"/>
        <v>0</v>
      </c>
      <c r="P1" s="544">
        <f t="shared" si="0"/>
        <v>0</v>
      </c>
      <c r="Q1" s="544">
        <f t="shared" si="0"/>
        <v>0</v>
      </c>
      <c r="R1" s="544">
        <f t="shared" si="0"/>
        <v>0</v>
      </c>
      <c r="S1" s="544">
        <f t="shared" si="0"/>
        <v>0</v>
      </c>
      <c r="T1" s="544">
        <f t="shared" si="0"/>
        <v>2099</v>
      </c>
      <c r="U1" s="544">
        <f t="shared" si="0"/>
        <v>0</v>
      </c>
      <c r="V1" s="544">
        <f t="shared" si="0"/>
        <v>7716</v>
      </c>
      <c r="W1" s="544">
        <f t="shared" si="0"/>
        <v>0</v>
      </c>
      <c r="X1" s="544">
        <f t="shared" si="0"/>
        <v>4700</v>
      </c>
      <c r="Y1" s="544">
        <f t="shared" si="0"/>
        <v>0</v>
      </c>
      <c r="Z1" s="544">
        <f t="shared" si="0"/>
        <v>0</v>
      </c>
      <c r="AA1" s="544">
        <f t="shared" si="0"/>
        <v>0</v>
      </c>
      <c r="AB1" s="544">
        <f t="shared" si="0"/>
        <v>0</v>
      </c>
      <c r="AC1" s="544">
        <f t="shared" si="0"/>
        <v>0</v>
      </c>
      <c r="AD1" s="544">
        <f t="shared" si="0"/>
        <v>0</v>
      </c>
      <c r="AE1" s="544">
        <f t="shared" si="0"/>
        <v>0</v>
      </c>
      <c r="AF1" s="544">
        <f t="shared" si="0"/>
        <v>0</v>
      </c>
      <c r="AG1" s="544">
        <f t="shared" si="0"/>
        <v>0</v>
      </c>
      <c r="AH1" s="544">
        <f t="shared" si="0"/>
        <v>0</v>
      </c>
      <c r="AI1" s="544">
        <f t="shared" si="0"/>
        <v>0</v>
      </c>
      <c r="AJ1" s="544">
        <f t="shared" si="0"/>
        <v>0</v>
      </c>
      <c r="AK1" s="544">
        <f t="shared" si="0"/>
        <v>0</v>
      </c>
      <c r="AL1" s="544">
        <f t="shared" ref="AL1:BJ1" si="1">SUM(AL5:AL29)</f>
        <v>0</v>
      </c>
      <c r="AM1" s="544">
        <f t="shared" si="1"/>
        <v>0</v>
      </c>
      <c r="AN1" s="544">
        <f t="shared" si="1"/>
        <v>0</v>
      </c>
      <c r="AO1" s="544">
        <f t="shared" si="1"/>
        <v>0</v>
      </c>
      <c r="AP1" s="544">
        <f t="shared" si="1"/>
        <v>0</v>
      </c>
      <c r="AQ1" s="544">
        <f t="shared" si="1"/>
        <v>0</v>
      </c>
      <c r="AR1" s="544">
        <f t="shared" si="1"/>
        <v>0</v>
      </c>
      <c r="AS1" s="544">
        <f t="shared" si="1"/>
        <v>0</v>
      </c>
      <c r="AT1" s="544">
        <f t="shared" si="1"/>
        <v>0</v>
      </c>
      <c r="AU1" s="544">
        <f t="shared" si="1"/>
        <v>0</v>
      </c>
      <c r="AV1" s="544">
        <f t="shared" si="1"/>
        <v>0</v>
      </c>
      <c r="AW1" s="544">
        <f t="shared" si="1"/>
        <v>0</v>
      </c>
      <c r="AX1" s="544">
        <f t="shared" si="1"/>
        <v>0</v>
      </c>
      <c r="AY1" s="544">
        <f t="shared" si="1"/>
        <v>0</v>
      </c>
      <c r="AZ1" s="544">
        <f t="shared" si="1"/>
        <v>0</v>
      </c>
      <c r="BA1" s="544">
        <f t="shared" si="1"/>
        <v>0</v>
      </c>
      <c r="BB1" s="544">
        <f t="shared" si="1"/>
        <v>0</v>
      </c>
      <c r="BC1" s="544">
        <f t="shared" si="1"/>
        <v>0</v>
      </c>
      <c r="BD1" s="544">
        <f t="shared" si="1"/>
        <v>0</v>
      </c>
      <c r="BE1" s="544">
        <f t="shared" si="1"/>
        <v>0</v>
      </c>
      <c r="BF1" s="544">
        <f t="shared" si="1"/>
        <v>0</v>
      </c>
      <c r="BG1" s="544">
        <f t="shared" si="1"/>
        <v>0</v>
      </c>
      <c r="BH1" s="544">
        <f t="shared" si="1"/>
        <v>0</v>
      </c>
      <c r="BI1" s="544">
        <f t="shared" si="1"/>
        <v>0</v>
      </c>
      <c r="BJ1" s="544">
        <f t="shared" si="1"/>
        <v>40813</v>
      </c>
    </row>
    <row r="2" spans="1:63" ht="24" customHeight="1" x14ac:dyDescent="0.35">
      <c r="A2" s="538"/>
      <c r="B2" s="538"/>
      <c r="C2" s="641" t="s">
        <v>0</v>
      </c>
      <c r="D2" s="642"/>
      <c r="E2" s="642"/>
      <c r="F2" s="639">
        <v>46082</v>
      </c>
      <c r="G2" s="640"/>
      <c r="H2" s="639">
        <v>46083</v>
      </c>
      <c r="I2" s="640"/>
      <c r="J2" s="639">
        <v>46084</v>
      </c>
      <c r="K2" s="640"/>
      <c r="L2" s="639">
        <v>46085</v>
      </c>
      <c r="M2" s="640"/>
      <c r="N2" s="639">
        <v>46086</v>
      </c>
      <c r="O2" s="640"/>
      <c r="P2" s="639">
        <v>46087</v>
      </c>
      <c r="Q2" s="640"/>
      <c r="R2" s="639">
        <v>46088</v>
      </c>
      <c r="S2" s="640"/>
      <c r="T2" s="639">
        <v>46089</v>
      </c>
      <c r="U2" s="640"/>
      <c r="V2" s="639">
        <v>46090</v>
      </c>
      <c r="W2" s="640"/>
      <c r="X2" s="639">
        <v>46091</v>
      </c>
      <c r="Y2" s="640"/>
      <c r="Z2" s="639">
        <v>46092</v>
      </c>
      <c r="AA2" s="640"/>
      <c r="AB2" s="639">
        <v>46093</v>
      </c>
      <c r="AC2" s="640"/>
      <c r="AD2" s="639">
        <v>46094</v>
      </c>
      <c r="AE2" s="640"/>
      <c r="AF2" s="639">
        <v>46095</v>
      </c>
      <c r="AG2" s="640"/>
      <c r="AH2" s="639">
        <v>46096</v>
      </c>
      <c r="AI2" s="640"/>
      <c r="AJ2" s="639">
        <v>46097</v>
      </c>
      <c r="AK2" s="640"/>
      <c r="AL2" s="639">
        <v>46098</v>
      </c>
      <c r="AM2" s="640"/>
      <c r="AN2" s="639">
        <v>46099</v>
      </c>
      <c r="AO2" s="640"/>
      <c r="AP2" s="639">
        <v>46100</v>
      </c>
      <c r="AQ2" s="640"/>
      <c r="AR2" s="639">
        <v>46101</v>
      </c>
      <c r="AS2" s="640"/>
      <c r="AT2" s="639">
        <v>46102</v>
      </c>
      <c r="AU2" s="640"/>
      <c r="AV2" s="639">
        <v>46103</v>
      </c>
      <c r="AW2" s="640"/>
      <c r="AX2" s="639">
        <v>46104</v>
      </c>
      <c r="AY2" s="640"/>
      <c r="AZ2" s="639">
        <v>46105</v>
      </c>
      <c r="BA2" s="640"/>
      <c r="BB2" s="639">
        <v>46106</v>
      </c>
      <c r="BC2" s="640"/>
      <c r="BD2" s="639">
        <v>46107</v>
      </c>
      <c r="BE2" s="640"/>
      <c r="BF2" s="639">
        <v>46108</v>
      </c>
      <c r="BG2" s="640"/>
      <c r="BH2" s="639">
        <v>46109</v>
      </c>
      <c r="BI2" s="640"/>
      <c r="BJ2" s="527"/>
    </row>
    <row r="3" spans="1:63" ht="24" customHeight="1" x14ac:dyDescent="0.35">
      <c r="A3" s="538"/>
      <c r="B3" s="538"/>
      <c r="C3" s="641" t="s">
        <v>1</v>
      </c>
      <c r="D3" s="642"/>
      <c r="E3" s="642"/>
      <c r="F3" s="565" t="s">
        <v>2</v>
      </c>
      <c r="G3" s="577" t="s">
        <v>3</v>
      </c>
      <c r="H3" s="565" t="s">
        <v>2</v>
      </c>
      <c r="I3" s="577" t="s">
        <v>3</v>
      </c>
      <c r="J3" s="565" t="s">
        <v>2</v>
      </c>
      <c r="K3" s="577" t="s">
        <v>3</v>
      </c>
      <c r="L3" s="565" t="s">
        <v>2</v>
      </c>
      <c r="M3" s="577" t="s">
        <v>3</v>
      </c>
      <c r="N3" s="565" t="s">
        <v>2</v>
      </c>
      <c r="O3" s="577" t="s">
        <v>3</v>
      </c>
      <c r="P3" s="565" t="s">
        <v>2</v>
      </c>
      <c r="Q3" s="549" t="s">
        <v>3</v>
      </c>
      <c r="R3" s="565" t="s">
        <v>2</v>
      </c>
      <c r="S3" s="549" t="s">
        <v>3</v>
      </c>
      <c r="T3" s="565" t="s">
        <v>2</v>
      </c>
      <c r="U3" s="577" t="s">
        <v>3</v>
      </c>
      <c r="V3" s="565" t="s">
        <v>2</v>
      </c>
      <c r="W3" s="577" t="s">
        <v>3</v>
      </c>
      <c r="X3" s="565" t="s">
        <v>2</v>
      </c>
      <c r="Y3" s="577" t="s">
        <v>3</v>
      </c>
      <c r="Z3" s="565" t="s">
        <v>2</v>
      </c>
      <c r="AA3" s="577" t="s">
        <v>3</v>
      </c>
      <c r="AB3" s="565" t="s">
        <v>2</v>
      </c>
      <c r="AC3" s="577" t="s">
        <v>3</v>
      </c>
      <c r="AD3" s="565" t="s">
        <v>2</v>
      </c>
      <c r="AE3" s="549" t="s">
        <v>3</v>
      </c>
      <c r="AF3" s="565" t="s">
        <v>2</v>
      </c>
      <c r="AG3" s="577" t="s">
        <v>3</v>
      </c>
      <c r="AH3" s="565" t="s">
        <v>2</v>
      </c>
      <c r="AI3" s="577" t="s">
        <v>3</v>
      </c>
      <c r="AJ3" s="565" t="s">
        <v>2</v>
      </c>
      <c r="AK3" s="577" t="s">
        <v>3</v>
      </c>
      <c r="AL3" s="565" t="s">
        <v>2</v>
      </c>
      <c r="AM3" s="577" t="s">
        <v>3</v>
      </c>
      <c r="AN3" s="565" t="s">
        <v>2</v>
      </c>
      <c r="AO3" s="577" t="s">
        <v>3</v>
      </c>
      <c r="AP3" s="565" t="s">
        <v>2</v>
      </c>
      <c r="AQ3" s="577" t="s">
        <v>3</v>
      </c>
      <c r="AR3" s="565" t="s">
        <v>2</v>
      </c>
      <c r="AS3" s="549" t="s">
        <v>3</v>
      </c>
      <c r="AT3" s="565" t="s">
        <v>2</v>
      </c>
      <c r="AU3" s="577" t="s">
        <v>3</v>
      </c>
      <c r="AV3" s="565" t="s">
        <v>2</v>
      </c>
      <c r="AW3" s="577" t="s">
        <v>3</v>
      </c>
      <c r="AX3" s="565" t="s">
        <v>2</v>
      </c>
      <c r="AY3" s="577" t="s">
        <v>3</v>
      </c>
      <c r="AZ3" s="565" t="s">
        <v>2</v>
      </c>
      <c r="BA3" s="577" t="s">
        <v>3</v>
      </c>
      <c r="BB3" s="565" t="s">
        <v>2</v>
      </c>
      <c r="BC3" s="577" t="s">
        <v>3</v>
      </c>
      <c r="BD3" s="565" t="s">
        <v>2</v>
      </c>
      <c r="BE3" s="577" t="s">
        <v>3</v>
      </c>
      <c r="BF3" s="565" t="s">
        <v>2</v>
      </c>
      <c r="BG3" s="549" t="s">
        <v>3</v>
      </c>
      <c r="BH3" s="565" t="s">
        <v>2</v>
      </c>
      <c r="BI3" s="577" t="s">
        <v>3</v>
      </c>
      <c r="BJ3" s="527"/>
    </row>
    <row r="4" spans="1:63" ht="46.5" customHeight="1" x14ac:dyDescent="0.35">
      <c r="A4" s="561"/>
      <c r="B4" s="561"/>
      <c r="C4" s="561" t="s">
        <v>4</v>
      </c>
      <c r="D4" s="523" t="s">
        <v>5</v>
      </c>
      <c r="E4" s="571" t="s">
        <v>6</v>
      </c>
      <c r="F4" s="637" t="s">
        <v>12</v>
      </c>
      <c r="G4" s="638"/>
      <c r="H4" s="637" t="s">
        <v>13</v>
      </c>
      <c r="I4" s="638"/>
      <c r="J4" s="637" t="s">
        <v>7</v>
      </c>
      <c r="K4" s="638"/>
      <c r="L4" s="637" t="s">
        <v>8</v>
      </c>
      <c r="M4" s="638"/>
      <c r="N4" s="637" t="s">
        <v>9</v>
      </c>
      <c r="O4" s="638"/>
      <c r="P4" s="637" t="s">
        <v>10</v>
      </c>
      <c r="Q4" s="638"/>
      <c r="R4" s="637" t="s">
        <v>11</v>
      </c>
      <c r="S4" s="638"/>
      <c r="T4" s="637" t="s">
        <v>12</v>
      </c>
      <c r="U4" s="638"/>
      <c r="V4" s="637" t="s">
        <v>13</v>
      </c>
      <c r="W4" s="638"/>
      <c r="X4" s="637" t="s">
        <v>7</v>
      </c>
      <c r="Y4" s="638"/>
      <c r="Z4" s="637" t="s">
        <v>8</v>
      </c>
      <c r="AA4" s="638"/>
      <c r="AB4" s="637" t="s">
        <v>9</v>
      </c>
      <c r="AC4" s="638"/>
      <c r="AD4" s="637" t="s">
        <v>10</v>
      </c>
      <c r="AE4" s="638"/>
      <c r="AF4" s="637" t="s">
        <v>11</v>
      </c>
      <c r="AG4" s="638"/>
      <c r="AH4" s="637" t="s">
        <v>12</v>
      </c>
      <c r="AI4" s="638"/>
      <c r="AJ4" s="637" t="s">
        <v>13</v>
      </c>
      <c r="AK4" s="638"/>
      <c r="AL4" s="637" t="s">
        <v>7</v>
      </c>
      <c r="AM4" s="638"/>
      <c r="AN4" s="637" t="s">
        <v>8</v>
      </c>
      <c r="AO4" s="638"/>
      <c r="AP4" s="637" t="s">
        <v>9</v>
      </c>
      <c r="AQ4" s="638"/>
      <c r="AR4" s="637" t="s">
        <v>10</v>
      </c>
      <c r="AS4" s="638"/>
      <c r="AT4" s="637" t="s">
        <v>11</v>
      </c>
      <c r="AU4" s="638"/>
      <c r="AV4" s="637" t="s">
        <v>12</v>
      </c>
      <c r="AW4" s="638"/>
      <c r="AX4" s="637" t="s">
        <v>13</v>
      </c>
      <c r="AY4" s="638"/>
      <c r="AZ4" s="637" t="s">
        <v>7</v>
      </c>
      <c r="BA4" s="638"/>
      <c r="BB4" s="637" t="s">
        <v>8</v>
      </c>
      <c r="BC4" s="638"/>
      <c r="BD4" s="637" t="s">
        <v>9</v>
      </c>
      <c r="BE4" s="638"/>
      <c r="BF4" s="637" t="s">
        <v>10</v>
      </c>
      <c r="BG4" s="638"/>
      <c r="BH4" s="637" t="s">
        <v>1037</v>
      </c>
      <c r="BI4" s="638"/>
    </row>
    <row r="5" spans="1:63" x14ac:dyDescent="0.35">
      <c r="A5" s="512"/>
      <c r="B5" s="512"/>
      <c r="C5" s="533">
        <f>VLOOKUP(D5,Products!B:D,2,FALSE)</f>
        <v>41870004</v>
      </c>
      <c r="D5" s="533" t="s">
        <v>661</v>
      </c>
      <c r="E5" s="519">
        <v>33</v>
      </c>
      <c r="F5" s="530">
        <v>9850</v>
      </c>
      <c r="G5" s="537"/>
      <c r="H5" s="530">
        <v>3941</v>
      </c>
      <c r="I5" s="537"/>
      <c r="J5" s="530"/>
      <c r="K5" s="537"/>
      <c r="L5" s="530"/>
      <c r="M5" s="537"/>
      <c r="N5" s="530"/>
      <c r="O5" s="537"/>
      <c r="P5" s="572"/>
      <c r="Q5" s="587"/>
      <c r="R5" s="572"/>
      <c r="S5" s="587"/>
      <c r="T5" s="530"/>
      <c r="U5" s="537"/>
      <c r="V5" s="530"/>
      <c r="W5" s="537"/>
      <c r="X5" s="530"/>
      <c r="Y5" s="537"/>
      <c r="Z5" s="530"/>
      <c r="AA5" s="537"/>
      <c r="AB5" s="530"/>
      <c r="AC5" s="537"/>
      <c r="AD5" s="572"/>
      <c r="AE5" s="587"/>
      <c r="AF5" s="530"/>
      <c r="AG5" s="537"/>
      <c r="AH5" s="530"/>
      <c r="AI5" s="537"/>
      <c r="AJ5" s="530"/>
      <c r="AK5" s="537"/>
      <c r="AL5" s="530"/>
      <c r="AM5" s="537"/>
      <c r="AN5" s="530"/>
      <c r="AO5" s="537"/>
      <c r="AP5" s="530"/>
      <c r="AQ5" s="537"/>
      <c r="AR5" s="572"/>
      <c r="AS5" s="587"/>
      <c r="AT5" s="530"/>
      <c r="AU5" s="537"/>
      <c r="AV5" s="530"/>
      <c r="AW5" s="537"/>
      <c r="AX5" s="530"/>
      <c r="AY5" s="537"/>
      <c r="AZ5" s="530"/>
      <c r="BA5" s="537"/>
      <c r="BB5" s="530"/>
      <c r="BC5" s="537"/>
      <c r="BD5" s="530"/>
      <c r="BE5" s="537"/>
      <c r="BF5" s="572"/>
      <c r="BG5" s="587"/>
      <c r="BH5" s="530"/>
      <c r="BI5" s="537"/>
      <c r="BJ5" s="535">
        <f t="shared" ref="BJ5:BJ36" si="2">SUM(F5:BI5)</f>
        <v>13791</v>
      </c>
      <c r="BK5" s="545">
        <f t="shared" ref="BK5:BK36" si="3">COUNT(F5:BI5)</f>
        <v>2</v>
      </c>
    </row>
    <row r="6" spans="1:63" x14ac:dyDescent="0.35">
      <c r="A6" s="512"/>
      <c r="B6" s="512"/>
      <c r="C6" s="533">
        <f>VLOOKUP(D6,Products!B:D,2,FALSE)</f>
        <v>41880004</v>
      </c>
      <c r="D6" s="533" t="s">
        <v>251</v>
      </c>
      <c r="E6" s="519">
        <v>33</v>
      </c>
      <c r="F6" s="530"/>
      <c r="G6" s="537"/>
      <c r="H6" s="530">
        <v>5660</v>
      </c>
      <c r="I6" s="537"/>
      <c r="J6" s="530">
        <v>4274</v>
      </c>
      <c r="K6" s="537"/>
      <c r="L6" s="530"/>
      <c r="M6" s="537"/>
      <c r="N6" s="530">
        <v>2573</v>
      </c>
      <c r="O6" s="537"/>
      <c r="P6" s="572"/>
      <c r="Q6" s="587"/>
      <c r="R6" s="572"/>
      <c r="S6" s="587"/>
      <c r="T6" s="530">
        <v>2099</v>
      </c>
      <c r="U6" s="537"/>
      <c r="V6" s="530"/>
      <c r="W6" s="537"/>
      <c r="X6" s="530"/>
      <c r="Y6" s="537"/>
      <c r="Z6" s="530"/>
      <c r="AA6" s="537"/>
      <c r="AB6" s="530"/>
      <c r="AC6" s="537"/>
      <c r="AD6" s="572"/>
      <c r="AE6" s="587"/>
      <c r="AF6" s="530"/>
      <c r="AG6" s="537"/>
      <c r="AH6" s="530"/>
      <c r="AI6" s="537"/>
      <c r="AJ6" s="530"/>
      <c r="AK6" s="537"/>
      <c r="AL6" s="530"/>
      <c r="AM6" s="537"/>
      <c r="AN6" s="530"/>
      <c r="AO6" s="537"/>
      <c r="AP6" s="530"/>
      <c r="AQ6" s="537"/>
      <c r="AR6" s="572"/>
      <c r="AS6" s="587"/>
      <c r="AT6" s="530"/>
      <c r="AU6" s="537"/>
      <c r="AV6" s="530"/>
      <c r="AW6" s="537"/>
      <c r="AX6" s="530"/>
      <c r="AY6" s="537"/>
      <c r="AZ6" s="530"/>
      <c r="BA6" s="537"/>
      <c r="BB6" s="530"/>
      <c r="BC6" s="537"/>
      <c r="BD6" s="530"/>
      <c r="BE6" s="537"/>
      <c r="BF6" s="572"/>
      <c r="BG6" s="587"/>
      <c r="BH6" s="530"/>
      <c r="BI6" s="537"/>
      <c r="BJ6" s="535">
        <f t="shared" si="2"/>
        <v>14606</v>
      </c>
      <c r="BK6" s="545">
        <f t="shared" si="3"/>
        <v>4</v>
      </c>
    </row>
    <row r="7" spans="1:63" x14ac:dyDescent="0.35">
      <c r="A7" s="512"/>
      <c r="B7" s="512"/>
      <c r="C7" s="533">
        <f>VLOOKUP(D7,Products!B:D,2,FALSE)</f>
        <v>40300002</v>
      </c>
      <c r="D7" s="533" t="s">
        <v>253</v>
      </c>
      <c r="E7" s="519">
        <v>33</v>
      </c>
      <c r="F7" s="530"/>
      <c r="G7" s="537"/>
      <c r="H7" s="530"/>
      <c r="I7" s="537"/>
      <c r="J7" s="530"/>
      <c r="K7" s="537"/>
      <c r="L7" s="530"/>
      <c r="M7" s="537"/>
      <c r="N7" s="530"/>
      <c r="O7" s="537"/>
      <c r="P7" s="572"/>
      <c r="Q7" s="587"/>
      <c r="R7" s="572"/>
      <c r="S7" s="587"/>
      <c r="T7" s="530"/>
      <c r="U7" s="537"/>
      <c r="V7" s="530">
        <v>7716</v>
      </c>
      <c r="W7" s="537"/>
      <c r="X7" s="530">
        <v>4700</v>
      </c>
      <c r="Y7" s="537"/>
      <c r="Z7" s="530"/>
      <c r="AA7" s="537"/>
      <c r="AB7" s="530"/>
      <c r="AC7" s="537"/>
      <c r="AD7" s="572"/>
      <c r="AE7" s="587"/>
      <c r="AF7" s="530"/>
      <c r="AG7" s="537"/>
      <c r="AH7" s="530"/>
      <c r="AI7" s="537"/>
      <c r="AJ7" s="530"/>
      <c r="AK7" s="537"/>
      <c r="AL7" s="530"/>
      <c r="AM7" s="537"/>
      <c r="AN7" s="530"/>
      <c r="AO7" s="537"/>
      <c r="AP7" s="530"/>
      <c r="AQ7" s="537"/>
      <c r="AR7" s="572"/>
      <c r="AS7" s="587"/>
      <c r="AT7" s="530"/>
      <c r="AU7" s="537"/>
      <c r="AV7" s="530"/>
      <c r="AW7" s="537"/>
      <c r="AX7" s="530"/>
      <c r="AY7" s="537"/>
      <c r="AZ7" s="530"/>
      <c r="BA7" s="537"/>
      <c r="BB7" s="530"/>
      <c r="BC7" s="537"/>
      <c r="BD7" s="530"/>
      <c r="BE7" s="537"/>
      <c r="BF7" s="572"/>
      <c r="BG7" s="587"/>
      <c r="BH7" s="530"/>
      <c r="BI7" s="537"/>
      <c r="BJ7" s="535">
        <f t="shared" si="2"/>
        <v>12416</v>
      </c>
      <c r="BK7" s="545">
        <f t="shared" si="3"/>
        <v>2</v>
      </c>
    </row>
    <row r="8" spans="1:63" x14ac:dyDescent="0.35">
      <c r="A8" s="512"/>
      <c r="B8" s="512"/>
      <c r="C8" s="533" t="e">
        <f>VLOOKUP(D8,Products!B:D,2,FALSE)</f>
        <v>#N/A</v>
      </c>
      <c r="D8" s="533"/>
      <c r="E8" s="519">
        <v>1</v>
      </c>
      <c r="F8" s="530"/>
      <c r="G8" s="537"/>
      <c r="H8" s="530"/>
      <c r="I8" s="537"/>
      <c r="J8" s="530"/>
      <c r="K8" s="537"/>
      <c r="L8" s="530"/>
      <c r="M8" s="537"/>
      <c r="N8" s="530"/>
      <c r="O8" s="537"/>
      <c r="P8" s="572"/>
      <c r="Q8" s="587"/>
      <c r="R8" s="572"/>
      <c r="S8" s="587"/>
      <c r="T8" s="530"/>
      <c r="U8" s="537"/>
      <c r="V8" s="530"/>
      <c r="W8" s="537"/>
      <c r="X8" s="530"/>
      <c r="Y8" s="537"/>
      <c r="Z8" s="530"/>
      <c r="AA8" s="537"/>
      <c r="AB8" s="530"/>
      <c r="AC8" s="537"/>
      <c r="AD8" s="572"/>
      <c r="AE8" s="587"/>
      <c r="AF8" s="530"/>
      <c r="AG8" s="537"/>
      <c r="AH8" s="530"/>
      <c r="AI8" s="537"/>
      <c r="AJ8" s="530"/>
      <c r="AK8" s="537"/>
      <c r="AL8" s="530"/>
      <c r="AM8" s="537"/>
      <c r="AN8" s="530"/>
      <c r="AO8" s="537"/>
      <c r="AP8" s="530"/>
      <c r="AQ8" s="537"/>
      <c r="AR8" s="572"/>
      <c r="AS8" s="587"/>
      <c r="AT8" s="530"/>
      <c r="AU8" s="537"/>
      <c r="AV8" s="530"/>
      <c r="AW8" s="537"/>
      <c r="AX8" s="530"/>
      <c r="AY8" s="537"/>
      <c r="AZ8" s="530"/>
      <c r="BA8" s="537"/>
      <c r="BB8" s="530"/>
      <c r="BC8" s="537"/>
      <c r="BD8" s="530"/>
      <c r="BE8" s="537"/>
      <c r="BF8" s="572"/>
      <c r="BG8" s="587"/>
      <c r="BH8" s="530"/>
      <c r="BI8" s="537"/>
      <c r="BJ8" s="535">
        <f t="shared" si="2"/>
        <v>0</v>
      </c>
      <c r="BK8" s="545">
        <f t="shared" si="3"/>
        <v>0</v>
      </c>
    </row>
    <row r="9" spans="1:63" x14ac:dyDescent="0.35">
      <c r="A9" s="512"/>
      <c r="B9" s="512"/>
      <c r="C9" s="533" t="e">
        <f>VLOOKUP(D9,Products!B:D,2,FALSE)</f>
        <v>#N/A</v>
      </c>
      <c r="D9" s="533"/>
      <c r="E9" s="519">
        <v>1</v>
      </c>
      <c r="F9" s="530"/>
      <c r="G9" s="537"/>
      <c r="H9" s="530"/>
      <c r="I9" s="537"/>
      <c r="J9" s="530"/>
      <c r="K9" s="537"/>
      <c r="L9" s="530"/>
      <c r="M9" s="537"/>
      <c r="N9" s="530"/>
      <c r="O9" s="537"/>
      <c r="P9" s="572"/>
      <c r="Q9" s="587"/>
      <c r="R9" s="572"/>
      <c r="S9" s="587"/>
      <c r="T9" s="530"/>
      <c r="U9" s="537"/>
      <c r="V9" s="530"/>
      <c r="W9" s="537"/>
      <c r="X9" s="530"/>
      <c r="Y9" s="537"/>
      <c r="Z9" s="530"/>
      <c r="AA9" s="537"/>
      <c r="AB9" s="530"/>
      <c r="AC9" s="537"/>
      <c r="AD9" s="572"/>
      <c r="AE9" s="587"/>
      <c r="AF9" s="530"/>
      <c r="AG9" s="537"/>
      <c r="AH9" s="530"/>
      <c r="AI9" s="537"/>
      <c r="AJ9" s="530"/>
      <c r="AK9" s="537"/>
      <c r="AL9" s="530"/>
      <c r="AM9" s="537"/>
      <c r="AN9" s="530"/>
      <c r="AO9" s="537"/>
      <c r="AP9" s="530"/>
      <c r="AQ9" s="537"/>
      <c r="AR9" s="572"/>
      <c r="AS9" s="587"/>
      <c r="AT9" s="530"/>
      <c r="AU9" s="537"/>
      <c r="AV9" s="530"/>
      <c r="AW9" s="537"/>
      <c r="AX9" s="530"/>
      <c r="AY9" s="537"/>
      <c r="AZ9" s="530"/>
      <c r="BA9" s="537"/>
      <c r="BB9" s="530"/>
      <c r="BC9" s="537"/>
      <c r="BD9" s="530"/>
      <c r="BE9" s="537"/>
      <c r="BF9" s="572"/>
      <c r="BG9" s="587"/>
      <c r="BH9" s="530"/>
      <c r="BI9" s="537"/>
      <c r="BJ9" s="535">
        <f t="shared" si="2"/>
        <v>0</v>
      </c>
      <c r="BK9" s="545">
        <f t="shared" si="3"/>
        <v>0</v>
      </c>
    </row>
    <row r="10" spans="1:63" x14ac:dyDescent="0.35">
      <c r="A10" s="512"/>
      <c r="B10" s="512"/>
      <c r="C10" s="533" t="e">
        <f>VLOOKUP(D10,Products!B:D,2,FALSE)</f>
        <v>#N/A</v>
      </c>
      <c r="D10" s="533"/>
      <c r="E10" s="519">
        <v>1</v>
      </c>
      <c r="F10" s="530"/>
      <c r="G10" s="537"/>
      <c r="H10" s="530"/>
      <c r="I10" s="537"/>
      <c r="J10" s="530"/>
      <c r="K10" s="537"/>
      <c r="L10" s="530"/>
      <c r="M10" s="537"/>
      <c r="N10" s="530"/>
      <c r="O10" s="537"/>
      <c r="P10" s="572"/>
      <c r="Q10" s="587"/>
      <c r="R10" s="572"/>
      <c r="S10" s="587"/>
      <c r="T10" s="530"/>
      <c r="U10" s="537"/>
      <c r="V10" s="530"/>
      <c r="W10" s="537"/>
      <c r="X10" s="530"/>
      <c r="Y10" s="537"/>
      <c r="Z10" s="530"/>
      <c r="AA10" s="537"/>
      <c r="AB10" s="530"/>
      <c r="AC10" s="537"/>
      <c r="AD10" s="572"/>
      <c r="AE10" s="587"/>
      <c r="AF10" s="530"/>
      <c r="AG10" s="537"/>
      <c r="AH10" s="537"/>
      <c r="AI10" s="537"/>
      <c r="AJ10" s="530"/>
      <c r="AK10" s="537"/>
      <c r="AL10" s="530"/>
      <c r="AM10" s="537"/>
      <c r="AN10" s="530"/>
      <c r="AO10" s="537"/>
      <c r="AP10" s="530"/>
      <c r="AQ10" s="537"/>
      <c r="AR10" s="572"/>
      <c r="AS10" s="587"/>
      <c r="AT10" s="530"/>
      <c r="AU10" s="537"/>
      <c r="AV10" s="530"/>
      <c r="AW10" s="537"/>
      <c r="AX10" s="530"/>
      <c r="AY10" s="537"/>
      <c r="AZ10" s="530"/>
      <c r="BA10" s="537"/>
      <c r="BB10" s="530"/>
      <c r="BC10" s="537"/>
      <c r="BD10" s="530"/>
      <c r="BE10" s="537"/>
      <c r="BF10" s="572"/>
      <c r="BG10" s="587"/>
      <c r="BH10" s="530"/>
      <c r="BI10" s="537"/>
      <c r="BJ10" s="535">
        <f t="shared" si="2"/>
        <v>0</v>
      </c>
      <c r="BK10" s="545">
        <f t="shared" si="3"/>
        <v>0</v>
      </c>
    </row>
    <row r="11" spans="1:63" x14ac:dyDescent="0.35">
      <c r="A11" s="512"/>
      <c r="B11" s="512"/>
      <c r="C11" s="533" t="e">
        <f>VLOOKUP(D11,Products!B:D,2,FALSE)</f>
        <v>#N/A</v>
      </c>
      <c r="D11" s="533"/>
      <c r="E11" s="519">
        <v>1</v>
      </c>
      <c r="F11" s="530"/>
      <c r="G11" s="537"/>
      <c r="H11" s="530"/>
      <c r="I11" s="537"/>
      <c r="J11" s="530"/>
      <c r="K11" s="537"/>
      <c r="L11" s="530"/>
      <c r="M11" s="537"/>
      <c r="N11" s="530"/>
      <c r="O11" s="537"/>
      <c r="P11" s="572"/>
      <c r="Q11" s="587"/>
      <c r="R11" s="572"/>
      <c r="S11" s="587"/>
      <c r="T11" s="530"/>
      <c r="U11" s="537"/>
      <c r="V11" s="530"/>
      <c r="W11" s="537"/>
      <c r="X11" s="530"/>
      <c r="Y11" s="537"/>
      <c r="Z11" s="530"/>
      <c r="AA11" s="537"/>
      <c r="AB11" s="530"/>
      <c r="AC11" s="537"/>
      <c r="AD11" s="572"/>
      <c r="AE11" s="587"/>
      <c r="AF11" s="530"/>
      <c r="AG11" s="537"/>
      <c r="AH11" s="530"/>
      <c r="AI11" s="537"/>
      <c r="AJ11" s="530"/>
      <c r="AK11" s="537"/>
      <c r="AL11" s="530"/>
      <c r="AM11" s="537"/>
      <c r="AN11" s="530"/>
      <c r="AO11" s="537"/>
      <c r="AP11" s="530"/>
      <c r="AQ11" s="537"/>
      <c r="AR11" s="572"/>
      <c r="AS11" s="587"/>
      <c r="AT11" s="530"/>
      <c r="AU11" s="537"/>
      <c r="AV11" s="530"/>
      <c r="AW11" s="537"/>
      <c r="AX11" s="530"/>
      <c r="AY11" s="537"/>
      <c r="AZ11" s="530"/>
      <c r="BA11" s="537"/>
      <c r="BB11" s="530"/>
      <c r="BC11" s="537"/>
      <c r="BD11" s="530"/>
      <c r="BE11" s="537"/>
      <c r="BF11" s="572"/>
      <c r="BG11" s="587"/>
      <c r="BH11" s="530"/>
      <c r="BI11" s="537"/>
      <c r="BJ11" s="535">
        <f t="shared" si="2"/>
        <v>0</v>
      </c>
      <c r="BK11" s="545">
        <f t="shared" si="3"/>
        <v>0</v>
      </c>
    </row>
    <row r="12" spans="1:63" x14ac:dyDescent="0.35">
      <c r="A12" s="512"/>
      <c r="B12" s="512"/>
      <c r="C12" s="533" t="e">
        <f>VLOOKUP(D12,Products!B:D,2,FALSE)</f>
        <v>#N/A</v>
      </c>
      <c r="D12" s="533"/>
      <c r="E12" s="519">
        <v>1</v>
      </c>
      <c r="F12" s="530"/>
      <c r="G12" s="537"/>
      <c r="H12" s="530"/>
      <c r="I12" s="537"/>
      <c r="J12" s="530"/>
      <c r="K12" s="537"/>
      <c r="L12" s="530"/>
      <c r="M12" s="537"/>
      <c r="N12" s="530"/>
      <c r="O12" s="537"/>
      <c r="P12" s="572"/>
      <c r="Q12" s="587"/>
      <c r="R12" s="572"/>
      <c r="S12" s="587"/>
      <c r="T12" s="530"/>
      <c r="U12" s="537"/>
      <c r="V12" s="530"/>
      <c r="W12" s="537"/>
      <c r="X12" s="530"/>
      <c r="Y12" s="537"/>
      <c r="Z12" s="530"/>
      <c r="AA12" s="537"/>
      <c r="AB12" s="530"/>
      <c r="AC12" s="537"/>
      <c r="AD12" s="572"/>
      <c r="AE12" s="587"/>
      <c r="AF12" s="530"/>
      <c r="AG12" s="537"/>
      <c r="AH12" s="530"/>
      <c r="AI12" s="537"/>
      <c r="AJ12" s="530"/>
      <c r="AK12" s="537"/>
      <c r="AL12" s="530"/>
      <c r="AM12" s="537"/>
      <c r="AN12" s="530"/>
      <c r="AO12" s="537"/>
      <c r="AP12" s="530"/>
      <c r="AQ12" s="537"/>
      <c r="AR12" s="572"/>
      <c r="AS12" s="587"/>
      <c r="AT12" s="530"/>
      <c r="AU12" s="537"/>
      <c r="AV12" s="530"/>
      <c r="AW12" s="537"/>
      <c r="AX12" s="530"/>
      <c r="AY12" s="537"/>
      <c r="AZ12" s="530"/>
      <c r="BA12" s="537"/>
      <c r="BB12" s="530"/>
      <c r="BC12" s="537"/>
      <c r="BD12" s="530"/>
      <c r="BE12" s="537"/>
      <c r="BF12" s="572"/>
      <c r="BG12" s="587"/>
      <c r="BH12" s="630"/>
      <c r="BI12" s="537"/>
      <c r="BJ12" s="535">
        <f t="shared" si="2"/>
        <v>0</v>
      </c>
      <c r="BK12" s="545">
        <f t="shared" si="3"/>
        <v>0</v>
      </c>
    </row>
    <row r="13" spans="1:63" ht="15.75" hidden="1" customHeight="1" x14ac:dyDescent="0.35">
      <c r="A13" s="512"/>
      <c r="B13" s="512"/>
      <c r="C13" s="512" t="e">
        <f>VLOOKUP(D13,Products!B:D,2,FALSE)</f>
        <v>#N/A</v>
      </c>
      <c r="D13" s="555"/>
      <c r="E13" s="589">
        <v>1</v>
      </c>
      <c r="F13" s="530"/>
      <c r="G13" s="537"/>
      <c r="H13" s="530"/>
      <c r="I13" s="537"/>
      <c r="J13" s="530"/>
      <c r="K13" s="537"/>
      <c r="L13" s="530"/>
      <c r="M13" s="537"/>
      <c r="N13" s="530"/>
      <c r="O13" s="537"/>
      <c r="P13" s="572"/>
      <c r="Q13" s="587"/>
      <c r="R13" s="572"/>
      <c r="S13" s="587"/>
      <c r="T13" s="530"/>
      <c r="U13" s="537"/>
      <c r="V13" s="530"/>
      <c r="W13" s="537"/>
      <c r="X13" s="530"/>
      <c r="Y13" s="537"/>
      <c r="Z13" s="530"/>
      <c r="AA13" s="537"/>
      <c r="AB13" s="530"/>
      <c r="AC13" s="537"/>
      <c r="AD13" s="572"/>
      <c r="AE13" s="587"/>
      <c r="AF13" s="530"/>
      <c r="AG13" s="537"/>
      <c r="AH13" s="530"/>
      <c r="AI13" s="537"/>
      <c r="AJ13" s="530"/>
      <c r="AK13" s="537"/>
      <c r="AL13" s="530"/>
      <c r="AM13" s="537"/>
      <c r="AN13" s="530"/>
      <c r="AO13" s="537"/>
      <c r="AP13" s="530"/>
      <c r="AQ13" s="537"/>
      <c r="AR13" s="572"/>
      <c r="AS13" s="587"/>
      <c r="AT13" s="530"/>
      <c r="AU13" s="537"/>
      <c r="AV13" s="530"/>
      <c r="AW13" s="537"/>
      <c r="AX13" s="530"/>
      <c r="AY13" s="537"/>
      <c r="AZ13" s="530"/>
      <c r="BA13" s="537"/>
      <c r="BB13" s="530"/>
      <c r="BC13" s="537"/>
      <c r="BD13" s="530"/>
      <c r="BE13" s="537"/>
      <c r="BF13" s="572"/>
      <c r="BG13" s="587"/>
      <c r="BH13" s="530"/>
      <c r="BI13" s="537"/>
      <c r="BJ13" s="535">
        <f t="shared" si="2"/>
        <v>0</v>
      </c>
      <c r="BK13" s="545">
        <f t="shared" si="3"/>
        <v>0</v>
      </c>
    </row>
    <row r="14" spans="1:63" ht="15.75" hidden="1" customHeight="1" x14ac:dyDescent="0.35">
      <c r="A14" s="512"/>
      <c r="B14" s="512"/>
      <c r="C14" s="512" t="e">
        <f>VLOOKUP(D14,Products!B:D,2,FALSE)</f>
        <v>#N/A</v>
      </c>
      <c r="D14" s="555"/>
      <c r="E14" s="589">
        <v>1</v>
      </c>
      <c r="F14" s="530"/>
      <c r="G14" s="537"/>
      <c r="H14" s="530"/>
      <c r="I14" s="537"/>
      <c r="J14" s="530"/>
      <c r="K14" s="537"/>
      <c r="L14" s="530"/>
      <c r="M14" s="537"/>
      <c r="N14" s="530"/>
      <c r="O14" s="537"/>
      <c r="P14" s="572"/>
      <c r="Q14" s="587"/>
      <c r="R14" s="572"/>
      <c r="S14" s="587"/>
      <c r="T14" s="530"/>
      <c r="U14" s="537"/>
      <c r="V14" s="530"/>
      <c r="W14" s="537"/>
      <c r="X14" s="530"/>
      <c r="Y14" s="537"/>
      <c r="Z14" s="530"/>
      <c r="AA14" s="537"/>
      <c r="AB14" s="530"/>
      <c r="AC14" s="537"/>
      <c r="AD14" s="572"/>
      <c r="AE14" s="587"/>
      <c r="AF14" s="530"/>
      <c r="AG14" s="537"/>
      <c r="AH14" s="530"/>
      <c r="AI14" s="537"/>
      <c r="AJ14" s="530"/>
      <c r="AK14" s="537"/>
      <c r="AL14" s="530"/>
      <c r="AM14" s="537"/>
      <c r="AN14" s="530"/>
      <c r="AO14" s="537"/>
      <c r="AP14" s="530"/>
      <c r="AQ14" s="537"/>
      <c r="AR14" s="572"/>
      <c r="AS14" s="587"/>
      <c r="AT14" s="530"/>
      <c r="AU14" s="537"/>
      <c r="AV14" s="530"/>
      <c r="AW14" s="537"/>
      <c r="AX14" s="530"/>
      <c r="AY14" s="537"/>
      <c r="AZ14" s="530"/>
      <c r="BA14" s="537"/>
      <c r="BB14" s="530"/>
      <c r="BC14" s="537"/>
      <c r="BD14" s="530"/>
      <c r="BE14" s="537"/>
      <c r="BF14" s="572"/>
      <c r="BG14" s="587"/>
      <c r="BH14" s="530"/>
      <c r="BI14" s="537"/>
      <c r="BJ14" s="535">
        <f t="shared" si="2"/>
        <v>0</v>
      </c>
      <c r="BK14" s="545">
        <f t="shared" si="3"/>
        <v>0</v>
      </c>
    </row>
    <row r="15" spans="1:63" ht="15.75" hidden="1" customHeight="1" x14ac:dyDescent="0.35">
      <c r="A15" s="512"/>
      <c r="B15" s="512"/>
      <c r="C15" s="512" t="e">
        <f>VLOOKUP(D15,Products!B:D,2,FALSE)</f>
        <v>#N/A</v>
      </c>
      <c r="D15" s="555"/>
      <c r="E15" s="589">
        <v>1</v>
      </c>
      <c r="F15" s="530"/>
      <c r="G15" s="537"/>
      <c r="H15" s="530"/>
      <c r="I15" s="537"/>
      <c r="J15" s="530"/>
      <c r="K15" s="537"/>
      <c r="L15" s="530"/>
      <c r="M15" s="537"/>
      <c r="N15" s="530"/>
      <c r="O15" s="537"/>
      <c r="P15" s="572"/>
      <c r="Q15" s="587"/>
      <c r="R15" s="572"/>
      <c r="S15" s="587"/>
      <c r="T15" s="530"/>
      <c r="U15" s="537"/>
      <c r="V15" s="530"/>
      <c r="W15" s="537"/>
      <c r="X15" s="530"/>
      <c r="Y15" s="537"/>
      <c r="Z15" s="530"/>
      <c r="AA15" s="537"/>
      <c r="AB15" s="530"/>
      <c r="AC15" s="537"/>
      <c r="AD15" s="572"/>
      <c r="AE15" s="587"/>
      <c r="AF15" s="530"/>
      <c r="AG15" s="537"/>
      <c r="AH15" s="530"/>
      <c r="AI15" s="537"/>
      <c r="AJ15" s="530"/>
      <c r="AK15" s="537"/>
      <c r="AL15" s="530"/>
      <c r="AM15" s="537"/>
      <c r="AN15" s="530"/>
      <c r="AO15" s="537"/>
      <c r="AP15" s="530"/>
      <c r="AQ15" s="537"/>
      <c r="AR15" s="572"/>
      <c r="AS15" s="587"/>
      <c r="AT15" s="530"/>
      <c r="AU15" s="537"/>
      <c r="AV15" s="530"/>
      <c r="AW15" s="537"/>
      <c r="AX15" s="530"/>
      <c r="AY15" s="537"/>
      <c r="AZ15" s="530"/>
      <c r="BA15" s="537"/>
      <c r="BB15" s="530"/>
      <c r="BC15" s="537"/>
      <c r="BD15" s="530"/>
      <c r="BE15" s="537"/>
      <c r="BF15" s="572"/>
      <c r="BG15" s="587"/>
      <c r="BH15" s="530"/>
      <c r="BI15" s="537"/>
      <c r="BJ15" s="535">
        <f t="shared" si="2"/>
        <v>0</v>
      </c>
      <c r="BK15" s="545">
        <f t="shared" si="3"/>
        <v>0</v>
      </c>
    </row>
    <row r="16" spans="1:63" ht="15.75" hidden="1" customHeight="1" x14ac:dyDescent="0.35">
      <c r="A16" s="512"/>
      <c r="B16" s="512"/>
      <c r="C16" s="512" t="e">
        <f>VLOOKUP(D16,Products!B:D,2,FALSE)</f>
        <v>#N/A</v>
      </c>
      <c r="D16" s="555"/>
      <c r="E16" s="589">
        <v>1</v>
      </c>
      <c r="F16" s="530"/>
      <c r="G16" s="537"/>
      <c r="H16" s="530"/>
      <c r="I16" s="537"/>
      <c r="J16" s="530"/>
      <c r="K16" s="537"/>
      <c r="L16" s="530"/>
      <c r="M16" s="537"/>
      <c r="N16" s="530"/>
      <c r="O16" s="537"/>
      <c r="P16" s="572"/>
      <c r="Q16" s="587"/>
      <c r="R16" s="572"/>
      <c r="S16" s="587"/>
      <c r="T16" s="530"/>
      <c r="U16" s="537"/>
      <c r="V16" s="530"/>
      <c r="W16" s="537"/>
      <c r="X16" s="530"/>
      <c r="Y16" s="537"/>
      <c r="Z16" s="530"/>
      <c r="AA16" s="537"/>
      <c r="AB16" s="530"/>
      <c r="AC16" s="537"/>
      <c r="AD16" s="572"/>
      <c r="AE16" s="587"/>
      <c r="AF16" s="530"/>
      <c r="AG16" s="537"/>
      <c r="AH16" s="530"/>
      <c r="AI16" s="537"/>
      <c r="AJ16" s="530"/>
      <c r="AK16" s="537"/>
      <c r="AL16" s="530"/>
      <c r="AM16" s="537"/>
      <c r="AN16" s="530"/>
      <c r="AO16" s="537"/>
      <c r="AP16" s="530"/>
      <c r="AQ16" s="537"/>
      <c r="AR16" s="572"/>
      <c r="AS16" s="587"/>
      <c r="AT16" s="530"/>
      <c r="AU16" s="537"/>
      <c r="AV16" s="530"/>
      <c r="AW16" s="537"/>
      <c r="AX16" s="530"/>
      <c r="AY16" s="537"/>
      <c r="AZ16" s="530"/>
      <c r="BA16" s="537"/>
      <c r="BB16" s="530"/>
      <c r="BC16" s="537"/>
      <c r="BD16" s="530"/>
      <c r="BE16" s="537"/>
      <c r="BF16" s="572"/>
      <c r="BG16" s="587"/>
      <c r="BH16" s="530"/>
      <c r="BI16" s="537"/>
      <c r="BJ16" s="535">
        <f t="shared" si="2"/>
        <v>0</v>
      </c>
      <c r="BK16" s="545">
        <f t="shared" si="3"/>
        <v>0</v>
      </c>
    </row>
    <row r="17" spans="1:63" ht="15.75" hidden="1" customHeight="1" x14ac:dyDescent="0.35">
      <c r="A17" s="512"/>
      <c r="B17" s="512"/>
      <c r="C17" s="512" t="e">
        <f>VLOOKUP(D17,Products!B:D,2,FALSE)</f>
        <v>#N/A</v>
      </c>
      <c r="D17" s="555"/>
      <c r="E17" s="589">
        <v>1</v>
      </c>
      <c r="F17" s="530"/>
      <c r="G17" s="537"/>
      <c r="H17" s="530"/>
      <c r="I17" s="537"/>
      <c r="J17" s="530"/>
      <c r="K17" s="537"/>
      <c r="L17" s="530"/>
      <c r="M17" s="537"/>
      <c r="N17" s="530"/>
      <c r="O17" s="537"/>
      <c r="P17" s="572"/>
      <c r="Q17" s="587"/>
      <c r="R17" s="572"/>
      <c r="S17" s="587"/>
      <c r="T17" s="530"/>
      <c r="U17" s="537"/>
      <c r="V17" s="530"/>
      <c r="W17" s="537"/>
      <c r="X17" s="530"/>
      <c r="Y17" s="537"/>
      <c r="Z17" s="530"/>
      <c r="AA17" s="537"/>
      <c r="AB17" s="530"/>
      <c r="AC17" s="537"/>
      <c r="AD17" s="572"/>
      <c r="AE17" s="587"/>
      <c r="AF17" s="530"/>
      <c r="AG17" s="537"/>
      <c r="AH17" s="530"/>
      <c r="AI17" s="537"/>
      <c r="AJ17" s="530"/>
      <c r="AK17" s="537"/>
      <c r="AL17" s="530"/>
      <c r="AM17" s="537"/>
      <c r="AN17" s="530"/>
      <c r="AO17" s="537"/>
      <c r="AP17" s="530"/>
      <c r="AQ17" s="537"/>
      <c r="AR17" s="572"/>
      <c r="AS17" s="587"/>
      <c r="AT17" s="530"/>
      <c r="AU17" s="537"/>
      <c r="AV17" s="530"/>
      <c r="AW17" s="537"/>
      <c r="AX17" s="530"/>
      <c r="AY17" s="537"/>
      <c r="AZ17" s="530"/>
      <c r="BA17" s="537"/>
      <c r="BB17" s="530"/>
      <c r="BC17" s="537"/>
      <c r="BD17" s="530"/>
      <c r="BE17" s="537"/>
      <c r="BF17" s="572"/>
      <c r="BG17" s="587"/>
      <c r="BH17" s="530"/>
      <c r="BI17" s="537"/>
      <c r="BJ17" s="535">
        <f t="shared" si="2"/>
        <v>0</v>
      </c>
      <c r="BK17" s="545">
        <f t="shared" si="3"/>
        <v>0</v>
      </c>
    </row>
    <row r="18" spans="1:63" ht="15.75" hidden="1" customHeight="1" x14ac:dyDescent="0.35">
      <c r="A18" s="512"/>
      <c r="B18" s="512"/>
      <c r="C18" s="512" t="e">
        <f>VLOOKUP(D18,Products!B:D,2,FALSE)</f>
        <v>#N/A</v>
      </c>
      <c r="D18" s="555"/>
      <c r="E18" s="589">
        <v>1</v>
      </c>
      <c r="F18" s="530"/>
      <c r="G18" s="537"/>
      <c r="H18" s="530"/>
      <c r="I18" s="537"/>
      <c r="J18" s="530"/>
      <c r="K18" s="537"/>
      <c r="L18" s="530"/>
      <c r="M18" s="537"/>
      <c r="N18" s="530"/>
      <c r="O18" s="537"/>
      <c r="P18" s="572"/>
      <c r="Q18" s="587"/>
      <c r="R18" s="572"/>
      <c r="S18" s="587"/>
      <c r="T18" s="530"/>
      <c r="U18" s="537"/>
      <c r="V18" s="530"/>
      <c r="W18" s="537"/>
      <c r="X18" s="530"/>
      <c r="Y18" s="537"/>
      <c r="Z18" s="530"/>
      <c r="AA18" s="537"/>
      <c r="AB18" s="530"/>
      <c r="AC18" s="537"/>
      <c r="AD18" s="572"/>
      <c r="AE18" s="587"/>
      <c r="AF18" s="530"/>
      <c r="AG18" s="537"/>
      <c r="AH18" s="530"/>
      <c r="AI18" s="537"/>
      <c r="AJ18" s="530"/>
      <c r="AK18" s="537"/>
      <c r="AL18" s="530"/>
      <c r="AM18" s="537"/>
      <c r="AN18" s="530"/>
      <c r="AO18" s="537"/>
      <c r="AP18" s="530"/>
      <c r="AQ18" s="537"/>
      <c r="AR18" s="572"/>
      <c r="AS18" s="587"/>
      <c r="AT18" s="530"/>
      <c r="AU18" s="537"/>
      <c r="AV18" s="530"/>
      <c r="AW18" s="537"/>
      <c r="AX18" s="530"/>
      <c r="AY18" s="537"/>
      <c r="AZ18" s="530"/>
      <c r="BA18" s="537"/>
      <c r="BB18" s="530"/>
      <c r="BC18" s="537"/>
      <c r="BD18" s="530"/>
      <c r="BE18" s="537"/>
      <c r="BF18" s="572"/>
      <c r="BG18" s="587"/>
      <c r="BH18" s="530"/>
      <c r="BI18" s="537"/>
      <c r="BJ18" s="535">
        <f t="shared" si="2"/>
        <v>0</v>
      </c>
      <c r="BK18" s="545">
        <f t="shared" si="3"/>
        <v>0</v>
      </c>
    </row>
    <row r="19" spans="1:63" ht="15.75" hidden="1" customHeight="1" x14ac:dyDescent="0.35">
      <c r="A19" s="512"/>
      <c r="B19" s="512"/>
      <c r="C19" s="512" t="e">
        <f>VLOOKUP(D19,Products!B:D,2,FALSE)</f>
        <v>#N/A</v>
      </c>
      <c r="D19" s="555"/>
      <c r="E19" s="589">
        <v>1</v>
      </c>
      <c r="F19" s="530"/>
      <c r="G19" s="537"/>
      <c r="H19" s="530"/>
      <c r="I19" s="537"/>
      <c r="J19" s="530"/>
      <c r="K19" s="537"/>
      <c r="L19" s="530"/>
      <c r="M19" s="537"/>
      <c r="N19" s="530"/>
      <c r="O19" s="537"/>
      <c r="P19" s="572"/>
      <c r="Q19" s="587"/>
      <c r="R19" s="572"/>
      <c r="S19" s="587"/>
      <c r="T19" s="530"/>
      <c r="U19" s="537"/>
      <c r="V19" s="530"/>
      <c r="W19" s="537"/>
      <c r="X19" s="530"/>
      <c r="Y19" s="537"/>
      <c r="Z19" s="530"/>
      <c r="AA19" s="537"/>
      <c r="AB19" s="530"/>
      <c r="AC19" s="537"/>
      <c r="AD19" s="572"/>
      <c r="AE19" s="587"/>
      <c r="AF19" s="530"/>
      <c r="AG19" s="537"/>
      <c r="AH19" s="530"/>
      <c r="AI19" s="537"/>
      <c r="AJ19" s="530"/>
      <c r="AK19" s="537"/>
      <c r="AL19" s="530"/>
      <c r="AM19" s="537"/>
      <c r="AN19" s="530"/>
      <c r="AO19" s="537"/>
      <c r="AP19" s="530"/>
      <c r="AQ19" s="537"/>
      <c r="AR19" s="572"/>
      <c r="AS19" s="587"/>
      <c r="AT19" s="530"/>
      <c r="AU19" s="537"/>
      <c r="AV19" s="530"/>
      <c r="AW19" s="537"/>
      <c r="AX19" s="530"/>
      <c r="AY19" s="537"/>
      <c r="AZ19" s="530"/>
      <c r="BA19" s="537"/>
      <c r="BB19" s="530"/>
      <c r="BC19" s="537"/>
      <c r="BD19" s="530"/>
      <c r="BE19" s="537"/>
      <c r="BF19" s="572"/>
      <c r="BG19" s="587"/>
      <c r="BH19" s="530"/>
      <c r="BI19" s="537"/>
      <c r="BJ19" s="535">
        <f t="shared" si="2"/>
        <v>0</v>
      </c>
      <c r="BK19" s="545">
        <f t="shared" si="3"/>
        <v>0</v>
      </c>
    </row>
    <row r="20" spans="1:63" ht="15.75" hidden="1" customHeight="1" x14ac:dyDescent="0.35">
      <c r="A20" s="512"/>
      <c r="B20" s="512"/>
      <c r="C20" s="512" t="e">
        <f>VLOOKUP(D20,Products!B:D,2,FALSE)</f>
        <v>#N/A</v>
      </c>
      <c r="D20" s="555"/>
      <c r="E20" s="589">
        <v>1</v>
      </c>
      <c r="F20" s="530"/>
      <c r="G20" s="537"/>
      <c r="H20" s="530"/>
      <c r="I20" s="537"/>
      <c r="J20" s="530"/>
      <c r="K20" s="537"/>
      <c r="L20" s="530"/>
      <c r="M20" s="537"/>
      <c r="N20" s="530"/>
      <c r="O20" s="537"/>
      <c r="P20" s="572"/>
      <c r="Q20" s="587"/>
      <c r="R20" s="572"/>
      <c r="S20" s="587"/>
      <c r="T20" s="530"/>
      <c r="U20" s="537"/>
      <c r="V20" s="530"/>
      <c r="W20" s="537"/>
      <c r="X20" s="530"/>
      <c r="Y20" s="537"/>
      <c r="Z20" s="530"/>
      <c r="AA20" s="537"/>
      <c r="AB20" s="530"/>
      <c r="AC20" s="537"/>
      <c r="AD20" s="572"/>
      <c r="AE20" s="587"/>
      <c r="AF20" s="530"/>
      <c r="AG20" s="537"/>
      <c r="AH20" s="530"/>
      <c r="AI20" s="537"/>
      <c r="AJ20" s="530"/>
      <c r="AK20" s="537"/>
      <c r="AL20" s="530"/>
      <c r="AM20" s="537"/>
      <c r="AN20" s="530"/>
      <c r="AO20" s="537"/>
      <c r="AP20" s="530"/>
      <c r="AQ20" s="537"/>
      <c r="AR20" s="572"/>
      <c r="AS20" s="587"/>
      <c r="AT20" s="530"/>
      <c r="AU20" s="537"/>
      <c r="AV20" s="530"/>
      <c r="AW20" s="537"/>
      <c r="AX20" s="530"/>
      <c r="AY20" s="537"/>
      <c r="AZ20" s="530"/>
      <c r="BA20" s="537"/>
      <c r="BB20" s="530"/>
      <c r="BC20" s="537"/>
      <c r="BD20" s="530"/>
      <c r="BE20" s="537"/>
      <c r="BF20" s="572"/>
      <c r="BG20" s="587"/>
      <c r="BH20" s="530"/>
      <c r="BI20" s="537"/>
      <c r="BJ20" s="535">
        <f t="shared" si="2"/>
        <v>0</v>
      </c>
      <c r="BK20" s="545">
        <f t="shared" si="3"/>
        <v>0</v>
      </c>
    </row>
    <row r="21" spans="1:63" ht="15.75" hidden="1" customHeight="1" x14ac:dyDescent="0.35">
      <c r="A21" s="512"/>
      <c r="B21" s="512"/>
      <c r="C21" s="512" t="e">
        <f>VLOOKUP(D21,Products!B:D,2,FALSE)</f>
        <v>#N/A</v>
      </c>
      <c r="D21" s="504"/>
      <c r="E21" s="589">
        <v>1</v>
      </c>
      <c r="F21" s="530"/>
      <c r="G21" s="537"/>
      <c r="H21" s="530"/>
      <c r="I21" s="537"/>
      <c r="J21" s="530"/>
      <c r="K21" s="537"/>
      <c r="L21" s="530"/>
      <c r="M21" s="537"/>
      <c r="N21" s="530"/>
      <c r="O21" s="537"/>
      <c r="P21" s="572"/>
      <c r="Q21" s="587"/>
      <c r="R21" s="572"/>
      <c r="S21" s="587"/>
      <c r="T21" s="530"/>
      <c r="U21" s="537"/>
      <c r="V21" s="530"/>
      <c r="W21" s="537"/>
      <c r="X21" s="530"/>
      <c r="Y21" s="537"/>
      <c r="Z21" s="530"/>
      <c r="AA21" s="537"/>
      <c r="AB21" s="530"/>
      <c r="AC21" s="537"/>
      <c r="AD21" s="572"/>
      <c r="AE21" s="587"/>
      <c r="AF21" s="530"/>
      <c r="AG21" s="537"/>
      <c r="AH21" s="530"/>
      <c r="AI21" s="537"/>
      <c r="AJ21" s="530"/>
      <c r="AK21" s="537"/>
      <c r="AL21" s="530"/>
      <c r="AM21" s="537"/>
      <c r="AN21" s="530"/>
      <c r="AO21" s="537"/>
      <c r="AP21" s="530"/>
      <c r="AQ21" s="537"/>
      <c r="AR21" s="572"/>
      <c r="AS21" s="587"/>
      <c r="AT21" s="530"/>
      <c r="AU21" s="537"/>
      <c r="AV21" s="530"/>
      <c r="AW21" s="537"/>
      <c r="AX21" s="530"/>
      <c r="AY21" s="537"/>
      <c r="AZ21" s="530"/>
      <c r="BA21" s="537"/>
      <c r="BB21" s="530"/>
      <c r="BC21" s="537"/>
      <c r="BD21" s="530"/>
      <c r="BE21" s="537"/>
      <c r="BF21" s="572"/>
      <c r="BG21" s="587"/>
      <c r="BH21" s="530"/>
      <c r="BI21" s="537"/>
      <c r="BJ21" s="535">
        <f t="shared" si="2"/>
        <v>0</v>
      </c>
      <c r="BK21" s="545">
        <f t="shared" si="3"/>
        <v>0</v>
      </c>
    </row>
    <row r="22" spans="1:63" ht="15.75" hidden="1" customHeight="1" x14ac:dyDescent="0.35">
      <c r="A22" s="512"/>
      <c r="B22" s="512"/>
      <c r="C22" s="512" t="e">
        <f>VLOOKUP(D22,Products!B:D,2,FALSE)</f>
        <v>#N/A</v>
      </c>
      <c r="D22" s="504" t="s">
        <v>17</v>
      </c>
      <c r="E22" s="589">
        <v>1</v>
      </c>
      <c r="F22" s="530"/>
      <c r="G22" s="537"/>
      <c r="H22" s="530"/>
      <c r="I22" s="537"/>
      <c r="J22" s="530"/>
      <c r="K22" s="537"/>
      <c r="L22" s="530"/>
      <c r="M22" s="537"/>
      <c r="N22" s="530"/>
      <c r="O22" s="537"/>
      <c r="P22" s="572"/>
      <c r="Q22" s="587"/>
      <c r="R22" s="572"/>
      <c r="S22" s="587"/>
      <c r="T22" s="530"/>
      <c r="U22" s="537"/>
      <c r="V22" s="530"/>
      <c r="W22" s="537"/>
      <c r="X22" s="530"/>
      <c r="Y22" s="537"/>
      <c r="Z22" s="530"/>
      <c r="AA22" s="537"/>
      <c r="AB22" s="530"/>
      <c r="AC22" s="537"/>
      <c r="AD22" s="572"/>
      <c r="AE22" s="587"/>
      <c r="AF22" s="530"/>
      <c r="AG22" s="537"/>
      <c r="AH22" s="530"/>
      <c r="AI22" s="537"/>
      <c r="AJ22" s="530"/>
      <c r="AK22" s="537"/>
      <c r="AL22" s="530"/>
      <c r="AM22" s="537"/>
      <c r="AN22" s="530"/>
      <c r="AO22" s="537"/>
      <c r="AP22" s="530"/>
      <c r="AQ22" s="537"/>
      <c r="AR22" s="572"/>
      <c r="AS22" s="587"/>
      <c r="AT22" s="530"/>
      <c r="AU22" s="537"/>
      <c r="AV22" s="530"/>
      <c r="AW22" s="537"/>
      <c r="AX22" s="530"/>
      <c r="AY22" s="537"/>
      <c r="AZ22" s="530"/>
      <c r="BA22" s="537"/>
      <c r="BB22" s="530"/>
      <c r="BC22" s="537"/>
      <c r="BD22" s="530"/>
      <c r="BE22" s="537"/>
      <c r="BF22" s="572"/>
      <c r="BG22" s="587"/>
      <c r="BH22" s="530"/>
      <c r="BI22" s="537"/>
      <c r="BJ22" s="535">
        <f t="shared" si="2"/>
        <v>0</v>
      </c>
      <c r="BK22" s="545">
        <f t="shared" si="3"/>
        <v>0</v>
      </c>
    </row>
    <row r="23" spans="1:63" ht="15.75" hidden="1" customHeight="1" x14ac:dyDescent="0.35">
      <c r="A23" s="512"/>
      <c r="B23" s="512"/>
      <c r="C23" s="512" t="e">
        <f>VLOOKUP(D23,Products!B:D,2,FALSE)</f>
        <v>#N/A</v>
      </c>
      <c r="D23" s="504"/>
      <c r="E23" s="554">
        <v>1</v>
      </c>
      <c r="F23" s="530"/>
      <c r="G23" s="537"/>
      <c r="H23" s="530"/>
      <c r="I23" s="537"/>
      <c r="J23" s="530"/>
      <c r="K23" s="537"/>
      <c r="L23" s="530"/>
      <c r="M23" s="537"/>
      <c r="N23" s="530"/>
      <c r="O23" s="537"/>
      <c r="P23" s="572"/>
      <c r="Q23" s="587"/>
      <c r="R23" s="572"/>
      <c r="S23" s="587"/>
      <c r="T23" s="530"/>
      <c r="U23" s="537"/>
      <c r="V23" s="530"/>
      <c r="W23" s="537"/>
      <c r="X23" s="530"/>
      <c r="Y23" s="537"/>
      <c r="Z23" s="530"/>
      <c r="AA23" s="537"/>
      <c r="AB23" s="530"/>
      <c r="AC23" s="537"/>
      <c r="AD23" s="572"/>
      <c r="AE23" s="587"/>
      <c r="AF23" s="530"/>
      <c r="AG23" s="537"/>
      <c r="AH23" s="530"/>
      <c r="AI23" s="537"/>
      <c r="AJ23" s="530"/>
      <c r="AK23" s="537"/>
      <c r="AL23" s="530"/>
      <c r="AM23" s="537"/>
      <c r="AN23" s="530"/>
      <c r="AO23" s="537"/>
      <c r="AP23" s="530"/>
      <c r="AQ23" s="537"/>
      <c r="AR23" s="572"/>
      <c r="AS23" s="587"/>
      <c r="AT23" s="530"/>
      <c r="AU23" s="537"/>
      <c r="AV23" s="530"/>
      <c r="AW23" s="537"/>
      <c r="AX23" s="530"/>
      <c r="AY23" s="537"/>
      <c r="AZ23" s="530"/>
      <c r="BA23" s="537"/>
      <c r="BB23" s="530"/>
      <c r="BC23" s="537"/>
      <c r="BD23" s="530"/>
      <c r="BE23" s="537"/>
      <c r="BF23" s="572"/>
      <c r="BG23" s="587"/>
      <c r="BH23" s="530"/>
      <c r="BI23" s="537"/>
      <c r="BJ23" s="535">
        <f t="shared" si="2"/>
        <v>0</v>
      </c>
      <c r="BK23" s="545">
        <f t="shared" si="3"/>
        <v>0</v>
      </c>
    </row>
    <row r="24" spans="1:63" ht="15.75" hidden="1" customHeight="1" x14ac:dyDescent="0.35">
      <c r="A24" s="512"/>
      <c r="B24" s="512"/>
      <c r="C24" s="512" t="e">
        <f>VLOOKUP(D24,Products!B:D,2,FALSE)</f>
        <v>#N/A</v>
      </c>
      <c r="D24" s="504"/>
      <c r="E24" s="554">
        <v>1</v>
      </c>
      <c r="F24" s="530"/>
      <c r="G24" s="537"/>
      <c r="H24" s="530"/>
      <c r="I24" s="537"/>
      <c r="J24" s="530"/>
      <c r="K24" s="537"/>
      <c r="L24" s="530"/>
      <c r="M24" s="537"/>
      <c r="N24" s="530"/>
      <c r="O24" s="537"/>
      <c r="P24" s="572"/>
      <c r="Q24" s="587"/>
      <c r="R24" s="572"/>
      <c r="S24" s="587"/>
      <c r="T24" s="530"/>
      <c r="U24" s="537"/>
      <c r="V24" s="530"/>
      <c r="W24" s="537"/>
      <c r="X24" s="530"/>
      <c r="Y24" s="537"/>
      <c r="Z24" s="530"/>
      <c r="AA24" s="537"/>
      <c r="AB24" s="530"/>
      <c r="AC24" s="537"/>
      <c r="AD24" s="572"/>
      <c r="AE24" s="587"/>
      <c r="AF24" s="530"/>
      <c r="AG24" s="537"/>
      <c r="AH24" s="530"/>
      <c r="AI24" s="537"/>
      <c r="AJ24" s="530"/>
      <c r="AK24" s="537"/>
      <c r="AL24" s="530"/>
      <c r="AM24" s="537"/>
      <c r="AN24" s="530"/>
      <c r="AO24" s="537"/>
      <c r="AP24" s="530"/>
      <c r="AQ24" s="537"/>
      <c r="AR24" s="572"/>
      <c r="AS24" s="587"/>
      <c r="AT24" s="530"/>
      <c r="AU24" s="537"/>
      <c r="AV24" s="530"/>
      <c r="AW24" s="537"/>
      <c r="AX24" s="530"/>
      <c r="AY24" s="537"/>
      <c r="AZ24" s="530"/>
      <c r="BA24" s="537"/>
      <c r="BB24" s="530"/>
      <c r="BC24" s="537"/>
      <c r="BD24" s="530"/>
      <c r="BE24" s="537"/>
      <c r="BF24" s="572"/>
      <c r="BG24" s="587"/>
      <c r="BH24" s="530"/>
      <c r="BI24" s="537"/>
      <c r="BJ24" s="535">
        <f t="shared" si="2"/>
        <v>0</v>
      </c>
      <c r="BK24" s="545">
        <f t="shared" si="3"/>
        <v>0</v>
      </c>
    </row>
    <row r="25" spans="1:63" ht="15.75" hidden="1" customHeight="1" x14ac:dyDescent="0.35">
      <c r="A25" s="512"/>
      <c r="B25" s="512"/>
      <c r="C25" s="512" t="e">
        <f>VLOOKUP(D25,Products!B:D,2,FALSE)</f>
        <v>#N/A</v>
      </c>
      <c r="D25" s="504"/>
      <c r="E25" s="554">
        <v>1</v>
      </c>
      <c r="F25" s="530"/>
      <c r="G25" s="537"/>
      <c r="H25" s="530"/>
      <c r="I25" s="537"/>
      <c r="J25" s="530"/>
      <c r="K25" s="537"/>
      <c r="L25" s="530"/>
      <c r="M25" s="537"/>
      <c r="N25" s="530"/>
      <c r="O25" s="537"/>
      <c r="P25" s="572"/>
      <c r="Q25" s="587"/>
      <c r="R25" s="572"/>
      <c r="S25" s="587"/>
      <c r="T25" s="530"/>
      <c r="U25" s="537"/>
      <c r="V25" s="530"/>
      <c r="W25" s="537"/>
      <c r="X25" s="530"/>
      <c r="Y25" s="537"/>
      <c r="Z25" s="530"/>
      <c r="AA25" s="537"/>
      <c r="AB25" s="530"/>
      <c r="AC25" s="537"/>
      <c r="AD25" s="572"/>
      <c r="AE25" s="587"/>
      <c r="AF25" s="530"/>
      <c r="AG25" s="537"/>
      <c r="AH25" s="530"/>
      <c r="AI25" s="537"/>
      <c r="AJ25" s="530"/>
      <c r="AK25" s="537"/>
      <c r="AL25" s="530"/>
      <c r="AM25" s="537"/>
      <c r="AN25" s="530"/>
      <c r="AO25" s="537"/>
      <c r="AP25" s="530"/>
      <c r="AQ25" s="537"/>
      <c r="AR25" s="572"/>
      <c r="AS25" s="587"/>
      <c r="AT25" s="530"/>
      <c r="AU25" s="537"/>
      <c r="AV25" s="530"/>
      <c r="AW25" s="537"/>
      <c r="AX25" s="530"/>
      <c r="AY25" s="537"/>
      <c r="AZ25" s="530"/>
      <c r="BA25" s="537"/>
      <c r="BB25" s="530"/>
      <c r="BC25" s="537"/>
      <c r="BD25" s="530"/>
      <c r="BE25" s="537"/>
      <c r="BF25" s="572"/>
      <c r="BG25" s="587"/>
      <c r="BH25" s="530"/>
      <c r="BI25" s="537"/>
      <c r="BJ25" s="535">
        <f t="shared" si="2"/>
        <v>0</v>
      </c>
      <c r="BK25" s="545">
        <f t="shared" si="3"/>
        <v>0</v>
      </c>
    </row>
    <row r="26" spans="1:63" ht="15.75" hidden="1" customHeight="1" x14ac:dyDescent="0.35">
      <c r="A26" s="512"/>
      <c r="B26" s="512"/>
      <c r="C26" s="512" t="e">
        <f>VLOOKUP(D26,Products!B:D,2,FALSE)</f>
        <v>#N/A</v>
      </c>
      <c r="D26" s="504"/>
      <c r="E26" s="554">
        <v>1</v>
      </c>
      <c r="F26" s="530"/>
      <c r="G26" s="537"/>
      <c r="H26" s="530"/>
      <c r="I26" s="537"/>
      <c r="J26" s="530"/>
      <c r="K26" s="537"/>
      <c r="L26" s="530"/>
      <c r="M26" s="537"/>
      <c r="N26" s="530"/>
      <c r="O26" s="537"/>
      <c r="P26" s="572"/>
      <c r="Q26" s="587"/>
      <c r="R26" s="572"/>
      <c r="S26" s="587"/>
      <c r="T26" s="530"/>
      <c r="U26" s="537"/>
      <c r="V26" s="530"/>
      <c r="W26" s="537"/>
      <c r="X26" s="530"/>
      <c r="Y26" s="537"/>
      <c r="Z26" s="530"/>
      <c r="AA26" s="537"/>
      <c r="AB26" s="530"/>
      <c r="AC26" s="537"/>
      <c r="AD26" s="572"/>
      <c r="AE26" s="587"/>
      <c r="AF26" s="530"/>
      <c r="AG26" s="537"/>
      <c r="AH26" s="530"/>
      <c r="AI26" s="537"/>
      <c r="AJ26" s="530"/>
      <c r="AK26" s="537"/>
      <c r="AL26" s="530"/>
      <c r="AM26" s="537"/>
      <c r="AN26" s="530"/>
      <c r="AO26" s="537"/>
      <c r="AP26" s="530"/>
      <c r="AQ26" s="537"/>
      <c r="AR26" s="572"/>
      <c r="AS26" s="587"/>
      <c r="AT26" s="530"/>
      <c r="AU26" s="537"/>
      <c r="AV26" s="530"/>
      <c r="AW26" s="537"/>
      <c r="AX26" s="530"/>
      <c r="AY26" s="537"/>
      <c r="AZ26" s="530"/>
      <c r="BA26" s="537"/>
      <c r="BB26" s="530"/>
      <c r="BC26" s="537"/>
      <c r="BD26" s="530"/>
      <c r="BE26" s="537"/>
      <c r="BF26" s="572"/>
      <c r="BG26" s="587"/>
      <c r="BH26" s="530"/>
      <c r="BI26" s="537"/>
      <c r="BJ26" s="535">
        <f t="shared" si="2"/>
        <v>0</v>
      </c>
      <c r="BK26" s="545">
        <f t="shared" si="3"/>
        <v>0</v>
      </c>
    </row>
    <row r="27" spans="1:63" ht="15.75" hidden="1" customHeight="1" x14ac:dyDescent="0.35">
      <c r="A27" s="512"/>
      <c r="B27" s="512"/>
      <c r="C27" s="512" t="e">
        <f>VLOOKUP(D27,Products!B:D,2,FALSE)</f>
        <v>#N/A</v>
      </c>
      <c r="D27" s="504"/>
      <c r="E27" s="554">
        <v>1</v>
      </c>
      <c r="F27" s="530"/>
      <c r="G27" s="537"/>
      <c r="H27" s="530"/>
      <c r="I27" s="537"/>
      <c r="J27" s="530"/>
      <c r="K27" s="537"/>
      <c r="L27" s="530"/>
      <c r="M27" s="537"/>
      <c r="N27" s="530"/>
      <c r="O27" s="537"/>
      <c r="P27" s="572"/>
      <c r="Q27" s="587"/>
      <c r="R27" s="572"/>
      <c r="S27" s="587"/>
      <c r="T27" s="530"/>
      <c r="U27" s="537"/>
      <c r="V27" s="530"/>
      <c r="W27" s="537"/>
      <c r="X27" s="530"/>
      <c r="Y27" s="537"/>
      <c r="Z27" s="530"/>
      <c r="AA27" s="537"/>
      <c r="AB27" s="530"/>
      <c r="AC27" s="537"/>
      <c r="AD27" s="572"/>
      <c r="AE27" s="587"/>
      <c r="AF27" s="530"/>
      <c r="AG27" s="537"/>
      <c r="AH27" s="530"/>
      <c r="AI27" s="537"/>
      <c r="AJ27" s="530"/>
      <c r="AK27" s="537"/>
      <c r="AL27" s="530"/>
      <c r="AM27" s="537"/>
      <c r="AN27" s="530"/>
      <c r="AO27" s="537"/>
      <c r="AP27" s="530"/>
      <c r="AQ27" s="537"/>
      <c r="AR27" s="572"/>
      <c r="AS27" s="587"/>
      <c r="AT27" s="530"/>
      <c r="AU27" s="537"/>
      <c r="AV27" s="530"/>
      <c r="AW27" s="537"/>
      <c r="AX27" s="530"/>
      <c r="AY27" s="537"/>
      <c r="AZ27" s="530"/>
      <c r="BA27" s="537"/>
      <c r="BB27" s="530"/>
      <c r="BC27" s="537"/>
      <c r="BD27" s="530"/>
      <c r="BE27" s="537"/>
      <c r="BF27" s="572"/>
      <c r="BG27" s="587"/>
      <c r="BH27" s="530"/>
      <c r="BI27" s="537"/>
      <c r="BJ27" s="535">
        <f t="shared" si="2"/>
        <v>0</v>
      </c>
      <c r="BK27" s="545">
        <f t="shared" si="3"/>
        <v>0</v>
      </c>
    </row>
    <row r="28" spans="1:63" ht="15.75" hidden="1" customHeight="1" x14ac:dyDescent="0.35">
      <c r="A28" s="512"/>
      <c r="B28" s="512"/>
      <c r="C28" s="512" t="e">
        <f>VLOOKUP(D28,Products!B:D,2,FALSE)</f>
        <v>#N/A</v>
      </c>
      <c r="D28" s="504"/>
      <c r="E28" s="554">
        <v>1</v>
      </c>
      <c r="F28" s="530"/>
      <c r="G28" s="537"/>
      <c r="H28" s="530"/>
      <c r="I28" s="537"/>
      <c r="J28" s="530"/>
      <c r="K28" s="537"/>
      <c r="L28" s="530"/>
      <c r="M28" s="537"/>
      <c r="N28" s="530"/>
      <c r="O28" s="537"/>
      <c r="P28" s="572"/>
      <c r="Q28" s="587"/>
      <c r="R28" s="572"/>
      <c r="S28" s="587"/>
      <c r="T28" s="530"/>
      <c r="U28" s="537"/>
      <c r="V28" s="530"/>
      <c r="W28" s="537"/>
      <c r="X28" s="530"/>
      <c r="Y28" s="537"/>
      <c r="Z28" s="530"/>
      <c r="AA28" s="537"/>
      <c r="AB28" s="530"/>
      <c r="AC28" s="537"/>
      <c r="AD28" s="572"/>
      <c r="AE28" s="587"/>
      <c r="AF28" s="530"/>
      <c r="AG28" s="537"/>
      <c r="AH28" s="530"/>
      <c r="AI28" s="537"/>
      <c r="AJ28" s="530"/>
      <c r="AK28" s="537"/>
      <c r="AL28" s="530"/>
      <c r="AM28" s="537"/>
      <c r="AN28" s="530"/>
      <c r="AO28" s="537"/>
      <c r="AP28" s="530"/>
      <c r="AQ28" s="537"/>
      <c r="AR28" s="572"/>
      <c r="AS28" s="587"/>
      <c r="AT28" s="530"/>
      <c r="AU28" s="537"/>
      <c r="AV28" s="530"/>
      <c r="AW28" s="537"/>
      <c r="AX28" s="530"/>
      <c r="AY28" s="537"/>
      <c r="AZ28" s="530"/>
      <c r="BA28" s="537"/>
      <c r="BB28" s="530"/>
      <c r="BC28" s="537"/>
      <c r="BD28" s="530"/>
      <c r="BE28" s="537"/>
      <c r="BF28" s="572"/>
      <c r="BG28" s="587"/>
      <c r="BH28" s="530"/>
      <c r="BI28" s="537"/>
      <c r="BJ28" s="535">
        <f t="shared" si="2"/>
        <v>0</v>
      </c>
      <c r="BK28" s="545">
        <f t="shared" si="3"/>
        <v>0</v>
      </c>
    </row>
    <row r="29" spans="1:63" ht="15.75" hidden="1" customHeight="1" x14ac:dyDescent="0.35">
      <c r="A29" s="512"/>
      <c r="B29" s="512"/>
      <c r="C29" s="512" t="e">
        <f>VLOOKUP(D29,Products!B:D,2,FALSE)</f>
        <v>#N/A</v>
      </c>
      <c r="D29" s="504"/>
      <c r="E29" s="554">
        <v>1</v>
      </c>
      <c r="F29" s="530"/>
      <c r="G29" s="537"/>
      <c r="H29" s="530"/>
      <c r="I29" s="537"/>
      <c r="J29" s="530"/>
      <c r="K29" s="537"/>
      <c r="L29" s="530"/>
      <c r="M29" s="537"/>
      <c r="N29" s="530"/>
      <c r="O29" s="537"/>
      <c r="P29" s="572"/>
      <c r="Q29" s="587"/>
      <c r="R29" s="572"/>
      <c r="S29" s="587"/>
      <c r="T29" s="530"/>
      <c r="U29" s="537"/>
      <c r="V29" s="530"/>
      <c r="W29" s="537"/>
      <c r="X29" s="530"/>
      <c r="Y29" s="537"/>
      <c r="Z29" s="530"/>
      <c r="AA29" s="537"/>
      <c r="AB29" s="530"/>
      <c r="AC29" s="537"/>
      <c r="AD29" s="572"/>
      <c r="AE29" s="587"/>
      <c r="AF29" s="530"/>
      <c r="AG29" s="537"/>
      <c r="AH29" s="530"/>
      <c r="AI29" s="537"/>
      <c r="AJ29" s="530"/>
      <c r="AK29" s="537"/>
      <c r="AL29" s="530"/>
      <c r="AM29" s="537"/>
      <c r="AN29" s="530"/>
      <c r="AO29" s="537"/>
      <c r="AP29" s="530"/>
      <c r="AQ29" s="537"/>
      <c r="AR29" s="572"/>
      <c r="AS29" s="587"/>
      <c r="AT29" s="530"/>
      <c r="AU29" s="537"/>
      <c r="AV29" s="530"/>
      <c r="AW29" s="537"/>
      <c r="AX29" s="530"/>
      <c r="AY29" s="537"/>
      <c r="AZ29" s="530"/>
      <c r="BA29" s="537"/>
      <c r="BB29" s="530"/>
      <c r="BC29" s="537"/>
      <c r="BD29" s="530"/>
      <c r="BE29" s="537"/>
      <c r="BF29" s="572"/>
      <c r="BG29" s="587"/>
      <c r="BH29" s="530"/>
      <c r="BI29" s="537"/>
      <c r="BJ29" s="535">
        <f t="shared" si="2"/>
        <v>0</v>
      </c>
      <c r="BK29" s="545">
        <f t="shared" si="3"/>
        <v>0</v>
      </c>
    </row>
    <row r="30" spans="1:63" ht="30" customHeight="1" x14ac:dyDescent="0.35">
      <c r="A30" s="512"/>
      <c r="B30" s="512"/>
      <c r="C30" s="512"/>
      <c r="D30" s="649" t="s">
        <v>18</v>
      </c>
      <c r="E30" s="650"/>
      <c r="F30" s="542">
        <f>SUM(F31:F39)</f>
        <v>140</v>
      </c>
      <c r="G30" s="515">
        <f t="shared" ref="G30:BI30" si="4">SUM(G31:G39)</f>
        <v>0</v>
      </c>
      <c r="H30" s="542">
        <f t="shared" si="4"/>
        <v>149</v>
      </c>
      <c r="I30" s="515">
        <f t="shared" si="4"/>
        <v>0</v>
      </c>
      <c r="J30" s="542">
        <f t="shared" si="4"/>
        <v>111</v>
      </c>
      <c r="K30" s="515">
        <f t="shared" si="4"/>
        <v>0</v>
      </c>
      <c r="L30" s="542">
        <f t="shared" si="4"/>
        <v>0</v>
      </c>
      <c r="M30" s="515">
        <f t="shared" si="4"/>
        <v>0</v>
      </c>
      <c r="N30" s="542">
        <f t="shared" si="4"/>
        <v>27</v>
      </c>
      <c r="O30" s="515">
        <f t="shared" si="4"/>
        <v>0</v>
      </c>
      <c r="P30" s="542">
        <f t="shared" si="4"/>
        <v>0</v>
      </c>
      <c r="Q30" s="575">
        <f t="shared" si="4"/>
        <v>0</v>
      </c>
      <c r="R30" s="542">
        <f>SUM(R31:R39)</f>
        <v>0</v>
      </c>
      <c r="S30" s="575">
        <f t="shared" si="4"/>
        <v>0</v>
      </c>
      <c r="T30" s="542">
        <f t="shared" si="4"/>
        <v>0</v>
      </c>
      <c r="U30" s="515">
        <f t="shared" si="4"/>
        <v>0</v>
      </c>
      <c r="V30" s="542">
        <f t="shared" si="4"/>
        <v>0</v>
      </c>
      <c r="W30" s="515">
        <f t="shared" si="4"/>
        <v>0</v>
      </c>
      <c r="X30" s="542">
        <f t="shared" si="4"/>
        <v>0</v>
      </c>
      <c r="Y30" s="515">
        <f t="shared" si="4"/>
        <v>0</v>
      </c>
      <c r="Z30" s="542">
        <f t="shared" si="4"/>
        <v>0</v>
      </c>
      <c r="AA30" s="515">
        <f t="shared" si="4"/>
        <v>0</v>
      </c>
      <c r="AB30" s="542">
        <f t="shared" si="4"/>
        <v>0</v>
      </c>
      <c r="AC30" s="515">
        <f t="shared" si="4"/>
        <v>0</v>
      </c>
      <c r="AD30" s="542">
        <f t="shared" si="4"/>
        <v>0</v>
      </c>
      <c r="AE30" s="575">
        <f t="shared" si="4"/>
        <v>0</v>
      </c>
      <c r="AF30" s="542">
        <f t="shared" si="4"/>
        <v>0</v>
      </c>
      <c r="AG30" s="515">
        <f t="shared" si="4"/>
        <v>0</v>
      </c>
      <c r="AH30" s="542">
        <f t="shared" si="4"/>
        <v>0</v>
      </c>
      <c r="AI30" s="515">
        <f t="shared" si="4"/>
        <v>0</v>
      </c>
      <c r="AJ30" s="542">
        <f t="shared" si="4"/>
        <v>0</v>
      </c>
      <c r="AK30" s="515">
        <f t="shared" si="4"/>
        <v>0</v>
      </c>
      <c r="AL30" s="542">
        <f t="shared" si="4"/>
        <v>0</v>
      </c>
      <c r="AM30" s="515">
        <f t="shared" si="4"/>
        <v>0</v>
      </c>
      <c r="AN30" s="542">
        <f t="shared" si="4"/>
        <v>0</v>
      </c>
      <c r="AO30" s="515">
        <f t="shared" si="4"/>
        <v>0</v>
      </c>
      <c r="AP30" s="542">
        <f t="shared" si="4"/>
        <v>0</v>
      </c>
      <c r="AQ30" s="515">
        <f t="shared" si="4"/>
        <v>0</v>
      </c>
      <c r="AR30" s="542">
        <f t="shared" si="4"/>
        <v>0</v>
      </c>
      <c r="AS30" s="575">
        <f t="shared" si="4"/>
        <v>0</v>
      </c>
      <c r="AT30" s="542">
        <f t="shared" si="4"/>
        <v>0</v>
      </c>
      <c r="AU30" s="515">
        <f t="shared" si="4"/>
        <v>0</v>
      </c>
      <c r="AV30" s="542">
        <f t="shared" si="4"/>
        <v>0</v>
      </c>
      <c r="AW30" s="515">
        <f t="shared" si="4"/>
        <v>0</v>
      </c>
      <c r="AX30" s="542">
        <f t="shared" si="4"/>
        <v>0</v>
      </c>
      <c r="AY30" s="515">
        <f t="shared" si="4"/>
        <v>0</v>
      </c>
      <c r="AZ30" s="542">
        <f t="shared" si="4"/>
        <v>0</v>
      </c>
      <c r="BA30" s="515">
        <f t="shared" si="4"/>
        <v>0</v>
      </c>
      <c r="BB30" s="542">
        <f t="shared" si="4"/>
        <v>0</v>
      </c>
      <c r="BC30" s="515">
        <f t="shared" si="4"/>
        <v>0</v>
      </c>
      <c r="BD30" s="542">
        <f t="shared" si="4"/>
        <v>0</v>
      </c>
      <c r="BE30" s="515">
        <f t="shared" si="4"/>
        <v>0</v>
      </c>
      <c r="BF30" s="542">
        <f t="shared" si="4"/>
        <v>0</v>
      </c>
      <c r="BG30" s="575">
        <f t="shared" si="4"/>
        <v>0</v>
      </c>
      <c r="BH30" s="542">
        <f t="shared" si="4"/>
        <v>0</v>
      </c>
      <c r="BI30" s="515">
        <f t="shared" si="4"/>
        <v>0</v>
      </c>
      <c r="BJ30" s="535">
        <f t="shared" si="2"/>
        <v>427</v>
      </c>
      <c r="BK30" s="545">
        <f t="shared" si="3"/>
        <v>56</v>
      </c>
    </row>
    <row r="31" spans="1:63" x14ac:dyDescent="0.35">
      <c r="A31" s="524"/>
      <c r="B31" s="524"/>
      <c r="C31" s="524"/>
      <c r="D31" s="651" t="s">
        <v>19</v>
      </c>
      <c r="E31" s="652"/>
      <c r="F31" s="530"/>
      <c r="G31" s="537"/>
      <c r="H31" s="530"/>
      <c r="I31" s="537"/>
      <c r="J31" s="530"/>
      <c r="K31" s="537"/>
      <c r="L31" s="530"/>
      <c r="M31" s="537"/>
      <c r="N31" s="530"/>
      <c r="O31" s="537"/>
      <c r="P31" s="572"/>
      <c r="Q31" s="587"/>
      <c r="R31" s="572"/>
      <c r="S31" s="587"/>
      <c r="T31" s="530"/>
      <c r="U31" s="537"/>
      <c r="V31" s="530"/>
      <c r="W31" s="537"/>
      <c r="X31" s="530"/>
      <c r="Y31" s="537"/>
      <c r="Z31" s="530"/>
      <c r="AA31" s="537"/>
      <c r="AB31" s="530"/>
      <c r="AC31" s="537"/>
      <c r="AD31" s="572"/>
      <c r="AE31" s="587"/>
      <c r="AF31" s="530"/>
      <c r="AG31" s="537"/>
      <c r="AH31" s="530"/>
      <c r="AI31" s="537"/>
      <c r="AJ31" s="530"/>
      <c r="AK31" s="537"/>
      <c r="AL31" s="530"/>
      <c r="AM31" s="537"/>
      <c r="AN31" s="530"/>
      <c r="AO31" s="537"/>
      <c r="AP31" s="530"/>
      <c r="AQ31" s="537"/>
      <c r="AR31" s="572"/>
      <c r="AS31" s="587"/>
      <c r="AT31" s="530"/>
      <c r="AU31" s="530"/>
      <c r="AV31" s="530"/>
      <c r="AW31" s="530"/>
      <c r="AX31" s="530"/>
      <c r="AY31" s="530"/>
      <c r="AZ31" s="530"/>
      <c r="BA31" s="530"/>
      <c r="BB31" s="530"/>
      <c r="BC31" s="530"/>
      <c r="BD31" s="530"/>
      <c r="BE31" s="530"/>
      <c r="BF31" s="572"/>
      <c r="BG31" s="587"/>
      <c r="BH31" s="530"/>
      <c r="BI31" s="537"/>
      <c r="BJ31" s="535">
        <f t="shared" si="2"/>
        <v>0</v>
      </c>
      <c r="BK31" s="545">
        <f t="shared" si="3"/>
        <v>0</v>
      </c>
    </row>
    <row r="32" spans="1:63" x14ac:dyDescent="0.35">
      <c r="A32" s="524"/>
      <c r="B32" s="524"/>
      <c r="C32" s="524"/>
      <c r="D32" s="643" t="s">
        <v>20</v>
      </c>
      <c r="E32" s="644"/>
      <c r="F32" s="552"/>
      <c r="G32" s="537"/>
      <c r="H32" s="552"/>
      <c r="I32" s="537"/>
      <c r="J32" s="552"/>
      <c r="K32" s="537"/>
      <c r="L32" s="552"/>
      <c r="M32" s="537"/>
      <c r="N32" s="552"/>
      <c r="O32" s="537"/>
      <c r="P32" s="572"/>
      <c r="Q32" s="587"/>
      <c r="R32" s="572"/>
      <c r="S32" s="587"/>
      <c r="T32" s="552"/>
      <c r="U32" s="537"/>
      <c r="V32" s="552"/>
      <c r="W32" s="537"/>
      <c r="X32" s="552"/>
      <c r="Y32" s="537"/>
      <c r="Z32" s="552"/>
      <c r="AA32" s="537"/>
      <c r="AB32" s="552"/>
      <c r="AC32" s="537"/>
      <c r="AD32" s="572"/>
      <c r="AE32" s="587"/>
      <c r="AF32" s="552"/>
      <c r="AG32" s="537"/>
      <c r="AH32" s="552"/>
      <c r="AI32" s="537"/>
      <c r="AJ32" s="552"/>
      <c r="AK32" s="537"/>
      <c r="AL32" s="552"/>
      <c r="AM32" s="537"/>
      <c r="AN32" s="552"/>
      <c r="AO32" s="537"/>
      <c r="AP32" s="552"/>
      <c r="AQ32" s="537"/>
      <c r="AR32" s="572"/>
      <c r="AS32" s="587"/>
      <c r="AT32" s="530"/>
      <c r="AU32" s="530"/>
      <c r="AV32" s="530"/>
      <c r="AW32" s="530"/>
      <c r="AX32" s="530"/>
      <c r="AY32" s="530"/>
      <c r="AZ32" s="530"/>
      <c r="BA32" s="530"/>
      <c r="BB32" s="530"/>
      <c r="BC32" s="530"/>
      <c r="BD32" s="530"/>
      <c r="BE32" s="530"/>
      <c r="BF32" s="572"/>
      <c r="BG32" s="587"/>
      <c r="BH32" s="552"/>
      <c r="BI32" s="537"/>
      <c r="BJ32" s="535">
        <f t="shared" si="2"/>
        <v>0</v>
      </c>
      <c r="BK32" s="545">
        <f t="shared" si="3"/>
        <v>0</v>
      </c>
    </row>
    <row r="33" spans="1:63" x14ac:dyDescent="0.35">
      <c r="A33" s="524"/>
      <c r="B33" s="524"/>
      <c r="C33" s="524"/>
      <c r="D33" s="643" t="s">
        <v>21</v>
      </c>
      <c r="E33" s="644"/>
      <c r="F33" s="530"/>
      <c r="G33" s="537"/>
      <c r="H33" s="530"/>
      <c r="I33" s="537"/>
      <c r="J33" s="530"/>
      <c r="K33" s="537"/>
      <c r="L33" s="530"/>
      <c r="M33" s="537"/>
      <c r="N33" s="530"/>
      <c r="O33" s="537"/>
      <c r="P33" s="572"/>
      <c r="Q33" s="587"/>
      <c r="R33" s="572"/>
      <c r="S33" s="587"/>
      <c r="T33" s="530"/>
      <c r="U33" s="537"/>
      <c r="V33" s="530"/>
      <c r="W33" s="537"/>
      <c r="X33" s="530"/>
      <c r="Y33" s="537"/>
      <c r="Z33" s="530"/>
      <c r="AA33" s="537"/>
      <c r="AB33" s="530"/>
      <c r="AC33" s="537"/>
      <c r="AD33" s="572"/>
      <c r="AE33" s="587"/>
      <c r="AF33" s="530"/>
      <c r="AG33" s="537"/>
      <c r="AH33" s="530"/>
      <c r="AI33" s="537"/>
      <c r="AJ33" s="530"/>
      <c r="AK33" s="537"/>
      <c r="AL33" s="530"/>
      <c r="AM33" s="537"/>
      <c r="AN33" s="530"/>
      <c r="AO33" s="537"/>
      <c r="AP33" s="530"/>
      <c r="AQ33" s="537"/>
      <c r="AR33" s="572"/>
      <c r="AS33" s="587"/>
      <c r="AT33" s="530"/>
      <c r="AU33" s="530"/>
      <c r="AV33" s="530"/>
      <c r="AW33" s="530"/>
      <c r="AX33" s="530"/>
      <c r="AY33" s="530"/>
      <c r="AZ33" s="530"/>
      <c r="BA33" s="530"/>
      <c r="BB33" s="530"/>
      <c r="BC33" s="530"/>
      <c r="BD33" s="530"/>
      <c r="BE33" s="530"/>
      <c r="BF33" s="572"/>
      <c r="BG33" s="587"/>
      <c r="BH33" s="530"/>
      <c r="BI33" s="537"/>
      <c r="BJ33" s="535">
        <f t="shared" si="2"/>
        <v>0</v>
      </c>
      <c r="BK33" s="545">
        <f t="shared" si="3"/>
        <v>0</v>
      </c>
    </row>
    <row r="34" spans="1:63" x14ac:dyDescent="0.35">
      <c r="A34" s="524"/>
      <c r="B34" s="524"/>
      <c r="C34" s="524"/>
      <c r="D34" s="643"/>
      <c r="E34" s="644"/>
      <c r="F34" s="530"/>
      <c r="G34" s="537"/>
      <c r="H34" s="530"/>
      <c r="I34" s="537"/>
      <c r="J34" s="530"/>
      <c r="K34" s="537"/>
      <c r="L34" s="530"/>
      <c r="M34" s="537"/>
      <c r="N34" s="530"/>
      <c r="O34" s="537"/>
      <c r="P34" s="572"/>
      <c r="Q34" s="587"/>
      <c r="R34" s="572"/>
      <c r="S34" s="587"/>
      <c r="T34" s="530"/>
      <c r="U34" s="537"/>
      <c r="V34" s="530"/>
      <c r="W34" s="537"/>
      <c r="X34" s="530"/>
      <c r="Y34" s="537"/>
      <c r="Z34" s="530"/>
      <c r="AA34" s="537"/>
      <c r="AB34" s="530"/>
      <c r="AC34" s="537"/>
      <c r="AD34" s="572"/>
      <c r="AE34" s="587"/>
      <c r="AF34" s="530"/>
      <c r="AG34" s="537"/>
      <c r="AH34" s="530"/>
      <c r="AI34" s="537"/>
      <c r="AJ34" s="530"/>
      <c r="AK34" s="537"/>
      <c r="AL34" s="530"/>
      <c r="AM34" s="537"/>
      <c r="AN34" s="530"/>
      <c r="AO34" s="537"/>
      <c r="AP34" s="530"/>
      <c r="AQ34" s="537"/>
      <c r="AR34" s="572"/>
      <c r="AS34" s="587"/>
      <c r="AT34" s="530"/>
      <c r="AU34" s="530"/>
      <c r="AV34" s="530"/>
      <c r="AW34" s="530"/>
      <c r="AX34" s="530"/>
      <c r="AY34" s="530"/>
      <c r="AZ34" s="530"/>
      <c r="BA34" s="530"/>
      <c r="BB34" s="530"/>
      <c r="BC34" s="530"/>
      <c r="BD34" s="530"/>
      <c r="BE34" s="530"/>
      <c r="BF34" s="572"/>
      <c r="BG34" s="587"/>
      <c r="BH34" s="530"/>
      <c r="BI34" s="537"/>
      <c r="BJ34" s="535">
        <f t="shared" si="2"/>
        <v>0</v>
      </c>
      <c r="BK34" s="545">
        <f t="shared" si="3"/>
        <v>0</v>
      </c>
    </row>
    <row r="35" spans="1:63" x14ac:dyDescent="0.35">
      <c r="A35" s="524"/>
      <c r="B35" s="524"/>
      <c r="C35" s="524"/>
      <c r="D35" s="651" t="s">
        <v>22</v>
      </c>
      <c r="E35" s="652"/>
      <c r="F35" s="530"/>
      <c r="G35" s="537"/>
      <c r="H35" s="530"/>
      <c r="I35" s="537"/>
      <c r="J35" s="530"/>
      <c r="K35" s="537"/>
      <c r="L35" s="530"/>
      <c r="M35" s="537"/>
      <c r="N35" s="530"/>
      <c r="O35" s="537"/>
      <c r="P35" s="572"/>
      <c r="Q35" s="587"/>
      <c r="R35" s="572"/>
      <c r="S35" s="587"/>
      <c r="T35" s="530"/>
      <c r="U35" s="537"/>
      <c r="V35" s="530"/>
      <c r="W35" s="537"/>
      <c r="X35" s="530"/>
      <c r="Y35" s="537"/>
      <c r="Z35" s="530"/>
      <c r="AA35" s="537"/>
      <c r="AB35" s="530"/>
      <c r="AC35" s="537"/>
      <c r="AD35" s="572"/>
      <c r="AE35" s="587"/>
      <c r="AF35" s="530"/>
      <c r="AG35" s="537"/>
      <c r="AH35" s="530"/>
      <c r="AI35" s="537"/>
      <c r="AJ35" s="530"/>
      <c r="AK35" s="537"/>
      <c r="AL35" s="530"/>
      <c r="AM35" s="537"/>
      <c r="AN35" s="530"/>
      <c r="AO35" s="537"/>
      <c r="AP35" s="530"/>
      <c r="AQ35" s="537"/>
      <c r="AR35" s="572"/>
      <c r="AS35" s="587"/>
      <c r="AT35" s="530"/>
      <c r="AU35" s="530"/>
      <c r="AV35" s="530"/>
      <c r="AW35" s="530"/>
      <c r="AX35" s="530"/>
      <c r="AY35" s="530"/>
      <c r="AZ35" s="530"/>
      <c r="BA35" s="530"/>
      <c r="BB35" s="530"/>
      <c r="BC35" s="530"/>
      <c r="BD35" s="530"/>
      <c r="BE35" s="530"/>
      <c r="BF35" s="572"/>
      <c r="BG35" s="587"/>
      <c r="BH35" s="530"/>
      <c r="BI35" s="537"/>
      <c r="BJ35" s="535">
        <f t="shared" si="2"/>
        <v>0</v>
      </c>
      <c r="BK35" s="545">
        <f t="shared" si="3"/>
        <v>0</v>
      </c>
    </row>
    <row r="36" spans="1:63" x14ac:dyDescent="0.35">
      <c r="A36" s="524"/>
      <c r="B36" s="524"/>
      <c r="C36" s="524"/>
      <c r="D36" s="643" t="s">
        <v>20</v>
      </c>
      <c r="E36" s="644"/>
      <c r="F36" s="530">
        <v>90</v>
      </c>
      <c r="G36" s="537"/>
      <c r="H36" s="530">
        <v>95</v>
      </c>
      <c r="I36" s="537"/>
      <c r="J36" s="530">
        <v>39</v>
      </c>
      <c r="K36" s="537"/>
      <c r="L36" s="530"/>
      <c r="M36" s="537"/>
      <c r="N36" s="530">
        <v>20</v>
      </c>
      <c r="O36" s="537"/>
      <c r="P36" s="572"/>
      <c r="Q36" s="587"/>
      <c r="R36" s="572"/>
      <c r="S36" s="587"/>
      <c r="T36" s="530"/>
      <c r="U36" s="537"/>
      <c r="V36" s="530"/>
      <c r="W36" s="537"/>
      <c r="X36" s="530"/>
      <c r="Y36" s="537"/>
      <c r="Z36" s="530"/>
      <c r="AA36" s="537"/>
      <c r="AB36" s="530"/>
      <c r="AC36" s="537"/>
      <c r="AD36" s="572"/>
      <c r="AE36" s="587"/>
      <c r="AF36" s="530"/>
      <c r="AG36" s="537"/>
      <c r="AH36" s="530"/>
      <c r="AI36" s="537"/>
      <c r="AJ36" s="530"/>
      <c r="AK36" s="537"/>
      <c r="AL36" s="530"/>
      <c r="AM36" s="537"/>
      <c r="AN36" s="530"/>
      <c r="AO36" s="537"/>
      <c r="AP36" s="530"/>
      <c r="AQ36" s="537"/>
      <c r="AR36" s="572"/>
      <c r="AS36" s="587"/>
      <c r="AT36" s="530"/>
      <c r="AU36" s="530"/>
      <c r="AV36" s="530"/>
      <c r="AW36" s="530"/>
      <c r="AX36" s="530"/>
      <c r="AY36" s="530"/>
      <c r="AZ36" s="530"/>
      <c r="BA36" s="530"/>
      <c r="BB36" s="530"/>
      <c r="BC36" s="530"/>
      <c r="BD36" s="530"/>
      <c r="BE36" s="530"/>
      <c r="BF36" s="572"/>
      <c r="BG36" s="587"/>
      <c r="BH36" s="530"/>
      <c r="BI36" s="537"/>
      <c r="BJ36" s="535">
        <f t="shared" si="2"/>
        <v>244</v>
      </c>
      <c r="BK36" s="545">
        <f t="shared" si="3"/>
        <v>4</v>
      </c>
    </row>
    <row r="37" spans="1:63" x14ac:dyDescent="0.35">
      <c r="A37" s="524"/>
      <c r="B37" s="524"/>
      <c r="C37" s="524"/>
      <c r="D37" s="643" t="s">
        <v>21</v>
      </c>
      <c r="E37" s="644"/>
      <c r="F37" s="530">
        <v>50</v>
      </c>
      <c r="G37" s="537"/>
      <c r="H37" s="530">
        <v>54</v>
      </c>
      <c r="I37" s="537"/>
      <c r="J37" s="530">
        <v>72</v>
      </c>
      <c r="K37" s="537"/>
      <c r="L37" s="530"/>
      <c r="M37" s="537"/>
      <c r="N37" s="530">
        <v>7</v>
      </c>
      <c r="O37" s="537"/>
      <c r="P37" s="572"/>
      <c r="Q37" s="587"/>
      <c r="R37" s="572"/>
      <c r="S37" s="587"/>
      <c r="T37" s="530"/>
      <c r="U37" s="537"/>
      <c r="V37" s="530"/>
      <c r="W37" s="537"/>
      <c r="X37" s="530"/>
      <c r="Y37" s="537"/>
      <c r="Z37" s="530"/>
      <c r="AA37" s="537"/>
      <c r="AB37" s="530"/>
      <c r="AC37" s="537"/>
      <c r="AD37" s="572"/>
      <c r="AE37" s="587"/>
      <c r="AF37" s="530"/>
      <c r="AG37" s="537"/>
      <c r="AH37" s="530"/>
      <c r="AI37" s="537"/>
      <c r="AJ37" s="530"/>
      <c r="AK37" s="537"/>
      <c r="AL37" s="530"/>
      <c r="AM37" s="537"/>
      <c r="AN37" s="530"/>
      <c r="AO37" s="537"/>
      <c r="AP37" s="530"/>
      <c r="AQ37" s="537"/>
      <c r="AR37" s="572"/>
      <c r="AS37" s="587"/>
      <c r="AT37" s="530"/>
      <c r="AU37" s="530"/>
      <c r="AV37" s="530"/>
      <c r="AW37" s="530"/>
      <c r="AX37" s="530"/>
      <c r="AY37" s="530"/>
      <c r="AZ37" s="530"/>
      <c r="BA37" s="530"/>
      <c r="BB37" s="530"/>
      <c r="BC37" s="530"/>
      <c r="BD37" s="530"/>
      <c r="BE37" s="530"/>
      <c r="BF37" s="572"/>
      <c r="BG37" s="587"/>
      <c r="BH37" s="530"/>
      <c r="BI37" s="537"/>
      <c r="BJ37" s="535">
        <f t="shared" ref="BJ37:BJ68" si="5">SUM(F37:BI37)</f>
        <v>183</v>
      </c>
      <c r="BK37" s="545">
        <f t="shared" ref="BK37:BK68" si="6">COUNT(F37:BI37)</f>
        <v>4</v>
      </c>
    </row>
    <row r="38" spans="1:63" x14ac:dyDescent="0.35">
      <c r="A38" s="524"/>
      <c r="B38" s="524"/>
      <c r="C38" s="524"/>
      <c r="D38" s="643" t="s">
        <v>23</v>
      </c>
      <c r="E38" s="644"/>
      <c r="F38" s="530"/>
      <c r="G38" s="537"/>
      <c r="H38" s="530"/>
      <c r="I38" s="537"/>
      <c r="J38" s="530"/>
      <c r="K38" s="537"/>
      <c r="L38" s="530"/>
      <c r="M38" s="537"/>
      <c r="N38" s="530"/>
      <c r="O38" s="537"/>
      <c r="P38" s="572"/>
      <c r="Q38" s="587"/>
      <c r="R38" s="572"/>
      <c r="S38" s="587"/>
      <c r="T38" s="530"/>
      <c r="U38" s="537"/>
      <c r="V38" s="530"/>
      <c r="W38" s="537"/>
      <c r="X38" s="530"/>
      <c r="Y38" s="537"/>
      <c r="Z38" s="530"/>
      <c r="AA38" s="537"/>
      <c r="AB38" s="530"/>
      <c r="AC38" s="537"/>
      <c r="AD38" s="572"/>
      <c r="AE38" s="587"/>
      <c r="AF38" s="530"/>
      <c r="AG38" s="537"/>
      <c r="AH38" s="530"/>
      <c r="AI38" s="537"/>
      <c r="AJ38" s="530"/>
      <c r="AK38" s="537"/>
      <c r="AL38" s="530"/>
      <c r="AM38" s="537"/>
      <c r="AN38" s="530"/>
      <c r="AO38" s="537"/>
      <c r="AP38" s="530"/>
      <c r="AQ38" s="537"/>
      <c r="AR38" s="572"/>
      <c r="AS38" s="587"/>
      <c r="AT38" s="530"/>
      <c r="AU38" s="530"/>
      <c r="AV38" s="530"/>
      <c r="AW38" s="530"/>
      <c r="AX38" s="530"/>
      <c r="AY38" s="530"/>
      <c r="AZ38" s="530"/>
      <c r="BA38" s="530"/>
      <c r="BB38" s="530"/>
      <c r="BC38" s="530"/>
      <c r="BD38" s="530"/>
      <c r="BE38" s="530"/>
      <c r="BF38" s="572"/>
      <c r="BG38" s="587"/>
      <c r="BH38" s="530"/>
      <c r="BI38" s="537"/>
      <c r="BJ38" s="535">
        <f t="shared" si="5"/>
        <v>0</v>
      </c>
      <c r="BK38" s="545">
        <f t="shared" si="6"/>
        <v>0</v>
      </c>
    </row>
    <row r="39" spans="1:63" x14ac:dyDescent="0.35">
      <c r="A39" s="524"/>
      <c r="B39" s="524"/>
      <c r="C39" s="524"/>
      <c r="D39" s="643"/>
      <c r="E39" s="644"/>
      <c r="F39" s="530"/>
      <c r="G39" s="537"/>
      <c r="H39" s="530"/>
      <c r="I39" s="537"/>
      <c r="J39" s="530"/>
      <c r="K39" s="537"/>
      <c r="L39" s="530"/>
      <c r="M39" s="537"/>
      <c r="N39" s="530"/>
      <c r="O39" s="537"/>
      <c r="P39" s="572"/>
      <c r="Q39" s="587"/>
      <c r="R39" s="572"/>
      <c r="S39" s="587"/>
      <c r="T39" s="530"/>
      <c r="U39" s="537"/>
      <c r="V39" s="530"/>
      <c r="W39" s="537"/>
      <c r="X39" s="530"/>
      <c r="Y39" s="537"/>
      <c r="Z39" s="530"/>
      <c r="AA39" s="537"/>
      <c r="AB39" s="530"/>
      <c r="AC39" s="537"/>
      <c r="AD39" s="572"/>
      <c r="AE39" s="587"/>
      <c r="AF39" s="530"/>
      <c r="AG39" s="537"/>
      <c r="AH39" s="530"/>
      <c r="AI39" s="537"/>
      <c r="AJ39" s="530"/>
      <c r="AK39" s="537"/>
      <c r="AL39" s="530"/>
      <c r="AM39" s="537"/>
      <c r="AN39" s="530"/>
      <c r="AO39" s="537"/>
      <c r="AP39" s="530"/>
      <c r="AQ39" s="537"/>
      <c r="AR39" s="572"/>
      <c r="AS39" s="587"/>
      <c r="AT39" s="530"/>
      <c r="AU39" s="530"/>
      <c r="AV39" s="530"/>
      <c r="AW39" s="530"/>
      <c r="AX39" s="530"/>
      <c r="AY39" s="530"/>
      <c r="AZ39" s="530"/>
      <c r="BA39" s="530"/>
      <c r="BB39" s="530"/>
      <c r="BC39" s="530"/>
      <c r="BD39" s="530"/>
      <c r="BE39" s="530"/>
      <c r="BF39" s="572"/>
      <c r="BG39" s="587"/>
      <c r="BH39" s="530"/>
      <c r="BI39" s="537"/>
      <c r="BJ39" s="535">
        <f t="shared" si="5"/>
        <v>0</v>
      </c>
      <c r="BK39" s="545">
        <f t="shared" si="6"/>
        <v>0</v>
      </c>
    </row>
    <row r="40" spans="1:63" ht="30.75" customHeight="1" x14ac:dyDescent="0.35">
      <c r="A40" s="524"/>
      <c r="B40" s="524"/>
      <c r="C40" s="524"/>
      <c r="D40" s="645" t="s">
        <v>24</v>
      </c>
      <c r="E40" s="646"/>
      <c r="F40" s="572">
        <f>SUM(F41:F118)</f>
        <v>0</v>
      </c>
      <c r="G40" s="514">
        <f>SUM(G41:G118)</f>
        <v>0</v>
      </c>
      <c r="H40" s="572">
        <f t="shared" ref="H40:BI40" si="7">SUM(H41:H118)</f>
        <v>45</v>
      </c>
      <c r="I40" s="514">
        <f t="shared" si="7"/>
        <v>0</v>
      </c>
      <c r="J40" s="572">
        <f t="shared" si="7"/>
        <v>0</v>
      </c>
      <c r="K40" s="514">
        <f t="shared" si="7"/>
        <v>0</v>
      </c>
      <c r="L40" s="572">
        <f t="shared" si="7"/>
        <v>0</v>
      </c>
      <c r="M40" s="514">
        <f t="shared" si="7"/>
        <v>0</v>
      </c>
      <c r="N40" s="572">
        <f t="shared" si="7"/>
        <v>0</v>
      </c>
      <c r="O40" s="514">
        <f t="shared" si="7"/>
        <v>0</v>
      </c>
      <c r="P40" s="572">
        <f t="shared" si="7"/>
        <v>0</v>
      </c>
      <c r="Q40" s="587">
        <f t="shared" si="7"/>
        <v>0</v>
      </c>
      <c r="R40" s="572">
        <f>SUM(R41:R118)</f>
        <v>0</v>
      </c>
      <c r="S40" s="587">
        <f t="shared" si="7"/>
        <v>0</v>
      </c>
      <c r="T40" s="572">
        <f t="shared" si="7"/>
        <v>0</v>
      </c>
      <c r="U40" s="514">
        <f t="shared" si="7"/>
        <v>0</v>
      </c>
      <c r="V40" s="572">
        <f t="shared" si="7"/>
        <v>20</v>
      </c>
      <c r="W40" s="514">
        <f t="shared" si="7"/>
        <v>0</v>
      </c>
      <c r="X40" s="572">
        <f t="shared" si="7"/>
        <v>10</v>
      </c>
      <c r="Y40" s="514">
        <f t="shared" si="7"/>
        <v>0</v>
      </c>
      <c r="Z40" s="572">
        <f t="shared" si="7"/>
        <v>0</v>
      </c>
      <c r="AA40" s="514">
        <f t="shared" si="7"/>
        <v>0</v>
      </c>
      <c r="AB40" s="572">
        <f t="shared" si="7"/>
        <v>0</v>
      </c>
      <c r="AC40" s="514">
        <f t="shared" si="7"/>
        <v>0</v>
      </c>
      <c r="AD40" s="572">
        <f t="shared" si="7"/>
        <v>0</v>
      </c>
      <c r="AE40" s="587">
        <f t="shared" si="7"/>
        <v>0</v>
      </c>
      <c r="AF40" s="572">
        <f t="shared" si="7"/>
        <v>0</v>
      </c>
      <c r="AG40" s="514">
        <f t="shared" si="7"/>
        <v>0</v>
      </c>
      <c r="AH40" s="572">
        <f t="shared" si="7"/>
        <v>0</v>
      </c>
      <c r="AI40" s="514">
        <f t="shared" si="7"/>
        <v>0</v>
      </c>
      <c r="AJ40" s="572">
        <f t="shared" si="7"/>
        <v>0</v>
      </c>
      <c r="AK40" s="514">
        <f t="shared" si="7"/>
        <v>0</v>
      </c>
      <c r="AL40" s="572">
        <f t="shared" si="7"/>
        <v>0</v>
      </c>
      <c r="AM40" s="514">
        <f t="shared" si="7"/>
        <v>0</v>
      </c>
      <c r="AN40" s="572">
        <f t="shared" si="7"/>
        <v>0</v>
      </c>
      <c r="AO40" s="514">
        <f t="shared" si="7"/>
        <v>0</v>
      </c>
      <c r="AP40" s="572">
        <f t="shared" si="7"/>
        <v>0</v>
      </c>
      <c r="AQ40" s="514">
        <f t="shared" si="7"/>
        <v>0</v>
      </c>
      <c r="AR40" s="572">
        <f t="shared" si="7"/>
        <v>0</v>
      </c>
      <c r="AS40" s="587">
        <f t="shared" si="7"/>
        <v>0</v>
      </c>
      <c r="AT40" s="572">
        <f t="shared" si="7"/>
        <v>0</v>
      </c>
      <c r="AU40" s="514">
        <f t="shared" si="7"/>
        <v>0</v>
      </c>
      <c r="AV40" s="572">
        <f t="shared" si="7"/>
        <v>0</v>
      </c>
      <c r="AW40" s="514">
        <f t="shared" si="7"/>
        <v>0</v>
      </c>
      <c r="AX40" s="572">
        <f t="shared" si="7"/>
        <v>0</v>
      </c>
      <c r="AY40" s="514">
        <f t="shared" si="7"/>
        <v>0</v>
      </c>
      <c r="AZ40" s="572">
        <f t="shared" si="7"/>
        <v>0</v>
      </c>
      <c r="BA40" s="514">
        <f t="shared" si="7"/>
        <v>0</v>
      </c>
      <c r="BB40" s="572">
        <f t="shared" si="7"/>
        <v>0</v>
      </c>
      <c r="BC40" s="514">
        <f t="shared" si="7"/>
        <v>0</v>
      </c>
      <c r="BD40" s="572">
        <f t="shared" si="7"/>
        <v>0</v>
      </c>
      <c r="BE40" s="514">
        <f t="shared" si="7"/>
        <v>0</v>
      </c>
      <c r="BF40" s="572">
        <f t="shared" si="7"/>
        <v>0</v>
      </c>
      <c r="BG40" s="587">
        <f t="shared" si="7"/>
        <v>0</v>
      </c>
      <c r="BH40" s="572">
        <f t="shared" si="7"/>
        <v>0</v>
      </c>
      <c r="BI40" s="514">
        <f t="shared" si="7"/>
        <v>0</v>
      </c>
      <c r="BJ40" s="535">
        <f t="shared" si="5"/>
        <v>75</v>
      </c>
      <c r="BK40" s="545">
        <f t="shared" si="6"/>
        <v>56</v>
      </c>
    </row>
    <row r="41" spans="1:63" ht="16.5" customHeight="1" x14ac:dyDescent="0.35">
      <c r="A41" s="567"/>
      <c r="B41" s="567"/>
      <c r="C41" s="556">
        <f>SUM(BJ42:BJ61)</f>
        <v>0</v>
      </c>
      <c r="D41" s="647" t="s">
        <v>25</v>
      </c>
      <c r="E41" s="648"/>
      <c r="F41" s="590"/>
      <c r="G41" s="562"/>
      <c r="H41" s="590"/>
      <c r="I41" s="562"/>
      <c r="J41" s="590"/>
      <c r="K41" s="562"/>
      <c r="L41" s="590"/>
      <c r="M41" s="562"/>
      <c r="N41" s="590"/>
      <c r="O41" s="562"/>
      <c r="P41" s="572"/>
      <c r="Q41" s="587"/>
      <c r="R41" s="572"/>
      <c r="S41" s="587"/>
      <c r="T41" s="590"/>
      <c r="U41" s="562"/>
      <c r="V41" s="590"/>
      <c r="W41" s="562"/>
      <c r="X41" s="590"/>
      <c r="Y41" s="562"/>
      <c r="Z41" s="590"/>
      <c r="AA41" s="562"/>
      <c r="AB41" s="590"/>
      <c r="AC41" s="562"/>
      <c r="AD41" s="572"/>
      <c r="AE41" s="587"/>
      <c r="AF41" s="590"/>
      <c r="AG41" s="562"/>
      <c r="AH41" s="590"/>
      <c r="AI41" s="562"/>
      <c r="AJ41" s="590"/>
      <c r="AK41" s="562"/>
      <c r="AL41" s="590"/>
      <c r="AM41" s="562"/>
      <c r="AN41" s="590"/>
      <c r="AO41" s="562"/>
      <c r="AP41" s="590"/>
      <c r="AQ41" s="562"/>
      <c r="AR41" s="572"/>
      <c r="AS41" s="587"/>
      <c r="AT41" s="590"/>
      <c r="AU41" s="562"/>
      <c r="AV41" s="590"/>
      <c r="AW41" s="562"/>
      <c r="AX41" s="590"/>
      <c r="AY41" s="562"/>
      <c r="AZ41" s="590"/>
      <c r="BA41" s="562"/>
      <c r="BB41" s="590"/>
      <c r="BC41" s="562"/>
      <c r="BD41" s="590"/>
      <c r="BE41" s="562"/>
      <c r="BF41" s="572"/>
      <c r="BG41" s="587"/>
      <c r="BH41" s="590"/>
      <c r="BI41" s="562"/>
      <c r="BJ41" s="535">
        <f t="shared" si="5"/>
        <v>0</v>
      </c>
      <c r="BK41" s="545">
        <f t="shared" si="6"/>
        <v>0</v>
      </c>
    </row>
    <row r="42" spans="1:63" ht="16.5" customHeight="1" x14ac:dyDescent="0.35">
      <c r="A42" s="567"/>
      <c r="B42" s="546" t="s">
        <v>26</v>
      </c>
      <c r="C42" s="567" t="s">
        <v>27</v>
      </c>
      <c r="D42" s="653" t="s">
        <v>28</v>
      </c>
      <c r="E42" s="654"/>
      <c r="F42" s="79"/>
      <c r="G42" s="80"/>
      <c r="H42" s="79"/>
      <c r="I42" s="80"/>
      <c r="J42" s="79"/>
      <c r="K42" s="80"/>
      <c r="L42" s="79"/>
      <c r="M42" s="80"/>
      <c r="N42" s="79"/>
      <c r="O42" s="80"/>
      <c r="P42" s="572"/>
      <c r="Q42" s="587"/>
      <c r="R42" s="572"/>
      <c r="S42" s="587"/>
      <c r="T42" s="79"/>
      <c r="U42" s="80"/>
      <c r="V42" s="79"/>
      <c r="W42" s="80"/>
      <c r="X42" s="79"/>
      <c r="Y42" s="80"/>
      <c r="Z42" s="79"/>
      <c r="AA42" s="80"/>
      <c r="AB42" s="79"/>
      <c r="AC42" s="80"/>
      <c r="AD42" s="572"/>
      <c r="AE42" s="587"/>
      <c r="AF42" s="79"/>
      <c r="AG42" s="80"/>
      <c r="AH42" s="79"/>
      <c r="AI42" s="80"/>
      <c r="AJ42" s="79"/>
      <c r="AK42" s="80"/>
      <c r="AL42" s="79"/>
      <c r="AM42" s="80"/>
      <c r="AN42" s="79"/>
      <c r="AO42" s="80"/>
      <c r="AP42" s="79"/>
      <c r="AQ42" s="80"/>
      <c r="AR42" s="572"/>
      <c r="AS42" s="587"/>
      <c r="AT42" s="79"/>
      <c r="AU42" s="80"/>
      <c r="AV42" s="79"/>
      <c r="AW42" s="80"/>
      <c r="AX42" s="79"/>
      <c r="AY42" s="80"/>
      <c r="AZ42" s="79"/>
      <c r="BA42" s="80"/>
      <c r="BB42" s="79"/>
      <c r="BC42" s="80"/>
      <c r="BD42" s="79"/>
      <c r="BE42" s="80"/>
      <c r="BF42" s="572"/>
      <c r="BG42" s="587"/>
      <c r="BH42" s="79"/>
      <c r="BI42" s="80"/>
      <c r="BJ42" s="535">
        <f t="shared" si="5"/>
        <v>0</v>
      </c>
      <c r="BK42" s="545">
        <f t="shared" si="6"/>
        <v>0</v>
      </c>
    </row>
    <row r="43" spans="1:63" ht="15" customHeight="1" x14ac:dyDescent="0.35">
      <c r="A43" s="579"/>
      <c r="B43" s="546" t="s">
        <v>29</v>
      </c>
      <c r="C43" s="579" t="s">
        <v>30</v>
      </c>
      <c r="D43" s="653" t="s">
        <v>31</v>
      </c>
      <c r="E43" s="654"/>
      <c r="F43" s="79"/>
      <c r="G43" s="80"/>
      <c r="H43" s="79"/>
      <c r="I43" s="80"/>
      <c r="J43" s="79"/>
      <c r="K43" s="80"/>
      <c r="L43" s="79"/>
      <c r="M43" s="80"/>
      <c r="N43" s="79"/>
      <c r="O43" s="80"/>
      <c r="P43" s="572"/>
      <c r="Q43" s="587"/>
      <c r="R43" s="572"/>
      <c r="S43" s="587"/>
      <c r="T43" s="79"/>
      <c r="U43" s="80"/>
      <c r="V43" s="79"/>
      <c r="W43" s="80"/>
      <c r="X43" s="79"/>
      <c r="Y43" s="80"/>
      <c r="Z43" s="79"/>
      <c r="AA43" s="80"/>
      <c r="AB43" s="79"/>
      <c r="AC43" s="80"/>
      <c r="AD43" s="572"/>
      <c r="AE43" s="587"/>
      <c r="AF43" s="79"/>
      <c r="AG43" s="80"/>
      <c r="AH43" s="79"/>
      <c r="AI43" s="80"/>
      <c r="AJ43" s="79"/>
      <c r="AK43" s="80"/>
      <c r="AL43" s="79"/>
      <c r="AM43" s="80"/>
      <c r="AN43" s="79"/>
      <c r="AO43" s="80"/>
      <c r="AP43" s="79"/>
      <c r="AQ43" s="80"/>
      <c r="AR43" s="572"/>
      <c r="AS43" s="587"/>
      <c r="AT43" s="79"/>
      <c r="AU43" s="80"/>
      <c r="AV43" s="79"/>
      <c r="AW43" s="80"/>
      <c r="AX43" s="79"/>
      <c r="AY43" s="80"/>
      <c r="AZ43" s="79"/>
      <c r="BA43" s="80"/>
      <c r="BB43" s="79"/>
      <c r="BC43" s="80"/>
      <c r="BD43" s="79"/>
      <c r="BE43" s="80"/>
      <c r="BF43" s="572"/>
      <c r="BG43" s="587"/>
      <c r="BH43" s="79"/>
      <c r="BI43" s="80"/>
      <c r="BJ43" s="535">
        <f t="shared" si="5"/>
        <v>0</v>
      </c>
      <c r="BK43" s="545">
        <f t="shared" si="6"/>
        <v>0</v>
      </c>
    </row>
    <row r="44" spans="1:63" ht="15" customHeight="1" x14ac:dyDescent="0.35">
      <c r="A44" s="579"/>
      <c r="B44" s="546" t="s">
        <v>26</v>
      </c>
      <c r="C44" s="579" t="s">
        <v>32</v>
      </c>
      <c r="D44" s="653" t="s">
        <v>33</v>
      </c>
      <c r="E44" s="654"/>
      <c r="F44" s="79"/>
      <c r="G44" s="80"/>
      <c r="H44" s="79"/>
      <c r="I44" s="80"/>
      <c r="J44" s="79"/>
      <c r="K44" s="80"/>
      <c r="L44" s="79"/>
      <c r="M44" s="80"/>
      <c r="N44" s="79"/>
      <c r="O44" s="80"/>
      <c r="P44" s="572"/>
      <c r="Q44" s="587"/>
      <c r="R44" s="572"/>
      <c r="S44" s="587"/>
      <c r="T44" s="79"/>
      <c r="U44" s="80"/>
      <c r="V44" s="79"/>
      <c r="W44" s="80"/>
      <c r="X44" s="79"/>
      <c r="Y44" s="80"/>
      <c r="Z44" s="79"/>
      <c r="AA44" s="80"/>
      <c r="AB44" s="79"/>
      <c r="AC44" s="80"/>
      <c r="AD44" s="572"/>
      <c r="AE44" s="587"/>
      <c r="AF44" s="79"/>
      <c r="AG44" s="80"/>
      <c r="AH44" s="79"/>
      <c r="AI44" s="80"/>
      <c r="AJ44" s="79"/>
      <c r="AK44" s="80"/>
      <c r="AL44" s="79"/>
      <c r="AM44" s="80"/>
      <c r="AN44" s="79"/>
      <c r="AO44" s="80"/>
      <c r="AP44" s="79"/>
      <c r="AQ44" s="80"/>
      <c r="AR44" s="572"/>
      <c r="AS44" s="587"/>
      <c r="AT44" s="79"/>
      <c r="AU44" s="80"/>
      <c r="AV44" s="79"/>
      <c r="AW44" s="80"/>
      <c r="AX44" s="79"/>
      <c r="AY44" s="80"/>
      <c r="AZ44" s="79"/>
      <c r="BA44" s="80"/>
      <c r="BB44" s="79"/>
      <c r="BC44" s="80"/>
      <c r="BD44" s="79"/>
      <c r="BE44" s="80"/>
      <c r="BF44" s="572"/>
      <c r="BG44" s="587"/>
      <c r="BH44" s="79"/>
      <c r="BI44" s="80"/>
      <c r="BJ44" s="535">
        <f t="shared" si="5"/>
        <v>0</v>
      </c>
      <c r="BK44" s="545">
        <f t="shared" si="6"/>
        <v>0</v>
      </c>
    </row>
    <row r="45" spans="1:63" ht="15" customHeight="1" x14ac:dyDescent="0.35">
      <c r="A45" s="579"/>
      <c r="B45" s="546" t="s">
        <v>26</v>
      </c>
      <c r="C45" s="579" t="s">
        <v>34</v>
      </c>
      <c r="D45" s="653" t="s">
        <v>35</v>
      </c>
      <c r="E45" s="654"/>
      <c r="F45" s="79"/>
      <c r="G45" s="80"/>
      <c r="H45" s="79"/>
      <c r="I45" s="80"/>
      <c r="J45" s="79"/>
      <c r="K45" s="80"/>
      <c r="L45" s="79"/>
      <c r="M45" s="80"/>
      <c r="N45" s="79"/>
      <c r="O45" s="80"/>
      <c r="P45" s="572"/>
      <c r="Q45" s="587"/>
      <c r="R45" s="572"/>
      <c r="S45" s="587"/>
      <c r="T45" s="79"/>
      <c r="U45" s="80"/>
      <c r="V45" s="79"/>
      <c r="W45" s="80"/>
      <c r="X45" s="79"/>
      <c r="Y45" s="80"/>
      <c r="Z45" s="79"/>
      <c r="AA45" s="80"/>
      <c r="AB45" s="79"/>
      <c r="AC45" s="80"/>
      <c r="AD45" s="572"/>
      <c r="AE45" s="587"/>
      <c r="AF45" s="79"/>
      <c r="AG45" s="80"/>
      <c r="AH45" s="79"/>
      <c r="AI45" s="80"/>
      <c r="AJ45" s="79"/>
      <c r="AK45" s="80"/>
      <c r="AL45" s="79"/>
      <c r="AM45" s="80"/>
      <c r="AN45" s="79"/>
      <c r="AO45" s="80"/>
      <c r="AP45" s="79"/>
      <c r="AQ45" s="80"/>
      <c r="AR45" s="572"/>
      <c r="AS45" s="587"/>
      <c r="AT45" s="79"/>
      <c r="AU45" s="80"/>
      <c r="AV45" s="79"/>
      <c r="AW45" s="80"/>
      <c r="AX45" s="79"/>
      <c r="AY45" s="80"/>
      <c r="AZ45" s="79"/>
      <c r="BA45" s="80"/>
      <c r="BB45" s="79"/>
      <c r="BC45" s="80"/>
      <c r="BD45" s="79"/>
      <c r="BE45" s="80"/>
      <c r="BF45" s="572"/>
      <c r="BG45" s="587"/>
      <c r="BH45" s="79"/>
      <c r="BI45" s="80"/>
      <c r="BJ45" s="535">
        <f t="shared" si="5"/>
        <v>0</v>
      </c>
      <c r="BK45" s="545">
        <f t="shared" si="6"/>
        <v>0</v>
      </c>
    </row>
    <row r="46" spans="1:63" ht="15" customHeight="1" x14ac:dyDescent="0.35">
      <c r="A46" s="579"/>
      <c r="B46" s="546" t="s">
        <v>26</v>
      </c>
      <c r="C46" s="579" t="s">
        <v>36</v>
      </c>
      <c r="D46" s="653" t="s">
        <v>37</v>
      </c>
      <c r="E46" s="654"/>
      <c r="F46" s="79"/>
      <c r="G46" s="80"/>
      <c r="H46" s="79"/>
      <c r="I46" s="80"/>
      <c r="J46" s="79"/>
      <c r="K46" s="80"/>
      <c r="L46" s="79"/>
      <c r="M46" s="80"/>
      <c r="N46" s="79"/>
      <c r="O46" s="80"/>
      <c r="P46" s="572"/>
      <c r="Q46" s="587"/>
      <c r="R46" s="572"/>
      <c r="S46" s="587"/>
      <c r="T46" s="79"/>
      <c r="U46" s="80"/>
      <c r="V46" s="79"/>
      <c r="W46" s="80"/>
      <c r="X46" s="79"/>
      <c r="Y46" s="80"/>
      <c r="Z46" s="79"/>
      <c r="AA46" s="80"/>
      <c r="AB46" s="79"/>
      <c r="AC46" s="80"/>
      <c r="AD46" s="572"/>
      <c r="AE46" s="587"/>
      <c r="AF46" s="79"/>
      <c r="AG46" s="80"/>
      <c r="AH46" s="79"/>
      <c r="AI46" s="80"/>
      <c r="AJ46" s="79"/>
      <c r="AK46" s="80"/>
      <c r="AL46" s="79"/>
      <c r="AM46" s="80"/>
      <c r="AN46" s="79"/>
      <c r="AO46" s="80"/>
      <c r="AP46" s="79"/>
      <c r="AQ46" s="80"/>
      <c r="AR46" s="572"/>
      <c r="AS46" s="587"/>
      <c r="AT46" s="79"/>
      <c r="AU46" s="80"/>
      <c r="AV46" s="79"/>
      <c r="AW46" s="80"/>
      <c r="AX46" s="79"/>
      <c r="AY46" s="80"/>
      <c r="AZ46" s="79"/>
      <c r="BA46" s="80"/>
      <c r="BB46" s="79"/>
      <c r="BC46" s="80"/>
      <c r="BD46" s="79"/>
      <c r="BE46" s="80"/>
      <c r="BF46" s="572"/>
      <c r="BG46" s="587"/>
      <c r="BH46" s="79"/>
      <c r="BI46" s="80"/>
      <c r="BJ46" s="535">
        <f t="shared" si="5"/>
        <v>0</v>
      </c>
      <c r="BK46" s="545">
        <f t="shared" si="6"/>
        <v>0</v>
      </c>
    </row>
    <row r="47" spans="1:63" ht="15" customHeight="1" x14ac:dyDescent="0.35">
      <c r="A47" s="579"/>
      <c r="B47" s="546" t="s">
        <v>26</v>
      </c>
      <c r="C47" s="567" t="s">
        <v>38</v>
      </c>
      <c r="D47" s="653" t="s">
        <v>39</v>
      </c>
      <c r="E47" s="654"/>
      <c r="F47" s="79"/>
      <c r="G47" s="80"/>
      <c r="H47" s="79"/>
      <c r="I47" s="80"/>
      <c r="J47" s="79"/>
      <c r="K47" s="80"/>
      <c r="L47" s="79"/>
      <c r="M47" s="80"/>
      <c r="N47" s="79"/>
      <c r="O47" s="80"/>
      <c r="P47" s="572"/>
      <c r="Q47" s="587"/>
      <c r="R47" s="572"/>
      <c r="S47" s="587"/>
      <c r="T47" s="79"/>
      <c r="U47" s="80"/>
      <c r="V47" s="79"/>
      <c r="W47" s="80"/>
      <c r="X47" s="79"/>
      <c r="Y47" s="80"/>
      <c r="Z47" s="79"/>
      <c r="AA47" s="80"/>
      <c r="AB47" s="79"/>
      <c r="AC47" s="80"/>
      <c r="AD47" s="572"/>
      <c r="AE47" s="587"/>
      <c r="AF47" s="79"/>
      <c r="AG47" s="80"/>
      <c r="AH47" s="79"/>
      <c r="AI47" s="80"/>
      <c r="AJ47" s="79"/>
      <c r="AK47" s="80"/>
      <c r="AL47" s="79"/>
      <c r="AM47" s="80"/>
      <c r="AN47" s="79"/>
      <c r="AO47" s="80"/>
      <c r="AP47" s="79"/>
      <c r="AQ47" s="80"/>
      <c r="AR47" s="572"/>
      <c r="AS47" s="587"/>
      <c r="AT47" s="79"/>
      <c r="AU47" s="80"/>
      <c r="AV47" s="79"/>
      <c r="AW47" s="80"/>
      <c r="AX47" s="79"/>
      <c r="AY47" s="80"/>
      <c r="AZ47" s="79"/>
      <c r="BA47" s="80"/>
      <c r="BB47" s="79"/>
      <c r="BC47" s="80"/>
      <c r="BD47" s="79"/>
      <c r="BE47" s="80"/>
      <c r="BF47" s="572"/>
      <c r="BG47" s="587"/>
      <c r="BH47" s="79"/>
      <c r="BI47" s="80"/>
      <c r="BJ47" s="535">
        <f t="shared" si="5"/>
        <v>0</v>
      </c>
      <c r="BK47" s="545">
        <f t="shared" si="6"/>
        <v>0</v>
      </c>
    </row>
    <row r="48" spans="1:63" ht="15" customHeight="1" x14ac:dyDescent="0.35">
      <c r="A48" s="579"/>
      <c r="B48" s="546" t="s">
        <v>26</v>
      </c>
      <c r="C48" s="579" t="s">
        <v>40</v>
      </c>
      <c r="D48" s="653" t="s">
        <v>41</v>
      </c>
      <c r="E48" s="654"/>
      <c r="F48" s="79"/>
      <c r="G48" s="80"/>
      <c r="H48" s="79"/>
      <c r="I48" s="80"/>
      <c r="J48" s="79"/>
      <c r="K48" s="80"/>
      <c r="L48" s="79"/>
      <c r="M48" s="80"/>
      <c r="N48" s="79"/>
      <c r="O48" s="80"/>
      <c r="P48" s="572"/>
      <c r="Q48" s="587"/>
      <c r="R48" s="572"/>
      <c r="S48" s="587"/>
      <c r="T48" s="79"/>
      <c r="U48" s="80"/>
      <c r="V48" s="79"/>
      <c r="W48" s="80"/>
      <c r="X48" s="79"/>
      <c r="Y48" s="80"/>
      <c r="Z48" s="79"/>
      <c r="AA48" s="80"/>
      <c r="AB48" s="79"/>
      <c r="AC48" s="80"/>
      <c r="AD48" s="572"/>
      <c r="AE48" s="587"/>
      <c r="AF48" s="79"/>
      <c r="AG48" s="80"/>
      <c r="AH48" s="79"/>
      <c r="AI48" s="80"/>
      <c r="AJ48" s="79"/>
      <c r="AK48" s="80"/>
      <c r="AL48" s="79"/>
      <c r="AM48" s="80"/>
      <c r="AN48" s="79"/>
      <c r="AO48" s="80"/>
      <c r="AP48" s="79"/>
      <c r="AQ48" s="80"/>
      <c r="AR48" s="572"/>
      <c r="AS48" s="587"/>
      <c r="AT48" s="79"/>
      <c r="AU48" s="80"/>
      <c r="AV48" s="79"/>
      <c r="AW48" s="80"/>
      <c r="AX48" s="79"/>
      <c r="AY48" s="80"/>
      <c r="AZ48" s="79"/>
      <c r="BA48" s="80"/>
      <c r="BB48" s="79"/>
      <c r="BC48" s="80"/>
      <c r="BD48" s="79"/>
      <c r="BE48" s="80"/>
      <c r="BF48" s="572"/>
      <c r="BG48" s="587"/>
      <c r="BH48" s="79"/>
      <c r="BI48" s="80"/>
      <c r="BJ48" s="535">
        <f t="shared" si="5"/>
        <v>0</v>
      </c>
      <c r="BK48" s="545">
        <f t="shared" si="6"/>
        <v>0</v>
      </c>
    </row>
    <row r="49" spans="1:63" ht="15" customHeight="1" x14ac:dyDescent="0.35">
      <c r="A49" s="579"/>
      <c r="B49" s="546" t="s">
        <v>26</v>
      </c>
      <c r="C49" s="567" t="s">
        <v>42</v>
      </c>
      <c r="D49" s="653" t="s">
        <v>43</v>
      </c>
      <c r="E49" s="654"/>
      <c r="F49" s="79"/>
      <c r="G49" s="80"/>
      <c r="H49" s="79"/>
      <c r="I49" s="80"/>
      <c r="J49" s="79"/>
      <c r="K49" s="80"/>
      <c r="L49" s="79"/>
      <c r="M49" s="80"/>
      <c r="N49" s="79"/>
      <c r="O49" s="80"/>
      <c r="P49" s="572"/>
      <c r="Q49" s="587"/>
      <c r="R49" s="572"/>
      <c r="S49" s="587"/>
      <c r="T49" s="79"/>
      <c r="U49" s="80"/>
      <c r="V49" s="79"/>
      <c r="W49" s="80"/>
      <c r="X49" s="79"/>
      <c r="Y49" s="80"/>
      <c r="Z49" s="79"/>
      <c r="AA49" s="80"/>
      <c r="AB49" s="79"/>
      <c r="AC49" s="80"/>
      <c r="AD49" s="572"/>
      <c r="AE49" s="587"/>
      <c r="AF49" s="79"/>
      <c r="AG49" s="80"/>
      <c r="AH49" s="79"/>
      <c r="AI49" s="80"/>
      <c r="AJ49" s="79"/>
      <c r="AK49" s="80"/>
      <c r="AL49" s="79"/>
      <c r="AM49" s="80"/>
      <c r="AN49" s="79"/>
      <c r="AO49" s="80"/>
      <c r="AP49" s="79"/>
      <c r="AQ49" s="80"/>
      <c r="AR49" s="572"/>
      <c r="AS49" s="587"/>
      <c r="AT49" s="79"/>
      <c r="AU49" s="80"/>
      <c r="AV49" s="79"/>
      <c r="AW49" s="80"/>
      <c r="AX49" s="79"/>
      <c r="AY49" s="80"/>
      <c r="AZ49" s="79"/>
      <c r="BA49" s="80"/>
      <c r="BB49" s="79"/>
      <c r="BC49" s="80"/>
      <c r="BD49" s="79"/>
      <c r="BE49" s="80"/>
      <c r="BF49" s="572"/>
      <c r="BG49" s="587"/>
      <c r="BH49" s="79"/>
      <c r="BI49" s="80"/>
      <c r="BJ49" s="535">
        <f t="shared" si="5"/>
        <v>0</v>
      </c>
      <c r="BK49" s="545">
        <f t="shared" si="6"/>
        <v>0</v>
      </c>
    </row>
    <row r="50" spans="1:63" ht="15" customHeight="1" x14ac:dyDescent="0.35">
      <c r="A50" s="579"/>
      <c r="B50" s="546" t="s">
        <v>44</v>
      </c>
      <c r="C50" s="579" t="s">
        <v>45</v>
      </c>
      <c r="D50" s="653" t="s">
        <v>43</v>
      </c>
      <c r="E50" s="654"/>
      <c r="F50" s="79"/>
      <c r="G50" s="80"/>
      <c r="H50" s="79"/>
      <c r="I50" s="80"/>
      <c r="J50" s="79"/>
      <c r="K50" s="80"/>
      <c r="L50" s="79"/>
      <c r="M50" s="80"/>
      <c r="N50" s="79"/>
      <c r="O50" s="80"/>
      <c r="P50" s="572"/>
      <c r="Q50" s="587"/>
      <c r="R50" s="572"/>
      <c r="S50" s="587"/>
      <c r="T50" s="79"/>
      <c r="U50" s="80"/>
      <c r="V50" s="79"/>
      <c r="W50" s="80"/>
      <c r="X50" s="79"/>
      <c r="Y50" s="80"/>
      <c r="Z50" s="79"/>
      <c r="AA50" s="80"/>
      <c r="AB50" s="79"/>
      <c r="AC50" s="80"/>
      <c r="AD50" s="572"/>
      <c r="AE50" s="587"/>
      <c r="AF50" s="79"/>
      <c r="AG50" s="80"/>
      <c r="AH50" s="79"/>
      <c r="AI50" s="80"/>
      <c r="AJ50" s="79"/>
      <c r="AK50" s="80"/>
      <c r="AL50" s="79"/>
      <c r="AM50" s="80"/>
      <c r="AN50" s="79"/>
      <c r="AO50" s="80"/>
      <c r="AP50" s="79"/>
      <c r="AQ50" s="80"/>
      <c r="AR50" s="572"/>
      <c r="AS50" s="587"/>
      <c r="AT50" s="79"/>
      <c r="AU50" s="80"/>
      <c r="AV50" s="79"/>
      <c r="AW50" s="80"/>
      <c r="AX50" s="79"/>
      <c r="AY50" s="80"/>
      <c r="AZ50" s="79"/>
      <c r="BA50" s="80"/>
      <c r="BB50" s="79"/>
      <c r="BC50" s="80"/>
      <c r="BD50" s="79"/>
      <c r="BE50" s="80"/>
      <c r="BF50" s="572"/>
      <c r="BG50" s="587"/>
      <c r="BH50" s="79"/>
      <c r="BI50" s="80"/>
      <c r="BJ50" s="535">
        <f t="shared" si="5"/>
        <v>0</v>
      </c>
      <c r="BK50" s="545">
        <f t="shared" si="6"/>
        <v>0</v>
      </c>
    </row>
    <row r="51" spans="1:63" ht="15" customHeight="1" x14ac:dyDescent="0.35">
      <c r="A51" s="579"/>
      <c r="B51" s="546" t="s">
        <v>46</v>
      </c>
      <c r="C51" s="579" t="s">
        <v>47</v>
      </c>
      <c r="D51" s="653" t="s">
        <v>48</v>
      </c>
      <c r="E51" s="654"/>
      <c r="F51" s="79"/>
      <c r="G51" s="80"/>
      <c r="H51" s="79"/>
      <c r="I51" s="80"/>
      <c r="J51" s="79"/>
      <c r="K51" s="80"/>
      <c r="L51" s="79"/>
      <c r="M51" s="80"/>
      <c r="N51" s="79"/>
      <c r="O51" s="80"/>
      <c r="P51" s="572"/>
      <c r="Q51" s="587"/>
      <c r="R51" s="572"/>
      <c r="S51" s="587"/>
      <c r="T51" s="79"/>
      <c r="U51" s="80"/>
      <c r="V51" s="79"/>
      <c r="W51" s="80"/>
      <c r="X51" s="79"/>
      <c r="Y51" s="80"/>
      <c r="Z51" s="79"/>
      <c r="AA51" s="80"/>
      <c r="AB51" s="79"/>
      <c r="AC51" s="80"/>
      <c r="AD51" s="572"/>
      <c r="AE51" s="587"/>
      <c r="AF51" s="79"/>
      <c r="AG51" s="80"/>
      <c r="AH51" s="79"/>
      <c r="AI51" s="80"/>
      <c r="AJ51" s="79"/>
      <c r="AK51" s="80"/>
      <c r="AL51" s="79"/>
      <c r="AM51" s="80"/>
      <c r="AN51" s="79"/>
      <c r="AO51" s="80"/>
      <c r="AP51" s="79"/>
      <c r="AQ51" s="80"/>
      <c r="AR51" s="572"/>
      <c r="AS51" s="587"/>
      <c r="AT51" s="79"/>
      <c r="AU51" s="80"/>
      <c r="AV51" s="79"/>
      <c r="AW51" s="80"/>
      <c r="AX51" s="79"/>
      <c r="AY51" s="80"/>
      <c r="AZ51" s="79"/>
      <c r="BA51" s="80"/>
      <c r="BB51" s="79"/>
      <c r="BC51" s="80"/>
      <c r="BD51" s="79"/>
      <c r="BE51" s="80"/>
      <c r="BF51" s="572"/>
      <c r="BG51" s="587"/>
      <c r="BH51" s="79"/>
      <c r="BI51" s="80"/>
      <c r="BJ51" s="535">
        <f t="shared" si="5"/>
        <v>0</v>
      </c>
      <c r="BK51" s="545">
        <f t="shared" si="6"/>
        <v>0</v>
      </c>
    </row>
    <row r="52" spans="1:63" ht="15" customHeight="1" x14ac:dyDescent="0.35">
      <c r="A52" s="579"/>
      <c r="B52" s="546" t="s">
        <v>26</v>
      </c>
      <c r="C52" s="579" t="s">
        <v>49</v>
      </c>
      <c r="D52" s="653" t="s">
        <v>50</v>
      </c>
      <c r="E52" s="654"/>
      <c r="F52" s="79"/>
      <c r="G52" s="80"/>
      <c r="H52" s="79"/>
      <c r="I52" s="80"/>
      <c r="J52" s="79"/>
      <c r="K52" s="80"/>
      <c r="L52" s="79"/>
      <c r="M52" s="80"/>
      <c r="N52" s="79"/>
      <c r="O52" s="80"/>
      <c r="P52" s="572"/>
      <c r="Q52" s="587"/>
      <c r="R52" s="572"/>
      <c r="S52" s="587"/>
      <c r="T52" s="79"/>
      <c r="U52" s="80"/>
      <c r="V52" s="79"/>
      <c r="W52" s="80"/>
      <c r="X52" s="79"/>
      <c r="Y52" s="80"/>
      <c r="Z52" s="79"/>
      <c r="AA52" s="80"/>
      <c r="AB52" s="79"/>
      <c r="AC52" s="80"/>
      <c r="AD52" s="572"/>
      <c r="AE52" s="587"/>
      <c r="AF52" s="79"/>
      <c r="AG52" s="80"/>
      <c r="AH52" s="79"/>
      <c r="AI52" s="80"/>
      <c r="AJ52" s="79"/>
      <c r="AK52" s="80"/>
      <c r="AL52" s="79"/>
      <c r="AM52" s="80"/>
      <c r="AN52" s="79"/>
      <c r="AO52" s="80"/>
      <c r="AP52" s="79"/>
      <c r="AQ52" s="80"/>
      <c r="AR52" s="572"/>
      <c r="AS52" s="587"/>
      <c r="AT52" s="79"/>
      <c r="AU52" s="80"/>
      <c r="AV52" s="79"/>
      <c r="AW52" s="80"/>
      <c r="AX52" s="79"/>
      <c r="AY52" s="80"/>
      <c r="AZ52" s="79"/>
      <c r="BA52" s="80"/>
      <c r="BB52" s="79"/>
      <c r="BC52" s="80"/>
      <c r="BD52" s="79"/>
      <c r="BE52" s="80"/>
      <c r="BF52" s="572"/>
      <c r="BG52" s="587"/>
      <c r="BH52" s="79"/>
      <c r="BI52" s="80"/>
      <c r="BJ52" s="535">
        <f t="shared" si="5"/>
        <v>0</v>
      </c>
      <c r="BK52" s="545">
        <f t="shared" si="6"/>
        <v>0</v>
      </c>
    </row>
    <row r="53" spans="1:63" ht="15" customHeight="1" x14ac:dyDescent="0.35">
      <c r="A53" s="579"/>
      <c r="B53" s="546" t="s">
        <v>26</v>
      </c>
      <c r="C53" s="567" t="s">
        <v>51</v>
      </c>
      <c r="D53" s="653" t="s">
        <v>52</v>
      </c>
      <c r="E53" s="654"/>
      <c r="F53" s="79"/>
      <c r="G53" s="80"/>
      <c r="H53" s="79"/>
      <c r="I53" s="80"/>
      <c r="J53" s="79"/>
      <c r="K53" s="80"/>
      <c r="L53" s="79"/>
      <c r="M53" s="80"/>
      <c r="N53" s="79"/>
      <c r="O53" s="80"/>
      <c r="P53" s="572"/>
      <c r="Q53" s="587"/>
      <c r="R53" s="572"/>
      <c r="S53" s="587"/>
      <c r="T53" s="79"/>
      <c r="U53" s="80"/>
      <c r="V53" s="79"/>
      <c r="W53" s="80"/>
      <c r="X53" s="79"/>
      <c r="Y53" s="80"/>
      <c r="Z53" s="79"/>
      <c r="AA53" s="80"/>
      <c r="AB53" s="79"/>
      <c r="AC53" s="80"/>
      <c r="AD53" s="572"/>
      <c r="AE53" s="587"/>
      <c r="AF53" s="79"/>
      <c r="AG53" s="80"/>
      <c r="AH53" s="79"/>
      <c r="AI53" s="80"/>
      <c r="AJ53" s="79"/>
      <c r="AK53" s="80"/>
      <c r="AL53" s="79"/>
      <c r="AM53" s="80"/>
      <c r="AN53" s="79"/>
      <c r="AO53" s="80"/>
      <c r="AP53" s="79"/>
      <c r="AQ53" s="80"/>
      <c r="AR53" s="572"/>
      <c r="AS53" s="587"/>
      <c r="AT53" s="79"/>
      <c r="AU53" s="80"/>
      <c r="AV53" s="79"/>
      <c r="AW53" s="80"/>
      <c r="AX53" s="79"/>
      <c r="AY53" s="80"/>
      <c r="AZ53" s="79"/>
      <c r="BA53" s="80"/>
      <c r="BB53" s="79"/>
      <c r="BC53" s="80"/>
      <c r="BD53" s="79"/>
      <c r="BE53" s="80"/>
      <c r="BF53" s="572"/>
      <c r="BG53" s="587"/>
      <c r="BH53" s="79"/>
      <c r="BI53" s="80"/>
      <c r="BJ53" s="535">
        <f t="shared" si="5"/>
        <v>0</v>
      </c>
      <c r="BK53" s="545">
        <f t="shared" si="6"/>
        <v>0</v>
      </c>
    </row>
    <row r="54" spans="1:63" ht="15" customHeight="1" x14ac:dyDescent="0.35">
      <c r="A54" s="579"/>
      <c r="B54" s="546" t="s">
        <v>26</v>
      </c>
      <c r="C54" s="579" t="s">
        <v>53</v>
      </c>
      <c r="D54" s="653" t="s">
        <v>54</v>
      </c>
      <c r="E54" s="654"/>
      <c r="F54" s="79"/>
      <c r="G54" s="80"/>
      <c r="H54" s="79"/>
      <c r="I54" s="80"/>
      <c r="J54" s="79"/>
      <c r="K54" s="80"/>
      <c r="L54" s="79"/>
      <c r="M54" s="80"/>
      <c r="N54" s="79"/>
      <c r="O54" s="80"/>
      <c r="P54" s="572"/>
      <c r="Q54" s="587"/>
      <c r="R54" s="572"/>
      <c r="S54" s="587"/>
      <c r="T54" s="79"/>
      <c r="U54" s="80"/>
      <c r="V54" s="79"/>
      <c r="W54" s="80"/>
      <c r="X54" s="79"/>
      <c r="Y54" s="80"/>
      <c r="Z54" s="79"/>
      <c r="AA54" s="80"/>
      <c r="AB54" s="79"/>
      <c r="AC54" s="80"/>
      <c r="AD54" s="572"/>
      <c r="AE54" s="587"/>
      <c r="AF54" s="79"/>
      <c r="AG54" s="80"/>
      <c r="AH54" s="79"/>
      <c r="AI54" s="80"/>
      <c r="AJ54" s="79"/>
      <c r="AK54" s="80"/>
      <c r="AL54" s="79"/>
      <c r="AM54" s="80"/>
      <c r="AN54" s="79"/>
      <c r="AO54" s="80"/>
      <c r="AP54" s="79"/>
      <c r="AQ54" s="80"/>
      <c r="AR54" s="572"/>
      <c r="AS54" s="587"/>
      <c r="AT54" s="79"/>
      <c r="AU54" s="80"/>
      <c r="AV54" s="79"/>
      <c r="AW54" s="80"/>
      <c r="AX54" s="79"/>
      <c r="AY54" s="80"/>
      <c r="AZ54" s="79"/>
      <c r="BA54" s="80"/>
      <c r="BB54" s="79"/>
      <c r="BC54" s="80"/>
      <c r="BD54" s="79"/>
      <c r="BE54" s="80"/>
      <c r="BF54" s="572"/>
      <c r="BG54" s="587"/>
      <c r="BH54" s="79"/>
      <c r="BI54" s="80"/>
      <c r="BJ54" s="535">
        <f t="shared" si="5"/>
        <v>0</v>
      </c>
      <c r="BK54" s="545">
        <f t="shared" si="6"/>
        <v>0</v>
      </c>
    </row>
    <row r="55" spans="1:63" ht="15" customHeight="1" x14ac:dyDescent="0.35">
      <c r="A55" s="579"/>
      <c r="B55" s="546" t="s">
        <v>26</v>
      </c>
      <c r="C55" s="567" t="s">
        <v>55</v>
      </c>
      <c r="D55" s="653" t="s">
        <v>56</v>
      </c>
      <c r="E55" s="654"/>
      <c r="F55" s="79"/>
      <c r="G55" s="80"/>
      <c r="H55" s="79"/>
      <c r="I55" s="80"/>
      <c r="J55" s="79"/>
      <c r="K55" s="80"/>
      <c r="L55" s="79"/>
      <c r="M55" s="80"/>
      <c r="N55" s="79"/>
      <c r="O55" s="80"/>
      <c r="P55" s="572"/>
      <c r="Q55" s="587"/>
      <c r="R55" s="572"/>
      <c r="S55" s="587"/>
      <c r="T55" s="79"/>
      <c r="U55" s="80"/>
      <c r="V55" s="79"/>
      <c r="W55" s="80"/>
      <c r="X55" s="79"/>
      <c r="Y55" s="80"/>
      <c r="Z55" s="79"/>
      <c r="AA55" s="80"/>
      <c r="AB55" s="79"/>
      <c r="AC55" s="80"/>
      <c r="AD55" s="572"/>
      <c r="AE55" s="587"/>
      <c r="AF55" s="79"/>
      <c r="AG55" s="80"/>
      <c r="AH55" s="79"/>
      <c r="AI55" s="80"/>
      <c r="AJ55" s="79"/>
      <c r="AK55" s="80"/>
      <c r="AL55" s="79"/>
      <c r="AM55" s="80"/>
      <c r="AN55" s="79"/>
      <c r="AO55" s="80"/>
      <c r="AP55" s="79"/>
      <c r="AQ55" s="80"/>
      <c r="AR55" s="572"/>
      <c r="AS55" s="587"/>
      <c r="AT55" s="79"/>
      <c r="AU55" s="80"/>
      <c r="AV55" s="79"/>
      <c r="AW55" s="80"/>
      <c r="AX55" s="79"/>
      <c r="AY55" s="80"/>
      <c r="AZ55" s="79"/>
      <c r="BA55" s="80"/>
      <c r="BB55" s="79"/>
      <c r="BC55" s="80"/>
      <c r="BD55" s="79"/>
      <c r="BE55" s="80"/>
      <c r="BF55" s="572"/>
      <c r="BG55" s="587"/>
      <c r="BH55" s="79"/>
      <c r="BI55" s="80"/>
      <c r="BJ55" s="535">
        <f t="shared" si="5"/>
        <v>0</v>
      </c>
      <c r="BK55" s="545">
        <f t="shared" si="6"/>
        <v>0</v>
      </c>
    </row>
    <row r="56" spans="1:63" ht="15" customHeight="1" x14ac:dyDescent="0.35">
      <c r="A56" s="579"/>
      <c r="B56" s="546" t="s">
        <v>26</v>
      </c>
      <c r="C56" s="579" t="s">
        <v>57</v>
      </c>
      <c r="D56" s="653" t="s">
        <v>58</v>
      </c>
      <c r="E56" s="654"/>
      <c r="F56" s="79"/>
      <c r="G56" s="80"/>
      <c r="H56" s="79"/>
      <c r="I56" s="80"/>
      <c r="J56" s="79"/>
      <c r="K56" s="80"/>
      <c r="L56" s="79"/>
      <c r="M56" s="80"/>
      <c r="N56" s="79"/>
      <c r="O56" s="80"/>
      <c r="P56" s="572"/>
      <c r="Q56" s="587"/>
      <c r="R56" s="572"/>
      <c r="S56" s="587"/>
      <c r="T56" s="79"/>
      <c r="U56" s="80"/>
      <c r="V56" s="79"/>
      <c r="W56" s="80"/>
      <c r="X56" s="79"/>
      <c r="Y56" s="80"/>
      <c r="Z56" s="79"/>
      <c r="AA56" s="80"/>
      <c r="AB56" s="79"/>
      <c r="AC56" s="80"/>
      <c r="AD56" s="572"/>
      <c r="AE56" s="587"/>
      <c r="AF56" s="79"/>
      <c r="AG56" s="80"/>
      <c r="AH56" s="79"/>
      <c r="AI56" s="80"/>
      <c r="AJ56" s="79"/>
      <c r="AK56" s="80"/>
      <c r="AL56" s="79"/>
      <c r="AM56" s="80"/>
      <c r="AN56" s="79"/>
      <c r="AO56" s="80"/>
      <c r="AP56" s="79"/>
      <c r="AQ56" s="80"/>
      <c r="AR56" s="572"/>
      <c r="AS56" s="587"/>
      <c r="AT56" s="79"/>
      <c r="AU56" s="80"/>
      <c r="AV56" s="79"/>
      <c r="AW56" s="80"/>
      <c r="AX56" s="79"/>
      <c r="AY56" s="80"/>
      <c r="AZ56" s="79"/>
      <c r="BA56" s="80"/>
      <c r="BB56" s="79"/>
      <c r="BC56" s="80"/>
      <c r="BD56" s="79"/>
      <c r="BE56" s="80"/>
      <c r="BF56" s="572"/>
      <c r="BG56" s="587"/>
      <c r="BH56" s="79"/>
      <c r="BI56" s="80"/>
      <c r="BJ56" s="535">
        <f t="shared" si="5"/>
        <v>0</v>
      </c>
      <c r="BK56" s="545">
        <f t="shared" si="6"/>
        <v>0</v>
      </c>
    </row>
    <row r="57" spans="1:63" ht="15" customHeight="1" x14ac:dyDescent="0.35">
      <c r="A57" s="579"/>
      <c r="B57" s="546" t="s">
        <v>29</v>
      </c>
      <c r="C57" s="579" t="s">
        <v>59</v>
      </c>
      <c r="D57" s="653" t="s">
        <v>60</v>
      </c>
      <c r="E57" s="654"/>
      <c r="F57" s="79"/>
      <c r="G57" s="80"/>
      <c r="H57" s="79"/>
      <c r="I57" s="80"/>
      <c r="J57" s="79"/>
      <c r="K57" s="80"/>
      <c r="L57" s="79"/>
      <c r="M57" s="80"/>
      <c r="N57" s="79"/>
      <c r="O57" s="80"/>
      <c r="P57" s="572"/>
      <c r="Q57" s="587"/>
      <c r="R57" s="572"/>
      <c r="S57" s="587"/>
      <c r="T57" s="79"/>
      <c r="U57" s="80"/>
      <c r="V57" s="79"/>
      <c r="W57" s="80"/>
      <c r="X57" s="79"/>
      <c r="Y57" s="80"/>
      <c r="Z57" s="79"/>
      <c r="AA57" s="80"/>
      <c r="AB57" s="79"/>
      <c r="AC57" s="80"/>
      <c r="AD57" s="572"/>
      <c r="AE57" s="587"/>
      <c r="AF57" s="79"/>
      <c r="AG57" s="80"/>
      <c r="AH57" s="79"/>
      <c r="AI57" s="80"/>
      <c r="AJ57" s="79"/>
      <c r="AK57" s="80"/>
      <c r="AL57" s="79"/>
      <c r="AM57" s="80"/>
      <c r="AN57" s="79"/>
      <c r="AO57" s="80"/>
      <c r="AP57" s="79"/>
      <c r="AQ57" s="80"/>
      <c r="AR57" s="572"/>
      <c r="AS57" s="587"/>
      <c r="AT57" s="79"/>
      <c r="AU57" s="80"/>
      <c r="AV57" s="79"/>
      <c r="AW57" s="80"/>
      <c r="AX57" s="79"/>
      <c r="AY57" s="80"/>
      <c r="AZ57" s="79"/>
      <c r="BA57" s="80"/>
      <c r="BB57" s="79"/>
      <c r="BC57" s="80"/>
      <c r="BD57" s="79"/>
      <c r="BE57" s="80"/>
      <c r="BF57" s="572"/>
      <c r="BG57" s="587"/>
      <c r="BH57" s="79"/>
      <c r="BI57" s="80"/>
      <c r="BJ57" s="535">
        <f t="shared" si="5"/>
        <v>0</v>
      </c>
      <c r="BK57" s="545">
        <f t="shared" si="6"/>
        <v>0</v>
      </c>
    </row>
    <row r="58" spans="1:63" ht="15" customHeight="1" x14ac:dyDescent="0.35">
      <c r="A58" s="579"/>
      <c r="B58" s="546" t="s">
        <v>46</v>
      </c>
      <c r="C58" s="579" t="s">
        <v>61</v>
      </c>
      <c r="D58" s="653" t="s">
        <v>62</v>
      </c>
      <c r="E58" s="654"/>
      <c r="F58" s="79"/>
      <c r="G58" s="80"/>
      <c r="H58" s="79"/>
      <c r="I58" s="80"/>
      <c r="J58" s="79"/>
      <c r="K58" s="80"/>
      <c r="L58" s="79"/>
      <c r="M58" s="80"/>
      <c r="N58" s="79"/>
      <c r="O58" s="80"/>
      <c r="P58" s="572"/>
      <c r="Q58" s="587"/>
      <c r="R58" s="572"/>
      <c r="S58" s="587"/>
      <c r="T58" s="79"/>
      <c r="U58" s="80"/>
      <c r="V58" s="79"/>
      <c r="W58" s="80"/>
      <c r="X58" s="79"/>
      <c r="Y58" s="80"/>
      <c r="Z58" s="79"/>
      <c r="AA58" s="80"/>
      <c r="AB58" s="79"/>
      <c r="AC58" s="80"/>
      <c r="AD58" s="572"/>
      <c r="AE58" s="587"/>
      <c r="AF58" s="79"/>
      <c r="AG58" s="80"/>
      <c r="AH58" s="79"/>
      <c r="AI58" s="80"/>
      <c r="AJ58" s="79"/>
      <c r="AK58" s="80"/>
      <c r="AL58" s="79"/>
      <c r="AM58" s="80"/>
      <c r="AN58" s="79"/>
      <c r="AO58" s="80"/>
      <c r="AP58" s="79"/>
      <c r="AQ58" s="80"/>
      <c r="AR58" s="572"/>
      <c r="AS58" s="587"/>
      <c r="AT58" s="79"/>
      <c r="AU58" s="80"/>
      <c r="AV58" s="79"/>
      <c r="AW58" s="80"/>
      <c r="AX58" s="79"/>
      <c r="AY58" s="80"/>
      <c r="AZ58" s="79"/>
      <c r="BA58" s="80"/>
      <c r="BB58" s="79"/>
      <c r="BC58" s="80"/>
      <c r="BD58" s="79"/>
      <c r="BE58" s="80"/>
      <c r="BF58" s="572"/>
      <c r="BG58" s="587"/>
      <c r="BH58" s="79"/>
      <c r="BI58" s="80"/>
      <c r="BJ58" s="535">
        <f t="shared" si="5"/>
        <v>0</v>
      </c>
      <c r="BK58" s="545">
        <f t="shared" si="6"/>
        <v>0</v>
      </c>
    </row>
    <row r="59" spans="1:63" ht="15" customHeight="1" x14ac:dyDescent="0.35">
      <c r="A59" s="579"/>
      <c r="B59" s="546" t="s">
        <v>26</v>
      </c>
      <c r="C59" s="567" t="s">
        <v>63</v>
      </c>
      <c r="D59" s="653" t="s">
        <v>64</v>
      </c>
      <c r="E59" s="654"/>
      <c r="F59" s="79"/>
      <c r="G59" s="80"/>
      <c r="H59" s="79"/>
      <c r="I59" s="80"/>
      <c r="J59" s="79"/>
      <c r="K59" s="80"/>
      <c r="L59" s="79"/>
      <c r="M59" s="80"/>
      <c r="N59" s="79"/>
      <c r="O59" s="80"/>
      <c r="P59" s="572"/>
      <c r="Q59" s="587"/>
      <c r="R59" s="572"/>
      <c r="S59" s="587"/>
      <c r="T59" s="79"/>
      <c r="U59" s="80"/>
      <c r="V59" s="79"/>
      <c r="W59" s="80"/>
      <c r="X59" s="79"/>
      <c r="Y59" s="80"/>
      <c r="Z59" s="79"/>
      <c r="AA59" s="80"/>
      <c r="AB59" s="79"/>
      <c r="AC59" s="80"/>
      <c r="AD59" s="572"/>
      <c r="AE59" s="587"/>
      <c r="AF59" s="79"/>
      <c r="AG59" s="80"/>
      <c r="AH59" s="79"/>
      <c r="AI59" s="80"/>
      <c r="AJ59" s="79"/>
      <c r="AK59" s="80"/>
      <c r="AL59" s="79"/>
      <c r="AM59" s="80"/>
      <c r="AN59" s="79"/>
      <c r="AO59" s="80"/>
      <c r="AP59" s="79"/>
      <c r="AQ59" s="80"/>
      <c r="AR59" s="572"/>
      <c r="AS59" s="587"/>
      <c r="AT59" s="79"/>
      <c r="AU59" s="80"/>
      <c r="AV59" s="79"/>
      <c r="AW59" s="80"/>
      <c r="AX59" s="79"/>
      <c r="AY59" s="80"/>
      <c r="AZ59" s="79"/>
      <c r="BA59" s="80"/>
      <c r="BB59" s="79"/>
      <c r="BC59" s="80"/>
      <c r="BD59" s="79"/>
      <c r="BE59" s="80"/>
      <c r="BF59" s="572"/>
      <c r="BG59" s="587"/>
      <c r="BH59" s="79"/>
      <c r="BI59" s="80"/>
      <c r="BJ59" s="535">
        <f t="shared" si="5"/>
        <v>0</v>
      </c>
      <c r="BK59" s="545">
        <f t="shared" si="6"/>
        <v>0</v>
      </c>
    </row>
    <row r="60" spans="1:63" ht="15" customHeight="1" x14ac:dyDescent="0.35">
      <c r="A60" s="579"/>
      <c r="B60" s="546" t="s">
        <v>29</v>
      </c>
      <c r="C60" s="579" t="s">
        <v>65</v>
      </c>
      <c r="D60" s="653" t="s">
        <v>66</v>
      </c>
      <c r="E60" s="654"/>
      <c r="F60" s="79"/>
      <c r="G60" s="80"/>
      <c r="H60" s="79"/>
      <c r="I60" s="80"/>
      <c r="J60" s="79"/>
      <c r="K60" s="80"/>
      <c r="L60" s="79"/>
      <c r="M60" s="80"/>
      <c r="N60" s="79"/>
      <c r="O60" s="80"/>
      <c r="P60" s="572"/>
      <c r="Q60" s="587"/>
      <c r="R60" s="572"/>
      <c r="S60" s="587"/>
      <c r="T60" s="79"/>
      <c r="U60" s="80"/>
      <c r="V60" s="79"/>
      <c r="W60" s="80"/>
      <c r="X60" s="79"/>
      <c r="Y60" s="80"/>
      <c r="Z60" s="79"/>
      <c r="AA60" s="80"/>
      <c r="AB60" s="79"/>
      <c r="AC60" s="80"/>
      <c r="AD60" s="572"/>
      <c r="AE60" s="587"/>
      <c r="AF60" s="79"/>
      <c r="AG60" s="80"/>
      <c r="AH60" s="79"/>
      <c r="AI60" s="80"/>
      <c r="AJ60" s="79"/>
      <c r="AK60" s="80"/>
      <c r="AL60" s="79"/>
      <c r="AM60" s="80"/>
      <c r="AN60" s="79"/>
      <c r="AO60" s="80"/>
      <c r="AP60" s="79"/>
      <c r="AQ60" s="80"/>
      <c r="AR60" s="572"/>
      <c r="AS60" s="587"/>
      <c r="AT60" s="79"/>
      <c r="AU60" s="80"/>
      <c r="AV60" s="79"/>
      <c r="AW60" s="80"/>
      <c r="AX60" s="79"/>
      <c r="AY60" s="80"/>
      <c r="AZ60" s="79"/>
      <c r="BA60" s="80"/>
      <c r="BB60" s="79"/>
      <c r="BC60" s="80"/>
      <c r="BD60" s="79"/>
      <c r="BE60" s="80"/>
      <c r="BF60" s="572"/>
      <c r="BG60" s="587"/>
      <c r="BH60" s="79"/>
      <c r="BI60" s="80"/>
      <c r="BJ60" s="535">
        <f t="shared" si="5"/>
        <v>0</v>
      </c>
      <c r="BK60" s="545">
        <f t="shared" si="6"/>
        <v>0</v>
      </c>
    </row>
    <row r="61" spans="1:63" ht="15" customHeight="1" x14ac:dyDescent="0.35">
      <c r="A61" s="579"/>
      <c r="B61" s="546" t="s">
        <v>26</v>
      </c>
      <c r="C61" s="579" t="s">
        <v>67</v>
      </c>
      <c r="D61" s="653" t="s">
        <v>68</v>
      </c>
      <c r="E61" s="654"/>
      <c r="F61" s="79"/>
      <c r="G61" s="80"/>
      <c r="H61" s="79"/>
      <c r="I61" s="80"/>
      <c r="J61" s="79"/>
      <c r="K61" s="80"/>
      <c r="L61" s="79"/>
      <c r="M61" s="80"/>
      <c r="N61" s="79"/>
      <c r="O61" s="80"/>
      <c r="P61" s="572"/>
      <c r="Q61" s="587"/>
      <c r="R61" s="572"/>
      <c r="S61" s="587"/>
      <c r="T61" s="79"/>
      <c r="U61" s="80"/>
      <c r="V61" s="79"/>
      <c r="W61" s="80"/>
      <c r="X61" s="79"/>
      <c r="Y61" s="80"/>
      <c r="Z61" s="79"/>
      <c r="AA61" s="80"/>
      <c r="AB61" s="79"/>
      <c r="AC61" s="80"/>
      <c r="AD61" s="572"/>
      <c r="AE61" s="587"/>
      <c r="AF61" s="79"/>
      <c r="AG61" s="80"/>
      <c r="AH61" s="79"/>
      <c r="AI61" s="80"/>
      <c r="AJ61" s="79"/>
      <c r="AK61" s="80"/>
      <c r="AL61" s="79"/>
      <c r="AM61" s="80"/>
      <c r="AN61" s="79"/>
      <c r="AO61" s="80"/>
      <c r="AP61" s="79"/>
      <c r="AQ61" s="80"/>
      <c r="AR61" s="572"/>
      <c r="AS61" s="587"/>
      <c r="AT61" s="79"/>
      <c r="AU61" s="80"/>
      <c r="AV61" s="79"/>
      <c r="AW61" s="80"/>
      <c r="AX61" s="79"/>
      <c r="AY61" s="80"/>
      <c r="AZ61" s="79"/>
      <c r="BA61" s="80"/>
      <c r="BB61" s="79"/>
      <c r="BC61" s="80"/>
      <c r="BD61" s="79"/>
      <c r="BE61" s="80"/>
      <c r="BF61" s="572"/>
      <c r="BG61" s="587"/>
      <c r="BH61" s="79"/>
      <c r="BI61" s="80"/>
      <c r="BJ61" s="535">
        <f t="shared" si="5"/>
        <v>0</v>
      </c>
      <c r="BK61" s="545">
        <f t="shared" si="6"/>
        <v>0</v>
      </c>
    </row>
    <row r="62" spans="1:63" ht="15" customHeight="1" x14ac:dyDescent="0.35">
      <c r="A62" s="579"/>
      <c r="B62" s="546" t="s">
        <v>29</v>
      </c>
      <c r="C62" s="579" t="s">
        <v>69</v>
      </c>
      <c r="D62" s="653" t="s">
        <v>70</v>
      </c>
      <c r="E62" s="654"/>
      <c r="F62" s="79"/>
      <c r="G62" s="80"/>
      <c r="H62" s="79"/>
      <c r="I62" s="80"/>
      <c r="J62" s="79"/>
      <c r="K62" s="80"/>
      <c r="L62" s="79"/>
      <c r="M62" s="80"/>
      <c r="N62" s="79"/>
      <c r="O62" s="80"/>
      <c r="P62" s="572"/>
      <c r="Q62" s="587"/>
      <c r="R62" s="572"/>
      <c r="S62" s="587"/>
      <c r="T62" s="79"/>
      <c r="U62" s="80"/>
      <c r="V62" s="79"/>
      <c r="W62" s="80"/>
      <c r="X62" s="79"/>
      <c r="Y62" s="80"/>
      <c r="Z62" s="79"/>
      <c r="AA62" s="80"/>
      <c r="AB62" s="79"/>
      <c r="AC62" s="80"/>
      <c r="AD62" s="572"/>
      <c r="AE62" s="587"/>
      <c r="AF62" s="79"/>
      <c r="AG62" s="80"/>
      <c r="AH62" s="79"/>
      <c r="AI62" s="80"/>
      <c r="AJ62" s="79"/>
      <c r="AK62" s="80"/>
      <c r="AL62" s="79"/>
      <c r="AM62" s="80"/>
      <c r="AN62" s="79"/>
      <c r="AO62" s="80"/>
      <c r="AP62" s="79"/>
      <c r="AQ62" s="80"/>
      <c r="AR62" s="572"/>
      <c r="AS62" s="587"/>
      <c r="AT62" s="79"/>
      <c r="AU62" s="80"/>
      <c r="AV62" s="79"/>
      <c r="AW62" s="80"/>
      <c r="AX62" s="79"/>
      <c r="AY62" s="80"/>
      <c r="AZ62" s="79"/>
      <c r="BA62" s="80"/>
      <c r="BB62" s="79"/>
      <c r="BC62" s="80"/>
      <c r="BD62" s="79"/>
      <c r="BE62" s="80"/>
      <c r="BF62" s="572"/>
      <c r="BG62" s="587"/>
      <c r="BH62" s="79"/>
      <c r="BI62" s="80"/>
      <c r="BJ62" s="535">
        <f t="shared" si="5"/>
        <v>0</v>
      </c>
      <c r="BK62" s="545">
        <f t="shared" si="6"/>
        <v>0</v>
      </c>
    </row>
    <row r="63" spans="1:63" ht="15" customHeight="1" x14ac:dyDescent="0.35">
      <c r="A63" s="579"/>
      <c r="B63" s="546" t="s">
        <v>29</v>
      </c>
      <c r="C63" s="579" t="s">
        <v>71</v>
      </c>
      <c r="D63" s="653" t="s">
        <v>72</v>
      </c>
      <c r="E63" s="654"/>
      <c r="F63" s="79"/>
      <c r="G63" s="80"/>
      <c r="H63" s="79"/>
      <c r="I63" s="80"/>
      <c r="J63" s="79"/>
      <c r="K63" s="80"/>
      <c r="L63" s="79"/>
      <c r="M63" s="80"/>
      <c r="N63" s="79"/>
      <c r="O63" s="80"/>
      <c r="P63" s="572"/>
      <c r="Q63" s="587"/>
      <c r="R63" s="572"/>
      <c r="S63" s="587"/>
      <c r="T63" s="79"/>
      <c r="U63" s="80"/>
      <c r="V63" s="79"/>
      <c r="W63" s="80"/>
      <c r="X63" s="79"/>
      <c r="Y63" s="80"/>
      <c r="Z63" s="79"/>
      <c r="AA63" s="80"/>
      <c r="AB63" s="79"/>
      <c r="AC63" s="80"/>
      <c r="AD63" s="572"/>
      <c r="AE63" s="587"/>
      <c r="AF63" s="79"/>
      <c r="AG63" s="80"/>
      <c r="AH63" s="79"/>
      <c r="AI63" s="80"/>
      <c r="AJ63" s="79"/>
      <c r="AK63" s="80"/>
      <c r="AL63" s="79"/>
      <c r="AM63" s="80"/>
      <c r="AN63" s="79"/>
      <c r="AO63" s="80"/>
      <c r="AP63" s="79"/>
      <c r="AQ63" s="80"/>
      <c r="AR63" s="572"/>
      <c r="AS63" s="587"/>
      <c r="AT63" s="79"/>
      <c r="AU63" s="80"/>
      <c r="AV63" s="79"/>
      <c r="AW63" s="80"/>
      <c r="AX63" s="79"/>
      <c r="AY63" s="80"/>
      <c r="AZ63" s="79"/>
      <c r="BA63" s="80"/>
      <c r="BB63" s="79"/>
      <c r="BC63" s="80"/>
      <c r="BD63" s="79"/>
      <c r="BE63" s="80"/>
      <c r="BF63" s="572"/>
      <c r="BG63" s="587"/>
      <c r="BH63" s="79"/>
      <c r="BI63" s="80"/>
      <c r="BJ63" s="535">
        <f t="shared" si="5"/>
        <v>0</v>
      </c>
      <c r="BK63" s="545">
        <f t="shared" si="6"/>
        <v>0</v>
      </c>
    </row>
    <row r="64" spans="1:63" ht="15" customHeight="1" x14ac:dyDescent="0.35">
      <c r="A64" s="579"/>
      <c r="B64" s="546" t="s">
        <v>29</v>
      </c>
      <c r="C64" s="579" t="s">
        <v>73</v>
      </c>
      <c r="D64" s="653" t="s">
        <v>74</v>
      </c>
      <c r="E64" s="654"/>
      <c r="F64" s="79"/>
      <c r="G64" s="80"/>
      <c r="H64" s="79"/>
      <c r="I64" s="80"/>
      <c r="J64" s="79"/>
      <c r="K64" s="80"/>
      <c r="L64" s="79"/>
      <c r="M64" s="80"/>
      <c r="N64" s="79"/>
      <c r="O64" s="80"/>
      <c r="P64" s="572"/>
      <c r="Q64" s="587"/>
      <c r="R64" s="572"/>
      <c r="S64" s="587"/>
      <c r="T64" s="79"/>
      <c r="U64" s="80"/>
      <c r="V64" s="79"/>
      <c r="W64" s="80"/>
      <c r="X64" s="79"/>
      <c r="Y64" s="80"/>
      <c r="Z64" s="79"/>
      <c r="AA64" s="80"/>
      <c r="AB64" s="79"/>
      <c r="AC64" s="80"/>
      <c r="AD64" s="572"/>
      <c r="AE64" s="587"/>
      <c r="AF64" s="79"/>
      <c r="AG64" s="80"/>
      <c r="AH64" s="79"/>
      <c r="AI64" s="80"/>
      <c r="AJ64" s="79"/>
      <c r="AK64" s="80"/>
      <c r="AL64" s="79"/>
      <c r="AM64" s="80"/>
      <c r="AN64" s="79"/>
      <c r="AO64" s="80"/>
      <c r="AP64" s="79"/>
      <c r="AQ64" s="80"/>
      <c r="AR64" s="572"/>
      <c r="AS64" s="587"/>
      <c r="AT64" s="79"/>
      <c r="AU64" s="80"/>
      <c r="AV64" s="79"/>
      <c r="AW64" s="80"/>
      <c r="AX64" s="79"/>
      <c r="AY64" s="80"/>
      <c r="AZ64" s="79"/>
      <c r="BA64" s="80"/>
      <c r="BB64" s="79"/>
      <c r="BC64" s="80"/>
      <c r="BD64" s="79"/>
      <c r="BE64" s="80"/>
      <c r="BF64" s="572"/>
      <c r="BG64" s="587"/>
      <c r="BH64" s="79"/>
      <c r="BI64" s="80"/>
      <c r="BJ64" s="535">
        <f t="shared" si="5"/>
        <v>0</v>
      </c>
      <c r="BK64" s="545">
        <f t="shared" si="6"/>
        <v>0</v>
      </c>
    </row>
    <row r="65" spans="1:63" ht="15" customHeight="1" x14ac:dyDescent="0.35">
      <c r="A65" s="579"/>
      <c r="B65" s="546" t="s">
        <v>29</v>
      </c>
      <c r="C65" s="579" t="s">
        <v>75</v>
      </c>
      <c r="D65" s="653" t="s">
        <v>76</v>
      </c>
      <c r="E65" s="654"/>
      <c r="F65" s="79"/>
      <c r="G65" s="80"/>
      <c r="H65" s="79"/>
      <c r="I65" s="80"/>
      <c r="J65" s="79"/>
      <c r="K65" s="80"/>
      <c r="L65" s="79"/>
      <c r="M65" s="80"/>
      <c r="N65" s="79"/>
      <c r="O65" s="80"/>
      <c r="P65" s="572"/>
      <c r="Q65" s="587"/>
      <c r="R65" s="572"/>
      <c r="S65" s="587"/>
      <c r="T65" s="79"/>
      <c r="U65" s="80"/>
      <c r="V65" s="79"/>
      <c r="W65" s="80"/>
      <c r="X65" s="79"/>
      <c r="Y65" s="80"/>
      <c r="Z65" s="79"/>
      <c r="AA65" s="80"/>
      <c r="AB65" s="79"/>
      <c r="AC65" s="80"/>
      <c r="AD65" s="572"/>
      <c r="AE65" s="587"/>
      <c r="AF65" s="79"/>
      <c r="AG65" s="80"/>
      <c r="AH65" s="79"/>
      <c r="AI65" s="80"/>
      <c r="AJ65" s="79"/>
      <c r="AK65" s="80"/>
      <c r="AL65" s="79"/>
      <c r="AM65" s="80"/>
      <c r="AN65" s="79"/>
      <c r="AO65" s="80"/>
      <c r="AP65" s="79"/>
      <c r="AQ65" s="80"/>
      <c r="AR65" s="572"/>
      <c r="AS65" s="587"/>
      <c r="AT65" s="79"/>
      <c r="AU65" s="80"/>
      <c r="AV65" s="79"/>
      <c r="AW65" s="80"/>
      <c r="AX65" s="79"/>
      <c r="AY65" s="80"/>
      <c r="AZ65" s="79"/>
      <c r="BA65" s="80"/>
      <c r="BB65" s="79"/>
      <c r="BC65" s="80"/>
      <c r="BD65" s="79"/>
      <c r="BE65" s="80"/>
      <c r="BF65" s="572"/>
      <c r="BG65" s="587"/>
      <c r="BH65" s="79"/>
      <c r="BI65" s="80"/>
      <c r="BJ65" s="535">
        <f t="shared" si="5"/>
        <v>0</v>
      </c>
      <c r="BK65" s="545">
        <f t="shared" si="6"/>
        <v>0</v>
      </c>
    </row>
    <row r="66" spans="1:63" ht="15" customHeight="1" x14ac:dyDescent="0.35">
      <c r="A66" s="579"/>
      <c r="B66" s="546" t="s">
        <v>26</v>
      </c>
      <c r="C66" s="567" t="s">
        <v>77</v>
      </c>
      <c r="D66" s="653" t="s">
        <v>78</v>
      </c>
      <c r="E66" s="654"/>
      <c r="F66" s="79"/>
      <c r="G66" s="80"/>
      <c r="H66" s="79"/>
      <c r="I66" s="80"/>
      <c r="J66" s="79"/>
      <c r="K66" s="80"/>
      <c r="L66" s="79"/>
      <c r="M66" s="80"/>
      <c r="N66" s="79"/>
      <c r="O66" s="80"/>
      <c r="P66" s="572"/>
      <c r="Q66" s="587"/>
      <c r="R66" s="572"/>
      <c r="S66" s="587"/>
      <c r="T66" s="79"/>
      <c r="U66" s="80"/>
      <c r="V66" s="79"/>
      <c r="W66" s="80"/>
      <c r="X66" s="79"/>
      <c r="Y66" s="80"/>
      <c r="Z66" s="79"/>
      <c r="AA66" s="80"/>
      <c r="AB66" s="79"/>
      <c r="AC66" s="80"/>
      <c r="AD66" s="572"/>
      <c r="AE66" s="587"/>
      <c r="AF66" s="79"/>
      <c r="AG66" s="80"/>
      <c r="AH66" s="79"/>
      <c r="AI66" s="80"/>
      <c r="AJ66" s="79"/>
      <c r="AK66" s="80"/>
      <c r="AL66" s="79"/>
      <c r="AM66" s="80"/>
      <c r="AN66" s="79"/>
      <c r="AO66" s="80"/>
      <c r="AP66" s="79"/>
      <c r="AQ66" s="80"/>
      <c r="AR66" s="572"/>
      <c r="AS66" s="587"/>
      <c r="AT66" s="79"/>
      <c r="AU66" s="80"/>
      <c r="AV66" s="79"/>
      <c r="AW66" s="80"/>
      <c r="AX66" s="79"/>
      <c r="AY66" s="80"/>
      <c r="AZ66" s="79"/>
      <c r="BA66" s="80"/>
      <c r="BB66" s="79"/>
      <c r="BC66" s="80"/>
      <c r="BD66" s="79"/>
      <c r="BE66" s="80"/>
      <c r="BF66" s="572"/>
      <c r="BG66" s="587"/>
      <c r="BH66" s="79"/>
      <c r="BI66" s="80"/>
      <c r="BJ66" s="535">
        <f t="shared" si="5"/>
        <v>0</v>
      </c>
      <c r="BK66" s="545">
        <f t="shared" si="6"/>
        <v>0</v>
      </c>
    </row>
    <row r="67" spans="1:63" ht="15" customHeight="1" x14ac:dyDescent="0.35">
      <c r="A67" s="579"/>
      <c r="B67" s="546" t="s">
        <v>29</v>
      </c>
      <c r="C67" s="579" t="s">
        <v>79</v>
      </c>
      <c r="D67" s="653" t="s">
        <v>80</v>
      </c>
      <c r="E67" s="654"/>
      <c r="F67" s="79"/>
      <c r="G67" s="80"/>
      <c r="H67" s="79"/>
      <c r="I67" s="80"/>
      <c r="J67" s="79"/>
      <c r="K67" s="80"/>
      <c r="L67" s="79"/>
      <c r="M67" s="80"/>
      <c r="N67" s="79"/>
      <c r="O67" s="80"/>
      <c r="P67" s="572"/>
      <c r="Q67" s="587"/>
      <c r="R67" s="572"/>
      <c r="S67" s="587"/>
      <c r="T67" s="79"/>
      <c r="U67" s="80"/>
      <c r="V67" s="79"/>
      <c r="W67" s="80"/>
      <c r="X67" s="79"/>
      <c r="Y67" s="80"/>
      <c r="Z67" s="79"/>
      <c r="AA67" s="80"/>
      <c r="AB67" s="79"/>
      <c r="AC67" s="80"/>
      <c r="AD67" s="572"/>
      <c r="AE67" s="587"/>
      <c r="AF67" s="79"/>
      <c r="AG67" s="80"/>
      <c r="AH67" s="79"/>
      <c r="AI67" s="80"/>
      <c r="AJ67" s="79"/>
      <c r="AK67" s="80"/>
      <c r="AL67" s="79"/>
      <c r="AM67" s="80"/>
      <c r="AN67" s="79"/>
      <c r="AO67" s="80"/>
      <c r="AP67" s="79"/>
      <c r="AQ67" s="80"/>
      <c r="AR67" s="572"/>
      <c r="AS67" s="587"/>
      <c r="AT67" s="79"/>
      <c r="AU67" s="80"/>
      <c r="AV67" s="79"/>
      <c r="AW67" s="80"/>
      <c r="AX67" s="79"/>
      <c r="AY67" s="80"/>
      <c r="AZ67" s="79"/>
      <c r="BA67" s="80"/>
      <c r="BB67" s="79"/>
      <c r="BC67" s="80"/>
      <c r="BD67" s="79"/>
      <c r="BE67" s="80"/>
      <c r="BF67" s="572"/>
      <c r="BG67" s="587"/>
      <c r="BH67" s="79"/>
      <c r="BI67" s="80"/>
      <c r="BJ67" s="535">
        <f t="shared" si="5"/>
        <v>0</v>
      </c>
      <c r="BK67" s="545">
        <f t="shared" si="6"/>
        <v>0</v>
      </c>
    </row>
    <row r="68" spans="1:63" ht="15" customHeight="1" x14ac:dyDescent="0.35">
      <c r="A68" s="579"/>
      <c r="B68" s="546" t="s">
        <v>46</v>
      </c>
      <c r="C68" s="579" t="s">
        <v>81</v>
      </c>
      <c r="D68" s="653" t="s">
        <v>82</v>
      </c>
      <c r="E68" s="654"/>
      <c r="F68" s="79"/>
      <c r="G68" s="80"/>
      <c r="H68" s="79"/>
      <c r="I68" s="80"/>
      <c r="J68" s="79"/>
      <c r="K68" s="80"/>
      <c r="L68" s="79"/>
      <c r="M68" s="80"/>
      <c r="N68" s="79"/>
      <c r="O68" s="80"/>
      <c r="P68" s="572"/>
      <c r="Q68" s="587"/>
      <c r="R68" s="572"/>
      <c r="S68" s="587"/>
      <c r="T68" s="79"/>
      <c r="U68" s="80"/>
      <c r="V68" s="79"/>
      <c r="W68" s="80"/>
      <c r="X68" s="79"/>
      <c r="Y68" s="80"/>
      <c r="Z68" s="79"/>
      <c r="AA68" s="80"/>
      <c r="AB68" s="79"/>
      <c r="AC68" s="80"/>
      <c r="AD68" s="572"/>
      <c r="AE68" s="587"/>
      <c r="AF68" s="79"/>
      <c r="AG68" s="80"/>
      <c r="AH68" s="79"/>
      <c r="AI68" s="80"/>
      <c r="AJ68" s="79"/>
      <c r="AK68" s="80"/>
      <c r="AL68" s="79"/>
      <c r="AM68" s="80"/>
      <c r="AN68" s="79"/>
      <c r="AO68" s="80"/>
      <c r="AP68" s="79"/>
      <c r="AQ68" s="80"/>
      <c r="AR68" s="572"/>
      <c r="AS68" s="587"/>
      <c r="AT68" s="79"/>
      <c r="AU68" s="80"/>
      <c r="AV68" s="79"/>
      <c r="AW68" s="80"/>
      <c r="AX68" s="79"/>
      <c r="AY68" s="80"/>
      <c r="AZ68" s="79"/>
      <c r="BA68" s="80"/>
      <c r="BB68" s="79"/>
      <c r="BC68" s="80"/>
      <c r="BD68" s="79"/>
      <c r="BE68" s="80"/>
      <c r="BF68" s="572"/>
      <c r="BG68" s="587"/>
      <c r="BH68" s="79"/>
      <c r="BI68" s="80"/>
      <c r="BJ68" s="535">
        <f t="shared" si="5"/>
        <v>0</v>
      </c>
      <c r="BK68" s="545">
        <f t="shared" si="6"/>
        <v>0</v>
      </c>
    </row>
    <row r="69" spans="1:63" ht="15" customHeight="1" x14ac:dyDescent="0.35">
      <c r="A69" s="579"/>
      <c r="B69" s="579"/>
      <c r="C69" s="579"/>
      <c r="D69" s="653"/>
      <c r="E69" s="654"/>
      <c r="F69" s="79"/>
      <c r="G69" s="80"/>
      <c r="H69" s="79"/>
      <c r="I69" s="80"/>
      <c r="J69" s="79"/>
      <c r="K69" s="80"/>
      <c r="L69" s="79"/>
      <c r="M69" s="80"/>
      <c r="N69" s="79"/>
      <c r="O69" s="80"/>
      <c r="P69" s="572"/>
      <c r="Q69" s="587"/>
      <c r="R69" s="572"/>
      <c r="S69" s="587"/>
      <c r="T69" s="79"/>
      <c r="U69" s="80"/>
      <c r="V69" s="79"/>
      <c r="W69" s="80"/>
      <c r="X69" s="79"/>
      <c r="Y69" s="80"/>
      <c r="Z69" s="79"/>
      <c r="AA69" s="80"/>
      <c r="AB69" s="79"/>
      <c r="AC69" s="80"/>
      <c r="AD69" s="572"/>
      <c r="AE69" s="587"/>
      <c r="AF69" s="79"/>
      <c r="AG69" s="80"/>
      <c r="AH69" s="79"/>
      <c r="AI69" s="80"/>
      <c r="AJ69" s="79"/>
      <c r="AK69" s="80"/>
      <c r="AL69" s="79"/>
      <c r="AM69" s="80"/>
      <c r="AN69" s="79"/>
      <c r="AO69" s="80"/>
      <c r="AP69" s="79"/>
      <c r="AQ69" s="80"/>
      <c r="AR69" s="572"/>
      <c r="AS69" s="587"/>
      <c r="AT69" s="79"/>
      <c r="AU69" s="80"/>
      <c r="AV69" s="79"/>
      <c r="AW69" s="80"/>
      <c r="AX69" s="79"/>
      <c r="AY69" s="80"/>
      <c r="AZ69" s="79"/>
      <c r="BA69" s="80"/>
      <c r="BB69" s="79"/>
      <c r="BC69" s="80"/>
      <c r="BD69" s="79"/>
      <c r="BE69" s="80"/>
      <c r="BF69" s="572"/>
      <c r="BG69" s="587"/>
      <c r="BH69" s="79"/>
      <c r="BI69" s="80"/>
      <c r="BJ69" s="535">
        <f t="shared" ref="BJ69:BJ100" si="8">SUM(F69:BI69)</f>
        <v>0</v>
      </c>
      <c r="BK69" s="545">
        <f t="shared" ref="BK69:BK93" si="9">COUNT(F69:BI69)</f>
        <v>0</v>
      </c>
    </row>
    <row r="70" spans="1:63" ht="16.5" customHeight="1" x14ac:dyDescent="0.35">
      <c r="A70" s="579"/>
      <c r="B70" s="579"/>
      <c r="C70" s="579">
        <f>SUM(BJ72:BJ96)</f>
        <v>75</v>
      </c>
      <c r="D70" s="647" t="s">
        <v>83</v>
      </c>
      <c r="E70" s="648"/>
      <c r="F70" s="79"/>
      <c r="G70" s="80"/>
      <c r="H70" s="79"/>
      <c r="I70" s="80"/>
      <c r="J70" s="79"/>
      <c r="K70" s="80"/>
      <c r="L70" s="79"/>
      <c r="M70" s="80"/>
      <c r="N70" s="79"/>
      <c r="O70" s="80"/>
      <c r="P70" s="572"/>
      <c r="Q70" s="587"/>
      <c r="R70" s="572"/>
      <c r="S70" s="587"/>
      <c r="T70" s="79"/>
      <c r="U70" s="80"/>
      <c r="V70" s="79"/>
      <c r="W70" s="80"/>
      <c r="X70" s="79"/>
      <c r="Y70" s="80"/>
      <c r="Z70" s="79"/>
      <c r="AA70" s="80"/>
      <c r="AB70" s="79"/>
      <c r="AC70" s="80"/>
      <c r="AD70" s="572"/>
      <c r="AE70" s="587"/>
      <c r="AF70" s="79"/>
      <c r="AG70" s="80"/>
      <c r="AH70" s="79"/>
      <c r="AI70" s="80"/>
      <c r="AJ70" s="79"/>
      <c r="AK70" s="80"/>
      <c r="AL70" s="79"/>
      <c r="AM70" s="80"/>
      <c r="AN70" s="79"/>
      <c r="AO70" s="80"/>
      <c r="AP70" s="79"/>
      <c r="AQ70" s="80"/>
      <c r="AR70" s="572"/>
      <c r="AS70" s="587"/>
      <c r="AT70" s="79"/>
      <c r="AU70" s="80"/>
      <c r="AV70" s="79"/>
      <c r="AW70" s="80"/>
      <c r="AX70" s="79"/>
      <c r="AY70" s="80"/>
      <c r="AZ70" s="79"/>
      <c r="BA70" s="80"/>
      <c r="BB70" s="79"/>
      <c r="BC70" s="80"/>
      <c r="BD70" s="79"/>
      <c r="BE70" s="80"/>
      <c r="BF70" s="572"/>
      <c r="BG70" s="587"/>
      <c r="BH70" s="79"/>
      <c r="BI70" s="80"/>
      <c r="BJ70" s="535">
        <f t="shared" si="8"/>
        <v>0</v>
      </c>
      <c r="BK70" s="545">
        <f t="shared" si="9"/>
        <v>0</v>
      </c>
    </row>
    <row r="71" spans="1:63" ht="15" customHeight="1" x14ac:dyDescent="0.35">
      <c r="A71" s="579"/>
      <c r="B71" s="546" t="s">
        <v>29</v>
      </c>
      <c r="C71" s="579" t="s">
        <v>84</v>
      </c>
      <c r="D71" s="653" t="s">
        <v>43</v>
      </c>
      <c r="E71" s="654"/>
      <c r="F71" s="79"/>
      <c r="G71" s="80"/>
      <c r="H71" s="79"/>
      <c r="I71" s="80"/>
      <c r="J71" s="79"/>
      <c r="K71" s="80"/>
      <c r="L71" s="79"/>
      <c r="M71" s="80"/>
      <c r="N71" s="79"/>
      <c r="O71" s="80"/>
      <c r="P71" s="572"/>
      <c r="Q71" s="587"/>
      <c r="R71" s="572"/>
      <c r="S71" s="587"/>
      <c r="T71" s="79"/>
      <c r="U71" s="80"/>
      <c r="V71" s="79"/>
      <c r="W71" s="80"/>
      <c r="X71" s="79"/>
      <c r="Y71" s="80"/>
      <c r="Z71" s="79"/>
      <c r="AA71" s="80"/>
      <c r="AB71" s="79"/>
      <c r="AC71" s="80"/>
      <c r="AD71" s="572"/>
      <c r="AE71" s="587"/>
      <c r="AF71" s="79"/>
      <c r="AG71" s="80"/>
      <c r="AH71" s="79"/>
      <c r="AI71" s="80"/>
      <c r="AJ71" s="79"/>
      <c r="AK71" s="80"/>
      <c r="AL71" s="79"/>
      <c r="AM71" s="80"/>
      <c r="AN71" s="79"/>
      <c r="AO71" s="80"/>
      <c r="AP71" s="79"/>
      <c r="AQ71" s="80"/>
      <c r="AR71" s="572"/>
      <c r="AS71" s="587"/>
      <c r="AT71" s="79"/>
      <c r="AU71" s="80"/>
      <c r="AV71" s="79"/>
      <c r="AW71" s="80"/>
      <c r="AX71" s="79"/>
      <c r="AY71" s="80"/>
      <c r="AZ71" s="79"/>
      <c r="BA71" s="80"/>
      <c r="BB71" s="79"/>
      <c r="BC71" s="80"/>
      <c r="BD71" s="79"/>
      <c r="BE71" s="80"/>
      <c r="BF71" s="572"/>
      <c r="BG71" s="587"/>
      <c r="BH71" s="79"/>
      <c r="BI71" s="80"/>
      <c r="BJ71" s="535">
        <f t="shared" si="8"/>
        <v>0</v>
      </c>
      <c r="BK71" s="545">
        <f t="shared" si="9"/>
        <v>0</v>
      </c>
    </row>
    <row r="72" spans="1:63" ht="15" customHeight="1" x14ac:dyDescent="0.35">
      <c r="A72" s="579"/>
      <c r="B72" s="546" t="s">
        <v>85</v>
      </c>
      <c r="C72" s="579" t="s">
        <v>86</v>
      </c>
      <c r="D72" s="653" t="s">
        <v>87</v>
      </c>
      <c r="E72" s="654"/>
      <c r="F72" s="79"/>
      <c r="G72" s="80"/>
      <c r="H72" s="79"/>
      <c r="I72" s="80"/>
      <c r="J72" s="79"/>
      <c r="K72" s="80"/>
      <c r="L72" s="79"/>
      <c r="M72" s="80"/>
      <c r="N72" s="79"/>
      <c r="O72" s="80"/>
      <c r="P72" s="572"/>
      <c r="Q72" s="587"/>
      <c r="R72" s="572"/>
      <c r="S72" s="587"/>
      <c r="T72" s="79"/>
      <c r="U72" s="80"/>
      <c r="V72" s="79"/>
      <c r="W72" s="80"/>
      <c r="X72" s="79"/>
      <c r="Y72" s="80"/>
      <c r="Z72" s="79"/>
      <c r="AA72" s="80"/>
      <c r="AB72" s="79"/>
      <c r="AC72" s="80"/>
      <c r="AD72" s="572"/>
      <c r="AE72" s="587"/>
      <c r="AF72" s="79"/>
      <c r="AG72" s="80"/>
      <c r="AH72" s="79"/>
      <c r="AI72" s="80"/>
      <c r="AJ72" s="79"/>
      <c r="AK72" s="80"/>
      <c r="AL72" s="79"/>
      <c r="AM72" s="80"/>
      <c r="AN72" s="79"/>
      <c r="AO72" s="80"/>
      <c r="AP72" s="79"/>
      <c r="AQ72" s="80"/>
      <c r="AR72" s="572"/>
      <c r="AS72" s="587"/>
      <c r="AT72" s="79"/>
      <c r="AU72" s="80"/>
      <c r="AV72" s="79"/>
      <c r="AW72" s="80"/>
      <c r="AX72" s="79"/>
      <c r="AY72" s="80"/>
      <c r="AZ72" s="79"/>
      <c r="BA72" s="80"/>
      <c r="BB72" s="79"/>
      <c r="BC72" s="80"/>
      <c r="BD72" s="79"/>
      <c r="BE72" s="80"/>
      <c r="BF72" s="572"/>
      <c r="BG72" s="587"/>
      <c r="BH72" s="79"/>
      <c r="BI72" s="80"/>
      <c r="BJ72" s="535">
        <f t="shared" si="8"/>
        <v>0</v>
      </c>
      <c r="BK72" s="545">
        <f t="shared" si="9"/>
        <v>0</v>
      </c>
    </row>
    <row r="73" spans="1:63" ht="15" customHeight="1" x14ac:dyDescent="0.35">
      <c r="A73" s="579"/>
      <c r="B73" s="546" t="s">
        <v>85</v>
      </c>
      <c r="C73" s="579" t="s">
        <v>88</v>
      </c>
      <c r="D73" s="653" t="s">
        <v>89</v>
      </c>
      <c r="E73" s="654"/>
      <c r="F73" s="79"/>
      <c r="G73" s="80"/>
      <c r="H73" s="79"/>
      <c r="I73" s="80"/>
      <c r="J73" s="79"/>
      <c r="K73" s="80"/>
      <c r="L73" s="79"/>
      <c r="M73" s="80"/>
      <c r="N73" s="79"/>
      <c r="O73" s="80"/>
      <c r="P73" s="572"/>
      <c r="Q73" s="587"/>
      <c r="R73" s="572"/>
      <c r="S73" s="587"/>
      <c r="T73" s="79"/>
      <c r="U73" s="80"/>
      <c r="V73" s="79"/>
      <c r="W73" s="80"/>
      <c r="X73" s="79"/>
      <c r="Y73" s="80"/>
      <c r="Z73" s="79"/>
      <c r="AA73" s="80"/>
      <c r="AB73" s="79"/>
      <c r="AC73" s="80"/>
      <c r="AD73" s="572"/>
      <c r="AE73" s="587"/>
      <c r="AF73" s="79"/>
      <c r="AG73" s="80"/>
      <c r="AH73" s="79"/>
      <c r="AI73" s="80"/>
      <c r="AJ73" s="79"/>
      <c r="AK73" s="80"/>
      <c r="AL73" s="79"/>
      <c r="AM73" s="80"/>
      <c r="AN73" s="79"/>
      <c r="AO73" s="80"/>
      <c r="AP73" s="79"/>
      <c r="AQ73" s="80"/>
      <c r="AR73" s="572"/>
      <c r="AS73" s="587"/>
      <c r="AT73" s="79"/>
      <c r="AU73" s="80"/>
      <c r="AV73" s="79"/>
      <c r="AW73" s="80"/>
      <c r="AX73" s="79"/>
      <c r="AY73" s="80"/>
      <c r="AZ73" s="79"/>
      <c r="BA73" s="80"/>
      <c r="BB73" s="79"/>
      <c r="BC73" s="80"/>
      <c r="BD73" s="79"/>
      <c r="BE73" s="80"/>
      <c r="BF73" s="572"/>
      <c r="BG73" s="587"/>
      <c r="BH73" s="79"/>
      <c r="BI73" s="80"/>
      <c r="BJ73" s="535">
        <f t="shared" si="8"/>
        <v>0</v>
      </c>
      <c r="BK73" s="545">
        <f t="shared" si="9"/>
        <v>0</v>
      </c>
    </row>
    <row r="74" spans="1:63" ht="15" customHeight="1" x14ac:dyDescent="0.35">
      <c r="A74" s="579"/>
      <c r="B74" s="546" t="s">
        <v>85</v>
      </c>
      <c r="C74" s="579" t="s">
        <v>90</v>
      </c>
      <c r="D74" s="653" t="s">
        <v>91</v>
      </c>
      <c r="E74" s="654"/>
      <c r="F74" s="79"/>
      <c r="G74" s="80"/>
      <c r="H74" s="79"/>
      <c r="I74" s="80"/>
      <c r="J74" s="79"/>
      <c r="K74" s="80"/>
      <c r="L74" s="79"/>
      <c r="M74" s="80"/>
      <c r="N74" s="79"/>
      <c r="O74" s="80"/>
      <c r="P74" s="572"/>
      <c r="Q74" s="587"/>
      <c r="R74" s="572"/>
      <c r="S74" s="587"/>
      <c r="T74" s="79"/>
      <c r="U74" s="80"/>
      <c r="V74" s="79">
        <v>10</v>
      </c>
      <c r="W74" s="80"/>
      <c r="X74" s="79">
        <v>10</v>
      </c>
      <c r="Y74" s="80"/>
      <c r="Z74" s="79"/>
      <c r="AA74" s="80"/>
      <c r="AB74" s="79"/>
      <c r="AC74" s="80"/>
      <c r="AD74" s="572"/>
      <c r="AE74" s="587"/>
      <c r="AF74" s="79"/>
      <c r="AG74" s="80"/>
      <c r="AH74" s="79"/>
      <c r="AI74" s="80"/>
      <c r="AJ74" s="79"/>
      <c r="AK74" s="80"/>
      <c r="AL74" s="79"/>
      <c r="AM74" s="80"/>
      <c r="AN74" s="79"/>
      <c r="AO74" s="80"/>
      <c r="AP74" s="79"/>
      <c r="AQ74" s="80"/>
      <c r="AR74" s="572"/>
      <c r="AS74" s="587"/>
      <c r="AT74" s="79"/>
      <c r="AU74" s="80"/>
      <c r="AV74" s="79"/>
      <c r="AW74" s="80"/>
      <c r="AX74" s="79"/>
      <c r="AY74" s="80"/>
      <c r="AZ74" s="79"/>
      <c r="BA74" s="80"/>
      <c r="BB74" s="79"/>
      <c r="BC74" s="80"/>
      <c r="BD74" s="79"/>
      <c r="BE74" s="80"/>
      <c r="BF74" s="572"/>
      <c r="BG74" s="587"/>
      <c r="BH74" s="79"/>
      <c r="BI74" s="80"/>
      <c r="BJ74" s="535">
        <f t="shared" si="8"/>
        <v>20</v>
      </c>
      <c r="BK74" s="545">
        <f t="shared" si="9"/>
        <v>2</v>
      </c>
    </row>
    <row r="75" spans="1:63" ht="15" customHeight="1" x14ac:dyDescent="0.35">
      <c r="A75" s="579"/>
      <c r="B75" s="546" t="s">
        <v>85</v>
      </c>
      <c r="C75" s="579" t="s">
        <v>92</v>
      </c>
      <c r="D75" s="653" t="s">
        <v>93</v>
      </c>
      <c r="E75" s="654"/>
      <c r="F75" s="79"/>
      <c r="G75" s="80"/>
      <c r="H75" s="79"/>
      <c r="I75" s="80"/>
      <c r="J75" s="79"/>
      <c r="K75" s="80"/>
      <c r="L75" s="79"/>
      <c r="M75" s="80"/>
      <c r="N75" s="79"/>
      <c r="O75" s="80"/>
      <c r="P75" s="572"/>
      <c r="Q75" s="587"/>
      <c r="R75" s="572"/>
      <c r="S75" s="587"/>
      <c r="T75" s="79"/>
      <c r="U75" s="80"/>
      <c r="V75" s="79">
        <v>10</v>
      </c>
      <c r="W75" s="80"/>
      <c r="X75" s="79"/>
      <c r="Y75" s="80"/>
      <c r="Z75" s="79"/>
      <c r="AA75" s="80"/>
      <c r="AB75" s="79"/>
      <c r="AC75" s="80"/>
      <c r="AD75" s="572"/>
      <c r="AE75" s="587"/>
      <c r="AF75" s="79"/>
      <c r="AG75" s="80"/>
      <c r="AH75" s="79"/>
      <c r="AI75" s="80"/>
      <c r="AJ75" s="79"/>
      <c r="AK75" s="80"/>
      <c r="AL75" s="79"/>
      <c r="AM75" s="80"/>
      <c r="AN75" s="79"/>
      <c r="AO75" s="80"/>
      <c r="AP75" s="79"/>
      <c r="AQ75" s="80"/>
      <c r="AR75" s="572"/>
      <c r="AS75" s="587"/>
      <c r="AT75" s="79"/>
      <c r="AU75" s="80"/>
      <c r="AV75" s="79"/>
      <c r="AW75" s="80"/>
      <c r="AX75" s="79"/>
      <c r="AY75" s="80"/>
      <c r="AZ75" s="79"/>
      <c r="BA75" s="80"/>
      <c r="BB75" s="79"/>
      <c r="BC75" s="80"/>
      <c r="BD75" s="79"/>
      <c r="BE75" s="80"/>
      <c r="BF75" s="572"/>
      <c r="BG75" s="587"/>
      <c r="BH75" s="79"/>
      <c r="BI75" s="80"/>
      <c r="BJ75" s="535">
        <f t="shared" si="8"/>
        <v>10</v>
      </c>
      <c r="BK75" s="545">
        <f t="shared" si="9"/>
        <v>1</v>
      </c>
    </row>
    <row r="76" spans="1:63" ht="15" customHeight="1" x14ac:dyDescent="0.35">
      <c r="A76" s="579"/>
      <c r="B76" s="546" t="s">
        <v>85</v>
      </c>
      <c r="C76" s="579" t="s">
        <v>94</v>
      </c>
      <c r="D76" s="653" t="s">
        <v>95</v>
      </c>
      <c r="E76" s="654"/>
      <c r="F76" s="79"/>
      <c r="G76" s="80"/>
      <c r="H76" s="79"/>
      <c r="I76" s="80"/>
      <c r="J76" s="79"/>
      <c r="K76" s="80"/>
      <c r="L76" s="79"/>
      <c r="M76" s="80"/>
      <c r="N76" s="79"/>
      <c r="O76" s="80"/>
      <c r="P76" s="572"/>
      <c r="Q76" s="587"/>
      <c r="R76" s="572"/>
      <c r="S76" s="587"/>
      <c r="T76" s="79"/>
      <c r="U76" s="80"/>
      <c r="V76" s="79"/>
      <c r="W76" s="80"/>
      <c r="X76" s="79"/>
      <c r="Y76" s="80"/>
      <c r="Z76" s="79"/>
      <c r="AA76" s="80"/>
      <c r="AB76" s="79"/>
      <c r="AC76" s="80"/>
      <c r="AD76" s="572"/>
      <c r="AE76" s="587"/>
      <c r="AF76" s="79"/>
      <c r="AG76" s="80"/>
      <c r="AH76" s="79"/>
      <c r="AI76" s="80"/>
      <c r="AJ76" s="79"/>
      <c r="AK76" s="80"/>
      <c r="AL76" s="79"/>
      <c r="AM76" s="80"/>
      <c r="AN76" s="79"/>
      <c r="AO76" s="80"/>
      <c r="AP76" s="79"/>
      <c r="AQ76" s="80"/>
      <c r="AR76" s="572"/>
      <c r="AS76" s="587"/>
      <c r="AT76" s="79"/>
      <c r="AU76" s="80"/>
      <c r="AV76" s="79"/>
      <c r="AW76" s="80"/>
      <c r="AX76" s="79"/>
      <c r="AY76" s="80"/>
      <c r="AZ76" s="79"/>
      <c r="BA76" s="80"/>
      <c r="BB76" s="79"/>
      <c r="BC76" s="80"/>
      <c r="BD76" s="79"/>
      <c r="BE76" s="80"/>
      <c r="BF76" s="572"/>
      <c r="BG76" s="587"/>
      <c r="BH76" s="79"/>
      <c r="BI76" s="80"/>
      <c r="BJ76" s="535">
        <f t="shared" si="8"/>
        <v>0</v>
      </c>
      <c r="BK76" s="545">
        <f t="shared" si="9"/>
        <v>0</v>
      </c>
    </row>
    <row r="77" spans="1:63" ht="15" customHeight="1" x14ac:dyDescent="0.35">
      <c r="A77" s="579"/>
      <c r="B77" s="546" t="s">
        <v>85</v>
      </c>
      <c r="C77" s="579" t="s">
        <v>96</v>
      </c>
      <c r="D77" s="653" t="s">
        <v>245</v>
      </c>
      <c r="E77" s="654"/>
      <c r="F77" s="79"/>
      <c r="G77" s="80"/>
      <c r="H77" s="79"/>
      <c r="I77" s="80"/>
      <c r="J77" s="79"/>
      <c r="K77" s="80"/>
      <c r="L77" s="79"/>
      <c r="M77" s="80"/>
      <c r="N77" s="79"/>
      <c r="O77" s="80"/>
      <c r="P77" s="572"/>
      <c r="Q77" s="587"/>
      <c r="R77" s="572"/>
      <c r="S77" s="587"/>
      <c r="T77" s="79"/>
      <c r="U77" s="80"/>
      <c r="V77" s="79"/>
      <c r="W77" s="80"/>
      <c r="X77" s="79"/>
      <c r="Y77" s="80"/>
      <c r="Z77" s="79"/>
      <c r="AA77" s="80"/>
      <c r="AB77" s="79"/>
      <c r="AC77" s="80"/>
      <c r="AD77" s="572"/>
      <c r="AE77" s="587"/>
      <c r="AF77" s="79"/>
      <c r="AG77" s="80"/>
      <c r="AH77" s="79"/>
      <c r="AI77" s="80"/>
      <c r="AJ77" s="79"/>
      <c r="AK77" s="80"/>
      <c r="AL77" s="79"/>
      <c r="AM77" s="80"/>
      <c r="AN77" s="79"/>
      <c r="AO77" s="80"/>
      <c r="AP77" s="79"/>
      <c r="AQ77" s="80"/>
      <c r="AR77" s="572"/>
      <c r="AS77" s="587"/>
      <c r="AT77" s="79"/>
      <c r="AU77" s="80"/>
      <c r="AV77" s="79"/>
      <c r="AW77" s="80"/>
      <c r="AX77" s="79"/>
      <c r="AY77" s="80"/>
      <c r="AZ77" s="79"/>
      <c r="BA77" s="80"/>
      <c r="BB77" s="79"/>
      <c r="BC77" s="80"/>
      <c r="BD77" s="79"/>
      <c r="BE77" s="80"/>
      <c r="BF77" s="572"/>
      <c r="BG77" s="587"/>
      <c r="BH77" s="79"/>
      <c r="BI77" s="80"/>
      <c r="BJ77" s="535">
        <f t="shared" si="8"/>
        <v>0</v>
      </c>
      <c r="BK77" s="545">
        <f t="shared" si="9"/>
        <v>0</v>
      </c>
    </row>
    <row r="78" spans="1:63" ht="15" customHeight="1" x14ac:dyDescent="0.35">
      <c r="A78" s="579"/>
      <c r="B78" s="546" t="s">
        <v>85</v>
      </c>
      <c r="C78" s="579" t="s">
        <v>98</v>
      </c>
      <c r="D78" s="653" t="s">
        <v>99</v>
      </c>
      <c r="E78" s="654"/>
      <c r="F78" s="79"/>
      <c r="G78" s="80"/>
      <c r="H78" s="79"/>
      <c r="I78" s="80"/>
      <c r="J78" s="79"/>
      <c r="K78" s="80"/>
      <c r="L78" s="79"/>
      <c r="M78" s="80"/>
      <c r="N78" s="79"/>
      <c r="O78" s="80"/>
      <c r="P78" s="572"/>
      <c r="Q78" s="587"/>
      <c r="R78" s="572"/>
      <c r="S78" s="587"/>
      <c r="T78" s="79"/>
      <c r="U78" s="80"/>
      <c r="V78" s="79"/>
      <c r="W78" s="80"/>
      <c r="X78" s="79"/>
      <c r="Y78" s="80"/>
      <c r="Z78" s="79"/>
      <c r="AA78" s="80"/>
      <c r="AB78" s="79"/>
      <c r="AC78" s="80"/>
      <c r="AD78" s="572"/>
      <c r="AE78" s="587"/>
      <c r="AF78" s="79"/>
      <c r="AG78" s="80"/>
      <c r="AH78" s="79"/>
      <c r="AI78" s="80"/>
      <c r="AJ78" s="79"/>
      <c r="AK78" s="80"/>
      <c r="AL78" s="79"/>
      <c r="AM78" s="80"/>
      <c r="AN78" s="79"/>
      <c r="AO78" s="80"/>
      <c r="AP78" s="79"/>
      <c r="AQ78" s="80"/>
      <c r="AR78" s="572"/>
      <c r="AS78" s="587"/>
      <c r="AT78" s="79"/>
      <c r="AU78" s="80"/>
      <c r="AV78" s="79"/>
      <c r="AW78" s="80"/>
      <c r="AX78" s="79"/>
      <c r="AY78" s="80"/>
      <c r="AZ78" s="79"/>
      <c r="BA78" s="80"/>
      <c r="BB78" s="79"/>
      <c r="BC78" s="80"/>
      <c r="BD78" s="79"/>
      <c r="BE78" s="80"/>
      <c r="BF78" s="572"/>
      <c r="BG78" s="587"/>
      <c r="BH78" s="79"/>
      <c r="BI78" s="80"/>
      <c r="BJ78" s="535">
        <f t="shared" si="8"/>
        <v>0</v>
      </c>
      <c r="BK78" s="545">
        <f t="shared" si="9"/>
        <v>0</v>
      </c>
    </row>
    <row r="79" spans="1:63" ht="15" customHeight="1" x14ac:dyDescent="0.35">
      <c r="A79" s="579"/>
      <c r="B79" s="546" t="s">
        <v>85</v>
      </c>
      <c r="C79" s="579" t="s">
        <v>100</v>
      </c>
      <c r="D79" s="653" t="s">
        <v>101</v>
      </c>
      <c r="E79" s="654"/>
      <c r="F79" s="79"/>
      <c r="G79" s="80"/>
      <c r="H79" s="79"/>
      <c r="I79" s="80"/>
      <c r="J79" s="79"/>
      <c r="K79" s="80"/>
      <c r="L79" s="79"/>
      <c r="M79" s="80"/>
      <c r="N79" s="79"/>
      <c r="O79" s="80"/>
      <c r="P79" s="572"/>
      <c r="Q79" s="587"/>
      <c r="R79" s="572"/>
      <c r="S79" s="587"/>
      <c r="T79" s="79"/>
      <c r="U79" s="80"/>
      <c r="V79" s="79"/>
      <c r="W79" s="80"/>
      <c r="X79" s="79"/>
      <c r="Y79" s="80"/>
      <c r="Z79" s="79"/>
      <c r="AA79" s="80"/>
      <c r="AB79" s="79"/>
      <c r="AC79" s="80"/>
      <c r="AD79" s="572"/>
      <c r="AE79" s="587"/>
      <c r="AF79" s="79"/>
      <c r="AG79" s="80"/>
      <c r="AH79" s="79"/>
      <c r="AI79" s="80"/>
      <c r="AJ79" s="79"/>
      <c r="AK79" s="80"/>
      <c r="AL79" s="79"/>
      <c r="AM79" s="80"/>
      <c r="AN79" s="79"/>
      <c r="AO79" s="80"/>
      <c r="AP79" s="79"/>
      <c r="AQ79" s="80"/>
      <c r="AR79" s="572"/>
      <c r="AS79" s="587"/>
      <c r="AT79" s="79"/>
      <c r="AU79" s="80"/>
      <c r="AV79" s="79"/>
      <c r="AW79" s="80"/>
      <c r="AX79" s="79"/>
      <c r="AY79" s="80"/>
      <c r="AZ79" s="79"/>
      <c r="BA79" s="80"/>
      <c r="BB79" s="79"/>
      <c r="BC79" s="80"/>
      <c r="BD79" s="79"/>
      <c r="BE79" s="80"/>
      <c r="BF79" s="572"/>
      <c r="BG79" s="587"/>
      <c r="BH79" s="79"/>
      <c r="BI79" s="80"/>
      <c r="BJ79" s="535">
        <f t="shared" si="8"/>
        <v>0</v>
      </c>
      <c r="BK79" s="545">
        <f t="shared" si="9"/>
        <v>0</v>
      </c>
    </row>
    <row r="80" spans="1:63" ht="15" customHeight="1" x14ac:dyDescent="0.35">
      <c r="A80" s="579"/>
      <c r="B80" s="546" t="s">
        <v>29</v>
      </c>
      <c r="C80" s="579" t="s">
        <v>102</v>
      </c>
      <c r="D80" s="653" t="s">
        <v>103</v>
      </c>
      <c r="E80" s="654"/>
      <c r="F80" s="79"/>
      <c r="G80" s="80"/>
      <c r="H80" s="79"/>
      <c r="I80" s="80"/>
      <c r="J80" s="79"/>
      <c r="K80" s="80"/>
      <c r="L80" s="79"/>
      <c r="M80" s="80"/>
      <c r="N80" s="79"/>
      <c r="O80" s="80"/>
      <c r="P80" s="572"/>
      <c r="Q80" s="587"/>
      <c r="R80" s="572"/>
      <c r="S80" s="587"/>
      <c r="T80" s="79"/>
      <c r="U80" s="80"/>
      <c r="V80" s="79"/>
      <c r="W80" s="80"/>
      <c r="X80" s="79"/>
      <c r="Y80" s="80"/>
      <c r="Z80" s="79"/>
      <c r="AA80" s="80"/>
      <c r="AB80" s="79"/>
      <c r="AC80" s="80"/>
      <c r="AD80" s="572"/>
      <c r="AE80" s="587"/>
      <c r="AF80" s="79"/>
      <c r="AG80" s="80"/>
      <c r="AH80" s="79"/>
      <c r="AI80" s="80"/>
      <c r="AJ80" s="79"/>
      <c r="AK80" s="80"/>
      <c r="AL80" s="79"/>
      <c r="AM80" s="80"/>
      <c r="AN80" s="79"/>
      <c r="AO80" s="80"/>
      <c r="AP80" s="79"/>
      <c r="AQ80" s="80"/>
      <c r="AR80" s="572"/>
      <c r="AS80" s="587"/>
      <c r="AT80" s="79"/>
      <c r="AU80" s="80"/>
      <c r="AV80" s="79"/>
      <c r="AW80" s="80"/>
      <c r="AX80" s="79"/>
      <c r="AY80" s="80"/>
      <c r="AZ80" s="79"/>
      <c r="BA80" s="80"/>
      <c r="BB80" s="79"/>
      <c r="BC80" s="80"/>
      <c r="BD80" s="79"/>
      <c r="BE80" s="80"/>
      <c r="BF80" s="572"/>
      <c r="BG80" s="587"/>
      <c r="BH80" s="79"/>
      <c r="BI80" s="80"/>
      <c r="BJ80" s="535">
        <f t="shared" si="8"/>
        <v>0</v>
      </c>
      <c r="BK80" s="545">
        <f t="shared" si="9"/>
        <v>0</v>
      </c>
    </row>
    <row r="81" spans="1:63" ht="15" customHeight="1" x14ac:dyDescent="0.35">
      <c r="A81" s="579"/>
      <c r="B81" s="546" t="s">
        <v>104</v>
      </c>
      <c r="C81" s="579" t="s">
        <v>105</v>
      </c>
      <c r="D81" s="653" t="s">
        <v>1033</v>
      </c>
      <c r="E81" s="654"/>
      <c r="F81" s="79"/>
      <c r="G81" s="80"/>
      <c r="H81" s="79"/>
      <c r="I81" s="80"/>
      <c r="J81" s="79"/>
      <c r="K81" s="80"/>
      <c r="L81" s="79"/>
      <c r="M81" s="80"/>
      <c r="N81" s="79"/>
      <c r="O81" s="80"/>
      <c r="P81" s="572"/>
      <c r="Q81" s="587"/>
      <c r="R81" s="572"/>
      <c r="S81" s="587"/>
      <c r="T81" s="79"/>
      <c r="U81" s="80"/>
      <c r="V81" s="79"/>
      <c r="W81" s="80"/>
      <c r="X81" s="79"/>
      <c r="Y81" s="80"/>
      <c r="Z81" s="79"/>
      <c r="AA81" s="80"/>
      <c r="AB81" s="79"/>
      <c r="AC81" s="80"/>
      <c r="AD81" s="572"/>
      <c r="AE81" s="587"/>
      <c r="AF81" s="79"/>
      <c r="AG81" s="80"/>
      <c r="AH81" s="79"/>
      <c r="AI81" s="80"/>
      <c r="AJ81" s="79"/>
      <c r="AK81" s="80"/>
      <c r="AL81" s="79"/>
      <c r="AM81" s="80"/>
      <c r="AN81" s="79"/>
      <c r="AO81" s="80"/>
      <c r="AP81" s="79"/>
      <c r="AQ81" s="80"/>
      <c r="AR81" s="572"/>
      <c r="AS81" s="587"/>
      <c r="AT81" s="79"/>
      <c r="AU81" s="80"/>
      <c r="AV81" s="79"/>
      <c r="AW81" s="80"/>
      <c r="AX81" s="79"/>
      <c r="AY81" s="80"/>
      <c r="AZ81" s="79"/>
      <c r="BA81" s="80"/>
      <c r="BB81" s="79"/>
      <c r="BC81" s="80"/>
      <c r="BD81" s="79"/>
      <c r="BE81" s="80"/>
      <c r="BF81" s="572"/>
      <c r="BG81" s="587"/>
      <c r="BH81" s="79"/>
      <c r="BI81" s="80"/>
      <c r="BJ81" s="535">
        <f t="shared" si="8"/>
        <v>0</v>
      </c>
      <c r="BK81" s="545">
        <f t="shared" si="9"/>
        <v>0</v>
      </c>
    </row>
    <row r="82" spans="1:63" ht="15" customHeight="1" x14ac:dyDescent="0.35">
      <c r="A82" s="579"/>
      <c r="B82" s="546" t="s">
        <v>85</v>
      </c>
      <c r="C82" s="579" t="s">
        <v>107</v>
      </c>
      <c r="D82" s="653" t="s">
        <v>108</v>
      </c>
      <c r="E82" s="654"/>
      <c r="F82" s="79"/>
      <c r="G82" s="80"/>
      <c r="H82" s="79"/>
      <c r="I82" s="80"/>
      <c r="J82" s="79"/>
      <c r="K82" s="80"/>
      <c r="L82" s="79"/>
      <c r="M82" s="80"/>
      <c r="N82" s="79"/>
      <c r="O82" s="80"/>
      <c r="P82" s="572"/>
      <c r="Q82" s="587"/>
      <c r="R82" s="572"/>
      <c r="S82" s="587"/>
      <c r="T82" s="79"/>
      <c r="U82" s="80"/>
      <c r="V82" s="79"/>
      <c r="W82" s="80"/>
      <c r="X82" s="79"/>
      <c r="Y82" s="80"/>
      <c r="Z82" s="79"/>
      <c r="AA82" s="80"/>
      <c r="AB82" s="79"/>
      <c r="AC82" s="80"/>
      <c r="AD82" s="572"/>
      <c r="AE82" s="587"/>
      <c r="AF82" s="79"/>
      <c r="AG82" s="80"/>
      <c r="AH82" s="79"/>
      <c r="AI82" s="80"/>
      <c r="AJ82" s="79"/>
      <c r="AK82" s="80"/>
      <c r="AL82" s="79"/>
      <c r="AM82" s="80"/>
      <c r="AN82" s="79"/>
      <c r="AO82" s="80"/>
      <c r="AP82" s="79"/>
      <c r="AQ82" s="80"/>
      <c r="AR82" s="572"/>
      <c r="AS82" s="587"/>
      <c r="AT82" s="79"/>
      <c r="AU82" s="80"/>
      <c r="AV82" s="79"/>
      <c r="AW82" s="80"/>
      <c r="AX82" s="79"/>
      <c r="AY82" s="80"/>
      <c r="AZ82" s="79"/>
      <c r="BA82" s="80"/>
      <c r="BB82" s="79"/>
      <c r="BC82" s="80"/>
      <c r="BD82" s="79"/>
      <c r="BE82" s="80"/>
      <c r="BF82" s="572"/>
      <c r="BG82" s="587"/>
      <c r="BH82" s="79"/>
      <c r="BI82" s="80"/>
      <c r="BJ82" s="535">
        <f t="shared" si="8"/>
        <v>0</v>
      </c>
      <c r="BK82" s="545">
        <f t="shared" si="9"/>
        <v>0</v>
      </c>
    </row>
    <row r="83" spans="1:63" ht="15" customHeight="1" x14ac:dyDescent="0.35">
      <c r="A83" s="579"/>
      <c r="B83" s="546" t="s">
        <v>109</v>
      </c>
      <c r="C83" s="579" t="s">
        <v>110</v>
      </c>
      <c r="D83" s="653" t="s">
        <v>111</v>
      </c>
      <c r="E83" s="654"/>
      <c r="F83" s="79"/>
      <c r="G83" s="80"/>
      <c r="H83" s="79"/>
      <c r="I83" s="80"/>
      <c r="J83" s="79"/>
      <c r="K83" s="80"/>
      <c r="L83" s="79"/>
      <c r="M83" s="80"/>
      <c r="N83" s="79"/>
      <c r="O83" s="80"/>
      <c r="P83" s="572"/>
      <c r="Q83" s="587"/>
      <c r="R83" s="572"/>
      <c r="S83" s="587"/>
      <c r="T83" s="79"/>
      <c r="U83" s="80"/>
      <c r="V83" s="79"/>
      <c r="W83" s="80"/>
      <c r="X83" s="79"/>
      <c r="Y83" s="80"/>
      <c r="Z83" s="79"/>
      <c r="AA83" s="80"/>
      <c r="AB83" s="79"/>
      <c r="AC83" s="80"/>
      <c r="AD83" s="572"/>
      <c r="AE83" s="587"/>
      <c r="AF83" s="79"/>
      <c r="AG83" s="80"/>
      <c r="AH83" s="79"/>
      <c r="AI83" s="80"/>
      <c r="AJ83" s="79"/>
      <c r="AK83" s="80"/>
      <c r="AL83" s="79"/>
      <c r="AM83" s="80"/>
      <c r="AN83" s="79"/>
      <c r="AO83" s="80"/>
      <c r="AP83" s="79"/>
      <c r="AQ83" s="80"/>
      <c r="AR83" s="572"/>
      <c r="AS83" s="587"/>
      <c r="AT83" s="79"/>
      <c r="AU83" s="80"/>
      <c r="AV83" s="79"/>
      <c r="AW83" s="80"/>
      <c r="AX83" s="79"/>
      <c r="AY83" s="80"/>
      <c r="AZ83" s="79"/>
      <c r="BA83" s="80"/>
      <c r="BB83" s="79"/>
      <c r="BC83" s="80"/>
      <c r="BD83" s="79"/>
      <c r="BE83" s="80"/>
      <c r="BF83" s="572"/>
      <c r="BG83" s="587"/>
      <c r="BH83" s="79"/>
      <c r="BI83" s="80"/>
      <c r="BJ83" s="535">
        <f t="shared" si="8"/>
        <v>0</v>
      </c>
      <c r="BK83" s="545">
        <f t="shared" si="9"/>
        <v>0</v>
      </c>
    </row>
    <row r="84" spans="1:63" ht="15" customHeight="1" x14ac:dyDescent="0.35">
      <c r="A84" s="579"/>
      <c r="B84" s="546" t="s">
        <v>26</v>
      </c>
      <c r="C84" s="579" t="s">
        <v>112</v>
      </c>
      <c r="D84" s="653" t="s">
        <v>54</v>
      </c>
      <c r="E84" s="654"/>
      <c r="F84" s="79"/>
      <c r="G84" s="80"/>
      <c r="H84" s="79"/>
      <c r="I84" s="80"/>
      <c r="J84" s="79"/>
      <c r="K84" s="80"/>
      <c r="L84" s="79"/>
      <c r="M84" s="80"/>
      <c r="N84" s="79"/>
      <c r="O84" s="80"/>
      <c r="P84" s="572"/>
      <c r="Q84" s="587"/>
      <c r="R84" s="572"/>
      <c r="S84" s="587"/>
      <c r="T84" s="79"/>
      <c r="U84" s="80"/>
      <c r="V84" s="79"/>
      <c r="W84" s="80"/>
      <c r="X84" s="79"/>
      <c r="Y84" s="80"/>
      <c r="Z84" s="79"/>
      <c r="AA84" s="80"/>
      <c r="AB84" s="79"/>
      <c r="AC84" s="80"/>
      <c r="AD84" s="572"/>
      <c r="AE84" s="587"/>
      <c r="AF84" s="79"/>
      <c r="AG84" s="80"/>
      <c r="AH84" s="79"/>
      <c r="AI84" s="80"/>
      <c r="AJ84" s="79"/>
      <c r="AK84" s="80"/>
      <c r="AL84" s="79"/>
      <c r="AM84" s="80"/>
      <c r="AN84" s="79"/>
      <c r="AO84" s="80"/>
      <c r="AP84" s="79"/>
      <c r="AQ84" s="80"/>
      <c r="AR84" s="572"/>
      <c r="AS84" s="587"/>
      <c r="AT84" s="79"/>
      <c r="AU84" s="80"/>
      <c r="AV84" s="79"/>
      <c r="AW84" s="80"/>
      <c r="AX84" s="79"/>
      <c r="AY84" s="80"/>
      <c r="AZ84" s="79"/>
      <c r="BA84" s="80"/>
      <c r="BB84" s="79"/>
      <c r="BC84" s="80"/>
      <c r="BD84" s="79"/>
      <c r="BE84" s="80"/>
      <c r="BF84" s="572"/>
      <c r="BG84" s="587"/>
      <c r="BH84" s="79"/>
      <c r="BI84" s="80"/>
      <c r="BJ84" s="535">
        <f t="shared" si="8"/>
        <v>0</v>
      </c>
      <c r="BK84" s="545">
        <f t="shared" si="9"/>
        <v>0</v>
      </c>
    </row>
    <row r="85" spans="1:63" ht="15" customHeight="1" x14ac:dyDescent="0.35">
      <c r="A85" s="579"/>
      <c r="B85" s="546" t="s">
        <v>29</v>
      </c>
      <c r="C85" s="579" t="s">
        <v>113</v>
      </c>
      <c r="D85" s="653" t="s">
        <v>70</v>
      </c>
      <c r="E85" s="654"/>
      <c r="F85" s="79"/>
      <c r="G85" s="80"/>
      <c r="H85" s="79"/>
      <c r="I85" s="80"/>
      <c r="J85" s="79"/>
      <c r="K85" s="80"/>
      <c r="L85" s="79"/>
      <c r="M85" s="80"/>
      <c r="N85" s="79"/>
      <c r="O85" s="80"/>
      <c r="P85" s="572"/>
      <c r="Q85" s="587"/>
      <c r="R85" s="572"/>
      <c r="S85" s="587"/>
      <c r="T85" s="79"/>
      <c r="U85" s="80"/>
      <c r="V85" s="79"/>
      <c r="W85" s="80"/>
      <c r="X85" s="79"/>
      <c r="Y85" s="80"/>
      <c r="Z85" s="79"/>
      <c r="AA85" s="80"/>
      <c r="AB85" s="79"/>
      <c r="AC85" s="80"/>
      <c r="AD85" s="572"/>
      <c r="AE85" s="587"/>
      <c r="AF85" s="79"/>
      <c r="AG85" s="80"/>
      <c r="AH85" s="79"/>
      <c r="AI85" s="80"/>
      <c r="AJ85" s="79"/>
      <c r="AK85" s="80"/>
      <c r="AL85" s="79"/>
      <c r="AM85" s="80"/>
      <c r="AN85" s="79"/>
      <c r="AO85" s="80"/>
      <c r="AP85" s="79"/>
      <c r="AQ85" s="80"/>
      <c r="AR85" s="572"/>
      <c r="AS85" s="587"/>
      <c r="AT85" s="79"/>
      <c r="AU85" s="80"/>
      <c r="AV85" s="79"/>
      <c r="AW85" s="80"/>
      <c r="AX85" s="79"/>
      <c r="AY85" s="80"/>
      <c r="AZ85" s="79"/>
      <c r="BA85" s="80"/>
      <c r="BB85" s="79"/>
      <c r="BC85" s="80"/>
      <c r="BD85" s="79"/>
      <c r="BE85" s="80"/>
      <c r="BF85" s="572"/>
      <c r="BG85" s="587"/>
      <c r="BH85" s="79"/>
      <c r="BI85" s="80"/>
      <c r="BJ85" s="535">
        <f t="shared" si="8"/>
        <v>0</v>
      </c>
      <c r="BK85" s="545">
        <f t="shared" si="9"/>
        <v>0</v>
      </c>
    </row>
    <row r="86" spans="1:63" ht="15" customHeight="1" x14ac:dyDescent="0.35">
      <c r="A86" s="579"/>
      <c r="B86" s="546" t="s">
        <v>29</v>
      </c>
      <c r="C86" s="579" t="s">
        <v>114</v>
      </c>
      <c r="D86" s="653" t="s">
        <v>72</v>
      </c>
      <c r="E86" s="654"/>
      <c r="F86" s="79"/>
      <c r="G86" s="80"/>
      <c r="H86" s="79"/>
      <c r="I86" s="80"/>
      <c r="J86" s="79"/>
      <c r="K86" s="80"/>
      <c r="L86" s="79"/>
      <c r="M86" s="80"/>
      <c r="N86" s="79"/>
      <c r="O86" s="80"/>
      <c r="P86" s="572"/>
      <c r="Q86" s="587"/>
      <c r="R86" s="572"/>
      <c r="S86" s="587"/>
      <c r="T86" s="79"/>
      <c r="U86" s="80"/>
      <c r="V86" s="79"/>
      <c r="W86" s="80"/>
      <c r="X86" s="79"/>
      <c r="Y86" s="80"/>
      <c r="Z86" s="79"/>
      <c r="AA86" s="80"/>
      <c r="AB86" s="79"/>
      <c r="AC86" s="80"/>
      <c r="AD86" s="572"/>
      <c r="AE86" s="587"/>
      <c r="AF86" s="79"/>
      <c r="AG86" s="80"/>
      <c r="AH86" s="79"/>
      <c r="AI86" s="80"/>
      <c r="AJ86" s="79"/>
      <c r="AK86" s="80"/>
      <c r="AL86" s="79"/>
      <c r="AM86" s="80"/>
      <c r="AN86" s="79"/>
      <c r="AO86" s="80"/>
      <c r="AP86" s="79"/>
      <c r="AQ86" s="80"/>
      <c r="AR86" s="572"/>
      <c r="AS86" s="587"/>
      <c r="AT86" s="79"/>
      <c r="AU86" s="80"/>
      <c r="AV86" s="79"/>
      <c r="AW86" s="80"/>
      <c r="AX86" s="79"/>
      <c r="AY86" s="80"/>
      <c r="AZ86" s="79"/>
      <c r="BA86" s="80"/>
      <c r="BB86" s="79"/>
      <c r="BC86" s="80"/>
      <c r="BD86" s="79"/>
      <c r="BE86" s="80"/>
      <c r="BF86" s="572"/>
      <c r="BG86" s="587"/>
      <c r="BH86" s="79"/>
      <c r="BI86" s="80"/>
      <c r="BJ86" s="535">
        <f t="shared" si="8"/>
        <v>0</v>
      </c>
      <c r="BK86" s="545">
        <f t="shared" si="9"/>
        <v>0</v>
      </c>
    </row>
    <row r="87" spans="1:63" ht="15" customHeight="1" x14ac:dyDescent="0.35">
      <c r="A87" s="579"/>
      <c r="B87" s="546" t="s">
        <v>44</v>
      </c>
      <c r="C87" s="579" t="s">
        <v>115</v>
      </c>
      <c r="D87" s="653" t="s">
        <v>72</v>
      </c>
      <c r="E87" s="654"/>
      <c r="F87" s="79"/>
      <c r="G87" s="80"/>
      <c r="H87" s="79"/>
      <c r="I87" s="80"/>
      <c r="J87" s="79"/>
      <c r="K87" s="80"/>
      <c r="L87" s="79"/>
      <c r="M87" s="80"/>
      <c r="N87" s="79"/>
      <c r="O87" s="80"/>
      <c r="P87" s="572"/>
      <c r="Q87" s="587"/>
      <c r="R87" s="572"/>
      <c r="S87" s="587"/>
      <c r="T87" s="79"/>
      <c r="U87" s="80"/>
      <c r="V87" s="79"/>
      <c r="W87" s="80"/>
      <c r="X87" s="79"/>
      <c r="Y87" s="80"/>
      <c r="Z87" s="79"/>
      <c r="AA87" s="80"/>
      <c r="AB87" s="79"/>
      <c r="AC87" s="80"/>
      <c r="AD87" s="572"/>
      <c r="AE87" s="587"/>
      <c r="AF87" s="79"/>
      <c r="AG87" s="80"/>
      <c r="AH87" s="79"/>
      <c r="AI87" s="80"/>
      <c r="AJ87" s="79"/>
      <c r="AK87" s="80"/>
      <c r="AL87" s="79"/>
      <c r="AM87" s="80"/>
      <c r="AN87" s="79"/>
      <c r="AO87" s="80"/>
      <c r="AP87" s="79"/>
      <c r="AQ87" s="80"/>
      <c r="AR87" s="572"/>
      <c r="AS87" s="587"/>
      <c r="AT87" s="79"/>
      <c r="AU87" s="80"/>
      <c r="AV87" s="79"/>
      <c r="AW87" s="80"/>
      <c r="AX87" s="79"/>
      <c r="AY87" s="80"/>
      <c r="AZ87" s="79"/>
      <c r="BA87" s="80"/>
      <c r="BB87" s="79"/>
      <c r="BC87" s="80"/>
      <c r="BD87" s="79"/>
      <c r="BE87" s="80"/>
      <c r="BF87" s="572"/>
      <c r="BG87" s="587"/>
      <c r="BH87" s="79"/>
      <c r="BI87" s="80"/>
      <c r="BJ87" s="535">
        <f t="shared" si="8"/>
        <v>0</v>
      </c>
      <c r="BK87" s="545">
        <f t="shared" si="9"/>
        <v>0</v>
      </c>
    </row>
    <row r="88" spans="1:63" ht="15" customHeight="1" x14ac:dyDescent="0.35">
      <c r="A88" s="579"/>
      <c r="B88" s="546" t="s">
        <v>29</v>
      </c>
      <c r="C88" s="579" t="s">
        <v>116</v>
      </c>
      <c r="D88" s="653" t="s">
        <v>74</v>
      </c>
      <c r="E88" s="654"/>
      <c r="F88" s="79"/>
      <c r="G88" s="80"/>
      <c r="H88" s="79"/>
      <c r="I88" s="80"/>
      <c r="J88" s="79"/>
      <c r="K88" s="80"/>
      <c r="L88" s="79"/>
      <c r="M88" s="80"/>
      <c r="N88" s="79"/>
      <c r="O88" s="80"/>
      <c r="P88" s="572"/>
      <c r="Q88" s="587"/>
      <c r="R88" s="572"/>
      <c r="S88" s="587"/>
      <c r="T88" s="79"/>
      <c r="U88" s="80"/>
      <c r="V88" s="79"/>
      <c r="W88" s="80"/>
      <c r="X88" s="79"/>
      <c r="Y88" s="80"/>
      <c r="Z88" s="79"/>
      <c r="AA88" s="80"/>
      <c r="AB88" s="79"/>
      <c r="AC88" s="80"/>
      <c r="AD88" s="572"/>
      <c r="AE88" s="587"/>
      <c r="AF88" s="79"/>
      <c r="AG88" s="80"/>
      <c r="AH88" s="79"/>
      <c r="AI88" s="80"/>
      <c r="AJ88" s="79"/>
      <c r="AK88" s="80"/>
      <c r="AL88" s="79"/>
      <c r="AM88" s="80"/>
      <c r="AN88" s="79"/>
      <c r="AO88" s="80"/>
      <c r="AP88" s="79"/>
      <c r="AQ88" s="80"/>
      <c r="AR88" s="572"/>
      <c r="AS88" s="587"/>
      <c r="AT88" s="79"/>
      <c r="AU88" s="80"/>
      <c r="AV88" s="79"/>
      <c r="AW88" s="80"/>
      <c r="AX88" s="79"/>
      <c r="AY88" s="80"/>
      <c r="AZ88" s="79"/>
      <c r="BA88" s="80"/>
      <c r="BB88" s="79"/>
      <c r="BC88" s="80"/>
      <c r="BD88" s="79"/>
      <c r="BE88" s="80"/>
      <c r="BF88" s="572"/>
      <c r="BG88" s="587"/>
      <c r="BH88" s="79"/>
      <c r="BI88" s="80"/>
      <c r="BJ88" s="535">
        <f t="shared" si="8"/>
        <v>0</v>
      </c>
      <c r="BK88" s="545">
        <f t="shared" si="9"/>
        <v>0</v>
      </c>
    </row>
    <row r="89" spans="1:63" ht="15" customHeight="1" x14ac:dyDescent="0.35">
      <c r="A89" s="579"/>
      <c r="B89" s="546" t="s">
        <v>29</v>
      </c>
      <c r="C89" s="579" t="s">
        <v>117</v>
      </c>
      <c r="D89" s="653" t="s">
        <v>76</v>
      </c>
      <c r="E89" s="654"/>
      <c r="F89" s="79"/>
      <c r="G89" s="80"/>
      <c r="H89" s="79"/>
      <c r="I89" s="80"/>
      <c r="J89" s="79"/>
      <c r="K89" s="80"/>
      <c r="L89" s="79"/>
      <c r="M89" s="80"/>
      <c r="N89" s="79"/>
      <c r="O89" s="80"/>
      <c r="P89" s="572"/>
      <c r="Q89" s="587"/>
      <c r="R89" s="572"/>
      <c r="S89" s="587"/>
      <c r="T89" s="79"/>
      <c r="U89" s="80"/>
      <c r="V89" s="79"/>
      <c r="W89" s="80"/>
      <c r="X89" s="79"/>
      <c r="Y89" s="80"/>
      <c r="Z89" s="79"/>
      <c r="AA89" s="80"/>
      <c r="AB89" s="79"/>
      <c r="AC89" s="80"/>
      <c r="AD89" s="572"/>
      <c r="AE89" s="587"/>
      <c r="AF89" s="79"/>
      <c r="AG89" s="80"/>
      <c r="AH89" s="79"/>
      <c r="AI89" s="80"/>
      <c r="AJ89" s="79"/>
      <c r="AK89" s="80"/>
      <c r="AL89" s="79"/>
      <c r="AM89" s="80"/>
      <c r="AN89" s="79"/>
      <c r="AO89" s="80"/>
      <c r="AP89" s="79"/>
      <c r="AQ89" s="80"/>
      <c r="AR89" s="572"/>
      <c r="AS89" s="587"/>
      <c r="AT89" s="79"/>
      <c r="AU89" s="80"/>
      <c r="AV89" s="79"/>
      <c r="AW89" s="80"/>
      <c r="AX89" s="79"/>
      <c r="AY89" s="80"/>
      <c r="AZ89" s="79"/>
      <c r="BA89" s="80"/>
      <c r="BB89" s="79"/>
      <c r="BC89" s="80"/>
      <c r="BD89" s="79"/>
      <c r="BE89" s="80"/>
      <c r="BF89" s="572"/>
      <c r="BG89" s="587"/>
      <c r="BH89" s="79"/>
      <c r="BI89" s="80"/>
      <c r="BJ89" s="535">
        <f t="shared" si="8"/>
        <v>0</v>
      </c>
      <c r="BK89" s="545">
        <f t="shared" si="9"/>
        <v>0</v>
      </c>
    </row>
    <row r="90" spans="1:63" ht="15" customHeight="1" x14ac:dyDescent="0.35">
      <c r="A90" s="579"/>
      <c r="B90" s="546" t="s">
        <v>44</v>
      </c>
      <c r="C90" s="579" t="s">
        <v>118</v>
      </c>
      <c r="D90" s="653" t="s">
        <v>76</v>
      </c>
      <c r="E90" s="654"/>
      <c r="F90" s="79"/>
      <c r="G90" s="80"/>
      <c r="H90" s="79"/>
      <c r="I90" s="80"/>
      <c r="J90" s="79"/>
      <c r="K90" s="80"/>
      <c r="L90" s="79"/>
      <c r="M90" s="80"/>
      <c r="N90" s="79"/>
      <c r="O90" s="80"/>
      <c r="P90" s="572"/>
      <c r="Q90" s="587"/>
      <c r="R90" s="572"/>
      <c r="S90" s="587"/>
      <c r="T90" s="79"/>
      <c r="U90" s="80"/>
      <c r="V90" s="79"/>
      <c r="W90" s="80"/>
      <c r="X90" s="79"/>
      <c r="Y90" s="80"/>
      <c r="Z90" s="79"/>
      <c r="AA90" s="80"/>
      <c r="AB90" s="79"/>
      <c r="AC90" s="80"/>
      <c r="AD90" s="572"/>
      <c r="AE90" s="587"/>
      <c r="AF90" s="79"/>
      <c r="AG90" s="80"/>
      <c r="AH90" s="79"/>
      <c r="AI90" s="80"/>
      <c r="AJ90" s="79"/>
      <c r="AK90" s="80"/>
      <c r="AL90" s="79"/>
      <c r="AM90" s="80"/>
      <c r="AN90" s="79"/>
      <c r="AO90" s="80"/>
      <c r="AP90" s="79"/>
      <c r="AQ90" s="80"/>
      <c r="AR90" s="572"/>
      <c r="AS90" s="587"/>
      <c r="AT90" s="79"/>
      <c r="AU90" s="80"/>
      <c r="AV90" s="79"/>
      <c r="AW90" s="80"/>
      <c r="AX90" s="79"/>
      <c r="AY90" s="80"/>
      <c r="AZ90" s="79"/>
      <c r="BA90" s="80"/>
      <c r="BB90" s="79"/>
      <c r="BC90" s="80"/>
      <c r="BD90" s="79"/>
      <c r="BE90" s="80"/>
      <c r="BF90" s="572"/>
      <c r="BG90" s="587"/>
      <c r="BH90" s="79"/>
      <c r="BI90" s="80"/>
      <c r="BJ90" s="535">
        <f t="shared" si="8"/>
        <v>0</v>
      </c>
      <c r="BK90" s="545">
        <f t="shared" si="9"/>
        <v>0</v>
      </c>
    </row>
    <row r="91" spans="1:63" ht="15" customHeight="1" x14ac:dyDescent="0.35">
      <c r="A91" s="579"/>
      <c r="B91" s="546" t="s">
        <v>109</v>
      </c>
      <c r="C91" s="579" t="s">
        <v>119</v>
      </c>
      <c r="D91" s="653" t="s">
        <v>120</v>
      </c>
      <c r="E91" s="654"/>
      <c r="F91" s="79"/>
      <c r="G91" s="80"/>
      <c r="H91" s="79"/>
      <c r="I91" s="80"/>
      <c r="J91" s="79"/>
      <c r="K91" s="80"/>
      <c r="L91" s="79"/>
      <c r="M91" s="80"/>
      <c r="N91" s="79"/>
      <c r="O91" s="80"/>
      <c r="P91" s="572"/>
      <c r="Q91" s="587"/>
      <c r="R91" s="572"/>
      <c r="S91" s="587"/>
      <c r="T91" s="79"/>
      <c r="U91" s="80"/>
      <c r="V91" s="79"/>
      <c r="W91" s="80"/>
      <c r="X91" s="79"/>
      <c r="Y91" s="80"/>
      <c r="Z91" s="79"/>
      <c r="AA91" s="80"/>
      <c r="AB91" s="79"/>
      <c r="AC91" s="80"/>
      <c r="AD91" s="572"/>
      <c r="AE91" s="587"/>
      <c r="AF91" s="79"/>
      <c r="AG91" s="80"/>
      <c r="AH91" s="79"/>
      <c r="AI91" s="80"/>
      <c r="AJ91" s="79"/>
      <c r="AK91" s="80"/>
      <c r="AL91" s="79"/>
      <c r="AM91" s="80"/>
      <c r="AN91" s="79"/>
      <c r="AO91" s="80"/>
      <c r="AP91" s="79"/>
      <c r="AQ91" s="80"/>
      <c r="AR91" s="572"/>
      <c r="AS91" s="587"/>
      <c r="AT91" s="79"/>
      <c r="AU91" s="80"/>
      <c r="AV91" s="79"/>
      <c r="AW91" s="80"/>
      <c r="AX91" s="79"/>
      <c r="AY91" s="80"/>
      <c r="AZ91" s="79"/>
      <c r="BA91" s="80"/>
      <c r="BB91" s="79"/>
      <c r="BC91" s="80"/>
      <c r="BD91" s="79"/>
      <c r="BE91" s="80"/>
      <c r="BF91" s="572"/>
      <c r="BG91" s="587"/>
      <c r="BH91" s="79"/>
      <c r="BI91" s="80"/>
      <c r="BJ91" s="535">
        <f t="shared" si="8"/>
        <v>0</v>
      </c>
      <c r="BK91" s="545">
        <f t="shared" si="9"/>
        <v>0</v>
      </c>
    </row>
    <row r="92" spans="1:63" ht="15" customHeight="1" x14ac:dyDescent="0.35">
      <c r="A92" s="579"/>
      <c r="B92" s="546" t="s">
        <v>29</v>
      </c>
      <c r="C92" s="579" t="s">
        <v>121</v>
      </c>
      <c r="D92" s="653" t="s">
        <v>122</v>
      </c>
      <c r="E92" s="654"/>
      <c r="F92" s="79"/>
      <c r="G92" s="80"/>
      <c r="H92" s="79"/>
      <c r="I92" s="80"/>
      <c r="J92" s="79"/>
      <c r="K92" s="80"/>
      <c r="L92" s="79"/>
      <c r="M92" s="80"/>
      <c r="N92" s="79"/>
      <c r="O92" s="80"/>
      <c r="P92" s="572"/>
      <c r="Q92" s="587"/>
      <c r="R92" s="572"/>
      <c r="S92" s="587"/>
      <c r="T92" s="79"/>
      <c r="U92" s="80"/>
      <c r="V92" s="79"/>
      <c r="W92" s="80"/>
      <c r="X92" s="79"/>
      <c r="Y92" s="80"/>
      <c r="Z92" s="79"/>
      <c r="AA92" s="80"/>
      <c r="AB92" s="79"/>
      <c r="AC92" s="80"/>
      <c r="AD92" s="572"/>
      <c r="AE92" s="587"/>
      <c r="AF92" s="79"/>
      <c r="AG92" s="80"/>
      <c r="AH92" s="79"/>
      <c r="AI92" s="80"/>
      <c r="AJ92" s="79"/>
      <c r="AK92" s="80"/>
      <c r="AL92" s="79"/>
      <c r="AM92" s="80"/>
      <c r="AN92" s="79"/>
      <c r="AO92" s="80"/>
      <c r="AP92" s="79"/>
      <c r="AQ92" s="80"/>
      <c r="AR92" s="572"/>
      <c r="AS92" s="587"/>
      <c r="AT92" s="79"/>
      <c r="AU92" s="80"/>
      <c r="AV92" s="79"/>
      <c r="AW92" s="80"/>
      <c r="AX92" s="79"/>
      <c r="AY92" s="80"/>
      <c r="AZ92" s="79"/>
      <c r="BA92" s="80"/>
      <c r="BB92" s="79"/>
      <c r="BC92" s="80"/>
      <c r="BD92" s="79"/>
      <c r="BE92" s="80"/>
      <c r="BF92" s="572"/>
      <c r="BG92" s="587"/>
      <c r="BH92" s="79"/>
      <c r="BI92" s="80"/>
      <c r="BJ92" s="535">
        <f t="shared" si="8"/>
        <v>0</v>
      </c>
      <c r="BK92" s="545">
        <f t="shared" si="9"/>
        <v>0</v>
      </c>
    </row>
    <row r="93" spans="1:63" ht="21" customHeight="1" x14ac:dyDescent="0.35">
      <c r="A93" s="579"/>
      <c r="B93" s="546" t="s">
        <v>109</v>
      </c>
      <c r="C93" s="579" t="s">
        <v>123</v>
      </c>
      <c r="D93" s="653" t="s">
        <v>124</v>
      </c>
      <c r="E93" s="654"/>
      <c r="F93" s="79"/>
      <c r="G93" s="80"/>
      <c r="H93" s="79"/>
      <c r="I93" s="80"/>
      <c r="J93" s="79"/>
      <c r="K93" s="80"/>
      <c r="L93" s="79"/>
      <c r="M93" s="80"/>
      <c r="N93" s="79"/>
      <c r="O93" s="80"/>
      <c r="P93" s="572"/>
      <c r="Q93" s="587"/>
      <c r="R93" s="572"/>
      <c r="S93" s="587"/>
      <c r="T93" s="79"/>
      <c r="U93" s="80"/>
      <c r="V93" s="79"/>
      <c r="W93" s="80"/>
      <c r="X93" s="79"/>
      <c r="Y93" s="80"/>
      <c r="Z93" s="79"/>
      <c r="AA93" s="80"/>
      <c r="AB93" s="79"/>
      <c r="AC93" s="80"/>
      <c r="AD93" s="572"/>
      <c r="AE93" s="587"/>
      <c r="AF93" s="79"/>
      <c r="AG93" s="80"/>
      <c r="AH93" s="79"/>
      <c r="AI93" s="80"/>
      <c r="AJ93" s="79"/>
      <c r="AK93" s="80"/>
      <c r="AL93" s="79"/>
      <c r="AM93" s="80"/>
      <c r="AN93" s="79"/>
      <c r="AO93" s="80"/>
      <c r="AP93" s="79"/>
      <c r="AQ93" s="80"/>
      <c r="AR93" s="572"/>
      <c r="AS93" s="587"/>
      <c r="AT93" s="79"/>
      <c r="AU93" s="80"/>
      <c r="AV93" s="79"/>
      <c r="AW93" s="80"/>
      <c r="AX93" s="79"/>
      <c r="AY93" s="80"/>
      <c r="AZ93" s="79"/>
      <c r="BA93" s="80"/>
      <c r="BB93" s="79"/>
      <c r="BC93" s="80"/>
      <c r="BD93" s="79"/>
      <c r="BE93" s="80"/>
      <c r="BF93" s="572"/>
      <c r="BG93" s="587"/>
      <c r="BH93" s="79"/>
      <c r="BI93" s="80"/>
      <c r="BJ93" s="535">
        <f t="shared" si="8"/>
        <v>0</v>
      </c>
      <c r="BK93" s="545">
        <f t="shared" si="9"/>
        <v>0</v>
      </c>
    </row>
    <row r="94" spans="1:63" ht="17.25" customHeight="1" x14ac:dyDescent="0.35">
      <c r="A94" s="579"/>
      <c r="B94" s="546" t="s">
        <v>109</v>
      </c>
      <c r="C94" s="579" t="s">
        <v>159</v>
      </c>
      <c r="D94" s="653" t="s">
        <v>160</v>
      </c>
      <c r="E94" s="654"/>
      <c r="F94" s="79"/>
      <c r="G94" s="80"/>
      <c r="H94" s="79">
        <v>45</v>
      </c>
      <c r="I94" s="80"/>
      <c r="J94" s="79"/>
      <c r="K94" s="80"/>
      <c r="L94" s="79"/>
      <c r="M94" s="80"/>
      <c r="N94" s="79"/>
      <c r="O94" s="80"/>
      <c r="P94" s="572"/>
      <c r="Q94" s="587"/>
      <c r="R94" s="572"/>
      <c r="S94" s="587"/>
      <c r="T94" s="79"/>
      <c r="U94" s="80"/>
      <c r="V94" s="79"/>
      <c r="W94" s="80"/>
      <c r="X94" s="79"/>
      <c r="Y94" s="80"/>
      <c r="Z94" s="79"/>
      <c r="AA94" s="80"/>
      <c r="AB94" s="79"/>
      <c r="AC94" s="80"/>
      <c r="AD94" s="572"/>
      <c r="AE94" s="587"/>
      <c r="AF94" s="79"/>
      <c r="AG94" s="80"/>
      <c r="AH94" s="79"/>
      <c r="AI94" s="80"/>
      <c r="AJ94" s="79"/>
      <c r="AK94" s="80"/>
      <c r="AL94" s="79"/>
      <c r="AM94" s="80"/>
      <c r="AN94" s="79"/>
      <c r="AO94" s="80"/>
      <c r="AP94" s="79"/>
      <c r="AQ94" s="80"/>
      <c r="AR94" s="572"/>
      <c r="AS94" s="587"/>
      <c r="AT94" s="79"/>
      <c r="AU94" s="80"/>
      <c r="AV94" s="79"/>
      <c r="AW94" s="80"/>
      <c r="AX94" s="79"/>
      <c r="AY94" s="80"/>
      <c r="AZ94" s="79"/>
      <c r="BA94" s="80"/>
      <c r="BB94" s="79"/>
      <c r="BC94" s="80"/>
      <c r="BD94" s="79"/>
      <c r="BE94" s="80"/>
      <c r="BF94" s="572"/>
      <c r="BG94" s="587"/>
      <c r="BH94" s="79"/>
      <c r="BI94" s="80"/>
      <c r="BJ94" s="535">
        <f t="shared" si="8"/>
        <v>45</v>
      </c>
      <c r="BK94" s="545"/>
    </row>
    <row r="95" spans="1:63" ht="15" customHeight="1" x14ac:dyDescent="0.35">
      <c r="A95" s="579"/>
      <c r="B95" s="546" t="s">
        <v>104</v>
      </c>
      <c r="C95" s="579" t="s">
        <v>125</v>
      </c>
      <c r="D95" s="653" t="s">
        <v>126</v>
      </c>
      <c r="E95" s="654"/>
      <c r="F95" s="79"/>
      <c r="G95" s="80"/>
      <c r="H95" s="79"/>
      <c r="I95" s="80"/>
      <c r="J95" s="79"/>
      <c r="K95" s="80"/>
      <c r="L95" s="79"/>
      <c r="M95" s="80"/>
      <c r="N95" s="79"/>
      <c r="O95" s="80"/>
      <c r="P95" s="572"/>
      <c r="Q95" s="587"/>
      <c r="R95" s="572"/>
      <c r="S95" s="587"/>
      <c r="T95" s="79"/>
      <c r="U95" s="80"/>
      <c r="V95" s="79"/>
      <c r="W95" s="80"/>
      <c r="X95" s="79"/>
      <c r="Y95" s="80"/>
      <c r="Z95" s="79"/>
      <c r="AA95" s="80"/>
      <c r="AB95" s="79"/>
      <c r="AC95" s="80"/>
      <c r="AD95" s="572"/>
      <c r="AE95" s="587"/>
      <c r="AF95" s="79"/>
      <c r="AG95" s="80"/>
      <c r="AH95" s="79"/>
      <c r="AI95" s="80"/>
      <c r="AJ95" s="79"/>
      <c r="AK95" s="80"/>
      <c r="AL95" s="79"/>
      <c r="AM95" s="80"/>
      <c r="AN95" s="79"/>
      <c r="AO95" s="80"/>
      <c r="AP95" s="79"/>
      <c r="AQ95" s="80"/>
      <c r="AR95" s="572"/>
      <c r="AS95" s="587"/>
      <c r="AT95" s="79"/>
      <c r="AU95" s="80"/>
      <c r="AV95" s="79"/>
      <c r="AW95" s="80"/>
      <c r="AX95" s="79"/>
      <c r="AY95" s="80"/>
      <c r="AZ95" s="79"/>
      <c r="BA95" s="80"/>
      <c r="BB95" s="79"/>
      <c r="BC95" s="80"/>
      <c r="BD95" s="79"/>
      <c r="BE95" s="80"/>
      <c r="BF95" s="572"/>
      <c r="BG95" s="587"/>
      <c r="BH95" s="79"/>
      <c r="BI95" s="80"/>
      <c r="BJ95" s="535">
        <f t="shared" si="8"/>
        <v>0</v>
      </c>
      <c r="BK95" s="545">
        <f t="shared" ref="BK95:BK118" si="10">COUNT(F95:BI95)</f>
        <v>0</v>
      </c>
    </row>
    <row r="96" spans="1:63" ht="15" customHeight="1" x14ac:dyDescent="0.35">
      <c r="A96" s="579"/>
      <c r="B96" s="546"/>
      <c r="C96" s="579"/>
      <c r="D96" s="653"/>
      <c r="E96" s="654"/>
      <c r="F96" s="79"/>
      <c r="G96" s="80"/>
      <c r="H96" s="79"/>
      <c r="I96" s="80"/>
      <c r="J96" s="79"/>
      <c r="K96" s="80"/>
      <c r="L96" s="79"/>
      <c r="M96" s="80"/>
      <c r="N96" s="79"/>
      <c r="O96" s="80"/>
      <c r="P96" s="572"/>
      <c r="Q96" s="587"/>
      <c r="R96" s="572"/>
      <c r="S96" s="587"/>
      <c r="T96" s="79"/>
      <c r="U96" s="80"/>
      <c r="V96" s="79"/>
      <c r="W96" s="80"/>
      <c r="X96" s="79"/>
      <c r="Y96" s="80"/>
      <c r="Z96" s="79"/>
      <c r="AA96" s="80"/>
      <c r="AB96" s="79"/>
      <c r="AC96" s="80"/>
      <c r="AD96" s="572"/>
      <c r="AE96" s="587"/>
      <c r="AF96" s="79"/>
      <c r="AG96" s="80"/>
      <c r="AH96" s="79"/>
      <c r="AI96" s="80"/>
      <c r="AJ96" s="79"/>
      <c r="AK96" s="80"/>
      <c r="AL96" s="79"/>
      <c r="AM96" s="80"/>
      <c r="AN96" s="79"/>
      <c r="AO96" s="80"/>
      <c r="AP96" s="79"/>
      <c r="AQ96" s="80"/>
      <c r="AR96" s="572"/>
      <c r="AS96" s="587"/>
      <c r="AT96" s="79"/>
      <c r="AU96" s="80"/>
      <c r="AV96" s="79"/>
      <c r="AW96" s="80"/>
      <c r="AX96" s="79"/>
      <c r="AY96" s="80"/>
      <c r="AZ96" s="79"/>
      <c r="BA96" s="80"/>
      <c r="BB96" s="79"/>
      <c r="BC96" s="80"/>
      <c r="BD96" s="79"/>
      <c r="BE96" s="80"/>
      <c r="BF96" s="572"/>
      <c r="BG96" s="587"/>
      <c r="BH96" s="79"/>
      <c r="BI96" s="80"/>
      <c r="BJ96" s="535">
        <f t="shared" si="8"/>
        <v>0</v>
      </c>
      <c r="BK96" s="545">
        <f t="shared" si="10"/>
        <v>0</v>
      </c>
    </row>
    <row r="97" spans="1:63" ht="15" customHeight="1" x14ac:dyDescent="0.35">
      <c r="A97" s="579"/>
      <c r="B97" s="546"/>
      <c r="C97" s="579">
        <f>SUM(BJ98:BJ100)</f>
        <v>0</v>
      </c>
      <c r="D97" s="647" t="s">
        <v>127</v>
      </c>
      <c r="E97" s="648"/>
      <c r="F97" s="79"/>
      <c r="G97" s="80"/>
      <c r="H97" s="79"/>
      <c r="I97" s="80"/>
      <c r="J97" s="79"/>
      <c r="K97" s="80"/>
      <c r="L97" s="79"/>
      <c r="M97" s="80"/>
      <c r="N97" s="79"/>
      <c r="O97" s="80"/>
      <c r="P97" s="572"/>
      <c r="Q97" s="587"/>
      <c r="R97" s="572"/>
      <c r="S97" s="587"/>
      <c r="T97" s="79"/>
      <c r="U97" s="80"/>
      <c r="V97" s="79"/>
      <c r="W97" s="80"/>
      <c r="X97" s="79"/>
      <c r="Y97" s="80"/>
      <c r="Z97" s="79"/>
      <c r="AA97" s="80"/>
      <c r="AB97" s="79"/>
      <c r="AC97" s="80"/>
      <c r="AD97" s="572"/>
      <c r="AE97" s="587"/>
      <c r="AF97" s="79"/>
      <c r="AG97" s="80"/>
      <c r="AH97" s="79"/>
      <c r="AI97" s="80"/>
      <c r="AJ97" s="79"/>
      <c r="AK97" s="80"/>
      <c r="AL97" s="79"/>
      <c r="AM97" s="80"/>
      <c r="AN97" s="79"/>
      <c r="AO97" s="80"/>
      <c r="AP97" s="79"/>
      <c r="AQ97" s="80"/>
      <c r="AR97" s="572"/>
      <c r="AS97" s="587"/>
      <c r="AT97" s="79"/>
      <c r="AU97" s="80"/>
      <c r="AV97" s="79"/>
      <c r="AW97" s="80"/>
      <c r="AX97" s="79"/>
      <c r="AY97" s="80"/>
      <c r="AZ97" s="79"/>
      <c r="BA97" s="80"/>
      <c r="BB97" s="79"/>
      <c r="BC97" s="80"/>
      <c r="BD97" s="79"/>
      <c r="BE97" s="80"/>
      <c r="BF97" s="572"/>
      <c r="BG97" s="587"/>
      <c r="BH97" s="79"/>
      <c r="BI97" s="80"/>
      <c r="BJ97" s="535">
        <f t="shared" si="8"/>
        <v>0</v>
      </c>
      <c r="BK97" s="545">
        <f t="shared" si="10"/>
        <v>0</v>
      </c>
    </row>
    <row r="98" spans="1:63" ht="15" customHeight="1" x14ac:dyDescent="0.35">
      <c r="A98" s="579"/>
      <c r="B98" s="546" t="s">
        <v>85</v>
      </c>
      <c r="C98" s="579" t="s">
        <v>128</v>
      </c>
      <c r="D98" s="653" t="s">
        <v>129</v>
      </c>
      <c r="E98" s="654"/>
      <c r="F98" s="79"/>
      <c r="G98" s="80"/>
      <c r="H98" s="79"/>
      <c r="I98" s="80"/>
      <c r="J98" s="79"/>
      <c r="K98" s="80"/>
      <c r="L98" s="79"/>
      <c r="M98" s="80"/>
      <c r="N98" s="79"/>
      <c r="O98" s="80"/>
      <c r="P98" s="572"/>
      <c r="Q98" s="587"/>
      <c r="R98" s="572"/>
      <c r="S98" s="587"/>
      <c r="T98" s="79"/>
      <c r="U98" s="80"/>
      <c r="V98" s="79"/>
      <c r="W98" s="80"/>
      <c r="X98" s="79"/>
      <c r="Y98" s="80"/>
      <c r="Z98" s="79"/>
      <c r="AA98" s="80"/>
      <c r="AB98" s="79"/>
      <c r="AC98" s="80"/>
      <c r="AD98" s="572"/>
      <c r="AE98" s="587"/>
      <c r="AF98" s="79"/>
      <c r="AG98" s="80"/>
      <c r="AH98" s="79"/>
      <c r="AI98" s="80"/>
      <c r="AJ98" s="79"/>
      <c r="AK98" s="80"/>
      <c r="AL98" s="79"/>
      <c r="AM98" s="80"/>
      <c r="AN98" s="79"/>
      <c r="AO98" s="80"/>
      <c r="AP98" s="79"/>
      <c r="AQ98" s="80"/>
      <c r="AR98" s="572"/>
      <c r="AS98" s="587"/>
      <c r="AT98" s="79"/>
      <c r="AU98" s="80"/>
      <c r="AV98" s="79"/>
      <c r="AW98" s="80"/>
      <c r="AX98" s="79"/>
      <c r="AY98" s="80"/>
      <c r="AZ98" s="79"/>
      <c r="BA98" s="80"/>
      <c r="BB98" s="79"/>
      <c r="BC98" s="80"/>
      <c r="BD98" s="79"/>
      <c r="BE98" s="80"/>
      <c r="BF98" s="572"/>
      <c r="BG98" s="587"/>
      <c r="BH98" s="79"/>
      <c r="BI98" s="80"/>
      <c r="BJ98" s="535">
        <f t="shared" si="8"/>
        <v>0</v>
      </c>
      <c r="BK98" s="545">
        <f t="shared" si="10"/>
        <v>0</v>
      </c>
    </row>
    <row r="99" spans="1:63" ht="15" customHeight="1" x14ac:dyDescent="0.35">
      <c r="A99" s="579"/>
      <c r="B99" s="546"/>
      <c r="C99" s="579"/>
      <c r="D99" s="653"/>
      <c r="E99" s="654"/>
      <c r="F99" s="79"/>
      <c r="G99" s="80"/>
      <c r="H99" s="79"/>
      <c r="I99" s="80"/>
      <c r="J99" s="79"/>
      <c r="K99" s="80"/>
      <c r="L99" s="79"/>
      <c r="M99" s="80"/>
      <c r="N99" s="79"/>
      <c r="O99" s="80"/>
      <c r="P99" s="572"/>
      <c r="Q99" s="587"/>
      <c r="R99" s="572"/>
      <c r="S99" s="587"/>
      <c r="T99" s="79"/>
      <c r="U99" s="80"/>
      <c r="V99" s="79"/>
      <c r="W99" s="80"/>
      <c r="X99" s="79"/>
      <c r="Y99" s="80"/>
      <c r="Z99" s="79"/>
      <c r="AA99" s="80"/>
      <c r="AB99" s="79"/>
      <c r="AC99" s="80"/>
      <c r="AD99" s="572"/>
      <c r="AE99" s="587"/>
      <c r="AF99" s="79"/>
      <c r="AG99" s="80"/>
      <c r="AH99" s="79"/>
      <c r="AI99" s="80"/>
      <c r="AJ99" s="79"/>
      <c r="AK99" s="80"/>
      <c r="AL99" s="79"/>
      <c r="AM99" s="80"/>
      <c r="AN99" s="79"/>
      <c r="AO99" s="80"/>
      <c r="AP99" s="79"/>
      <c r="AQ99" s="80"/>
      <c r="AR99" s="572"/>
      <c r="AS99" s="587"/>
      <c r="AT99" s="79"/>
      <c r="AU99" s="80"/>
      <c r="AV99" s="79"/>
      <c r="AW99" s="80"/>
      <c r="AX99" s="79"/>
      <c r="AY99" s="80"/>
      <c r="AZ99" s="79"/>
      <c r="BA99" s="80"/>
      <c r="BB99" s="79"/>
      <c r="BC99" s="80"/>
      <c r="BD99" s="79"/>
      <c r="BE99" s="80"/>
      <c r="BF99" s="572"/>
      <c r="BG99" s="587"/>
      <c r="BH99" s="79"/>
      <c r="BI99" s="80"/>
      <c r="BJ99" s="535">
        <f t="shared" si="8"/>
        <v>0</v>
      </c>
      <c r="BK99" s="545">
        <f t="shared" si="10"/>
        <v>0</v>
      </c>
    </row>
    <row r="100" spans="1:63" ht="15" customHeight="1" x14ac:dyDescent="0.35">
      <c r="A100" s="579"/>
      <c r="B100" s="546"/>
      <c r="C100" s="579"/>
      <c r="D100" s="653"/>
      <c r="E100" s="654"/>
      <c r="F100" s="79"/>
      <c r="G100" s="80"/>
      <c r="H100" s="79"/>
      <c r="I100" s="80"/>
      <c r="J100" s="79"/>
      <c r="K100" s="80"/>
      <c r="L100" s="79"/>
      <c r="M100" s="80"/>
      <c r="N100" s="79"/>
      <c r="O100" s="80"/>
      <c r="P100" s="572"/>
      <c r="Q100" s="587"/>
      <c r="R100" s="572"/>
      <c r="S100" s="587"/>
      <c r="T100" s="79"/>
      <c r="U100" s="80"/>
      <c r="V100" s="79"/>
      <c r="W100" s="80"/>
      <c r="X100" s="79"/>
      <c r="Y100" s="80"/>
      <c r="Z100" s="79"/>
      <c r="AA100" s="80"/>
      <c r="AB100" s="79"/>
      <c r="AC100" s="80"/>
      <c r="AD100" s="572"/>
      <c r="AE100" s="587"/>
      <c r="AF100" s="79"/>
      <c r="AG100" s="80"/>
      <c r="AH100" s="79"/>
      <c r="AI100" s="80"/>
      <c r="AJ100" s="79"/>
      <c r="AK100" s="80"/>
      <c r="AL100" s="79"/>
      <c r="AM100" s="80"/>
      <c r="AN100" s="79"/>
      <c r="AO100" s="80"/>
      <c r="AP100" s="79"/>
      <c r="AQ100" s="80"/>
      <c r="AR100" s="572"/>
      <c r="AS100" s="587"/>
      <c r="AT100" s="79"/>
      <c r="AU100" s="80"/>
      <c r="AV100" s="79"/>
      <c r="AW100" s="80"/>
      <c r="AX100" s="79"/>
      <c r="AY100" s="80"/>
      <c r="AZ100" s="79"/>
      <c r="BA100" s="80"/>
      <c r="BB100" s="79"/>
      <c r="BC100" s="80"/>
      <c r="BD100" s="79"/>
      <c r="BE100" s="80"/>
      <c r="BF100" s="572"/>
      <c r="BG100" s="587"/>
      <c r="BH100" s="79"/>
      <c r="BI100" s="80"/>
      <c r="BJ100" s="535">
        <f t="shared" si="8"/>
        <v>0</v>
      </c>
      <c r="BK100" s="545">
        <f t="shared" si="10"/>
        <v>0</v>
      </c>
    </row>
    <row r="101" spans="1:63" ht="15" customHeight="1" x14ac:dyDescent="0.35">
      <c r="A101" s="579"/>
      <c r="B101" s="546"/>
      <c r="C101" s="579">
        <f>SUM(BJ102:BJ104)</f>
        <v>0</v>
      </c>
      <c r="D101" s="647" t="s">
        <v>130</v>
      </c>
      <c r="E101" s="648"/>
      <c r="F101" s="79"/>
      <c r="G101" s="80"/>
      <c r="H101" s="79"/>
      <c r="I101" s="80"/>
      <c r="J101" s="79"/>
      <c r="K101" s="80"/>
      <c r="L101" s="79"/>
      <c r="M101" s="80"/>
      <c r="N101" s="79"/>
      <c r="O101" s="80"/>
      <c r="P101" s="572"/>
      <c r="Q101" s="587"/>
      <c r="R101" s="572"/>
      <c r="S101" s="587"/>
      <c r="T101" s="79"/>
      <c r="U101" s="80"/>
      <c r="V101" s="79"/>
      <c r="W101" s="80"/>
      <c r="X101" s="79"/>
      <c r="Y101" s="80"/>
      <c r="Z101" s="79"/>
      <c r="AA101" s="80"/>
      <c r="AB101" s="79"/>
      <c r="AC101" s="80"/>
      <c r="AD101" s="572"/>
      <c r="AE101" s="587"/>
      <c r="AF101" s="79"/>
      <c r="AG101" s="80"/>
      <c r="AH101" s="79"/>
      <c r="AI101" s="80"/>
      <c r="AJ101" s="79"/>
      <c r="AK101" s="80"/>
      <c r="AL101" s="79"/>
      <c r="AM101" s="80"/>
      <c r="AN101" s="79"/>
      <c r="AO101" s="80"/>
      <c r="AP101" s="79"/>
      <c r="AQ101" s="80"/>
      <c r="AR101" s="572"/>
      <c r="AS101" s="587"/>
      <c r="AT101" s="79"/>
      <c r="AU101" s="80"/>
      <c r="AV101" s="79"/>
      <c r="AW101" s="80"/>
      <c r="AX101" s="79"/>
      <c r="AY101" s="80"/>
      <c r="AZ101" s="79"/>
      <c r="BA101" s="80"/>
      <c r="BB101" s="79"/>
      <c r="BC101" s="80"/>
      <c r="BD101" s="79"/>
      <c r="BE101" s="80"/>
      <c r="BF101" s="572"/>
      <c r="BG101" s="587"/>
      <c r="BH101" s="79"/>
      <c r="BI101" s="80"/>
      <c r="BJ101" s="535">
        <f t="shared" ref="BJ101:BJ127" si="11">SUM(F101:BI101)</f>
        <v>0</v>
      </c>
      <c r="BK101" s="545">
        <f t="shared" si="10"/>
        <v>0</v>
      </c>
    </row>
    <row r="102" spans="1:63" ht="15" customHeight="1" x14ac:dyDescent="0.35">
      <c r="A102" s="579"/>
      <c r="B102" s="546" t="s">
        <v>85</v>
      </c>
      <c r="C102" s="579" t="s">
        <v>131</v>
      </c>
      <c r="D102" s="653" t="s">
        <v>132</v>
      </c>
      <c r="E102" s="654"/>
      <c r="F102" s="79"/>
      <c r="G102" s="80"/>
      <c r="H102" s="79"/>
      <c r="I102" s="80"/>
      <c r="J102" s="79"/>
      <c r="K102" s="80"/>
      <c r="L102" s="79"/>
      <c r="M102" s="80"/>
      <c r="N102" s="79"/>
      <c r="O102" s="80"/>
      <c r="P102" s="572"/>
      <c r="Q102" s="587"/>
      <c r="R102" s="572"/>
      <c r="S102" s="587"/>
      <c r="T102" s="79"/>
      <c r="U102" s="80"/>
      <c r="V102" s="79"/>
      <c r="W102" s="80"/>
      <c r="X102" s="79"/>
      <c r="Y102" s="80"/>
      <c r="Z102" s="79"/>
      <c r="AA102" s="80"/>
      <c r="AB102" s="79"/>
      <c r="AC102" s="80"/>
      <c r="AD102" s="572"/>
      <c r="AE102" s="587"/>
      <c r="AF102" s="79"/>
      <c r="AG102" s="80"/>
      <c r="AH102" s="79"/>
      <c r="AI102" s="80"/>
      <c r="AJ102" s="79"/>
      <c r="AK102" s="80"/>
      <c r="AL102" s="79"/>
      <c r="AM102" s="80"/>
      <c r="AN102" s="79"/>
      <c r="AO102" s="80"/>
      <c r="AP102" s="79"/>
      <c r="AQ102" s="80"/>
      <c r="AR102" s="572"/>
      <c r="AS102" s="587"/>
      <c r="AT102" s="79"/>
      <c r="AU102" s="80"/>
      <c r="AV102" s="79"/>
      <c r="AW102" s="80"/>
      <c r="AX102" s="79"/>
      <c r="AY102" s="80"/>
      <c r="AZ102" s="79"/>
      <c r="BA102" s="80"/>
      <c r="BB102" s="79"/>
      <c r="BC102" s="80"/>
      <c r="BD102" s="79"/>
      <c r="BE102" s="80"/>
      <c r="BF102" s="572"/>
      <c r="BG102" s="587"/>
      <c r="BH102" s="79"/>
      <c r="BI102" s="80"/>
      <c r="BJ102" s="535">
        <f t="shared" si="11"/>
        <v>0</v>
      </c>
      <c r="BK102" s="545">
        <f t="shared" si="10"/>
        <v>0</v>
      </c>
    </row>
    <row r="103" spans="1:63" ht="15" customHeight="1" x14ac:dyDescent="0.35">
      <c r="A103" s="579"/>
      <c r="B103" s="546"/>
      <c r="C103" s="579"/>
      <c r="D103" s="653"/>
      <c r="E103" s="654"/>
      <c r="F103" s="79"/>
      <c r="G103" s="80"/>
      <c r="H103" s="79"/>
      <c r="I103" s="80"/>
      <c r="J103" s="79"/>
      <c r="K103" s="80"/>
      <c r="L103" s="79"/>
      <c r="M103" s="80"/>
      <c r="N103" s="79"/>
      <c r="O103" s="80"/>
      <c r="P103" s="572"/>
      <c r="Q103" s="587"/>
      <c r="R103" s="572"/>
      <c r="S103" s="587"/>
      <c r="T103" s="79"/>
      <c r="U103" s="80"/>
      <c r="V103" s="79"/>
      <c r="W103" s="80"/>
      <c r="X103" s="79"/>
      <c r="Y103" s="80"/>
      <c r="Z103" s="79"/>
      <c r="AA103" s="80"/>
      <c r="AB103" s="79"/>
      <c r="AC103" s="80"/>
      <c r="AD103" s="572"/>
      <c r="AE103" s="587"/>
      <c r="AF103" s="79"/>
      <c r="AG103" s="80"/>
      <c r="AH103" s="79"/>
      <c r="AI103" s="80"/>
      <c r="AJ103" s="79"/>
      <c r="AK103" s="80"/>
      <c r="AL103" s="79"/>
      <c r="AM103" s="80"/>
      <c r="AN103" s="79"/>
      <c r="AO103" s="80"/>
      <c r="AP103" s="79"/>
      <c r="AQ103" s="80"/>
      <c r="AR103" s="572"/>
      <c r="AS103" s="587"/>
      <c r="AT103" s="79"/>
      <c r="AU103" s="80"/>
      <c r="AV103" s="79"/>
      <c r="AW103" s="80"/>
      <c r="AX103" s="79"/>
      <c r="AY103" s="80"/>
      <c r="AZ103" s="79"/>
      <c r="BA103" s="80"/>
      <c r="BB103" s="79"/>
      <c r="BC103" s="80"/>
      <c r="BD103" s="79"/>
      <c r="BE103" s="80"/>
      <c r="BF103" s="572"/>
      <c r="BG103" s="587"/>
      <c r="BH103" s="79"/>
      <c r="BI103" s="80"/>
      <c r="BJ103" s="535">
        <f t="shared" si="11"/>
        <v>0</v>
      </c>
      <c r="BK103" s="545">
        <f t="shared" si="10"/>
        <v>0</v>
      </c>
    </row>
    <row r="104" spans="1:63" ht="15" customHeight="1" x14ac:dyDescent="0.35">
      <c r="A104" s="579"/>
      <c r="B104" s="546"/>
      <c r="C104" s="579"/>
      <c r="D104" s="653"/>
      <c r="E104" s="654"/>
      <c r="F104" s="79"/>
      <c r="G104" s="80"/>
      <c r="H104" s="79"/>
      <c r="I104" s="80"/>
      <c r="J104" s="79"/>
      <c r="K104" s="80"/>
      <c r="L104" s="79"/>
      <c r="M104" s="80"/>
      <c r="N104" s="79"/>
      <c r="O104" s="80"/>
      <c r="P104" s="572"/>
      <c r="Q104" s="587"/>
      <c r="R104" s="572"/>
      <c r="S104" s="587"/>
      <c r="T104" s="79"/>
      <c r="U104" s="80"/>
      <c r="V104" s="79"/>
      <c r="W104" s="80"/>
      <c r="X104" s="79"/>
      <c r="Y104" s="80"/>
      <c r="Z104" s="79"/>
      <c r="AA104" s="80"/>
      <c r="AB104" s="79"/>
      <c r="AC104" s="80"/>
      <c r="AD104" s="572"/>
      <c r="AE104" s="587"/>
      <c r="AF104" s="79"/>
      <c r="AG104" s="80"/>
      <c r="AH104" s="79"/>
      <c r="AI104" s="80"/>
      <c r="AJ104" s="79"/>
      <c r="AK104" s="80"/>
      <c r="AL104" s="79"/>
      <c r="AM104" s="80"/>
      <c r="AN104" s="79"/>
      <c r="AO104" s="80"/>
      <c r="AP104" s="79"/>
      <c r="AQ104" s="80"/>
      <c r="AR104" s="572"/>
      <c r="AS104" s="587"/>
      <c r="AT104" s="79"/>
      <c r="AU104" s="80"/>
      <c r="AV104" s="79"/>
      <c r="AW104" s="80"/>
      <c r="AX104" s="79"/>
      <c r="AY104" s="80"/>
      <c r="AZ104" s="79"/>
      <c r="BA104" s="80"/>
      <c r="BB104" s="79"/>
      <c r="BC104" s="80"/>
      <c r="BD104" s="79"/>
      <c r="BE104" s="80"/>
      <c r="BF104" s="572"/>
      <c r="BG104" s="587"/>
      <c r="BH104" s="79"/>
      <c r="BI104" s="80"/>
      <c r="BJ104" s="535">
        <f t="shared" si="11"/>
        <v>0</v>
      </c>
      <c r="BK104" s="545">
        <f t="shared" si="10"/>
        <v>0</v>
      </c>
    </row>
    <row r="105" spans="1:63" ht="15" customHeight="1" x14ac:dyDescent="0.35">
      <c r="A105" s="579"/>
      <c r="B105" s="546"/>
      <c r="C105" s="579">
        <f>SUM(BJ106:BJ112)</f>
        <v>0</v>
      </c>
      <c r="D105" s="647" t="s">
        <v>133</v>
      </c>
      <c r="E105" s="648"/>
      <c r="F105" s="79"/>
      <c r="G105" s="80"/>
      <c r="H105" s="79"/>
      <c r="I105" s="80"/>
      <c r="J105" s="79"/>
      <c r="K105" s="80"/>
      <c r="L105" s="79"/>
      <c r="M105" s="80"/>
      <c r="N105" s="79"/>
      <c r="O105" s="80"/>
      <c r="P105" s="572"/>
      <c r="Q105" s="587"/>
      <c r="R105" s="572"/>
      <c r="S105" s="587"/>
      <c r="T105" s="79"/>
      <c r="U105" s="80"/>
      <c r="V105" s="79"/>
      <c r="W105" s="80"/>
      <c r="X105" s="79"/>
      <c r="Y105" s="80"/>
      <c r="Z105" s="79"/>
      <c r="AA105" s="80"/>
      <c r="AB105" s="79"/>
      <c r="AC105" s="80"/>
      <c r="AD105" s="572"/>
      <c r="AE105" s="587"/>
      <c r="AF105" s="79"/>
      <c r="AG105" s="80"/>
      <c r="AH105" s="79"/>
      <c r="AI105" s="80"/>
      <c r="AJ105" s="79"/>
      <c r="AK105" s="80"/>
      <c r="AL105" s="79"/>
      <c r="AM105" s="80"/>
      <c r="AN105" s="79"/>
      <c r="AO105" s="80"/>
      <c r="AP105" s="79"/>
      <c r="AQ105" s="80"/>
      <c r="AR105" s="572"/>
      <c r="AS105" s="587"/>
      <c r="AT105" s="79"/>
      <c r="AU105" s="80"/>
      <c r="AV105" s="79"/>
      <c r="AW105" s="80"/>
      <c r="AX105" s="79"/>
      <c r="AY105" s="80"/>
      <c r="AZ105" s="79"/>
      <c r="BA105" s="80"/>
      <c r="BB105" s="79"/>
      <c r="BC105" s="80"/>
      <c r="BD105" s="79"/>
      <c r="BE105" s="80"/>
      <c r="BF105" s="572"/>
      <c r="BG105" s="587"/>
      <c r="BH105" s="79"/>
      <c r="BI105" s="80"/>
      <c r="BJ105" s="535">
        <f t="shared" si="11"/>
        <v>0</v>
      </c>
      <c r="BK105" s="545">
        <f t="shared" si="10"/>
        <v>0</v>
      </c>
    </row>
    <row r="106" spans="1:63" ht="15" customHeight="1" x14ac:dyDescent="0.35">
      <c r="A106" s="579"/>
      <c r="B106" s="546" t="s">
        <v>44</v>
      </c>
      <c r="C106" s="579" t="s">
        <v>134</v>
      </c>
      <c r="D106" s="653" t="s">
        <v>135</v>
      </c>
      <c r="E106" s="654"/>
      <c r="F106" s="79"/>
      <c r="G106" s="80"/>
      <c r="H106" s="79"/>
      <c r="I106" s="80"/>
      <c r="J106" s="79"/>
      <c r="K106" s="80"/>
      <c r="L106" s="79"/>
      <c r="M106" s="80"/>
      <c r="N106" s="79"/>
      <c r="O106" s="80"/>
      <c r="P106" s="572"/>
      <c r="Q106" s="587"/>
      <c r="R106" s="572"/>
      <c r="S106" s="587"/>
      <c r="T106" s="79"/>
      <c r="U106" s="80"/>
      <c r="V106" s="79"/>
      <c r="W106" s="80"/>
      <c r="X106" s="79"/>
      <c r="Y106" s="80"/>
      <c r="Z106" s="79"/>
      <c r="AA106" s="80"/>
      <c r="AB106" s="79"/>
      <c r="AC106" s="80"/>
      <c r="AD106" s="572"/>
      <c r="AE106" s="587"/>
      <c r="AF106" s="79"/>
      <c r="AG106" s="80"/>
      <c r="AH106" s="79"/>
      <c r="AI106" s="80"/>
      <c r="AJ106" s="79"/>
      <c r="AK106" s="80"/>
      <c r="AL106" s="79"/>
      <c r="AM106" s="80"/>
      <c r="AN106" s="79"/>
      <c r="AO106" s="80"/>
      <c r="AP106" s="79"/>
      <c r="AQ106" s="80"/>
      <c r="AR106" s="572"/>
      <c r="AS106" s="587"/>
      <c r="AT106" s="79"/>
      <c r="AU106" s="80"/>
      <c r="AV106" s="79"/>
      <c r="AW106" s="80"/>
      <c r="AX106" s="79"/>
      <c r="AY106" s="80"/>
      <c r="AZ106" s="79"/>
      <c r="BA106" s="80"/>
      <c r="BB106" s="79"/>
      <c r="BC106" s="80"/>
      <c r="BD106" s="79"/>
      <c r="BE106" s="80"/>
      <c r="BF106" s="572"/>
      <c r="BG106" s="587"/>
      <c r="BH106" s="79"/>
      <c r="BI106" s="80"/>
      <c r="BJ106" s="535">
        <f t="shared" si="11"/>
        <v>0</v>
      </c>
      <c r="BK106" s="545">
        <f t="shared" si="10"/>
        <v>0</v>
      </c>
    </row>
    <row r="107" spans="1:63" ht="15" customHeight="1" x14ac:dyDescent="0.35">
      <c r="A107" s="579"/>
      <c r="B107" s="546" t="s">
        <v>44</v>
      </c>
      <c r="C107" s="579" t="s">
        <v>136</v>
      </c>
      <c r="D107" s="653" t="s">
        <v>137</v>
      </c>
      <c r="E107" s="654"/>
      <c r="F107" s="79"/>
      <c r="G107" s="80"/>
      <c r="H107" s="79"/>
      <c r="I107" s="80"/>
      <c r="J107" s="79"/>
      <c r="K107" s="80"/>
      <c r="L107" s="79"/>
      <c r="M107" s="80"/>
      <c r="N107" s="79"/>
      <c r="O107" s="80"/>
      <c r="P107" s="572"/>
      <c r="Q107" s="587"/>
      <c r="R107" s="572"/>
      <c r="S107" s="587"/>
      <c r="T107" s="79"/>
      <c r="U107" s="80"/>
      <c r="V107" s="79"/>
      <c r="W107" s="80"/>
      <c r="X107" s="79"/>
      <c r="Y107" s="80"/>
      <c r="Z107" s="79"/>
      <c r="AA107" s="80"/>
      <c r="AB107" s="79"/>
      <c r="AC107" s="80"/>
      <c r="AD107" s="572"/>
      <c r="AE107" s="587"/>
      <c r="AF107" s="79"/>
      <c r="AG107" s="80"/>
      <c r="AH107" s="79"/>
      <c r="AI107" s="80"/>
      <c r="AJ107" s="79"/>
      <c r="AK107" s="80"/>
      <c r="AL107" s="79"/>
      <c r="AM107" s="80"/>
      <c r="AN107" s="79"/>
      <c r="AO107" s="80"/>
      <c r="AP107" s="79"/>
      <c r="AQ107" s="80"/>
      <c r="AR107" s="572"/>
      <c r="AS107" s="587"/>
      <c r="AT107" s="79"/>
      <c r="AU107" s="80"/>
      <c r="AV107" s="79"/>
      <c r="AW107" s="80"/>
      <c r="AX107" s="79"/>
      <c r="AY107" s="80"/>
      <c r="AZ107" s="79"/>
      <c r="BA107" s="80"/>
      <c r="BB107" s="79"/>
      <c r="BC107" s="80"/>
      <c r="BD107" s="79"/>
      <c r="BE107" s="80"/>
      <c r="BF107" s="572"/>
      <c r="BG107" s="587"/>
      <c r="BH107" s="79"/>
      <c r="BI107" s="80"/>
      <c r="BJ107" s="535">
        <f t="shared" si="11"/>
        <v>0</v>
      </c>
      <c r="BK107" s="545">
        <f t="shared" si="10"/>
        <v>0</v>
      </c>
    </row>
    <row r="108" spans="1:63" ht="15" customHeight="1" x14ac:dyDescent="0.35">
      <c r="A108" s="579"/>
      <c r="B108" s="546" t="s">
        <v>44</v>
      </c>
      <c r="C108" s="579" t="s">
        <v>138</v>
      </c>
      <c r="D108" s="653" t="s">
        <v>139</v>
      </c>
      <c r="E108" s="654"/>
      <c r="F108" s="79"/>
      <c r="G108" s="80"/>
      <c r="H108" s="79"/>
      <c r="I108" s="80"/>
      <c r="J108" s="79"/>
      <c r="K108" s="80"/>
      <c r="L108" s="79"/>
      <c r="M108" s="80"/>
      <c r="N108" s="79"/>
      <c r="O108" s="80"/>
      <c r="P108" s="572"/>
      <c r="Q108" s="587"/>
      <c r="R108" s="572"/>
      <c r="S108" s="587"/>
      <c r="T108" s="79"/>
      <c r="U108" s="80"/>
      <c r="V108" s="79"/>
      <c r="W108" s="80"/>
      <c r="X108" s="79"/>
      <c r="Y108" s="80"/>
      <c r="Z108" s="79"/>
      <c r="AA108" s="80"/>
      <c r="AB108" s="79"/>
      <c r="AC108" s="80"/>
      <c r="AD108" s="572"/>
      <c r="AE108" s="587"/>
      <c r="AF108" s="79"/>
      <c r="AG108" s="80"/>
      <c r="AH108" s="79"/>
      <c r="AI108" s="80"/>
      <c r="AJ108" s="79"/>
      <c r="AK108" s="80"/>
      <c r="AL108" s="79"/>
      <c r="AM108" s="80"/>
      <c r="AN108" s="79"/>
      <c r="AO108" s="80"/>
      <c r="AP108" s="79"/>
      <c r="AQ108" s="80"/>
      <c r="AR108" s="572"/>
      <c r="AS108" s="587"/>
      <c r="AT108" s="79"/>
      <c r="AU108" s="80"/>
      <c r="AV108" s="79"/>
      <c r="AW108" s="80"/>
      <c r="AX108" s="79"/>
      <c r="AY108" s="80"/>
      <c r="AZ108" s="79"/>
      <c r="BA108" s="80"/>
      <c r="BB108" s="79"/>
      <c r="BC108" s="80"/>
      <c r="BD108" s="79"/>
      <c r="BE108" s="80"/>
      <c r="BF108" s="572"/>
      <c r="BG108" s="587"/>
      <c r="BH108" s="79"/>
      <c r="BI108" s="80"/>
      <c r="BJ108" s="535">
        <f t="shared" si="11"/>
        <v>0</v>
      </c>
      <c r="BK108" s="545">
        <f t="shared" si="10"/>
        <v>0</v>
      </c>
    </row>
    <row r="109" spans="1:63" ht="15.75" customHeight="1" x14ac:dyDescent="0.35">
      <c r="A109" s="579"/>
      <c r="B109" s="546" t="s">
        <v>44</v>
      </c>
      <c r="C109" s="579" t="s">
        <v>140</v>
      </c>
      <c r="D109" s="653" t="s">
        <v>141</v>
      </c>
      <c r="E109" s="654"/>
      <c r="F109" s="79"/>
      <c r="G109" s="80"/>
      <c r="H109" s="79"/>
      <c r="I109" s="80"/>
      <c r="J109" s="79"/>
      <c r="K109" s="80"/>
      <c r="L109" s="79"/>
      <c r="M109" s="80"/>
      <c r="N109" s="79"/>
      <c r="O109" s="80"/>
      <c r="P109" s="572"/>
      <c r="Q109" s="587"/>
      <c r="R109" s="572"/>
      <c r="S109" s="587"/>
      <c r="T109" s="79"/>
      <c r="U109" s="80"/>
      <c r="V109" s="79"/>
      <c r="W109" s="80"/>
      <c r="X109" s="79"/>
      <c r="Y109" s="80"/>
      <c r="Z109" s="79"/>
      <c r="AA109" s="80"/>
      <c r="AB109" s="79"/>
      <c r="AC109" s="80"/>
      <c r="AD109" s="572"/>
      <c r="AE109" s="587"/>
      <c r="AF109" s="79"/>
      <c r="AG109" s="80"/>
      <c r="AH109" s="79"/>
      <c r="AI109" s="80"/>
      <c r="AJ109" s="79"/>
      <c r="AK109" s="80"/>
      <c r="AL109" s="79"/>
      <c r="AM109" s="80"/>
      <c r="AN109" s="79"/>
      <c r="AO109" s="80"/>
      <c r="AP109" s="79"/>
      <c r="AQ109" s="80"/>
      <c r="AR109" s="572"/>
      <c r="AS109" s="587"/>
      <c r="AT109" s="79"/>
      <c r="AU109" s="80"/>
      <c r="AV109" s="79"/>
      <c r="AW109" s="80"/>
      <c r="AX109" s="79"/>
      <c r="AY109" s="80"/>
      <c r="AZ109" s="79"/>
      <c r="BA109" s="80"/>
      <c r="BB109" s="79"/>
      <c r="BC109" s="80"/>
      <c r="BD109" s="79"/>
      <c r="BE109" s="80"/>
      <c r="BF109" s="572"/>
      <c r="BG109" s="587"/>
      <c r="BH109" s="79"/>
      <c r="BI109" s="80"/>
      <c r="BJ109" s="535">
        <f t="shared" si="11"/>
        <v>0</v>
      </c>
      <c r="BK109" s="545">
        <f t="shared" si="10"/>
        <v>0</v>
      </c>
    </row>
    <row r="110" spans="1:63" ht="15" customHeight="1" x14ac:dyDescent="0.35">
      <c r="A110" s="579"/>
      <c r="B110" s="546" t="s">
        <v>44</v>
      </c>
      <c r="C110" s="579" t="s">
        <v>142</v>
      </c>
      <c r="D110" s="653" t="s">
        <v>143</v>
      </c>
      <c r="E110" s="654"/>
      <c r="F110" s="79"/>
      <c r="G110" s="80"/>
      <c r="H110" s="79"/>
      <c r="I110" s="80"/>
      <c r="J110" s="79"/>
      <c r="K110" s="80"/>
      <c r="L110" s="79"/>
      <c r="M110" s="80"/>
      <c r="N110" s="79"/>
      <c r="O110" s="80"/>
      <c r="P110" s="572"/>
      <c r="Q110" s="587"/>
      <c r="R110" s="572"/>
      <c r="S110" s="587"/>
      <c r="T110" s="79"/>
      <c r="U110" s="80"/>
      <c r="V110" s="79"/>
      <c r="W110" s="80"/>
      <c r="X110" s="79"/>
      <c r="Y110" s="80"/>
      <c r="Z110" s="79"/>
      <c r="AA110" s="80"/>
      <c r="AB110" s="79"/>
      <c r="AC110" s="80"/>
      <c r="AD110" s="572"/>
      <c r="AE110" s="587"/>
      <c r="AF110" s="79"/>
      <c r="AG110" s="80"/>
      <c r="AH110" s="79"/>
      <c r="AI110" s="80"/>
      <c r="AJ110" s="79"/>
      <c r="AK110" s="80"/>
      <c r="AL110" s="79"/>
      <c r="AM110" s="80"/>
      <c r="AN110" s="79"/>
      <c r="AO110" s="80"/>
      <c r="AP110" s="79"/>
      <c r="AQ110" s="80"/>
      <c r="AR110" s="572"/>
      <c r="AS110" s="587"/>
      <c r="AT110" s="79"/>
      <c r="AU110" s="80"/>
      <c r="AV110" s="79"/>
      <c r="AW110" s="80"/>
      <c r="AX110" s="79"/>
      <c r="AY110" s="80"/>
      <c r="AZ110" s="79"/>
      <c r="BA110" s="80"/>
      <c r="BB110" s="79"/>
      <c r="BC110" s="80"/>
      <c r="BD110" s="79"/>
      <c r="BE110" s="80"/>
      <c r="BF110" s="572"/>
      <c r="BG110" s="587"/>
      <c r="BH110" s="79"/>
      <c r="BI110" s="80"/>
      <c r="BJ110" s="535">
        <f t="shared" si="11"/>
        <v>0</v>
      </c>
      <c r="BK110" s="545">
        <f t="shared" si="10"/>
        <v>0</v>
      </c>
    </row>
    <row r="111" spans="1:63" ht="15" customHeight="1" x14ac:dyDescent="0.35">
      <c r="A111" s="579"/>
      <c r="B111" s="546" t="s">
        <v>85</v>
      </c>
      <c r="C111" s="579" t="s">
        <v>144</v>
      </c>
      <c r="D111" s="653" t="s">
        <v>143</v>
      </c>
      <c r="E111" s="654"/>
      <c r="F111" s="79"/>
      <c r="G111" s="80"/>
      <c r="H111" s="79"/>
      <c r="I111" s="80"/>
      <c r="J111" s="79"/>
      <c r="K111" s="80"/>
      <c r="L111" s="79"/>
      <c r="M111" s="80"/>
      <c r="N111" s="79"/>
      <c r="O111" s="80"/>
      <c r="P111" s="572"/>
      <c r="Q111" s="587"/>
      <c r="R111" s="572"/>
      <c r="S111" s="587"/>
      <c r="T111" s="79"/>
      <c r="U111" s="80"/>
      <c r="V111" s="79"/>
      <c r="W111" s="80"/>
      <c r="X111" s="79"/>
      <c r="Y111" s="80"/>
      <c r="Z111" s="79"/>
      <c r="AA111" s="80"/>
      <c r="AB111" s="79"/>
      <c r="AC111" s="80"/>
      <c r="AD111" s="572"/>
      <c r="AE111" s="587"/>
      <c r="AF111" s="79"/>
      <c r="AG111" s="80"/>
      <c r="AH111" s="79"/>
      <c r="AI111" s="80"/>
      <c r="AJ111" s="79"/>
      <c r="AK111" s="80"/>
      <c r="AL111" s="79"/>
      <c r="AM111" s="80"/>
      <c r="AN111" s="79"/>
      <c r="AO111" s="80"/>
      <c r="AP111" s="79"/>
      <c r="AQ111" s="80"/>
      <c r="AR111" s="572"/>
      <c r="AS111" s="587"/>
      <c r="AT111" s="79"/>
      <c r="AU111" s="80"/>
      <c r="AV111" s="79"/>
      <c r="AW111" s="80"/>
      <c r="AX111" s="79"/>
      <c r="AY111" s="80"/>
      <c r="AZ111" s="79"/>
      <c r="BA111" s="80"/>
      <c r="BB111" s="79"/>
      <c r="BC111" s="80"/>
      <c r="BD111" s="79"/>
      <c r="BE111" s="80"/>
      <c r="BF111" s="572"/>
      <c r="BG111" s="587"/>
      <c r="BH111" s="79"/>
      <c r="BI111" s="80"/>
      <c r="BJ111" s="535">
        <f t="shared" si="11"/>
        <v>0</v>
      </c>
      <c r="BK111" s="545">
        <f t="shared" si="10"/>
        <v>0</v>
      </c>
    </row>
    <row r="112" spans="1:63" ht="15.75" customHeight="1" x14ac:dyDescent="0.35">
      <c r="A112" s="579"/>
      <c r="B112" s="546"/>
      <c r="C112" s="579"/>
      <c r="D112" s="653"/>
      <c r="E112" s="654"/>
      <c r="F112" s="590"/>
      <c r="G112" s="562"/>
      <c r="H112" s="590"/>
      <c r="I112" s="562"/>
      <c r="J112" s="590"/>
      <c r="K112" s="562"/>
      <c r="L112" s="590"/>
      <c r="M112" s="562"/>
      <c r="N112" s="590"/>
      <c r="O112" s="562"/>
      <c r="P112" s="572"/>
      <c r="Q112" s="587"/>
      <c r="R112" s="572"/>
      <c r="S112" s="587"/>
      <c r="T112" s="590"/>
      <c r="U112" s="562"/>
      <c r="V112" s="590"/>
      <c r="W112" s="562"/>
      <c r="X112" s="590"/>
      <c r="Y112" s="562"/>
      <c r="Z112" s="590"/>
      <c r="AA112" s="562"/>
      <c r="AB112" s="590"/>
      <c r="AC112" s="562"/>
      <c r="AD112" s="572"/>
      <c r="AE112" s="587"/>
      <c r="AF112" s="590"/>
      <c r="AG112" s="562"/>
      <c r="AH112" s="590"/>
      <c r="AI112" s="562"/>
      <c r="AJ112" s="590"/>
      <c r="AK112" s="562"/>
      <c r="AL112" s="590"/>
      <c r="AM112" s="562"/>
      <c r="AN112" s="590"/>
      <c r="AO112" s="562"/>
      <c r="AP112" s="590"/>
      <c r="AQ112" s="562"/>
      <c r="AR112" s="572"/>
      <c r="AS112" s="587"/>
      <c r="AT112" s="590"/>
      <c r="AU112" s="562"/>
      <c r="AV112" s="590"/>
      <c r="AW112" s="562"/>
      <c r="AX112" s="590"/>
      <c r="AY112" s="562"/>
      <c r="AZ112" s="590"/>
      <c r="BA112" s="562"/>
      <c r="BB112" s="590"/>
      <c r="BC112" s="562"/>
      <c r="BD112" s="590"/>
      <c r="BE112" s="562"/>
      <c r="BF112" s="572"/>
      <c r="BG112" s="587"/>
      <c r="BH112" s="590"/>
      <c r="BI112" s="562"/>
      <c r="BJ112" s="535">
        <f t="shared" si="11"/>
        <v>0</v>
      </c>
      <c r="BK112" s="545">
        <f t="shared" si="10"/>
        <v>0</v>
      </c>
    </row>
    <row r="113" spans="1:63" ht="15.75" customHeight="1" x14ac:dyDescent="0.35">
      <c r="A113" s="579"/>
      <c r="B113" s="546"/>
      <c r="C113" s="579">
        <f>SUM(BJ114:BJ118)</f>
        <v>0</v>
      </c>
      <c r="D113" s="647" t="s">
        <v>145</v>
      </c>
      <c r="E113" s="648"/>
      <c r="F113" s="590"/>
      <c r="G113" s="562"/>
      <c r="H113" s="590"/>
      <c r="I113" s="562"/>
      <c r="J113" s="590"/>
      <c r="K113" s="562"/>
      <c r="L113" s="590"/>
      <c r="M113" s="562"/>
      <c r="N113" s="590"/>
      <c r="O113" s="562"/>
      <c r="P113" s="572"/>
      <c r="Q113" s="587"/>
      <c r="R113" s="572"/>
      <c r="S113" s="587"/>
      <c r="T113" s="590"/>
      <c r="U113" s="562"/>
      <c r="V113" s="590"/>
      <c r="W113" s="562"/>
      <c r="X113" s="590"/>
      <c r="Y113" s="562"/>
      <c r="Z113" s="590"/>
      <c r="AA113" s="562"/>
      <c r="AB113" s="590"/>
      <c r="AC113" s="562"/>
      <c r="AD113" s="572"/>
      <c r="AE113" s="587"/>
      <c r="AF113" s="590"/>
      <c r="AG113" s="562"/>
      <c r="AH113" s="590"/>
      <c r="AI113" s="562"/>
      <c r="AJ113" s="590"/>
      <c r="AK113" s="562"/>
      <c r="AL113" s="590"/>
      <c r="AM113" s="562"/>
      <c r="AN113" s="590"/>
      <c r="AO113" s="562"/>
      <c r="AP113" s="590"/>
      <c r="AQ113" s="562"/>
      <c r="AR113" s="572"/>
      <c r="AS113" s="587"/>
      <c r="AT113" s="590"/>
      <c r="AU113" s="562"/>
      <c r="AV113" s="590"/>
      <c r="AW113" s="562"/>
      <c r="AX113" s="590"/>
      <c r="AY113" s="562"/>
      <c r="AZ113" s="590"/>
      <c r="BA113" s="562"/>
      <c r="BB113" s="590"/>
      <c r="BC113" s="562"/>
      <c r="BD113" s="590"/>
      <c r="BE113" s="562"/>
      <c r="BF113" s="572"/>
      <c r="BG113" s="587"/>
      <c r="BH113" s="590"/>
      <c r="BI113" s="562"/>
      <c r="BJ113" s="535">
        <f t="shared" si="11"/>
        <v>0</v>
      </c>
      <c r="BK113" s="545">
        <f t="shared" si="10"/>
        <v>0</v>
      </c>
    </row>
    <row r="114" spans="1:63" ht="15" customHeight="1" x14ac:dyDescent="0.35">
      <c r="A114" s="579"/>
      <c r="B114" s="546" t="s">
        <v>85</v>
      </c>
      <c r="C114" s="579" t="s">
        <v>146</v>
      </c>
      <c r="D114" s="653" t="s">
        <v>147</v>
      </c>
      <c r="E114" s="654"/>
      <c r="F114" s="590"/>
      <c r="G114" s="562"/>
      <c r="H114" s="590"/>
      <c r="I114" s="562"/>
      <c r="J114" s="590"/>
      <c r="K114" s="562"/>
      <c r="L114" s="590"/>
      <c r="M114" s="562"/>
      <c r="N114" s="590"/>
      <c r="O114" s="562"/>
      <c r="P114" s="572"/>
      <c r="Q114" s="587"/>
      <c r="R114" s="572"/>
      <c r="S114" s="587"/>
      <c r="T114" s="590"/>
      <c r="U114" s="562"/>
      <c r="V114" s="590"/>
      <c r="W114" s="562"/>
      <c r="X114" s="590"/>
      <c r="Y114" s="562"/>
      <c r="Z114" s="590"/>
      <c r="AA114" s="562"/>
      <c r="AB114" s="590"/>
      <c r="AC114" s="562"/>
      <c r="AD114" s="572"/>
      <c r="AE114" s="587"/>
      <c r="AF114" s="590"/>
      <c r="AG114" s="562"/>
      <c r="AH114" s="590"/>
      <c r="AI114" s="562"/>
      <c r="AJ114" s="590"/>
      <c r="AK114" s="562"/>
      <c r="AL114" s="590"/>
      <c r="AM114" s="562"/>
      <c r="AN114" s="590"/>
      <c r="AO114" s="562"/>
      <c r="AP114" s="590"/>
      <c r="AQ114" s="562"/>
      <c r="AR114" s="572"/>
      <c r="AS114" s="587"/>
      <c r="AT114" s="590"/>
      <c r="AU114" s="562"/>
      <c r="AV114" s="590"/>
      <c r="AW114" s="562"/>
      <c r="AX114" s="590"/>
      <c r="AY114" s="562"/>
      <c r="AZ114" s="590"/>
      <c r="BA114" s="562"/>
      <c r="BB114" s="590"/>
      <c r="BC114" s="562"/>
      <c r="BD114" s="590"/>
      <c r="BE114" s="562"/>
      <c r="BF114" s="572"/>
      <c r="BG114" s="587"/>
      <c r="BH114" s="590"/>
      <c r="BI114" s="562"/>
      <c r="BJ114" s="535">
        <f t="shared" si="11"/>
        <v>0</v>
      </c>
      <c r="BK114" s="545">
        <f t="shared" si="10"/>
        <v>0</v>
      </c>
    </row>
    <row r="115" spans="1:63" ht="15" customHeight="1" x14ac:dyDescent="0.35">
      <c r="A115" s="579"/>
      <c r="B115" s="546" t="s">
        <v>44</v>
      </c>
      <c r="C115" s="579" t="s">
        <v>148</v>
      </c>
      <c r="D115" s="653" t="s">
        <v>137</v>
      </c>
      <c r="E115" s="654"/>
      <c r="F115" s="590"/>
      <c r="G115" s="562"/>
      <c r="H115" s="590"/>
      <c r="I115" s="562"/>
      <c r="J115" s="590"/>
      <c r="K115" s="562"/>
      <c r="L115" s="590"/>
      <c r="M115" s="562"/>
      <c r="N115" s="590"/>
      <c r="O115" s="562"/>
      <c r="P115" s="572"/>
      <c r="Q115" s="587"/>
      <c r="R115" s="572"/>
      <c r="S115" s="587"/>
      <c r="T115" s="590"/>
      <c r="U115" s="562"/>
      <c r="V115" s="590"/>
      <c r="W115" s="562"/>
      <c r="X115" s="590"/>
      <c r="Y115" s="562"/>
      <c r="Z115" s="590"/>
      <c r="AA115" s="562"/>
      <c r="AB115" s="590"/>
      <c r="AC115" s="562"/>
      <c r="AD115" s="572"/>
      <c r="AE115" s="587"/>
      <c r="AF115" s="590"/>
      <c r="AG115" s="562"/>
      <c r="AH115" s="590"/>
      <c r="AI115" s="562"/>
      <c r="AJ115" s="590"/>
      <c r="AK115" s="562"/>
      <c r="AL115" s="590"/>
      <c r="AM115" s="562"/>
      <c r="AN115" s="590"/>
      <c r="AO115" s="562"/>
      <c r="AP115" s="590"/>
      <c r="AQ115" s="562"/>
      <c r="AR115" s="572"/>
      <c r="AS115" s="587"/>
      <c r="AT115" s="590"/>
      <c r="AU115" s="562"/>
      <c r="AV115" s="590"/>
      <c r="AW115" s="562"/>
      <c r="AX115" s="590"/>
      <c r="AY115" s="562"/>
      <c r="AZ115" s="590"/>
      <c r="BA115" s="562"/>
      <c r="BB115" s="590"/>
      <c r="BC115" s="562"/>
      <c r="BD115" s="590"/>
      <c r="BE115" s="562"/>
      <c r="BF115" s="572"/>
      <c r="BG115" s="587"/>
      <c r="BH115" s="590"/>
      <c r="BI115" s="562"/>
      <c r="BJ115" s="535">
        <f t="shared" si="11"/>
        <v>0</v>
      </c>
      <c r="BK115" s="545">
        <f t="shared" si="10"/>
        <v>0</v>
      </c>
    </row>
    <row r="116" spans="1:63" ht="15" customHeight="1" x14ac:dyDescent="0.35">
      <c r="A116" s="579"/>
      <c r="B116" s="546" t="s">
        <v>44</v>
      </c>
      <c r="C116" s="579" t="s">
        <v>149</v>
      </c>
      <c r="D116" s="653" t="s">
        <v>150</v>
      </c>
      <c r="E116" s="654"/>
      <c r="F116" s="590"/>
      <c r="G116" s="562"/>
      <c r="H116" s="590"/>
      <c r="I116" s="562"/>
      <c r="J116" s="590"/>
      <c r="K116" s="562"/>
      <c r="L116" s="590"/>
      <c r="M116" s="562"/>
      <c r="N116" s="590"/>
      <c r="O116" s="562"/>
      <c r="P116" s="572"/>
      <c r="Q116" s="587"/>
      <c r="R116" s="572"/>
      <c r="S116" s="587"/>
      <c r="T116" s="590"/>
      <c r="U116" s="562"/>
      <c r="V116" s="590"/>
      <c r="W116" s="562"/>
      <c r="X116" s="590"/>
      <c r="Y116" s="562"/>
      <c r="Z116" s="590"/>
      <c r="AA116" s="562"/>
      <c r="AB116" s="590"/>
      <c r="AC116" s="562"/>
      <c r="AD116" s="572"/>
      <c r="AE116" s="587"/>
      <c r="AF116" s="590"/>
      <c r="AG116" s="562"/>
      <c r="AH116" s="590"/>
      <c r="AI116" s="562"/>
      <c r="AJ116" s="590"/>
      <c r="AK116" s="562"/>
      <c r="AL116" s="590"/>
      <c r="AM116" s="562"/>
      <c r="AN116" s="590"/>
      <c r="AO116" s="562"/>
      <c r="AP116" s="590"/>
      <c r="AQ116" s="562"/>
      <c r="AR116" s="572"/>
      <c r="AS116" s="587"/>
      <c r="AT116" s="590"/>
      <c r="AU116" s="562"/>
      <c r="AV116" s="590"/>
      <c r="AW116" s="562"/>
      <c r="AX116" s="590"/>
      <c r="AY116" s="562"/>
      <c r="AZ116" s="590"/>
      <c r="BA116" s="562"/>
      <c r="BB116" s="590"/>
      <c r="BC116" s="562"/>
      <c r="BD116" s="590"/>
      <c r="BE116" s="562"/>
      <c r="BF116" s="572"/>
      <c r="BG116" s="587"/>
      <c r="BH116" s="590"/>
      <c r="BI116" s="562"/>
      <c r="BJ116" s="535">
        <f t="shared" si="11"/>
        <v>0</v>
      </c>
      <c r="BK116" s="545">
        <f t="shared" si="10"/>
        <v>0</v>
      </c>
    </row>
    <row r="117" spans="1:63" ht="15" customHeight="1" x14ac:dyDescent="0.35">
      <c r="A117" s="579"/>
      <c r="B117" s="579"/>
      <c r="C117" s="579"/>
      <c r="D117" s="653"/>
      <c r="E117" s="654"/>
      <c r="F117" s="590"/>
      <c r="G117" s="562"/>
      <c r="H117" s="590"/>
      <c r="I117" s="562"/>
      <c r="J117" s="590"/>
      <c r="K117" s="562"/>
      <c r="L117" s="590"/>
      <c r="M117" s="562"/>
      <c r="N117" s="590"/>
      <c r="O117" s="562"/>
      <c r="P117" s="572"/>
      <c r="Q117" s="587"/>
      <c r="R117" s="572"/>
      <c r="S117" s="587"/>
      <c r="T117" s="590"/>
      <c r="U117" s="562"/>
      <c r="V117" s="590"/>
      <c r="W117" s="562"/>
      <c r="X117" s="590"/>
      <c r="Y117" s="562"/>
      <c r="Z117" s="590"/>
      <c r="AA117" s="562"/>
      <c r="AB117" s="590"/>
      <c r="AC117" s="562"/>
      <c r="AD117" s="572"/>
      <c r="AE117" s="587"/>
      <c r="AF117" s="590"/>
      <c r="AG117" s="562"/>
      <c r="AH117" s="590"/>
      <c r="AI117" s="562"/>
      <c r="AJ117" s="590"/>
      <c r="AK117" s="562"/>
      <c r="AL117" s="590"/>
      <c r="AM117" s="562"/>
      <c r="AN117" s="590"/>
      <c r="AO117" s="562"/>
      <c r="AP117" s="590"/>
      <c r="AQ117" s="562"/>
      <c r="AR117" s="572"/>
      <c r="AS117" s="587"/>
      <c r="AT117" s="590"/>
      <c r="AU117" s="562"/>
      <c r="AV117" s="590"/>
      <c r="AW117" s="562"/>
      <c r="AX117" s="590"/>
      <c r="AY117" s="562"/>
      <c r="AZ117" s="590"/>
      <c r="BA117" s="562"/>
      <c r="BB117" s="590"/>
      <c r="BC117" s="562"/>
      <c r="BD117" s="590"/>
      <c r="BE117" s="562"/>
      <c r="BF117" s="572"/>
      <c r="BG117" s="587"/>
      <c r="BH117" s="590"/>
      <c r="BI117" s="562"/>
      <c r="BJ117" s="535">
        <f t="shared" si="11"/>
        <v>0</v>
      </c>
      <c r="BK117" s="545">
        <f t="shared" si="10"/>
        <v>0</v>
      </c>
    </row>
    <row r="118" spans="1:63" ht="15" customHeight="1" x14ac:dyDescent="0.35">
      <c r="A118" s="579"/>
      <c r="B118" s="579"/>
      <c r="C118" s="579"/>
      <c r="D118" s="653"/>
      <c r="E118" s="654"/>
      <c r="F118" s="590"/>
      <c r="G118" s="562"/>
      <c r="H118" s="590"/>
      <c r="I118" s="562"/>
      <c r="J118" s="590"/>
      <c r="K118" s="562"/>
      <c r="L118" s="590"/>
      <c r="M118" s="562"/>
      <c r="N118" s="590"/>
      <c r="O118" s="562"/>
      <c r="P118" s="572"/>
      <c r="Q118" s="587"/>
      <c r="R118" s="572"/>
      <c r="S118" s="587"/>
      <c r="T118" s="590"/>
      <c r="U118" s="562"/>
      <c r="V118" s="590"/>
      <c r="W118" s="562"/>
      <c r="X118" s="590"/>
      <c r="Y118" s="562"/>
      <c r="Z118" s="590"/>
      <c r="AA118" s="562"/>
      <c r="AB118" s="590"/>
      <c r="AC118" s="562"/>
      <c r="AD118" s="572"/>
      <c r="AE118" s="587"/>
      <c r="AF118" s="590"/>
      <c r="AG118" s="562"/>
      <c r="AH118" s="590"/>
      <c r="AI118" s="562"/>
      <c r="AJ118" s="590"/>
      <c r="AK118" s="562"/>
      <c r="AL118" s="590"/>
      <c r="AM118" s="562"/>
      <c r="AN118" s="590"/>
      <c r="AO118" s="562"/>
      <c r="AP118" s="590"/>
      <c r="AQ118" s="562"/>
      <c r="AR118" s="572"/>
      <c r="AS118" s="587"/>
      <c r="AT118" s="590"/>
      <c r="AU118" s="562"/>
      <c r="AV118" s="590"/>
      <c r="AW118" s="562"/>
      <c r="AX118" s="590"/>
      <c r="AY118" s="562"/>
      <c r="AZ118" s="590"/>
      <c r="BA118" s="562"/>
      <c r="BB118" s="590"/>
      <c r="BC118" s="562"/>
      <c r="BD118" s="590"/>
      <c r="BE118" s="562"/>
      <c r="BF118" s="572"/>
      <c r="BG118" s="587"/>
      <c r="BH118" s="590"/>
      <c r="BI118" s="562"/>
      <c r="BJ118" s="535">
        <f t="shared" si="11"/>
        <v>0</v>
      </c>
      <c r="BK118" s="545">
        <f t="shared" si="10"/>
        <v>0</v>
      </c>
    </row>
    <row r="119" spans="1:63" x14ac:dyDescent="0.35">
      <c r="A119" s="583"/>
      <c r="B119" s="583"/>
      <c r="C119" s="583"/>
      <c r="D119" s="661" t="s">
        <v>151</v>
      </c>
      <c r="E119" s="662"/>
      <c r="F119" s="536"/>
      <c r="G119" s="573"/>
      <c r="H119" s="536"/>
      <c r="I119" s="573"/>
      <c r="J119" s="536"/>
      <c r="K119" s="573"/>
      <c r="L119" s="536"/>
      <c r="M119" s="573"/>
      <c r="N119" s="536"/>
      <c r="O119" s="573"/>
      <c r="P119" s="572"/>
      <c r="Q119" s="587"/>
      <c r="R119" s="572"/>
      <c r="S119" s="587"/>
      <c r="T119" s="536"/>
      <c r="U119" s="573"/>
      <c r="V119" s="536"/>
      <c r="W119" s="573"/>
      <c r="X119" s="536"/>
      <c r="Y119" s="573"/>
      <c r="Z119" s="536"/>
      <c r="AA119" s="573"/>
      <c r="AB119" s="536"/>
      <c r="AC119" s="573"/>
      <c r="AD119" s="572"/>
      <c r="AE119" s="587"/>
      <c r="AF119" s="536"/>
      <c r="AG119" s="573"/>
      <c r="AH119" s="536"/>
      <c r="AI119" s="573"/>
      <c r="AJ119" s="536"/>
      <c r="AK119" s="573"/>
      <c r="AL119" s="536"/>
      <c r="AM119" s="573"/>
      <c r="AN119" s="536"/>
      <c r="AO119" s="573"/>
      <c r="AP119" s="536"/>
      <c r="AQ119" s="573"/>
      <c r="AR119" s="572"/>
      <c r="AS119" s="587"/>
      <c r="AT119" s="536"/>
      <c r="AU119" s="573"/>
      <c r="AV119" s="536"/>
      <c r="AW119" s="573"/>
      <c r="AX119" s="536"/>
      <c r="AY119" s="573"/>
      <c r="AZ119" s="536"/>
      <c r="BA119" s="573"/>
      <c r="BB119" s="536"/>
      <c r="BC119" s="573"/>
      <c r="BD119" s="536"/>
      <c r="BE119" s="573"/>
      <c r="BF119" s="572"/>
      <c r="BG119" s="587"/>
      <c r="BH119" s="536"/>
      <c r="BI119" s="573"/>
      <c r="BJ119" s="535">
        <f t="shared" si="11"/>
        <v>0</v>
      </c>
      <c r="BK119" s="545"/>
    </row>
    <row r="120" spans="1:63" x14ac:dyDescent="0.35">
      <c r="A120" s="583"/>
      <c r="B120" s="583"/>
      <c r="C120" s="583"/>
      <c r="D120" s="655" t="s">
        <v>152</v>
      </c>
      <c r="E120" s="656"/>
      <c r="F120" s="588"/>
      <c r="G120" s="574"/>
      <c r="H120" s="588"/>
      <c r="I120" s="574"/>
      <c r="J120" s="588"/>
      <c r="K120" s="574"/>
      <c r="L120" s="588"/>
      <c r="M120" s="574"/>
      <c r="N120" s="588"/>
      <c r="O120" s="574"/>
      <c r="P120" s="572"/>
      <c r="Q120" s="587"/>
      <c r="R120" s="572"/>
      <c r="S120" s="587"/>
      <c r="T120" s="588"/>
      <c r="U120" s="574"/>
      <c r="V120" s="588"/>
      <c r="W120" s="574"/>
      <c r="X120" s="588"/>
      <c r="Y120" s="574"/>
      <c r="Z120" s="588"/>
      <c r="AA120" s="574"/>
      <c r="AB120" s="588"/>
      <c r="AC120" s="574"/>
      <c r="AD120" s="572"/>
      <c r="AE120" s="587"/>
      <c r="AF120" s="588"/>
      <c r="AG120" s="574"/>
      <c r="AH120" s="588"/>
      <c r="AI120" s="574"/>
      <c r="AJ120" s="588"/>
      <c r="AK120" s="574"/>
      <c r="AL120" s="588"/>
      <c r="AM120" s="574"/>
      <c r="AN120" s="588"/>
      <c r="AO120" s="574"/>
      <c r="AP120" s="588"/>
      <c r="AQ120" s="574"/>
      <c r="AR120" s="572"/>
      <c r="AS120" s="587"/>
      <c r="AT120" s="588"/>
      <c r="AU120" s="574"/>
      <c r="AV120" s="588"/>
      <c r="AW120" s="574"/>
      <c r="AX120" s="588"/>
      <c r="AY120" s="574"/>
      <c r="AZ120" s="588"/>
      <c r="BA120" s="574"/>
      <c r="BB120" s="588"/>
      <c r="BC120" s="574"/>
      <c r="BD120" s="588"/>
      <c r="BE120" s="574"/>
      <c r="BF120" s="572"/>
      <c r="BG120" s="587"/>
      <c r="BH120" s="588"/>
      <c r="BI120" s="574"/>
      <c r="BJ120" s="535">
        <f t="shared" si="11"/>
        <v>0</v>
      </c>
      <c r="BK120" s="545"/>
    </row>
    <row r="121" spans="1:63" s="531" customFormat="1" x14ac:dyDescent="0.35">
      <c r="A121" s="551"/>
      <c r="B121" s="551"/>
      <c r="C121" s="551"/>
      <c r="D121" s="657" t="s">
        <v>1041</v>
      </c>
      <c r="E121" s="658"/>
      <c r="F121" s="601">
        <v>6</v>
      </c>
      <c r="G121" s="601"/>
      <c r="H121" s="601">
        <v>6</v>
      </c>
      <c r="I121" s="601"/>
      <c r="J121" s="601">
        <v>6</v>
      </c>
      <c r="K121" s="601"/>
      <c r="L121" s="601"/>
      <c r="M121" s="601"/>
      <c r="N121" s="601">
        <v>6</v>
      </c>
      <c r="O121" s="90"/>
      <c r="P121" s="572"/>
      <c r="Q121" s="587"/>
      <c r="R121" s="572"/>
      <c r="S121" s="587"/>
      <c r="T121" s="601">
        <v>6</v>
      </c>
      <c r="U121" s="90"/>
      <c r="V121" s="601">
        <v>6</v>
      </c>
      <c r="W121" s="90"/>
      <c r="X121" s="601">
        <v>6</v>
      </c>
      <c r="Y121" s="90"/>
      <c r="Z121" s="601"/>
      <c r="AA121" s="601"/>
      <c r="AB121" s="601"/>
      <c r="AC121" s="601"/>
      <c r="AD121" s="572"/>
      <c r="AE121" s="587"/>
      <c r="AF121" s="601"/>
      <c r="AG121" s="601"/>
      <c r="AH121" s="601"/>
      <c r="AI121" s="90"/>
      <c r="AJ121" s="601"/>
      <c r="AK121" s="601"/>
      <c r="AL121" s="601"/>
      <c r="AM121" s="601"/>
      <c r="AN121" s="601"/>
      <c r="AO121" s="601"/>
      <c r="AP121" s="601"/>
      <c r="AQ121" s="601"/>
      <c r="AR121" s="601"/>
      <c r="AS121" s="601"/>
      <c r="AT121" s="601"/>
      <c r="AU121" s="601"/>
      <c r="AV121" s="601"/>
      <c r="AW121" s="601"/>
      <c r="AX121" s="601"/>
      <c r="AY121" s="601"/>
      <c r="AZ121" s="601"/>
      <c r="BA121" s="601"/>
      <c r="BB121" s="601"/>
      <c r="BC121" s="601"/>
      <c r="BD121" s="601"/>
      <c r="BE121" s="601"/>
      <c r="BF121" s="572"/>
      <c r="BG121" s="587"/>
      <c r="BH121" s="601"/>
      <c r="BI121" s="601"/>
      <c r="BJ121" s="535">
        <f t="shared" si="11"/>
        <v>42</v>
      </c>
      <c r="BK121" s="591"/>
    </row>
    <row r="122" spans="1:63" s="531" customFormat="1" x14ac:dyDescent="0.35">
      <c r="A122" s="551"/>
      <c r="B122" s="551"/>
      <c r="C122" s="551"/>
      <c r="D122" s="657" t="s">
        <v>154</v>
      </c>
      <c r="E122" s="658"/>
      <c r="F122" s="530"/>
      <c r="G122" s="537"/>
      <c r="H122" s="530"/>
      <c r="I122" s="537"/>
      <c r="J122" s="530"/>
      <c r="K122" s="537"/>
      <c r="L122" s="530"/>
      <c r="M122" s="537"/>
      <c r="N122" s="530"/>
      <c r="O122" s="537"/>
      <c r="P122" s="572"/>
      <c r="Q122" s="587"/>
      <c r="R122" s="572"/>
      <c r="S122" s="587"/>
      <c r="T122" s="530"/>
      <c r="U122" s="537"/>
      <c r="V122" s="530"/>
      <c r="W122" s="537"/>
      <c r="X122" s="530"/>
      <c r="Y122" s="537"/>
      <c r="Z122" s="530"/>
      <c r="AA122" s="537"/>
      <c r="AB122" s="530"/>
      <c r="AC122" s="537"/>
      <c r="AD122" s="572"/>
      <c r="AE122" s="587"/>
      <c r="AF122" s="530"/>
      <c r="AG122" s="537"/>
      <c r="AH122" s="530">
        <v>40</v>
      </c>
      <c r="AI122" s="537"/>
      <c r="AJ122" s="530"/>
      <c r="AK122" s="537"/>
      <c r="AL122" s="530"/>
      <c r="AM122" s="537"/>
      <c r="AN122" s="530"/>
      <c r="AO122" s="537"/>
      <c r="AP122" s="530"/>
      <c r="AQ122" s="537"/>
      <c r="AR122" s="572"/>
      <c r="AS122" s="587"/>
      <c r="AT122" s="530"/>
      <c r="AU122" s="537"/>
      <c r="AV122" s="530"/>
      <c r="AW122" s="537"/>
      <c r="AX122" s="530"/>
      <c r="AY122" s="537"/>
      <c r="AZ122" s="530"/>
      <c r="BA122" s="537"/>
      <c r="BB122" s="530"/>
      <c r="BC122" s="537"/>
      <c r="BD122" s="530"/>
      <c r="BE122" s="537"/>
      <c r="BF122" s="572"/>
      <c r="BG122" s="587"/>
      <c r="BH122" s="530"/>
      <c r="BI122" s="537"/>
      <c r="BJ122" s="535">
        <f t="shared" si="11"/>
        <v>40</v>
      </c>
      <c r="BK122" s="591"/>
    </row>
    <row r="123" spans="1:63" s="531" customFormat="1" x14ac:dyDescent="0.35">
      <c r="A123" s="551"/>
      <c r="B123" s="551"/>
      <c r="C123" s="551"/>
      <c r="D123" s="657" t="s">
        <v>155</v>
      </c>
      <c r="E123" s="658"/>
      <c r="F123" s="530">
        <f>(F121*60)+F122</f>
        <v>360</v>
      </c>
      <c r="G123" s="537">
        <f t="shared" ref="G123:BI123" si="12">(G121*60)+G122</f>
        <v>0</v>
      </c>
      <c r="H123" s="530">
        <f t="shared" si="12"/>
        <v>360</v>
      </c>
      <c r="I123" s="537">
        <f t="shared" si="12"/>
        <v>0</v>
      </c>
      <c r="J123" s="530">
        <f t="shared" si="12"/>
        <v>360</v>
      </c>
      <c r="K123" s="537">
        <f t="shared" si="12"/>
        <v>0</v>
      </c>
      <c r="L123" s="530">
        <f t="shared" si="12"/>
        <v>0</v>
      </c>
      <c r="M123" s="537">
        <f t="shared" si="12"/>
        <v>0</v>
      </c>
      <c r="N123" s="530">
        <f t="shared" si="12"/>
        <v>360</v>
      </c>
      <c r="O123" s="537">
        <f t="shared" si="12"/>
        <v>0</v>
      </c>
      <c r="P123" s="587">
        <f>(P121*60)+P122</f>
        <v>0</v>
      </c>
      <c r="Q123" s="587">
        <f t="shared" si="12"/>
        <v>0</v>
      </c>
      <c r="R123" s="587">
        <f>(R121*60)+R122</f>
        <v>0</v>
      </c>
      <c r="S123" s="587">
        <f t="shared" si="12"/>
        <v>0</v>
      </c>
      <c r="T123" s="530">
        <f t="shared" si="12"/>
        <v>360</v>
      </c>
      <c r="U123" s="537">
        <f t="shared" si="12"/>
        <v>0</v>
      </c>
      <c r="V123" s="530">
        <f>(V121*60)+V122</f>
        <v>360</v>
      </c>
      <c r="W123" s="537">
        <f t="shared" si="12"/>
        <v>0</v>
      </c>
      <c r="X123" s="530">
        <f t="shared" si="12"/>
        <v>360</v>
      </c>
      <c r="Y123" s="537">
        <f t="shared" si="12"/>
        <v>0</v>
      </c>
      <c r="Z123" s="530">
        <f t="shared" si="12"/>
        <v>0</v>
      </c>
      <c r="AA123" s="537">
        <f t="shared" si="12"/>
        <v>0</v>
      </c>
      <c r="AB123" s="530">
        <f t="shared" si="12"/>
        <v>0</v>
      </c>
      <c r="AC123" s="537">
        <f t="shared" si="12"/>
        <v>0</v>
      </c>
      <c r="AD123" s="587">
        <f t="shared" si="12"/>
        <v>0</v>
      </c>
      <c r="AE123" s="587">
        <f t="shared" si="12"/>
        <v>0</v>
      </c>
      <c r="AF123" s="530">
        <f t="shared" si="12"/>
        <v>0</v>
      </c>
      <c r="AG123" s="537">
        <f t="shared" si="12"/>
        <v>0</v>
      </c>
      <c r="AH123" s="530">
        <f t="shared" si="12"/>
        <v>40</v>
      </c>
      <c r="AI123" s="537">
        <f t="shared" si="12"/>
        <v>0</v>
      </c>
      <c r="AJ123" s="530">
        <f t="shared" si="12"/>
        <v>0</v>
      </c>
      <c r="AK123" s="537">
        <f t="shared" si="12"/>
        <v>0</v>
      </c>
      <c r="AL123" s="530">
        <f t="shared" si="12"/>
        <v>0</v>
      </c>
      <c r="AM123" s="537">
        <f t="shared" si="12"/>
        <v>0</v>
      </c>
      <c r="AN123" s="530">
        <f t="shared" si="12"/>
        <v>0</v>
      </c>
      <c r="AO123" s="537">
        <f t="shared" si="12"/>
        <v>0</v>
      </c>
      <c r="AP123" s="530">
        <f t="shared" si="12"/>
        <v>0</v>
      </c>
      <c r="AQ123" s="537">
        <f t="shared" si="12"/>
        <v>0</v>
      </c>
      <c r="AR123" s="587">
        <f t="shared" si="12"/>
        <v>0</v>
      </c>
      <c r="AS123" s="587">
        <f t="shared" si="12"/>
        <v>0</v>
      </c>
      <c r="AT123" s="530">
        <f t="shared" si="12"/>
        <v>0</v>
      </c>
      <c r="AU123" s="537">
        <f t="shared" si="12"/>
        <v>0</v>
      </c>
      <c r="AV123" s="530">
        <f t="shared" si="12"/>
        <v>0</v>
      </c>
      <c r="AW123" s="537">
        <f t="shared" si="12"/>
        <v>0</v>
      </c>
      <c r="AX123" s="530">
        <f t="shared" si="12"/>
        <v>0</v>
      </c>
      <c r="AY123" s="537">
        <f t="shared" si="12"/>
        <v>0</v>
      </c>
      <c r="AZ123" s="530">
        <f t="shared" si="12"/>
        <v>0</v>
      </c>
      <c r="BA123" s="537">
        <f t="shared" si="12"/>
        <v>0</v>
      </c>
      <c r="BB123" s="530">
        <f t="shared" si="12"/>
        <v>0</v>
      </c>
      <c r="BC123" s="537">
        <f t="shared" si="12"/>
        <v>0</v>
      </c>
      <c r="BD123" s="530">
        <f t="shared" si="12"/>
        <v>0</v>
      </c>
      <c r="BE123" s="537">
        <f t="shared" si="12"/>
        <v>0</v>
      </c>
      <c r="BF123" s="587">
        <f t="shared" si="12"/>
        <v>0</v>
      </c>
      <c r="BG123" s="587">
        <f t="shared" si="12"/>
        <v>0</v>
      </c>
      <c r="BH123" s="530">
        <f t="shared" si="12"/>
        <v>0</v>
      </c>
      <c r="BI123" s="537">
        <f t="shared" si="12"/>
        <v>0</v>
      </c>
      <c r="BJ123" s="535">
        <f t="shared" si="11"/>
        <v>2560</v>
      </c>
      <c r="BK123" s="591"/>
    </row>
    <row r="124" spans="1:63" s="531" customFormat="1" x14ac:dyDescent="0.35">
      <c r="A124" s="551"/>
      <c r="B124" s="551"/>
      <c r="C124" s="551"/>
      <c r="D124" s="657" t="s">
        <v>156</v>
      </c>
      <c r="E124" s="658"/>
      <c r="F124" s="530">
        <f>F123-F125</f>
        <v>328</v>
      </c>
      <c r="G124" s="537">
        <f t="shared" ref="G124:BI124" si="13">G123-G125</f>
        <v>0</v>
      </c>
      <c r="H124" s="530">
        <f t="shared" si="13"/>
        <v>360</v>
      </c>
      <c r="I124" s="537">
        <f t="shared" si="13"/>
        <v>0</v>
      </c>
      <c r="J124" s="530">
        <f t="shared" si="13"/>
        <v>150</v>
      </c>
      <c r="K124" s="537">
        <f t="shared" si="13"/>
        <v>0</v>
      </c>
      <c r="L124" s="530">
        <f t="shared" si="13"/>
        <v>0</v>
      </c>
      <c r="M124" s="537">
        <f t="shared" si="13"/>
        <v>0</v>
      </c>
      <c r="N124" s="530">
        <f t="shared" si="13"/>
        <v>90</v>
      </c>
      <c r="O124" s="537">
        <f t="shared" si="13"/>
        <v>0</v>
      </c>
      <c r="P124" s="587">
        <f>P123-P125</f>
        <v>0</v>
      </c>
      <c r="Q124" s="587">
        <f t="shared" si="13"/>
        <v>0</v>
      </c>
      <c r="R124" s="587">
        <f>R123-R125</f>
        <v>0</v>
      </c>
      <c r="S124" s="587">
        <f t="shared" si="13"/>
        <v>0</v>
      </c>
      <c r="T124" s="530">
        <f t="shared" si="13"/>
        <v>70</v>
      </c>
      <c r="U124" s="537">
        <f t="shared" si="13"/>
        <v>0</v>
      </c>
      <c r="V124" s="530">
        <f t="shared" si="13"/>
        <v>280</v>
      </c>
      <c r="W124" s="537">
        <f t="shared" si="13"/>
        <v>0</v>
      </c>
      <c r="X124" s="530">
        <f t="shared" si="13"/>
        <v>160</v>
      </c>
      <c r="Y124" s="537">
        <f t="shared" si="13"/>
        <v>0</v>
      </c>
      <c r="Z124" s="530">
        <f t="shared" si="13"/>
        <v>0</v>
      </c>
      <c r="AA124" s="537">
        <f t="shared" si="13"/>
        <v>0</v>
      </c>
      <c r="AB124" s="530">
        <f t="shared" si="13"/>
        <v>0</v>
      </c>
      <c r="AC124" s="537">
        <f t="shared" si="13"/>
        <v>0</v>
      </c>
      <c r="AD124" s="587">
        <f t="shared" si="13"/>
        <v>0</v>
      </c>
      <c r="AE124" s="587">
        <f t="shared" si="13"/>
        <v>0</v>
      </c>
      <c r="AF124" s="530">
        <f t="shared" si="13"/>
        <v>0</v>
      </c>
      <c r="AG124" s="537">
        <f t="shared" si="13"/>
        <v>0</v>
      </c>
      <c r="AH124" s="530">
        <f t="shared" si="13"/>
        <v>40</v>
      </c>
      <c r="AI124" s="537">
        <f t="shared" si="13"/>
        <v>0</v>
      </c>
      <c r="AJ124" s="530">
        <f t="shared" si="13"/>
        <v>0</v>
      </c>
      <c r="AK124" s="537">
        <f t="shared" si="13"/>
        <v>0</v>
      </c>
      <c r="AL124" s="530">
        <f t="shared" si="13"/>
        <v>0</v>
      </c>
      <c r="AM124" s="537">
        <f t="shared" si="13"/>
        <v>0</v>
      </c>
      <c r="AN124" s="530">
        <f t="shared" si="13"/>
        <v>0</v>
      </c>
      <c r="AO124" s="537">
        <f t="shared" si="13"/>
        <v>0</v>
      </c>
      <c r="AP124" s="530">
        <f t="shared" si="13"/>
        <v>0</v>
      </c>
      <c r="AQ124" s="537">
        <f t="shared" si="13"/>
        <v>0</v>
      </c>
      <c r="AR124" s="587">
        <f t="shared" si="13"/>
        <v>0</v>
      </c>
      <c r="AS124" s="587">
        <f t="shared" si="13"/>
        <v>0</v>
      </c>
      <c r="AT124" s="530">
        <f t="shared" si="13"/>
        <v>0</v>
      </c>
      <c r="AU124" s="537">
        <f t="shared" si="13"/>
        <v>0</v>
      </c>
      <c r="AV124" s="530">
        <f t="shared" si="13"/>
        <v>0</v>
      </c>
      <c r="AW124" s="537">
        <f t="shared" si="13"/>
        <v>0</v>
      </c>
      <c r="AX124" s="530">
        <f t="shared" si="13"/>
        <v>0</v>
      </c>
      <c r="AY124" s="537">
        <f t="shared" si="13"/>
        <v>0</v>
      </c>
      <c r="AZ124" s="530">
        <f t="shared" si="13"/>
        <v>0</v>
      </c>
      <c r="BA124" s="537">
        <f t="shared" si="13"/>
        <v>0</v>
      </c>
      <c r="BB124" s="530">
        <f t="shared" si="13"/>
        <v>0</v>
      </c>
      <c r="BC124" s="537">
        <f t="shared" si="13"/>
        <v>0</v>
      </c>
      <c r="BD124" s="530">
        <f t="shared" si="13"/>
        <v>0</v>
      </c>
      <c r="BE124" s="537">
        <f t="shared" si="13"/>
        <v>0</v>
      </c>
      <c r="BF124" s="587">
        <f t="shared" si="13"/>
        <v>0</v>
      </c>
      <c r="BG124" s="587">
        <f t="shared" si="13"/>
        <v>0</v>
      </c>
      <c r="BH124" s="530">
        <f t="shared" si="13"/>
        <v>0</v>
      </c>
      <c r="BI124" s="537">
        <f t="shared" si="13"/>
        <v>0</v>
      </c>
      <c r="BJ124" s="535">
        <f t="shared" si="11"/>
        <v>1478</v>
      </c>
      <c r="BK124" s="591"/>
    </row>
    <row r="125" spans="1:63" s="531" customFormat="1" x14ac:dyDescent="0.35">
      <c r="A125" s="529"/>
      <c r="B125" s="529"/>
      <c r="C125" s="529"/>
      <c r="D125" s="659" t="s">
        <v>157</v>
      </c>
      <c r="E125" s="660"/>
      <c r="F125" s="553">
        <f>SUM(F126:F127)</f>
        <v>32</v>
      </c>
      <c r="G125" s="560">
        <f t="shared" ref="G125:BI125" si="14">SUM(G126:G127)</f>
        <v>0</v>
      </c>
      <c r="H125" s="553">
        <f t="shared" si="14"/>
        <v>0</v>
      </c>
      <c r="I125" s="560">
        <f t="shared" si="14"/>
        <v>0</v>
      </c>
      <c r="J125" s="553">
        <f t="shared" si="14"/>
        <v>210</v>
      </c>
      <c r="K125" s="560">
        <f t="shared" si="14"/>
        <v>0</v>
      </c>
      <c r="L125" s="553">
        <f t="shared" si="14"/>
        <v>0</v>
      </c>
      <c r="M125" s="560">
        <f t="shared" si="14"/>
        <v>0</v>
      </c>
      <c r="N125" s="553">
        <f t="shared" si="14"/>
        <v>270</v>
      </c>
      <c r="O125" s="560">
        <f t="shared" si="14"/>
        <v>0</v>
      </c>
      <c r="P125" s="587">
        <f>SUM(P126:P127)</f>
        <v>0</v>
      </c>
      <c r="Q125" s="587">
        <f t="shared" si="14"/>
        <v>0</v>
      </c>
      <c r="R125" s="587">
        <f>SUM(R126:R127)</f>
        <v>0</v>
      </c>
      <c r="S125" s="587">
        <f t="shared" si="14"/>
        <v>0</v>
      </c>
      <c r="T125" s="553">
        <f t="shared" si="14"/>
        <v>290</v>
      </c>
      <c r="U125" s="560">
        <f t="shared" si="14"/>
        <v>0</v>
      </c>
      <c r="V125" s="553">
        <f t="shared" si="14"/>
        <v>80</v>
      </c>
      <c r="W125" s="560">
        <f t="shared" si="14"/>
        <v>0</v>
      </c>
      <c r="X125" s="553">
        <f t="shared" si="14"/>
        <v>200</v>
      </c>
      <c r="Y125" s="560">
        <f t="shared" si="14"/>
        <v>0</v>
      </c>
      <c r="Z125" s="553">
        <f t="shared" si="14"/>
        <v>0</v>
      </c>
      <c r="AA125" s="560">
        <f t="shared" si="14"/>
        <v>0</v>
      </c>
      <c r="AB125" s="553">
        <f t="shared" si="14"/>
        <v>0</v>
      </c>
      <c r="AC125" s="560">
        <f t="shared" si="14"/>
        <v>0</v>
      </c>
      <c r="AD125" s="587">
        <f t="shared" si="14"/>
        <v>0</v>
      </c>
      <c r="AE125" s="587">
        <f t="shared" si="14"/>
        <v>0</v>
      </c>
      <c r="AF125" s="553">
        <f t="shared" si="14"/>
        <v>0</v>
      </c>
      <c r="AG125" s="560">
        <f t="shared" si="14"/>
        <v>0</v>
      </c>
      <c r="AH125" s="553">
        <f t="shared" si="14"/>
        <v>0</v>
      </c>
      <c r="AI125" s="560">
        <f t="shared" si="14"/>
        <v>0</v>
      </c>
      <c r="AJ125" s="553">
        <f t="shared" si="14"/>
        <v>0</v>
      </c>
      <c r="AK125" s="560">
        <f t="shared" si="14"/>
        <v>0</v>
      </c>
      <c r="AL125" s="553">
        <f t="shared" si="14"/>
        <v>0</v>
      </c>
      <c r="AM125" s="560">
        <f t="shared" si="14"/>
        <v>0</v>
      </c>
      <c r="AN125" s="553">
        <f t="shared" si="14"/>
        <v>0</v>
      </c>
      <c r="AO125" s="560">
        <f t="shared" si="14"/>
        <v>0</v>
      </c>
      <c r="AP125" s="553">
        <f t="shared" si="14"/>
        <v>0</v>
      </c>
      <c r="AQ125" s="560">
        <f t="shared" si="14"/>
        <v>0</v>
      </c>
      <c r="AR125" s="587">
        <f t="shared" si="14"/>
        <v>0</v>
      </c>
      <c r="AS125" s="587">
        <f t="shared" si="14"/>
        <v>0</v>
      </c>
      <c r="AT125" s="553">
        <f t="shared" si="14"/>
        <v>0</v>
      </c>
      <c r="AU125" s="560">
        <f t="shared" si="14"/>
        <v>0</v>
      </c>
      <c r="AV125" s="553">
        <f t="shared" si="14"/>
        <v>0</v>
      </c>
      <c r="AW125" s="560">
        <f t="shared" si="14"/>
        <v>0</v>
      </c>
      <c r="AX125" s="553">
        <f t="shared" si="14"/>
        <v>0</v>
      </c>
      <c r="AY125" s="560">
        <f t="shared" si="14"/>
        <v>0</v>
      </c>
      <c r="AZ125" s="553">
        <f t="shared" si="14"/>
        <v>0</v>
      </c>
      <c r="BA125" s="560">
        <f t="shared" si="14"/>
        <v>0</v>
      </c>
      <c r="BB125" s="553">
        <f t="shared" si="14"/>
        <v>0</v>
      </c>
      <c r="BC125" s="560">
        <f t="shared" si="14"/>
        <v>0</v>
      </c>
      <c r="BD125" s="553">
        <f t="shared" si="14"/>
        <v>0</v>
      </c>
      <c r="BE125" s="560">
        <f t="shared" si="14"/>
        <v>0</v>
      </c>
      <c r="BF125" s="587">
        <f t="shared" si="14"/>
        <v>0</v>
      </c>
      <c r="BG125" s="587">
        <f t="shared" si="14"/>
        <v>0</v>
      </c>
      <c r="BH125" s="553">
        <f t="shared" si="14"/>
        <v>0</v>
      </c>
      <c r="BI125" s="560">
        <f t="shared" si="14"/>
        <v>0</v>
      </c>
      <c r="BJ125" s="535">
        <f t="shared" si="11"/>
        <v>1082</v>
      </c>
      <c r="BK125" s="591"/>
    </row>
    <row r="126" spans="1:63" s="531" customFormat="1" x14ac:dyDescent="0.35">
      <c r="A126" s="579"/>
      <c r="B126" s="579"/>
      <c r="C126" s="579"/>
      <c r="D126" s="665" t="s">
        <v>158</v>
      </c>
      <c r="E126" s="666"/>
      <c r="F126" s="599">
        <v>32</v>
      </c>
      <c r="G126" s="599"/>
      <c r="H126" s="599"/>
      <c r="I126" s="599"/>
      <c r="J126" s="599">
        <f>3*60+30</f>
        <v>210</v>
      </c>
      <c r="K126" s="599"/>
      <c r="L126" s="599"/>
      <c r="M126" s="599"/>
      <c r="N126" s="599">
        <f>4*60+30</f>
        <v>270</v>
      </c>
      <c r="O126" s="90"/>
      <c r="P126" s="587"/>
      <c r="Q126" s="587"/>
      <c r="R126" s="587"/>
      <c r="S126" s="587"/>
      <c r="T126" s="89">
        <f>4*60+50</f>
        <v>290</v>
      </c>
      <c r="U126" s="90"/>
      <c r="V126" s="601">
        <v>80</v>
      </c>
      <c r="W126" s="90"/>
      <c r="X126" s="89"/>
      <c r="Y126" s="90"/>
      <c r="Z126" s="89"/>
      <c r="AA126" s="90"/>
      <c r="AB126" s="89"/>
      <c r="AC126" s="90"/>
      <c r="AD126" s="587"/>
      <c r="AE126" s="587"/>
      <c r="AF126" s="89"/>
      <c r="AG126" s="90"/>
      <c r="AH126" s="89"/>
      <c r="AI126" s="90"/>
      <c r="AJ126" s="599"/>
      <c r="AK126" s="604"/>
      <c r="AL126" s="599"/>
      <c r="AM126" s="604"/>
      <c r="AN126" s="599"/>
      <c r="AO126" s="604"/>
      <c r="AP126" s="599"/>
      <c r="AQ126" s="90"/>
      <c r="AR126" s="587"/>
      <c r="AS126" s="587"/>
      <c r="AT126" s="89"/>
      <c r="AU126" s="90"/>
      <c r="AV126" s="89"/>
      <c r="AW126" s="90"/>
      <c r="AX126" s="89"/>
      <c r="AY126" s="90"/>
      <c r="AZ126" s="89"/>
      <c r="BA126" s="90"/>
      <c r="BB126" s="89"/>
      <c r="BC126" s="90"/>
      <c r="BD126" s="89"/>
      <c r="BE126" s="90"/>
      <c r="BF126" s="587"/>
      <c r="BG126" s="587"/>
      <c r="BH126" s="89"/>
      <c r="BI126" s="90"/>
      <c r="BJ126" s="535">
        <f t="shared" si="11"/>
        <v>882</v>
      </c>
      <c r="BK126" s="591"/>
    </row>
    <row r="127" spans="1:63" s="531" customFormat="1" x14ac:dyDescent="0.35">
      <c r="A127" s="579"/>
      <c r="B127" s="579"/>
      <c r="C127" s="579"/>
      <c r="D127" s="665" t="s">
        <v>161</v>
      </c>
      <c r="E127" s="666"/>
      <c r="F127" s="513"/>
      <c r="G127" s="557"/>
      <c r="H127" s="513"/>
      <c r="I127" s="557"/>
      <c r="J127" s="513"/>
      <c r="K127" s="557"/>
      <c r="L127" s="513"/>
      <c r="M127" s="557"/>
      <c r="N127" s="513"/>
      <c r="O127" s="557"/>
      <c r="P127" s="572"/>
      <c r="Q127" s="587"/>
      <c r="R127" s="572"/>
      <c r="S127" s="587"/>
      <c r="T127" s="513"/>
      <c r="U127" s="557"/>
      <c r="V127" s="513"/>
      <c r="W127" s="557"/>
      <c r="X127" s="513">
        <v>200</v>
      </c>
      <c r="Y127" s="557"/>
      <c r="Z127" s="513"/>
      <c r="AA127" s="557"/>
      <c r="AB127" s="513"/>
      <c r="AC127" s="557"/>
      <c r="AD127" s="572"/>
      <c r="AE127" s="587"/>
      <c r="AF127" s="513"/>
      <c r="AG127" s="557"/>
      <c r="AH127" s="513"/>
      <c r="AI127" s="557"/>
      <c r="AJ127" s="513"/>
      <c r="AK127" s="557"/>
      <c r="AL127" s="513"/>
      <c r="AM127" s="557"/>
      <c r="AN127" s="513"/>
      <c r="AO127" s="557"/>
      <c r="AP127" s="513"/>
      <c r="AQ127" s="557"/>
      <c r="AR127" s="572"/>
      <c r="AS127" s="587"/>
      <c r="AT127" s="513"/>
      <c r="AU127" s="557"/>
      <c r="AV127" s="513"/>
      <c r="AW127" s="557"/>
      <c r="AX127" s="513"/>
      <c r="AY127" s="557"/>
      <c r="AZ127" s="513"/>
      <c r="BA127" s="557"/>
      <c r="BB127" s="513"/>
      <c r="BC127" s="557"/>
      <c r="BD127" s="513"/>
      <c r="BE127" s="557"/>
      <c r="BF127" s="572"/>
      <c r="BG127" s="587"/>
      <c r="BH127" s="513"/>
      <c r="BI127" s="557"/>
      <c r="BJ127" s="535">
        <f t="shared" si="11"/>
        <v>200</v>
      </c>
      <c r="BK127" s="591"/>
    </row>
    <row r="128" spans="1:63" x14ac:dyDescent="0.35">
      <c r="A128" s="518"/>
      <c r="B128" s="518"/>
      <c r="C128" s="518"/>
      <c r="D128" s="667" t="s">
        <v>162</v>
      </c>
      <c r="E128" s="668"/>
      <c r="F128" s="536">
        <f>F123-F125-F40</f>
        <v>328</v>
      </c>
      <c r="G128" s="573"/>
      <c r="H128" s="536">
        <f>H123-H125-H40</f>
        <v>315</v>
      </c>
      <c r="I128" s="573"/>
      <c r="J128" s="536">
        <f>J123-J125-J40</f>
        <v>150</v>
      </c>
      <c r="K128" s="573"/>
      <c r="L128" s="536"/>
      <c r="M128" s="573"/>
      <c r="N128" s="536">
        <f>N123-N125-N40</f>
        <v>90</v>
      </c>
      <c r="O128" s="573"/>
      <c r="P128" s="572"/>
      <c r="Q128" s="587"/>
      <c r="R128" s="572"/>
      <c r="S128" s="587"/>
      <c r="T128" s="536">
        <f>T123-T125-T40</f>
        <v>70</v>
      </c>
      <c r="U128" s="573"/>
      <c r="V128" s="536">
        <f>V123-V125-V40</f>
        <v>260</v>
      </c>
      <c r="W128" s="573"/>
      <c r="X128" s="536">
        <f>X123-X125-X40</f>
        <v>150</v>
      </c>
      <c r="Y128" s="573"/>
      <c r="Z128" s="536"/>
      <c r="AA128" s="536"/>
      <c r="AB128" s="536"/>
      <c r="AC128" s="536"/>
      <c r="AD128" s="572"/>
      <c r="AE128" s="587"/>
      <c r="AF128" s="536"/>
      <c r="AG128" s="536"/>
      <c r="AH128" s="536"/>
      <c r="AI128" s="573"/>
      <c r="AJ128" s="536"/>
      <c r="AK128" s="536"/>
      <c r="AL128" s="536"/>
      <c r="AM128" s="573"/>
      <c r="AN128" s="536"/>
      <c r="AO128" s="573"/>
      <c r="AP128" s="536"/>
      <c r="AQ128" s="573"/>
      <c r="AR128" s="572"/>
      <c r="AS128" s="587"/>
      <c r="AT128" s="536"/>
      <c r="AU128" s="573"/>
      <c r="AV128" s="536"/>
      <c r="AW128" s="573"/>
      <c r="AX128" s="536"/>
      <c r="AY128" s="573"/>
      <c r="AZ128" s="536"/>
      <c r="BA128" s="573"/>
      <c r="BB128" s="536"/>
      <c r="BC128" s="573"/>
      <c r="BD128" s="536"/>
      <c r="BE128" s="573"/>
      <c r="BF128" s="572"/>
      <c r="BG128" s="587"/>
      <c r="BH128" s="536">
        <f>BH123-BH125-BH40</f>
        <v>0</v>
      </c>
      <c r="BI128" s="573"/>
      <c r="BJ128" s="509">
        <f>BJ123-BJ125-BJ40</f>
        <v>1403</v>
      </c>
      <c r="BK128" s="545"/>
    </row>
    <row r="129" spans="1:63" x14ac:dyDescent="0.35">
      <c r="A129" s="518"/>
      <c r="B129" s="518"/>
      <c r="C129" s="518"/>
      <c r="D129" s="667" t="s">
        <v>163</v>
      </c>
      <c r="E129" s="668"/>
      <c r="F129" s="547">
        <f>IFERROR(SUMPRODUCT(F5:F29/$E$5:$E$29),0)</f>
        <v>298.4848484848485</v>
      </c>
      <c r="G129" s="532"/>
      <c r="H129" s="547">
        <f>IFERROR(SUMPRODUCT(H5:H29/$E$5:$E$29),0)</f>
        <v>290.93939393939394</v>
      </c>
      <c r="I129" s="532"/>
      <c r="J129" s="547">
        <f>IFERROR(SUMPRODUCT(J5:J29/$E$5:$E$29),0)</f>
        <v>129.5151515151515</v>
      </c>
      <c r="K129" s="532"/>
      <c r="L129" s="547"/>
      <c r="M129" s="532"/>
      <c r="N129" s="547">
        <f>IFERROR(SUMPRODUCT(N5:N29/$E$5:$E$29),0)</f>
        <v>77.969696969696969</v>
      </c>
      <c r="O129" s="532"/>
      <c r="P129" s="539"/>
      <c r="Q129" s="587"/>
      <c r="R129" s="539"/>
      <c r="S129" s="587"/>
      <c r="T129" s="547">
        <f>IFERROR(SUMPRODUCT(T5:T29/$E$5:$E$29),0)</f>
        <v>63.606060606060609</v>
      </c>
      <c r="U129" s="532"/>
      <c r="V129" s="547">
        <f>IFERROR(SUMPRODUCT(V5:V29/$E$5:$E$29),0)</f>
        <v>233.81818181818181</v>
      </c>
      <c r="W129" s="532"/>
      <c r="X129" s="547">
        <f>IFERROR(SUMPRODUCT(X5:X29/$E$5:$E$29),0)</f>
        <v>142.42424242424244</v>
      </c>
      <c r="Y129" s="532"/>
      <c r="Z129" s="547"/>
      <c r="AA129" s="547"/>
      <c r="AB129" s="547"/>
      <c r="AC129" s="547"/>
      <c r="AD129" s="539"/>
      <c r="AE129" s="587"/>
      <c r="AF129" s="547"/>
      <c r="AG129" s="547"/>
      <c r="AH129" s="547"/>
      <c r="AI129" s="532"/>
      <c r="AJ129" s="547"/>
      <c r="AK129" s="547"/>
      <c r="AL129" s="547"/>
      <c r="AM129" s="532"/>
      <c r="AN129" s="547"/>
      <c r="AO129" s="532"/>
      <c r="AP129" s="547"/>
      <c r="AQ129" s="532"/>
      <c r="AR129" s="539"/>
      <c r="AS129" s="587"/>
      <c r="AT129" s="547"/>
      <c r="AU129" s="532"/>
      <c r="AV129" s="547"/>
      <c r="AW129" s="532"/>
      <c r="AX129" s="547"/>
      <c r="AY129" s="532"/>
      <c r="AZ129" s="547"/>
      <c r="BA129" s="532"/>
      <c r="BB129" s="547"/>
      <c r="BC129" s="532"/>
      <c r="BD129" s="547"/>
      <c r="BE129" s="532"/>
      <c r="BF129" s="539"/>
      <c r="BG129" s="587"/>
      <c r="BH129" s="547">
        <f>IFERROR(SUMPRODUCT(BH5:BH29/$E$5:$E$29),0)</f>
        <v>0</v>
      </c>
      <c r="BI129" s="532"/>
      <c r="BJ129" s="509">
        <f>IFERROR(SUMPRODUCT(BJ5:BJ29/$E$5:$E$29),0)</f>
        <v>1236.7575757575758</v>
      </c>
      <c r="BK129" s="545"/>
    </row>
    <row r="130" spans="1:63" x14ac:dyDescent="0.35">
      <c r="A130" s="518"/>
      <c r="B130" s="518"/>
      <c r="C130" s="518"/>
      <c r="D130" s="667" t="s">
        <v>164</v>
      </c>
      <c r="E130" s="668"/>
      <c r="F130" s="547">
        <f>F128-F129</f>
        <v>29.515151515151501</v>
      </c>
      <c r="G130" s="532"/>
      <c r="H130" s="547">
        <f>H128-H129</f>
        <v>24.060606060606062</v>
      </c>
      <c r="I130" s="532"/>
      <c r="J130" s="547">
        <f>J128-J129</f>
        <v>20.484848484848499</v>
      </c>
      <c r="K130" s="532"/>
      <c r="L130" s="547"/>
      <c r="M130" s="532"/>
      <c r="N130" s="547">
        <f>N128-N129</f>
        <v>12.030303030303031</v>
      </c>
      <c r="O130" s="532"/>
      <c r="P130" s="539"/>
      <c r="Q130" s="587"/>
      <c r="R130" s="539"/>
      <c r="S130" s="587"/>
      <c r="T130" s="547">
        <f>T128-T129</f>
        <v>6.3939393939393909</v>
      </c>
      <c r="U130" s="532"/>
      <c r="V130" s="547">
        <f>V128-V129</f>
        <v>26.181818181818187</v>
      </c>
      <c r="W130" s="532"/>
      <c r="X130" s="547">
        <f>X128-X129</f>
        <v>7.5757575757575637</v>
      </c>
      <c r="Y130" s="532"/>
      <c r="Z130" s="547"/>
      <c r="AA130" s="547"/>
      <c r="AB130" s="547"/>
      <c r="AC130" s="547"/>
      <c r="AD130" s="539"/>
      <c r="AE130" s="587"/>
      <c r="AF130" s="547"/>
      <c r="AG130" s="547"/>
      <c r="AH130" s="547"/>
      <c r="AI130" s="532"/>
      <c r="AJ130" s="547"/>
      <c r="AK130" s="547"/>
      <c r="AL130" s="547"/>
      <c r="AM130" s="532"/>
      <c r="AN130" s="547"/>
      <c r="AO130" s="532"/>
      <c r="AP130" s="547"/>
      <c r="AQ130" s="532"/>
      <c r="AR130" s="539"/>
      <c r="AS130" s="587"/>
      <c r="AT130" s="547"/>
      <c r="AU130" s="532"/>
      <c r="AV130" s="547"/>
      <c r="AW130" s="532"/>
      <c r="AX130" s="547"/>
      <c r="AY130" s="532"/>
      <c r="AZ130" s="547"/>
      <c r="BA130" s="532"/>
      <c r="BB130" s="547"/>
      <c r="BC130" s="532"/>
      <c r="BD130" s="547"/>
      <c r="BE130" s="532"/>
      <c r="BF130" s="539"/>
      <c r="BG130" s="587"/>
      <c r="BH130" s="547">
        <f>BH128-BH129</f>
        <v>0</v>
      </c>
      <c r="BI130" s="532"/>
      <c r="BJ130" s="509">
        <f>BJ128-BJ129</f>
        <v>166.24242424242425</v>
      </c>
      <c r="BK130" s="545"/>
    </row>
    <row r="131" spans="1:63" x14ac:dyDescent="0.35">
      <c r="A131" s="518"/>
      <c r="B131" s="518"/>
      <c r="C131" s="518"/>
      <c r="D131" s="667" t="s">
        <v>165</v>
      </c>
      <c r="E131" s="668"/>
      <c r="F131" s="547">
        <f>SUM(F5:F30)/(F124-F40)</f>
        <v>30.457317073170731</v>
      </c>
      <c r="G131" s="532"/>
      <c r="H131" s="547">
        <f>SUM(H5:H30)/(H124-H40)</f>
        <v>30.952380952380953</v>
      </c>
      <c r="I131" s="532"/>
      <c r="J131" s="547">
        <f>SUM(J5:J30)/(J124-J40)</f>
        <v>29.233333333333334</v>
      </c>
      <c r="K131" s="532"/>
      <c r="L131" s="547"/>
      <c r="M131" s="532"/>
      <c r="N131" s="547">
        <f>SUM(N5:N30)/(N124-N40)</f>
        <v>28.888888888888889</v>
      </c>
      <c r="O131" s="532"/>
      <c r="P131" s="539"/>
      <c r="Q131" s="587"/>
      <c r="R131" s="539"/>
      <c r="S131" s="587"/>
      <c r="T131" s="547">
        <f>SUM(T5:T30)/(T124-T40)</f>
        <v>29.985714285714284</v>
      </c>
      <c r="U131" s="532"/>
      <c r="V131" s="547">
        <f>SUM(V5:V30)/(V124-V40)</f>
        <v>29.676923076923078</v>
      </c>
      <c r="W131" s="532"/>
      <c r="X131" s="547">
        <f>SUM(X5:X30)/(X124-X40)</f>
        <v>31.333333333333332</v>
      </c>
      <c r="Y131" s="532"/>
      <c r="Z131" s="547"/>
      <c r="AA131" s="547"/>
      <c r="AB131" s="547"/>
      <c r="AC131" s="547"/>
      <c r="AD131" s="539"/>
      <c r="AE131" s="587"/>
      <c r="AF131" s="547"/>
      <c r="AG131" s="547"/>
      <c r="AH131" s="547"/>
      <c r="AI131" s="532"/>
      <c r="AJ131" s="547"/>
      <c r="AK131" s="547"/>
      <c r="AL131" s="547"/>
      <c r="AM131" s="532"/>
      <c r="AN131" s="547"/>
      <c r="AO131" s="532"/>
      <c r="AP131" s="547"/>
      <c r="AQ131" s="532"/>
      <c r="AR131" s="539"/>
      <c r="AS131" s="587"/>
      <c r="AT131" s="547"/>
      <c r="AU131" s="532"/>
      <c r="AV131" s="547"/>
      <c r="AW131" s="532"/>
      <c r="AX131" s="547"/>
      <c r="AY131" s="532"/>
      <c r="AZ131" s="547"/>
      <c r="BA131" s="532"/>
      <c r="BB131" s="547"/>
      <c r="BC131" s="532"/>
      <c r="BD131" s="547"/>
      <c r="BE131" s="532"/>
      <c r="BF131" s="539"/>
      <c r="BG131" s="587"/>
      <c r="BH131" s="547" t="e">
        <f>SUM(BH5:BH30)/(BH124-BH40)</f>
        <v>#DIV/0!</v>
      </c>
      <c r="BI131" s="532"/>
      <c r="BJ131" s="582">
        <f>SUM(BJ5:BJ30)/(BJ124-BJ40)</f>
        <v>29.394155381325731</v>
      </c>
      <c r="BK131" s="545"/>
    </row>
    <row r="132" spans="1:63" x14ac:dyDescent="0.35">
      <c r="A132" s="581"/>
      <c r="B132" s="581"/>
      <c r="C132" s="581"/>
      <c r="D132" s="663" t="s">
        <v>166</v>
      </c>
      <c r="E132" s="664"/>
      <c r="F132" s="580">
        <f>(F124-F40)/F124</f>
        <v>1</v>
      </c>
      <c r="G132" s="592"/>
      <c r="H132" s="580">
        <f>(H124-H40)/H124</f>
        <v>0.875</v>
      </c>
      <c r="I132" s="592"/>
      <c r="J132" s="580">
        <f>(J124-J40)/J124</f>
        <v>1</v>
      </c>
      <c r="K132" s="592"/>
      <c r="L132" s="580"/>
      <c r="M132" s="592"/>
      <c r="N132" s="580">
        <f>(N124-N40)/N124</f>
        <v>1</v>
      </c>
      <c r="O132" s="592"/>
      <c r="P132" s="558"/>
      <c r="Q132" s="587"/>
      <c r="R132" s="558"/>
      <c r="S132" s="587"/>
      <c r="T132" s="580">
        <f>(T124-T40)/T124</f>
        <v>1</v>
      </c>
      <c r="U132" s="592"/>
      <c r="V132" s="580">
        <f>(V124-V40)/V124</f>
        <v>0.9285714285714286</v>
      </c>
      <c r="W132" s="592"/>
      <c r="X132" s="580">
        <f>(X124-X40)/X124</f>
        <v>0.9375</v>
      </c>
      <c r="Y132" s="592"/>
      <c r="Z132" s="580"/>
      <c r="AA132" s="580"/>
      <c r="AB132" s="580"/>
      <c r="AC132" s="580"/>
      <c r="AD132" s="558"/>
      <c r="AE132" s="587"/>
      <c r="AF132" s="580"/>
      <c r="AG132" s="580"/>
      <c r="AH132" s="580"/>
      <c r="AI132" s="592"/>
      <c r="AJ132" s="580"/>
      <c r="AK132" s="580"/>
      <c r="AL132" s="580"/>
      <c r="AM132" s="592"/>
      <c r="AN132" s="580"/>
      <c r="AO132" s="592"/>
      <c r="AP132" s="580"/>
      <c r="AQ132" s="592"/>
      <c r="AR132" s="558"/>
      <c r="AS132" s="587"/>
      <c r="AT132" s="580"/>
      <c r="AU132" s="592"/>
      <c r="AV132" s="580"/>
      <c r="AW132" s="592"/>
      <c r="AX132" s="580"/>
      <c r="AY132" s="592"/>
      <c r="AZ132" s="580"/>
      <c r="BA132" s="592"/>
      <c r="BB132" s="580"/>
      <c r="BC132" s="592"/>
      <c r="BD132" s="580"/>
      <c r="BE132" s="592"/>
      <c r="BF132" s="558"/>
      <c r="BG132" s="587"/>
      <c r="BH132" s="580" t="e">
        <f>(BH124-BH40)/BH124</f>
        <v>#DIV/0!</v>
      </c>
      <c r="BI132" s="592"/>
      <c r="BJ132" s="593">
        <f>(BJ124-BJ40)/BJ124</f>
        <v>0.94925575101488502</v>
      </c>
      <c r="BK132" s="545"/>
    </row>
    <row r="133" spans="1:63" x14ac:dyDescent="0.35">
      <c r="A133" s="581"/>
      <c r="B133" s="581"/>
      <c r="C133" s="581"/>
      <c r="D133" s="663" t="s">
        <v>167</v>
      </c>
      <c r="E133" s="664"/>
      <c r="F133" s="580">
        <f>F129/F128</f>
        <v>0.9100147819660015</v>
      </c>
      <c r="G133" s="592"/>
      <c r="H133" s="580">
        <f>H129/H128</f>
        <v>0.92361712361712356</v>
      </c>
      <c r="I133" s="592"/>
      <c r="J133" s="580">
        <f>J129/J128</f>
        <v>0.86343434343434333</v>
      </c>
      <c r="K133" s="592"/>
      <c r="L133" s="580"/>
      <c r="M133" s="592"/>
      <c r="N133" s="580">
        <f>N129/N128</f>
        <v>0.86632996632996628</v>
      </c>
      <c r="O133" s="592"/>
      <c r="P133" s="558"/>
      <c r="Q133" s="587"/>
      <c r="R133" s="558"/>
      <c r="S133" s="587"/>
      <c r="T133" s="580">
        <f>T129/T128</f>
        <v>0.90865800865800872</v>
      </c>
      <c r="U133" s="592"/>
      <c r="V133" s="580">
        <f>V129/V128</f>
        <v>0.89930069930069934</v>
      </c>
      <c r="W133" s="592"/>
      <c r="X133" s="580">
        <f>X129/X128</f>
        <v>0.94949494949494961</v>
      </c>
      <c r="Y133" s="592"/>
      <c r="Z133" s="580"/>
      <c r="AA133" s="580"/>
      <c r="AB133" s="580"/>
      <c r="AC133" s="580"/>
      <c r="AD133" s="558"/>
      <c r="AE133" s="587"/>
      <c r="AF133" s="580"/>
      <c r="AG133" s="580"/>
      <c r="AH133" s="580"/>
      <c r="AI133" s="592"/>
      <c r="AJ133" s="580"/>
      <c r="AK133" s="580"/>
      <c r="AL133" s="580"/>
      <c r="AM133" s="592"/>
      <c r="AN133" s="580"/>
      <c r="AO133" s="592"/>
      <c r="AP133" s="580"/>
      <c r="AQ133" s="592"/>
      <c r="AR133" s="558"/>
      <c r="AS133" s="587"/>
      <c r="AT133" s="580"/>
      <c r="AU133" s="592"/>
      <c r="AV133" s="580"/>
      <c r="AW133" s="592"/>
      <c r="AX133" s="580"/>
      <c r="AY133" s="592"/>
      <c r="AZ133" s="580"/>
      <c r="BA133" s="592"/>
      <c r="BB133" s="580"/>
      <c r="BC133" s="592"/>
      <c r="BD133" s="580"/>
      <c r="BE133" s="592"/>
      <c r="BF133" s="558"/>
      <c r="BG133" s="587"/>
      <c r="BH133" s="580" t="e">
        <f>BH129/BH128</f>
        <v>#DIV/0!</v>
      </c>
      <c r="BI133" s="592"/>
      <c r="BJ133" s="593">
        <f>BJ129/BJ128</f>
        <v>0.88150931985572045</v>
      </c>
      <c r="BK133" s="545"/>
    </row>
    <row r="134" spans="1:63" x14ac:dyDescent="0.35">
      <c r="A134" s="581"/>
      <c r="B134" s="581"/>
      <c r="C134" s="581"/>
      <c r="D134" s="663" t="s">
        <v>168</v>
      </c>
      <c r="E134" s="664"/>
      <c r="F134" s="580">
        <f>SUM(F5:F29)/(SUM(F5:F30))</f>
        <v>0.98598598598598597</v>
      </c>
      <c r="G134" s="592"/>
      <c r="H134" s="580">
        <f>SUM(H5:H29)/(SUM(H5:H30))</f>
        <v>0.98471794871794871</v>
      </c>
      <c r="I134" s="592"/>
      <c r="J134" s="580">
        <f>SUM(J5:J29)/(SUM(J5:J30))</f>
        <v>0.97468643101482322</v>
      </c>
      <c r="K134" s="592"/>
      <c r="L134" s="580"/>
      <c r="M134" s="592"/>
      <c r="N134" s="580">
        <f>SUM(N5:N29)/(SUM(N5:N30))</f>
        <v>0.98961538461538456</v>
      </c>
      <c r="O134" s="592"/>
      <c r="P134" s="558"/>
      <c r="Q134" s="587"/>
      <c r="R134" s="558"/>
      <c r="S134" s="587"/>
      <c r="T134" s="580">
        <f>SUM(T5:T29)/(SUM(T5:T30))</f>
        <v>1</v>
      </c>
      <c r="U134" s="592"/>
      <c r="V134" s="580">
        <f>SUM(V5:V29)/(SUM(V5:V30))</f>
        <v>1</v>
      </c>
      <c r="W134" s="592"/>
      <c r="X134" s="580">
        <f>SUM(X5:X29)/(SUM(X5:X30))</f>
        <v>1</v>
      </c>
      <c r="Y134" s="592"/>
      <c r="Z134" s="580"/>
      <c r="AA134" s="580"/>
      <c r="AB134" s="580"/>
      <c r="AC134" s="580"/>
      <c r="AD134" s="558"/>
      <c r="AE134" s="587"/>
      <c r="AF134" s="580"/>
      <c r="AG134" s="580"/>
      <c r="AH134" s="580"/>
      <c r="AI134" s="592"/>
      <c r="AJ134" s="580"/>
      <c r="AK134" s="580"/>
      <c r="AL134" s="580"/>
      <c r="AM134" s="592"/>
      <c r="AN134" s="580"/>
      <c r="AO134" s="592"/>
      <c r="AP134" s="580"/>
      <c r="AQ134" s="592"/>
      <c r="AR134" s="558"/>
      <c r="AS134" s="587"/>
      <c r="AT134" s="580"/>
      <c r="AU134" s="592"/>
      <c r="AV134" s="580"/>
      <c r="AW134" s="592"/>
      <c r="AX134" s="580"/>
      <c r="AY134" s="592"/>
      <c r="AZ134" s="580"/>
      <c r="BA134" s="592"/>
      <c r="BB134" s="580"/>
      <c r="BC134" s="592"/>
      <c r="BD134" s="580"/>
      <c r="BE134" s="592"/>
      <c r="BF134" s="558"/>
      <c r="BG134" s="587"/>
      <c r="BH134" s="580" t="e">
        <f>SUM(BH5:BH29)/(SUM(BH5:BH30))</f>
        <v>#DIV/0!</v>
      </c>
      <c r="BI134" s="592"/>
      <c r="BJ134" s="593">
        <f>SUM(BJ5:BJ29)/(SUM(BJ5:BJ30))</f>
        <v>0.9896459747817653</v>
      </c>
      <c r="BK134" s="545"/>
    </row>
    <row r="135" spans="1:63" ht="24" thickBot="1" x14ac:dyDescent="0.4">
      <c r="A135" s="581"/>
      <c r="B135" s="581"/>
      <c r="C135" s="581"/>
      <c r="D135" s="663" t="s">
        <v>169</v>
      </c>
      <c r="E135" s="664"/>
      <c r="F135" s="541">
        <f>F134*F133*F132</f>
        <v>0.89726182205857008</v>
      </c>
      <c r="G135" s="510"/>
      <c r="H135" s="541">
        <f>H134*H133*H132</f>
        <v>0.79581456444789778</v>
      </c>
      <c r="I135" s="510"/>
      <c r="J135" s="541">
        <f>J134*J133*J132</f>
        <v>0.84157773861764729</v>
      </c>
      <c r="K135" s="510"/>
      <c r="L135" s="541"/>
      <c r="M135" s="510"/>
      <c r="N135" s="541">
        <f>N134*N133*N132</f>
        <v>0.85733346283346279</v>
      </c>
      <c r="O135" s="510"/>
      <c r="P135" s="534"/>
      <c r="Q135" s="548"/>
      <c r="R135" s="534"/>
      <c r="S135" s="548"/>
      <c r="T135" s="541">
        <f>T134*T133*T132</f>
        <v>0.90865800865800872</v>
      </c>
      <c r="U135" s="510"/>
      <c r="V135" s="541">
        <f>V134*V133*V132</f>
        <v>0.83506493506493518</v>
      </c>
      <c r="W135" s="510"/>
      <c r="X135" s="541">
        <f>X134*X133*X132</f>
        <v>0.89015151515151525</v>
      </c>
      <c r="Y135" s="510"/>
      <c r="Z135" s="541"/>
      <c r="AA135" s="541"/>
      <c r="AB135" s="541"/>
      <c r="AC135" s="541"/>
      <c r="AD135" s="534"/>
      <c r="AE135" s="548"/>
      <c r="AF135" s="541"/>
      <c r="AG135" s="541"/>
      <c r="AH135" s="541"/>
      <c r="AI135" s="510"/>
      <c r="AJ135" s="541"/>
      <c r="AK135" s="541"/>
      <c r="AL135" s="541"/>
      <c r="AM135" s="510"/>
      <c r="AN135" s="541"/>
      <c r="AO135" s="510"/>
      <c r="AP135" s="541"/>
      <c r="AQ135" s="510"/>
      <c r="AR135" s="534"/>
      <c r="AS135" s="548"/>
      <c r="AT135" s="541"/>
      <c r="AU135" s="510"/>
      <c r="AV135" s="541"/>
      <c r="AW135" s="510"/>
      <c r="AX135" s="541"/>
      <c r="AY135" s="510"/>
      <c r="AZ135" s="541"/>
      <c r="BA135" s="510"/>
      <c r="BB135" s="541"/>
      <c r="BC135" s="510"/>
      <c r="BD135" s="541"/>
      <c r="BE135" s="510"/>
      <c r="BF135" s="534"/>
      <c r="BG135" s="548"/>
      <c r="BH135" s="541" t="e">
        <f>BH134*BH133*BH132</f>
        <v>#DIV/0!</v>
      </c>
      <c r="BI135" s="510"/>
      <c r="BJ135" s="594">
        <f>BJ134*BJ133*BJ132</f>
        <v>0.82811377309156908</v>
      </c>
      <c r="BK135" s="545"/>
    </row>
    <row r="136" spans="1:63" ht="17.25" customHeight="1" x14ac:dyDescent="0.35"/>
    <row r="272" spans="8:8" x14ac:dyDescent="0.35">
      <c r="H272" s="505" t="s">
        <v>170</v>
      </c>
    </row>
    <row r="273" spans="8:8" x14ac:dyDescent="0.35">
      <c r="H273" s="505" t="s">
        <v>171</v>
      </c>
    </row>
    <row r="274" spans="8:8" x14ac:dyDescent="0.35">
      <c r="H274" s="505" t="s">
        <v>172</v>
      </c>
    </row>
    <row r="275" spans="8:8" x14ac:dyDescent="0.35">
      <c r="H275" s="505" t="s">
        <v>173</v>
      </c>
    </row>
    <row r="276" spans="8:8" x14ac:dyDescent="0.35">
      <c r="H276" s="505" t="s">
        <v>174</v>
      </c>
    </row>
    <row r="277" spans="8:8" x14ac:dyDescent="0.35">
      <c r="H277" s="505" t="s">
        <v>175</v>
      </c>
    </row>
    <row r="278" spans="8:8" x14ac:dyDescent="0.35">
      <c r="H278" s="505" t="s">
        <v>176</v>
      </c>
    </row>
    <row r="279" spans="8:8" x14ac:dyDescent="0.35">
      <c r="H279" s="505" t="s">
        <v>177</v>
      </c>
    </row>
    <row r="280" spans="8:8" x14ac:dyDescent="0.35">
      <c r="H280" s="505" t="s">
        <v>178</v>
      </c>
    </row>
    <row r="281" spans="8:8" x14ac:dyDescent="0.35">
      <c r="H281" s="505" t="s">
        <v>179</v>
      </c>
    </row>
    <row r="282" spans="8:8" x14ac:dyDescent="0.35">
      <c r="H282" s="505" t="s">
        <v>180</v>
      </c>
    </row>
    <row r="283" spans="8:8" x14ac:dyDescent="0.35">
      <c r="H283" s="505" t="s">
        <v>181</v>
      </c>
    </row>
    <row r="284" spans="8:8" x14ac:dyDescent="0.35">
      <c r="H284" s="505" t="s">
        <v>182</v>
      </c>
    </row>
    <row r="285" spans="8:8" x14ac:dyDescent="0.35">
      <c r="H285" s="505" t="s">
        <v>183</v>
      </c>
    </row>
    <row r="286" spans="8:8" x14ac:dyDescent="0.35">
      <c r="H286" s="505" t="s">
        <v>184</v>
      </c>
    </row>
    <row r="287" spans="8:8" x14ac:dyDescent="0.35">
      <c r="H287" s="505" t="s">
        <v>185</v>
      </c>
    </row>
    <row r="288" spans="8:8" x14ac:dyDescent="0.35">
      <c r="H288" s="505" t="s">
        <v>186</v>
      </c>
    </row>
    <row r="289" spans="8:8" x14ac:dyDescent="0.35">
      <c r="H289" s="505" t="s">
        <v>187</v>
      </c>
    </row>
    <row r="290" spans="8:8" x14ac:dyDescent="0.35">
      <c r="H290" s="505" t="s">
        <v>188</v>
      </c>
    </row>
    <row r="291" spans="8:8" x14ac:dyDescent="0.35">
      <c r="H291" s="505" t="s">
        <v>189</v>
      </c>
    </row>
    <row r="292" spans="8:8" x14ac:dyDescent="0.35">
      <c r="H292" s="505" t="s">
        <v>190</v>
      </c>
    </row>
    <row r="293" spans="8:8" x14ac:dyDescent="0.35">
      <c r="H293" s="505" t="s">
        <v>191</v>
      </c>
    </row>
    <row r="294" spans="8:8" x14ac:dyDescent="0.35">
      <c r="H294" s="505" t="s">
        <v>192</v>
      </c>
    </row>
    <row r="295" spans="8:8" x14ac:dyDescent="0.35">
      <c r="H295" s="505" t="s">
        <v>193</v>
      </c>
    </row>
    <row r="296" spans="8:8" x14ac:dyDescent="0.35">
      <c r="H296" s="505" t="s">
        <v>194</v>
      </c>
    </row>
    <row r="297" spans="8:8" x14ac:dyDescent="0.35">
      <c r="H297" s="505" t="s">
        <v>195</v>
      </c>
    </row>
    <row r="298" spans="8:8" x14ac:dyDescent="0.35">
      <c r="H298" s="505" t="s">
        <v>196</v>
      </c>
    </row>
    <row r="299" spans="8:8" x14ac:dyDescent="0.35">
      <c r="H299" s="505" t="s">
        <v>197</v>
      </c>
    </row>
    <row r="300" spans="8:8" x14ac:dyDescent="0.35">
      <c r="H300" s="505" t="s">
        <v>198</v>
      </c>
    </row>
    <row r="301" spans="8:8" x14ac:dyDescent="0.35">
      <c r="H301" s="505" t="s">
        <v>199</v>
      </c>
    </row>
    <row r="302" spans="8:8" x14ac:dyDescent="0.35">
      <c r="H302" s="505" t="s">
        <v>200</v>
      </c>
    </row>
    <row r="303" spans="8:8" x14ac:dyDescent="0.35">
      <c r="H303" s="505" t="s">
        <v>201</v>
      </c>
    </row>
    <row r="304" spans="8:8" x14ac:dyDescent="0.35">
      <c r="H304" s="505" t="s">
        <v>202</v>
      </c>
    </row>
    <row r="305" spans="8:8" x14ac:dyDescent="0.35">
      <c r="H305" s="505" t="s">
        <v>203</v>
      </c>
    </row>
    <row r="306" spans="8:8" x14ac:dyDescent="0.35">
      <c r="H306" s="505" t="s">
        <v>204</v>
      </c>
    </row>
    <row r="307" spans="8:8" x14ac:dyDescent="0.35">
      <c r="H307" s="505" t="s">
        <v>205</v>
      </c>
    </row>
    <row r="308" spans="8:8" x14ac:dyDescent="0.35">
      <c r="H308" s="505" t="s">
        <v>206</v>
      </c>
    </row>
    <row r="309" spans="8:8" x14ac:dyDescent="0.35">
      <c r="H309" s="505" t="s">
        <v>207</v>
      </c>
    </row>
    <row r="310" spans="8:8" x14ac:dyDescent="0.35">
      <c r="H310" s="505" t="s">
        <v>208</v>
      </c>
    </row>
    <row r="311" spans="8:8" x14ac:dyDescent="0.35">
      <c r="H311" s="505" t="s">
        <v>209</v>
      </c>
    </row>
    <row r="312" spans="8:8" x14ac:dyDescent="0.35">
      <c r="H312" s="505" t="s">
        <v>210</v>
      </c>
    </row>
    <row r="313" spans="8:8" x14ac:dyDescent="0.35">
      <c r="H313" s="505" t="s">
        <v>211</v>
      </c>
    </row>
    <row r="314" spans="8:8" x14ac:dyDescent="0.35">
      <c r="H314" s="505" t="s">
        <v>212</v>
      </c>
    </row>
    <row r="315" spans="8:8" x14ac:dyDescent="0.35">
      <c r="H315" s="505" t="s">
        <v>213</v>
      </c>
    </row>
    <row r="316" spans="8:8" x14ac:dyDescent="0.35">
      <c r="H316" s="505" t="s">
        <v>214</v>
      </c>
    </row>
    <row r="317" spans="8:8" x14ac:dyDescent="0.35">
      <c r="H317" s="505" t="s">
        <v>215</v>
      </c>
    </row>
    <row r="318" spans="8:8" x14ac:dyDescent="0.35">
      <c r="H318" s="505" t="s">
        <v>216</v>
      </c>
    </row>
    <row r="319" spans="8:8" x14ac:dyDescent="0.35">
      <c r="H319" s="505" t="s">
        <v>217</v>
      </c>
    </row>
    <row r="320" spans="8:8" x14ac:dyDescent="0.35">
      <c r="H320" s="505" t="s">
        <v>218</v>
      </c>
    </row>
    <row r="321" spans="8:8" x14ac:dyDescent="0.35">
      <c r="H321" s="505" t="s">
        <v>219</v>
      </c>
    </row>
    <row r="322" spans="8:8" x14ac:dyDescent="0.35">
      <c r="H322" s="505" t="s">
        <v>220</v>
      </c>
    </row>
    <row r="323" spans="8:8" x14ac:dyDescent="0.35">
      <c r="H323" s="505" t="s">
        <v>221</v>
      </c>
    </row>
    <row r="324" spans="8:8" x14ac:dyDescent="0.35">
      <c r="H324" s="505" t="s">
        <v>222</v>
      </c>
    </row>
    <row r="325" spans="8:8" x14ac:dyDescent="0.35">
      <c r="H325" s="505" t="s">
        <v>223</v>
      </c>
    </row>
    <row r="326" spans="8:8" x14ac:dyDescent="0.35">
      <c r="H326" s="505" t="s">
        <v>224</v>
      </c>
    </row>
    <row r="327" spans="8:8" x14ac:dyDescent="0.35">
      <c r="H327" s="505" t="s">
        <v>225</v>
      </c>
    </row>
  </sheetData>
  <autoFilter ref="A41:BK135" xr:uid="{00000000-0009-0000-0000-000018000000}"/>
  <mergeCells count="164">
    <mergeCell ref="AZ4:BA4"/>
    <mergeCell ref="BB4:BC4"/>
    <mergeCell ref="BD4:BE4"/>
    <mergeCell ref="Z4:AA4"/>
    <mergeCell ref="AB4:AC4"/>
    <mergeCell ref="AD4:AE4"/>
    <mergeCell ref="AF4:AG4"/>
    <mergeCell ref="AH4:AI4"/>
    <mergeCell ref="AJ4:AK4"/>
    <mergeCell ref="AL4:AM4"/>
    <mergeCell ref="AN4:AO4"/>
    <mergeCell ref="AX4:AY4"/>
    <mergeCell ref="D132:E132"/>
    <mergeCell ref="D133:E133"/>
    <mergeCell ref="D134:E134"/>
    <mergeCell ref="D135:E135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36:E36"/>
    <mergeCell ref="Z2:AA2"/>
    <mergeCell ref="BB2:BC2"/>
    <mergeCell ref="BD2:BE2"/>
    <mergeCell ref="BF2:BG2"/>
    <mergeCell ref="BH2:BI2"/>
    <mergeCell ref="C2:E2"/>
    <mergeCell ref="F2:G2"/>
    <mergeCell ref="D37:E37"/>
    <mergeCell ref="D38:E38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AP4:AQ4"/>
    <mergeCell ref="AR4:AS4"/>
    <mergeCell ref="AT4:AU4"/>
    <mergeCell ref="AV4:AW4"/>
    <mergeCell ref="BF4:BG4"/>
    <mergeCell ref="X4:Y4"/>
    <mergeCell ref="H2:I2"/>
    <mergeCell ref="J2:K2"/>
    <mergeCell ref="L2:M2"/>
    <mergeCell ref="N2:O2"/>
    <mergeCell ref="AF2:AG2"/>
    <mergeCell ref="AH2:AI2"/>
    <mergeCell ref="AJ2:AK2"/>
    <mergeCell ref="BH4:BI4"/>
    <mergeCell ref="C3:E3"/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29EB-60EC-4F7A-AF5B-D8A0E1A3346C}">
  <sheetPr>
    <tabColor rgb="FF00B050"/>
  </sheetPr>
  <dimension ref="A1:BK316"/>
  <sheetViews>
    <sheetView zoomScale="53" zoomScaleNormal="80" workbookViewId="0">
      <pane xSplit="5" ySplit="19" topLeftCell="F101" activePane="bottomRight" state="frozen"/>
      <selection activeCell="I78" sqref="I78"/>
      <selection pane="topRight" activeCell="I78" sqref="I78"/>
      <selection pane="bottomLeft" activeCell="I78" sqref="I78"/>
      <selection pane="bottomRight" activeCell="H129" sqref="H129"/>
    </sheetView>
  </sheetViews>
  <sheetFormatPr defaultColWidth="9" defaultRowHeight="23.25" x14ac:dyDescent="0.35"/>
  <cols>
    <col min="1" max="2" width="15.7109375" style="505" customWidth="1"/>
    <col min="3" max="3" width="17.140625" style="505" bestFit="1" customWidth="1"/>
    <col min="4" max="4" width="61.7109375" style="505" customWidth="1"/>
    <col min="5" max="5" width="7.85546875" style="576" customWidth="1"/>
    <col min="6" max="6" width="12.5703125" style="505" bestFit="1" customWidth="1"/>
    <col min="7" max="7" width="12.28515625" style="505" customWidth="1"/>
    <col min="8" max="8" width="12.5703125" style="505" bestFit="1" customWidth="1"/>
    <col min="9" max="9" width="12.28515625" style="505" customWidth="1"/>
    <col min="10" max="10" width="12.5703125" style="505" bestFit="1" customWidth="1"/>
    <col min="11" max="11" width="12.28515625" style="505" customWidth="1"/>
    <col min="12" max="12" width="12.5703125" style="505" bestFit="1" customWidth="1"/>
    <col min="13" max="13" width="12.28515625" style="505" customWidth="1"/>
    <col min="14" max="14" width="12.5703125" style="505" bestFit="1" customWidth="1"/>
    <col min="15" max="15" width="12.28515625" style="505" customWidth="1"/>
    <col min="16" max="16" width="12.85546875" style="505" customWidth="1"/>
    <col min="17" max="17" width="13.140625" style="505" customWidth="1"/>
    <col min="18" max="18" width="12.85546875" style="505" customWidth="1"/>
    <col min="19" max="19" width="13.140625" style="505" customWidth="1"/>
    <col min="20" max="20" width="12.5703125" style="505" bestFit="1" customWidth="1"/>
    <col min="21" max="21" width="12.28515625" style="505" customWidth="1"/>
    <col min="22" max="22" width="12.5703125" style="505" bestFit="1" customWidth="1"/>
    <col min="23" max="23" width="12.28515625" style="505" customWidth="1"/>
    <col min="24" max="24" width="12.5703125" style="505" bestFit="1" customWidth="1"/>
    <col min="25" max="25" width="12.28515625" style="505" customWidth="1"/>
    <col min="26" max="26" width="12.5703125" style="505" bestFit="1" customWidth="1"/>
    <col min="27" max="27" width="12.28515625" style="505" customWidth="1"/>
    <col min="28" max="28" width="12.5703125" style="505" bestFit="1" customWidth="1"/>
    <col min="29" max="29" width="12.28515625" style="505" customWidth="1"/>
    <col min="30" max="30" width="12.85546875" style="505" customWidth="1"/>
    <col min="31" max="31" width="13.140625" style="505" customWidth="1"/>
    <col min="32" max="32" width="12.5703125" style="505" bestFit="1" customWidth="1"/>
    <col min="33" max="33" width="12.28515625" style="505" customWidth="1"/>
    <col min="34" max="34" width="12.5703125" style="505" bestFit="1" customWidth="1"/>
    <col min="35" max="35" width="12.28515625" style="505" customWidth="1"/>
    <col min="36" max="36" width="12.5703125" style="505" bestFit="1" customWidth="1"/>
    <col min="37" max="37" width="12.28515625" style="505" customWidth="1"/>
    <col min="38" max="38" width="12.5703125" style="505" bestFit="1" customWidth="1"/>
    <col min="39" max="39" width="12.28515625" style="505" customWidth="1"/>
    <col min="40" max="40" width="13.5703125" style="505" bestFit="1" customWidth="1"/>
    <col min="41" max="41" width="12.28515625" style="505" customWidth="1"/>
    <col min="42" max="42" width="12.5703125" style="505" bestFit="1" customWidth="1"/>
    <col min="43" max="43" width="12.28515625" style="505" customWidth="1"/>
    <col min="44" max="44" width="12.85546875" style="505" customWidth="1"/>
    <col min="45" max="45" width="13.140625" style="505" customWidth="1"/>
    <col min="46" max="46" width="12.5703125" style="505" bestFit="1" customWidth="1"/>
    <col min="47" max="47" width="12.28515625" style="505" customWidth="1"/>
    <col min="48" max="48" width="12.5703125" style="505" bestFit="1" customWidth="1"/>
    <col min="49" max="49" width="12.28515625" style="505" customWidth="1"/>
    <col min="50" max="50" width="12.5703125" style="505" bestFit="1" customWidth="1"/>
    <col min="51" max="51" width="12.28515625" style="505" customWidth="1"/>
    <col min="52" max="52" width="12.5703125" style="505" bestFit="1" customWidth="1"/>
    <col min="53" max="53" width="12.28515625" style="505" customWidth="1"/>
    <col min="54" max="54" width="12.5703125" style="505" bestFit="1" customWidth="1"/>
    <col min="55" max="55" width="12.28515625" style="505" customWidth="1"/>
    <col min="56" max="56" width="12.5703125" style="505" bestFit="1" customWidth="1"/>
    <col min="57" max="57" width="12.28515625" style="505" customWidth="1"/>
    <col min="58" max="58" width="12.85546875" style="505" customWidth="1"/>
    <col min="59" max="59" width="13.140625" style="505" customWidth="1"/>
    <col min="60" max="60" width="12.5703125" style="505" bestFit="1" customWidth="1"/>
    <col min="61" max="61" width="12.28515625" style="505" customWidth="1"/>
    <col min="62" max="62" width="12.140625" style="505" customWidth="1"/>
    <col min="63" max="64" width="9" style="505"/>
    <col min="65" max="65" width="9.7109375" style="505" customWidth="1"/>
    <col min="66" max="16384" width="9" style="505"/>
  </cols>
  <sheetData>
    <row r="1" spans="1:63" ht="24" thickBot="1" x14ac:dyDescent="0.4">
      <c r="F1" s="544">
        <f t="shared" ref="F1:AK1" si="0">SUM(F5:F19)</f>
        <v>0</v>
      </c>
      <c r="G1" s="544">
        <f t="shared" si="0"/>
        <v>0</v>
      </c>
      <c r="H1" s="544">
        <f t="shared" si="0"/>
        <v>0</v>
      </c>
      <c r="I1" s="544">
        <f t="shared" si="0"/>
        <v>0</v>
      </c>
      <c r="J1" s="544">
        <f t="shared" si="0"/>
        <v>0</v>
      </c>
      <c r="K1" s="544">
        <f t="shared" si="0"/>
        <v>0</v>
      </c>
      <c r="L1" s="544">
        <f t="shared" si="0"/>
        <v>3972</v>
      </c>
      <c r="M1" s="544">
        <f t="shared" si="0"/>
        <v>0</v>
      </c>
      <c r="N1" s="544">
        <f t="shared" si="0"/>
        <v>3777</v>
      </c>
      <c r="O1" s="544">
        <f t="shared" si="0"/>
        <v>0</v>
      </c>
      <c r="P1" s="544">
        <f t="shared" si="0"/>
        <v>0</v>
      </c>
      <c r="Q1" s="544">
        <f t="shared" si="0"/>
        <v>0</v>
      </c>
      <c r="R1" s="544">
        <f t="shared" si="0"/>
        <v>0</v>
      </c>
      <c r="S1" s="544">
        <f t="shared" si="0"/>
        <v>0</v>
      </c>
      <c r="T1" s="544">
        <f t="shared" si="0"/>
        <v>2185</v>
      </c>
      <c r="U1" s="544">
        <f t="shared" si="0"/>
        <v>0</v>
      </c>
      <c r="V1" s="544">
        <f t="shared" si="0"/>
        <v>1600</v>
      </c>
      <c r="W1" s="544">
        <f t="shared" si="0"/>
        <v>0</v>
      </c>
      <c r="X1" s="544">
        <f t="shared" si="0"/>
        <v>0</v>
      </c>
      <c r="Y1" s="544">
        <f t="shared" si="0"/>
        <v>0</v>
      </c>
      <c r="Z1" s="544">
        <f t="shared" si="0"/>
        <v>0</v>
      </c>
      <c r="AA1" s="544">
        <f t="shared" si="0"/>
        <v>0</v>
      </c>
      <c r="AB1" s="544">
        <f t="shared" si="0"/>
        <v>0</v>
      </c>
      <c r="AC1" s="544">
        <f t="shared" si="0"/>
        <v>0</v>
      </c>
      <c r="AD1" s="544">
        <f t="shared" si="0"/>
        <v>0</v>
      </c>
      <c r="AE1" s="544">
        <f t="shared" si="0"/>
        <v>0</v>
      </c>
      <c r="AF1" s="544">
        <f t="shared" si="0"/>
        <v>0</v>
      </c>
      <c r="AG1" s="544">
        <f t="shared" si="0"/>
        <v>0</v>
      </c>
      <c r="AH1" s="544">
        <f t="shared" si="0"/>
        <v>0</v>
      </c>
      <c r="AI1" s="544">
        <f t="shared" si="0"/>
        <v>0</v>
      </c>
      <c r="AJ1" s="544">
        <f t="shared" si="0"/>
        <v>0</v>
      </c>
      <c r="AK1" s="544">
        <f t="shared" si="0"/>
        <v>0</v>
      </c>
      <c r="AL1" s="544">
        <f t="shared" ref="AL1:BJ1" si="1">SUM(AL5:AL19)</f>
        <v>0</v>
      </c>
      <c r="AM1" s="544">
        <f t="shared" si="1"/>
        <v>0</v>
      </c>
      <c r="AN1" s="544">
        <f t="shared" si="1"/>
        <v>0</v>
      </c>
      <c r="AO1" s="544">
        <f t="shared" si="1"/>
        <v>0</v>
      </c>
      <c r="AP1" s="544">
        <f t="shared" si="1"/>
        <v>0</v>
      </c>
      <c r="AQ1" s="544">
        <f t="shared" si="1"/>
        <v>0</v>
      </c>
      <c r="AR1" s="544">
        <f t="shared" si="1"/>
        <v>0</v>
      </c>
      <c r="AS1" s="544">
        <f t="shared" si="1"/>
        <v>0</v>
      </c>
      <c r="AT1" s="544">
        <f t="shared" si="1"/>
        <v>0</v>
      </c>
      <c r="AU1" s="544">
        <f t="shared" si="1"/>
        <v>0</v>
      </c>
      <c r="AV1" s="544">
        <f t="shared" si="1"/>
        <v>0</v>
      </c>
      <c r="AW1" s="544">
        <f t="shared" si="1"/>
        <v>0</v>
      </c>
      <c r="AX1" s="544">
        <f t="shared" si="1"/>
        <v>0</v>
      </c>
      <c r="AY1" s="544">
        <f t="shared" si="1"/>
        <v>0</v>
      </c>
      <c r="AZ1" s="544">
        <f t="shared" si="1"/>
        <v>0</v>
      </c>
      <c r="BA1" s="544">
        <f t="shared" si="1"/>
        <v>0</v>
      </c>
      <c r="BB1" s="544">
        <f t="shared" si="1"/>
        <v>0</v>
      </c>
      <c r="BC1" s="544">
        <f t="shared" si="1"/>
        <v>0</v>
      </c>
      <c r="BD1" s="544">
        <f t="shared" si="1"/>
        <v>0</v>
      </c>
      <c r="BE1" s="544">
        <f t="shared" si="1"/>
        <v>0</v>
      </c>
      <c r="BF1" s="544">
        <f t="shared" si="1"/>
        <v>0</v>
      </c>
      <c r="BG1" s="544">
        <f t="shared" si="1"/>
        <v>0</v>
      </c>
      <c r="BH1" s="544">
        <f t="shared" si="1"/>
        <v>0</v>
      </c>
      <c r="BI1" s="544">
        <f t="shared" si="1"/>
        <v>0</v>
      </c>
      <c r="BJ1" s="544">
        <f t="shared" si="1"/>
        <v>11534</v>
      </c>
    </row>
    <row r="2" spans="1:63" ht="24" customHeight="1" x14ac:dyDescent="0.35">
      <c r="A2" s="538"/>
      <c r="B2" s="538"/>
      <c r="C2" s="641" t="s">
        <v>0</v>
      </c>
      <c r="D2" s="642"/>
      <c r="E2" s="642"/>
      <c r="F2" s="639">
        <v>46082</v>
      </c>
      <c r="G2" s="640"/>
      <c r="H2" s="639">
        <v>46083</v>
      </c>
      <c r="I2" s="640"/>
      <c r="J2" s="639">
        <v>46084</v>
      </c>
      <c r="K2" s="640"/>
      <c r="L2" s="639">
        <v>46085</v>
      </c>
      <c r="M2" s="640"/>
      <c r="N2" s="639">
        <v>46086</v>
      </c>
      <c r="O2" s="640"/>
      <c r="P2" s="639">
        <v>46087</v>
      </c>
      <c r="Q2" s="640"/>
      <c r="R2" s="639">
        <v>46088</v>
      </c>
      <c r="S2" s="640"/>
      <c r="T2" s="639">
        <v>46089</v>
      </c>
      <c r="U2" s="640"/>
      <c r="V2" s="639">
        <v>46090</v>
      </c>
      <c r="W2" s="640"/>
      <c r="X2" s="639">
        <v>46091</v>
      </c>
      <c r="Y2" s="640"/>
      <c r="Z2" s="639">
        <v>46092</v>
      </c>
      <c r="AA2" s="640"/>
      <c r="AB2" s="639">
        <v>46093</v>
      </c>
      <c r="AC2" s="640"/>
      <c r="AD2" s="639">
        <v>46094</v>
      </c>
      <c r="AE2" s="640"/>
      <c r="AF2" s="639">
        <v>46095</v>
      </c>
      <c r="AG2" s="640"/>
      <c r="AH2" s="639">
        <v>46096</v>
      </c>
      <c r="AI2" s="640"/>
      <c r="AJ2" s="639">
        <v>46097</v>
      </c>
      <c r="AK2" s="640"/>
      <c r="AL2" s="639">
        <v>46098</v>
      </c>
      <c r="AM2" s="640"/>
      <c r="AN2" s="639">
        <v>46099</v>
      </c>
      <c r="AO2" s="640"/>
      <c r="AP2" s="639">
        <v>46100</v>
      </c>
      <c r="AQ2" s="640"/>
      <c r="AR2" s="639">
        <v>46101</v>
      </c>
      <c r="AS2" s="640"/>
      <c r="AT2" s="639">
        <v>46102</v>
      </c>
      <c r="AU2" s="640"/>
      <c r="AV2" s="639">
        <v>46103</v>
      </c>
      <c r="AW2" s="640"/>
      <c r="AX2" s="639">
        <v>46104</v>
      </c>
      <c r="AY2" s="640"/>
      <c r="AZ2" s="639">
        <v>46105</v>
      </c>
      <c r="BA2" s="640"/>
      <c r="BB2" s="639">
        <v>46106</v>
      </c>
      <c r="BC2" s="640"/>
      <c r="BD2" s="639">
        <v>46107</v>
      </c>
      <c r="BE2" s="640"/>
      <c r="BF2" s="639">
        <v>46108</v>
      </c>
      <c r="BG2" s="640"/>
      <c r="BH2" s="639">
        <v>46109</v>
      </c>
      <c r="BI2" s="640"/>
      <c r="BJ2" s="527"/>
    </row>
    <row r="3" spans="1:63" ht="24" customHeight="1" x14ac:dyDescent="0.35">
      <c r="A3" s="538"/>
      <c r="B3" s="538"/>
      <c r="C3" s="641" t="s">
        <v>1</v>
      </c>
      <c r="D3" s="642"/>
      <c r="E3" s="642"/>
      <c r="F3" s="565" t="s">
        <v>2</v>
      </c>
      <c r="G3" s="577" t="s">
        <v>3</v>
      </c>
      <c r="H3" s="565" t="s">
        <v>2</v>
      </c>
      <c r="I3" s="577" t="s">
        <v>3</v>
      </c>
      <c r="J3" s="565" t="s">
        <v>2</v>
      </c>
      <c r="K3" s="577" t="s">
        <v>3</v>
      </c>
      <c r="L3" s="565" t="s">
        <v>2</v>
      </c>
      <c r="M3" s="577" t="s">
        <v>3</v>
      </c>
      <c r="N3" s="565" t="s">
        <v>2</v>
      </c>
      <c r="O3" s="577" t="s">
        <v>3</v>
      </c>
      <c r="P3" s="565" t="s">
        <v>2</v>
      </c>
      <c r="Q3" s="549" t="s">
        <v>3</v>
      </c>
      <c r="R3" s="565" t="s">
        <v>2</v>
      </c>
      <c r="S3" s="549" t="s">
        <v>3</v>
      </c>
      <c r="T3" s="565" t="s">
        <v>2</v>
      </c>
      <c r="U3" s="577" t="s">
        <v>3</v>
      </c>
      <c r="V3" s="565" t="s">
        <v>2</v>
      </c>
      <c r="W3" s="577" t="s">
        <v>3</v>
      </c>
      <c r="X3" s="565" t="s">
        <v>2</v>
      </c>
      <c r="Y3" s="577" t="s">
        <v>3</v>
      </c>
      <c r="Z3" s="565" t="s">
        <v>2</v>
      </c>
      <c r="AA3" s="577" t="s">
        <v>3</v>
      </c>
      <c r="AB3" s="565" t="s">
        <v>2</v>
      </c>
      <c r="AC3" s="577" t="s">
        <v>3</v>
      </c>
      <c r="AD3" s="565" t="s">
        <v>2</v>
      </c>
      <c r="AE3" s="549" t="s">
        <v>3</v>
      </c>
      <c r="AF3" s="565" t="s">
        <v>2</v>
      </c>
      <c r="AG3" s="577" t="s">
        <v>3</v>
      </c>
      <c r="AH3" s="565" t="s">
        <v>2</v>
      </c>
      <c r="AI3" s="577" t="s">
        <v>3</v>
      </c>
      <c r="AJ3" s="565" t="s">
        <v>2</v>
      </c>
      <c r="AK3" s="577" t="s">
        <v>3</v>
      </c>
      <c r="AL3" s="565" t="s">
        <v>2</v>
      </c>
      <c r="AM3" s="577" t="s">
        <v>3</v>
      </c>
      <c r="AN3" s="565" t="s">
        <v>2</v>
      </c>
      <c r="AO3" s="577" t="s">
        <v>3</v>
      </c>
      <c r="AP3" s="565" t="s">
        <v>2</v>
      </c>
      <c r="AQ3" s="577" t="s">
        <v>3</v>
      </c>
      <c r="AR3" s="565" t="s">
        <v>2</v>
      </c>
      <c r="AS3" s="549" t="s">
        <v>3</v>
      </c>
      <c r="AT3" s="565" t="s">
        <v>2</v>
      </c>
      <c r="AU3" s="577" t="s">
        <v>3</v>
      </c>
      <c r="AV3" s="565" t="s">
        <v>2</v>
      </c>
      <c r="AW3" s="577" t="s">
        <v>3</v>
      </c>
      <c r="AX3" s="565" t="s">
        <v>2</v>
      </c>
      <c r="AY3" s="577" t="s">
        <v>3</v>
      </c>
      <c r="AZ3" s="565" t="s">
        <v>2</v>
      </c>
      <c r="BA3" s="577" t="s">
        <v>3</v>
      </c>
      <c r="BB3" s="565" t="s">
        <v>2</v>
      </c>
      <c r="BC3" s="577" t="s">
        <v>3</v>
      </c>
      <c r="BD3" s="565" t="s">
        <v>2</v>
      </c>
      <c r="BE3" s="577" t="s">
        <v>3</v>
      </c>
      <c r="BF3" s="565" t="s">
        <v>2</v>
      </c>
      <c r="BG3" s="549" t="s">
        <v>3</v>
      </c>
      <c r="BH3" s="565" t="s">
        <v>2</v>
      </c>
      <c r="BI3" s="577" t="s">
        <v>3</v>
      </c>
      <c r="BJ3" s="527"/>
    </row>
    <row r="4" spans="1:63" ht="46.5" customHeight="1" x14ac:dyDescent="0.35">
      <c r="A4" s="561"/>
      <c r="B4" s="561"/>
      <c r="C4" s="561" t="s">
        <v>4</v>
      </c>
      <c r="D4" s="523" t="s">
        <v>5</v>
      </c>
      <c r="E4" s="571" t="s">
        <v>6</v>
      </c>
      <c r="F4" s="637" t="s">
        <v>12</v>
      </c>
      <c r="G4" s="638"/>
      <c r="H4" s="637" t="s">
        <v>13</v>
      </c>
      <c r="I4" s="638"/>
      <c r="J4" s="637" t="s">
        <v>7</v>
      </c>
      <c r="K4" s="638"/>
      <c r="L4" s="637" t="s">
        <v>8</v>
      </c>
      <c r="M4" s="638"/>
      <c r="N4" s="637" t="s">
        <v>9</v>
      </c>
      <c r="O4" s="638"/>
      <c r="P4" s="637" t="s">
        <v>10</v>
      </c>
      <c r="Q4" s="638"/>
      <c r="R4" s="637" t="s">
        <v>11</v>
      </c>
      <c r="S4" s="638"/>
      <c r="T4" s="637" t="s">
        <v>12</v>
      </c>
      <c r="U4" s="638"/>
      <c r="V4" s="637" t="s">
        <v>13</v>
      </c>
      <c r="W4" s="638"/>
      <c r="X4" s="637" t="s">
        <v>7</v>
      </c>
      <c r="Y4" s="638"/>
      <c r="Z4" s="637" t="s">
        <v>8</v>
      </c>
      <c r="AA4" s="638"/>
      <c r="AB4" s="637" t="s">
        <v>9</v>
      </c>
      <c r="AC4" s="638"/>
      <c r="AD4" s="637" t="s">
        <v>10</v>
      </c>
      <c r="AE4" s="638"/>
      <c r="AF4" s="637" t="s">
        <v>11</v>
      </c>
      <c r="AG4" s="638"/>
      <c r="AH4" s="637" t="s">
        <v>12</v>
      </c>
      <c r="AI4" s="638"/>
      <c r="AJ4" s="637" t="s">
        <v>13</v>
      </c>
      <c r="AK4" s="638"/>
      <c r="AL4" s="637" t="s">
        <v>7</v>
      </c>
      <c r="AM4" s="638"/>
      <c r="AN4" s="637" t="s">
        <v>8</v>
      </c>
      <c r="AO4" s="638"/>
      <c r="AP4" s="637" t="s">
        <v>9</v>
      </c>
      <c r="AQ4" s="638"/>
      <c r="AR4" s="637" t="s">
        <v>10</v>
      </c>
      <c r="AS4" s="638"/>
      <c r="AT4" s="637" t="s">
        <v>11</v>
      </c>
      <c r="AU4" s="638"/>
      <c r="AV4" s="637" t="s">
        <v>12</v>
      </c>
      <c r="AW4" s="638"/>
      <c r="AX4" s="637" t="s">
        <v>13</v>
      </c>
      <c r="AY4" s="638"/>
      <c r="AZ4" s="637" t="s">
        <v>7</v>
      </c>
      <c r="BA4" s="638"/>
      <c r="BB4" s="637" t="s">
        <v>8</v>
      </c>
      <c r="BC4" s="638"/>
      <c r="BD4" s="637" t="s">
        <v>9</v>
      </c>
      <c r="BE4" s="638"/>
      <c r="BF4" s="637" t="s">
        <v>10</v>
      </c>
      <c r="BG4" s="638"/>
      <c r="BH4" s="637" t="s">
        <v>1037</v>
      </c>
      <c r="BI4" s="638"/>
    </row>
    <row r="5" spans="1:63" x14ac:dyDescent="0.35">
      <c r="A5" s="512"/>
      <c r="B5" s="512"/>
      <c r="C5" s="512">
        <f>VLOOKUP(D5,Products!B:D,2,FALSE)</f>
        <v>40330013</v>
      </c>
      <c r="D5" s="463" t="s">
        <v>366</v>
      </c>
      <c r="E5" s="380">
        <v>20</v>
      </c>
      <c r="F5" s="619"/>
      <c r="G5" s="620"/>
      <c r="H5" s="619"/>
      <c r="I5" s="620"/>
      <c r="J5" s="619"/>
      <c r="K5" s="620"/>
      <c r="L5" s="619">
        <v>3972</v>
      </c>
      <c r="M5" s="620"/>
      <c r="N5" s="619"/>
      <c r="O5" s="620"/>
      <c r="P5" s="621"/>
      <c r="Q5" s="622"/>
      <c r="R5" s="621"/>
      <c r="S5" s="622"/>
      <c r="T5" s="619">
        <v>2185</v>
      </c>
      <c r="U5" s="620"/>
      <c r="V5" s="619">
        <v>1600</v>
      </c>
      <c r="W5" s="620"/>
      <c r="X5" s="619"/>
      <c r="Y5" s="620"/>
      <c r="Z5" s="619"/>
      <c r="AA5" s="620"/>
      <c r="AB5" s="619"/>
      <c r="AC5" s="620"/>
      <c r="AD5" s="572"/>
      <c r="AE5" s="587"/>
      <c r="AF5" s="526"/>
      <c r="AG5" s="507"/>
      <c r="AH5" s="526"/>
      <c r="AI5" s="507"/>
      <c r="AJ5" s="526"/>
      <c r="AK5" s="507"/>
      <c r="AL5" s="526"/>
      <c r="AM5" s="507"/>
      <c r="AN5" s="526"/>
      <c r="AO5" s="507"/>
      <c r="AP5" s="526"/>
      <c r="AQ5" s="507"/>
      <c r="AR5" s="572"/>
      <c r="AS5" s="587"/>
      <c r="AT5" s="526"/>
      <c r="AU5" s="507"/>
      <c r="AV5" s="526"/>
      <c r="AW5" s="507"/>
      <c r="AX5" s="526"/>
      <c r="AY5" s="507"/>
      <c r="AZ5" s="526"/>
      <c r="BA5" s="507"/>
      <c r="BB5" s="526"/>
      <c r="BC5" s="507"/>
      <c r="BD5" s="526"/>
      <c r="BE5" s="507"/>
      <c r="BF5" s="572"/>
      <c r="BG5" s="587"/>
      <c r="BH5" s="526"/>
      <c r="BI5" s="507"/>
      <c r="BJ5" s="535">
        <f t="shared" ref="BJ5:BJ35" si="2">SUM(F5:BI5)</f>
        <v>7757</v>
      </c>
      <c r="BK5" s="545">
        <f t="shared" ref="BK5:BK35" si="3">COUNT(F5:BI5)</f>
        <v>3</v>
      </c>
    </row>
    <row r="6" spans="1:63" x14ac:dyDescent="0.35">
      <c r="A6" s="512"/>
      <c r="B6" s="512"/>
      <c r="C6" s="520">
        <v>40330011</v>
      </c>
      <c r="D6" s="463" t="s">
        <v>243</v>
      </c>
      <c r="E6" s="380">
        <v>20</v>
      </c>
      <c r="F6" s="597"/>
      <c r="G6" s="623"/>
      <c r="H6" s="597"/>
      <c r="I6" s="623"/>
      <c r="J6" s="597"/>
      <c r="K6" s="623"/>
      <c r="L6" s="597"/>
      <c r="M6" s="623"/>
      <c r="N6" s="597">
        <v>1500</v>
      </c>
      <c r="O6" s="623"/>
      <c r="P6" s="621"/>
      <c r="Q6" s="622"/>
      <c r="R6" s="621"/>
      <c r="S6" s="622"/>
      <c r="T6" s="597"/>
      <c r="U6" s="623"/>
      <c r="V6" s="597"/>
      <c r="W6" s="623"/>
      <c r="X6" s="597"/>
      <c r="Y6" s="623"/>
      <c r="Z6" s="597"/>
      <c r="AA6" s="623"/>
      <c r="AB6" s="597"/>
      <c r="AC6" s="623"/>
      <c r="AD6" s="572"/>
      <c r="AE6" s="587"/>
      <c r="AF6" s="72"/>
      <c r="AG6" s="73"/>
      <c r="AH6" s="72"/>
      <c r="AI6" s="73"/>
      <c r="AJ6" s="72"/>
      <c r="AK6" s="73"/>
      <c r="AL6" s="72"/>
      <c r="AM6" s="73"/>
      <c r="AN6" s="72"/>
      <c r="AO6" s="73"/>
      <c r="AP6" s="72"/>
      <c r="AQ6" s="73"/>
      <c r="AR6" s="572"/>
      <c r="AS6" s="587"/>
      <c r="AT6" s="72"/>
      <c r="AU6" s="73"/>
      <c r="AV6" s="72"/>
      <c r="AW6" s="73"/>
      <c r="AX6" s="72"/>
      <c r="AY6" s="73"/>
      <c r="AZ6" s="72"/>
      <c r="BA6" s="73"/>
      <c r="BB6" s="72"/>
      <c r="BC6" s="73"/>
      <c r="BD6" s="72"/>
      <c r="BE6" s="73"/>
      <c r="BF6" s="572"/>
      <c r="BG6" s="587"/>
      <c r="BH6" s="72"/>
      <c r="BI6" s="73"/>
      <c r="BJ6" s="535">
        <f t="shared" si="2"/>
        <v>1500</v>
      </c>
      <c r="BK6" s="545">
        <f t="shared" si="3"/>
        <v>1</v>
      </c>
    </row>
    <row r="7" spans="1:63" ht="18.75" customHeight="1" x14ac:dyDescent="0.35">
      <c r="A7" s="512"/>
      <c r="B7" s="512"/>
      <c r="C7" s="512">
        <f>VLOOKUP(D7,Products!B:D,2,FALSE)</f>
        <v>40330001</v>
      </c>
      <c r="D7" s="463" t="s">
        <v>280</v>
      </c>
      <c r="E7" s="380">
        <v>20</v>
      </c>
      <c r="F7" s="597"/>
      <c r="G7" s="623"/>
      <c r="H7" s="597"/>
      <c r="I7" s="623"/>
      <c r="J7" s="597"/>
      <c r="K7" s="623"/>
      <c r="L7" s="597"/>
      <c r="M7" s="623"/>
      <c r="N7" s="597">
        <v>2277</v>
      </c>
      <c r="O7" s="623"/>
      <c r="P7" s="621"/>
      <c r="Q7" s="622"/>
      <c r="R7" s="621"/>
      <c r="S7" s="622"/>
      <c r="T7" s="597"/>
      <c r="U7" s="623"/>
      <c r="V7" s="597"/>
      <c r="W7" s="623"/>
      <c r="X7" s="597"/>
      <c r="Y7" s="623"/>
      <c r="Z7" s="597"/>
      <c r="AA7" s="623"/>
      <c r="AB7" s="597"/>
      <c r="AC7" s="623"/>
      <c r="AD7" s="572"/>
      <c r="AE7" s="587"/>
      <c r="AF7" s="72"/>
      <c r="AG7" s="73"/>
      <c r="AH7" s="72"/>
      <c r="AI7" s="73"/>
      <c r="AJ7" s="72"/>
      <c r="AK7" s="73"/>
      <c r="AL7" s="72"/>
      <c r="AM7" s="73"/>
      <c r="AN7" s="72"/>
      <c r="AO7" s="73"/>
      <c r="AP7" s="72"/>
      <c r="AQ7" s="73"/>
      <c r="AR7" s="572"/>
      <c r="AS7" s="587"/>
      <c r="AT7" s="72"/>
      <c r="AU7" s="73"/>
      <c r="AV7" s="72"/>
      <c r="AW7" s="73"/>
      <c r="AX7" s="72"/>
      <c r="AY7" s="73"/>
      <c r="AZ7" s="72"/>
      <c r="BA7" s="73"/>
      <c r="BB7" s="72"/>
      <c r="BC7" s="73"/>
      <c r="BD7" s="72"/>
      <c r="BE7" s="73"/>
      <c r="BF7" s="572"/>
      <c r="BG7" s="587"/>
      <c r="BH7" s="72"/>
      <c r="BI7" s="73"/>
      <c r="BJ7" s="535">
        <f t="shared" si="2"/>
        <v>2277</v>
      </c>
      <c r="BK7" s="545">
        <f t="shared" si="3"/>
        <v>1</v>
      </c>
    </row>
    <row r="8" spans="1:63" x14ac:dyDescent="0.35">
      <c r="A8" s="512"/>
      <c r="B8" s="512"/>
      <c r="C8" s="512" t="e">
        <f>VLOOKUP(D8,Products!B:D,2,FALSE)</f>
        <v>#N/A</v>
      </c>
      <c r="D8" s="463"/>
      <c r="E8" s="380">
        <v>1</v>
      </c>
      <c r="F8" s="597"/>
      <c r="G8" s="623"/>
      <c r="H8" s="597"/>
      <c r="I8" s="623"/>
      <c r="J8" s="597"/>
      <c r="K8" s="623"/>
      <c r="L8" s="597"/>
      <c r="M8" s="623"/>
      <c r="N8" s="597"/>
      <c r="O8" s="623"/>
      <c r="P8" s="621"/>
      <c r="Q8" s="622"/>
      <c r="R8" s="621"/>
      <c r="S8" s="622"/>
      <c r="T8" s="597"/>
      <c r="U8" s="623"/>
      <c r="V8" s="597"/>
      <c r="W8" s="623"/>
      <c r="X8" s="597"/>
      <c r="Y8" s="623"/>
      <c r="Z8" s="597"/>
      <c r="AA8" s="623"/>
      <c r="AB8" s="597"/>
      <c r="AC8" s="623"/>
      <c r="AD8" s="572"/>
      <c r="AE8" s="587"/>
      <c r="AF8" s="72"/>
      <c r="AG8" s="73"/>
      <c r="AH8" s="72"/>
      <c r="AI8" s="73"/>
      <c r="AJ8" s="72"/>
      <c r="AK8" s="73"/>
      <c r="AL8" s="72"/>
      <c r="AM8" s="73"/>
      <c r="AN8" s="72"/>
      <c r="AO8" s="73"/>
      <c r="AP8" s="72"/>
      <c r="AQ8" s="73"/>
      <c r="AR8" s="572"/>
      <c r="AS8" s="587"/>
      <c r="AT8" s="72"/>
      <c r="AU8" s="73"/>
      <c r="AV8" s="72"/>
      <c r="AW8" s="73"/>
      <c r="AX8" s="72"/>
      <c r="AY8" s="73"/>
      <c r="AZ8" s="72"/>
      <c r="BA8" s="73"/>
      <c r="BB8" s="72"/>
      <c r="BC8" s="73"/>
      <c r="BD8" s="72"/>
      <c r="BE8" s="73"/>
      <c r="BF8" s="572"/>
      <c r="BG8" s="587"/>
      <c r="BH8" s="72"/>
      <c r="BI8" s="73"/>
      <c r="BJ8" s="535">
        <f t="shared" si="2"/>
        <v>0</v>
      </c>
      <c r="BK8" s="545">
        <f t="shared" si="3"/>
        <v>0</v>
      </c>
    </row>
    <row r="9" spans="1:63" x14ac:dyDescent="0.35">
      <c r="A9" s="512"/>
      <c r="B9" s="512"/>
      <c r="C9" s="512" t="e">
        <f>VLOOKUP(D9,Products!B:D,2,FALSE)</f>
        <v>#N/A</v>
      </c>
      <c r="D9" s="463"/>
      <c r="E9" s="380">
        <v>1</v>
      </c>
      <c r="F9" s="597"/>
      <c r="G9" s="623"/>
      <c r="H9" s="597"/>
      <c r="I9" s="623"/>
      <c r="J9" s="597"/>
      <c r="K9" s="623"/>
      <c r="L9" s="597"/>
      <c r="M9" s="623"/>
      <c r="N9" s="597"/>
      <c r="O9" s="623"/>
      <c r="P9" s="621"/>
      <c r="Q9" s="622"/>
      <c r="R9" s="621"/>
      <c r="S9" s="622"/>
      <c r="T9" s="597"/>
      <c r="U9" s="623"/>
      <c r="V9" s="597"/>
      <c r="W9" s="623"/>
      <c r="X9" s="597"/>
      <c r="Y9" s="624"/>
      <c r="Z9" s="598"/>
      <c r="AA9" s="624"/>
      <c r="AB9" s="598"/>
      <c r="AC9" s="624"/>
      <c r="AD9" s="572"/>
      <c r="AE9" s="587"/>
      <c r="AF9" s="530"/>
      <c r="AG9" s="537"/>
      <c r="AH9" s="530"/>
      <c r="AI9" s="537"/>
      <c r="AJ9" s="530"/>
      <c r="AK9" s="537"/>
      <c r="AL9" s="530"/>
      <c r="AM9" s="537"/>
      <c r="AN9" s="530"/>
      <c r="AO9" s="537"/>
      <c r="AP9" s="530"/>
      <c r="AQ9" s="537"/>
      <c r="AR9" s="572"/>
      <c r="AS9" s="587"/>
      <c r="AT9" s="530"/>
      <c r="AU9" s="537"/>
      <c r="AV9" s="530"/>
      <c r="AW9" s="537"/>
      <c r="AX9" s="530"/>
      <c r="AY9" s="537"/>
      <c r="AZ9" s="530"/>
      <c r="BA9" s="537"/>
      <c r="BB9" s="530"/>
      <c r="BC9" s="537"/>
      <c r="BD9" s="530"/>
      <c r="BE9" s="537"/>
      <c r="BF9" s="572"/>
      <c r="BG9" s="587"/>
      <c r="BH9" s="72"/>
      <c r="BI9" s="73"/>
      <c r="BJ9" s="535">
        <f t="shared" si="2"/>
        <v>0</v>
      </c>
      <c r="BK9" s="545">
        <f t="shared" si="3"/>
        <v>0</v>
      </c>
    </row>
    <row r="10" spans="1:63" x14ac:dyDescent="0.35">
      <c r="A10" s="512"/>
      <c r="B10" s="512"/>
      <c r="C10" s="512" t="e">
        <f>VLOOKUP(D10,Products!B:D,2,FALSE)</f>
        <v>#N/A</v>
      </c>
      <c r="D10" s="463"/>
      <c r="E10" s="380">
        <v>1</v>
      </c>
      <c r="F10" s="598"/>
      <c r="G10" s="624"/>
      <c r="H10" s="598"/>
      <c r="I10" s="624"/>
      <c r="J10" s="598"/>
      <c r="K10" s="624"/>
      <c r="L10" s="598"/>
      <c r="M10" s="624"/>
      <c r="N10" s="598"/>
      <c r="O10" s="624"/>
      <c r="P10" s="621"/>
      <c r="Q10" s="622"/>
      <c r="R10" s="621"/>
      <c r="S10" s="622"/>
      <c r="T10" s="598"/>
      <c r="U10" s="624"/>
      <c r="V10" s="598"/>
      <c r="W10" s="624"/>
      <c r="X10" s="598"/>
      <c r="Y10" s="624"/>
      <c r="Z10" s="598"/>
      <c r="AA10" s="624"/>
      <c r="AB10" s="598"/>
      <c r="AC10" s="624"/>
      <c r="AD10" s="572"/>
      <c r="AE10" s="587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72"/>
      <c r="AS10" s="587"/>
      <c r="AT10" s="530"/>
      <c r="AU10" s="537"/>
      <c r="AV10" s="530"/>
      <c r="AW10" s="537"/>
      <c r="AX10" s="530"/>
      <c r="AY10" s="537"/>
      <c r="AZ10" s="530"/>
      <c r="BA10" s="537"/>
      <c r="BB10" s="530"/>
      <c r="BC10" s="537"/>
      <c r="BD10" s="530"/>
      <c r="BE10" s="537"/>
      <c r="BF10" s="572"/>
      <c r="BG10" s="587"/>
      <c r="BH10" s="530"/>
      <c r="BI10" s="537"/>
      <c r="BJ10" s="535">
        <f t="shared" si="2"/>
        <v>0</v>
      </c>
      <c r="BK10" s="545">
        <f t="shared" si="3"/>
        <v>0</v>
      </c>
    </row>
    <row r="11" spans="1:63" x14ac:dyDescent="0.35">
      <c r="A11" s="512"/>
      <c r="B11" s="512"/>
      <c r="C11" s="512" t="e">
        <f>VLOOKUP(D11,Products!B:D,2,FALSE)</f>
        <v>#N/A</v>
      </c>
      <c r="D11" s="463"/>
      <c r="E11" s="380">
        <v>1</v>
      </c>
      <c r="F11" s="598"/>
      <c r="G11" s="624"/>
      <c r="H11" s="598"/>
      <c r="I11" s="624"/>
      <c r="J11" s="598"/>
      <c r="K11" s="624"/>
      <c r="L11" s="598"/>
      <c r="M11" s="624"/>
      <c r="N11" s="598"/>
      <c r="O11" s="624"/>
      <c r="P11" s="621"/>
      <c r="Q11" s="622"/>
      <c r="R11" s="621"/>
      <c r="S11" s="622"/>
      <c r="T11" s="598"/>
      <c r="U11" s="624"/>
      <c r="V11" s="598"/>
      <c r="W11" s="624"/>
      <c r="X11" s="598"/>
      <c r="Y11" s="624"/>
      <c r="Z11" s="598"/>
      <c r="AA11" s="624"/>
      <c r="AB11" s="598"/>
      <c r="AC11" s="624"/>
      <c r="AD11" s="572"/>
      <c r="AE11" s="587"/>
      <c r="AF11" s="530"/>
      <c r="AG11" s="530"/>
      <c r="AH11" s="530"/>
      <c r="AI11" s="530"/>
      <c r="AJ11" s="530"/>
      <c r="AK11" s="530"/>
      <c r="AL11" s="530"/>
      <c r="AM11" s="530"/>
      <c r="AN11" s="530"/>
      <c r="AO11" s="530"/>
      <c r="AP11" s="530"/>
      <c r="AQ11" s="530"/>
      <c r="AR11" s="572"/>
      <c r="AS11" s="587"/>
      <c r="AT11" s="530"/>
      <c r="AU11" s="537"/>
      <c r="AV11" s="530"/>
      <c r="AW11" s="530"/>
      <c r="AX11" s="530"/>
      <c r="AY11" s="530"/>
      <c r="AZ11" s="530"/>
      <c r="BA11" s="530"/>
      <c r="BB11" s="530"/>
      <c r="BC11" s="530"/>
      <c r="BD11" s="530"/>
      <c r="BE11" s="530"/>
      <c r="BF11" s="572"/>
      <c r="BG11" s="587"/>
      <c r="BH11" s="530"/>
      <c r="BI11" s="537"/>
      <c r="BJ11" s="535">
        <f t="shared" si="2"/>
        <v>0</v>
      </c>
      <c r="BK11" s="545">
        <f t="shared" si="3"/>
        <v>0</v>
      </c>
    </row>
    <row r="12" spans="1:63" x14ac:dyDescent="0.35">
      <c r="A12" s="512"/>
      <c r="B12" s="512"/>
      <c r="C12" s="512" t="e">
        <f>VLOOKUP(D12,Products!B:D,2,FALSE)</f>
        <v>#N/A</v>
      </c>
      <c r="D12" s="463"/>
      <c r="E12" s="380">
        <v>1</v>
      </c>
      <c r="F12" s="598"/>
      <c r="G12" s="624"/>
      <c r="H12" s="598"/>
      <c r="I12" s="624"/>
      <c r="J12" s="598"/>
      <c r="K12" s="624"/>
      <c r="L12" s="598"/>
      <c r="M12" s="624"/>
      <c r="N12" s="598"/>
      <c r="O12" s="624"/>
      <c r="P12" s="621"/>
      <c r="Q12" s="622"/>
      <c r="R12" s="621"/>
      <c r="S12" s="622"/>
      <c r="T12" s="598"/>
      <c r="U12" s="624"/>
      <c r="V12" s="598"/>
      <c r="W12" s="624"/>
      <c r="X12" s="598"/>
      <c r="Y12" s="624"/>
      <c r="Z12" s="598"/>
      <c r="AA12" s="624"/>
      <c r="AB12" s="598"/>
      <c r="AC12" s="624"/>
      <c r="AD12" s="572"/>
      <c r="AE12" s="587"/>
      <c r="AF12" s="530"/>
      <c r="AG12" s="537"/>
      <c r="AH12" s="530"/>
      <c r="AI12" s="537"/>
      <c r="AJ12" s="530"/>
      <c r="AK12" s="537"/>
      <c r="AL12" s="530"/>
      <c r="AM12" s="537"/>
      <c r="AN12" s="530"/>
      <c r="AO12" s="537"/>
      <c r="AP12" s="530"/>
      <c r="AQ12" s="537"/>
      <c r="AR12" s="572"/>
      <c r="AS12" s="587"/>
      <c r="AT12" s="530"/>
      <c r="AU12" s="537"/>
      <c r="AV12" s="530"/>
      <c r="AW12" s="530"/>
      <c r="AX12" s="530"/>
      <c r="AY12" s="530"/>
      <c r="AZ12" s="530"/>
      <c r="BA12" s="530"/>
      <c r="BB12" s="530"/>
      <c r="BC12" s="530"/>
      <c r="BD12" s="530"/>
      <c r="BE12" s="530"/>
      <c r="BF12" s="572"/>
      <c r="BG12" s="587"/>
      <c r="BH12" s="530"/>
      <c r="BI12" s="537"/>
      <c r="BJ12" s="535">
        <f t="shared" si="2"/>
        <v>0</v>
      </c>
      <c r="BK12" s="545">
        <f t="shared" si="3"/>
        <v>0</v>
      </c>
    </row>
    <row r="13" spans="1:63" ht="23.25" customHeight="1" x14ac:dyDescent="0.35">
      <c r="A13" s="512"/>
      <c r="B13" s="512"/>
      <c r="C13" s="512" t="e">
        <f>VLOOKUP(D13,Products!B:D,2,FALSE)</f>
        <v>#N/A</v>
      </c>
      <c r="D13" s="463"/>
      <c r="E13" s="380">
        <v>1</v>
      </c>
      <c r="F13" s="598"/>
      <c r="G13" s="624"/>
      <c r="H13" s="598"/>
      <c r="I13" s="624"/>
      <c r="J13" s="598"/>
      <c r="K13" s="624"/>
      <c r="L13" s="598"/>
      <c r="M13" s="624"/>
      <c r="N13" s="598"/>
      <c r="O13" s="624"/>
      <c r="P13" s="621"/>
      <c r="Q13" s="622"/>
      <c r="R13" s="621"/>
      <c r="S13" s="622"/>
      <c r="T13" s="598"/>
      <c r="U13" s="624"/>
      <c r="V13" s="598"/>
      <c r="W13" s="624"/>
      <c r="X13" s="598"/>
      <c r="Y13" s="624"/>
      <c r="Z13" s="598"/>
      <c r="AA13" s="624"/>
      <c r="AB13" s="598"/>
      <c r="AC13" s="624"/>
      <c r="AD13" s="572"/>
      <c r="AE13" s="587"/>
      <c r="AF13" s="530"/>
      <c r="AG13" s="537"/>
      <c r="AH13" s="530"/>
      <c r="AI13" s="537"/>
      <c r="AJ13" s="530"/>
      <c r="AK13" s="537"/>
      <c r="AL13" s="530"/>
      <c r="AM13" s="537"/>
      <c r="AN13" s="530"/>
      <c r="AO13" s="537"/>
      <c r="AP13" s="530"/>
      <c r="AQ13" s="537"/>
      <c r="AR13" s="572"/>
      <c r="AS13" s="587"/>
      <c r="AT13" s="530"/>
      <c r="AU13" s="537"/>
      <c r="AV13" s="530"/>
      <c r="AW13" s="537"/>
      <c r="AX13" s="530"/>
      <c r="AY13" s="537"/>
      <c r="AZ13" s="530"/>
      <c r="BA13" s="537"/>
      <c r="BB13" s="530"/>
      <c r="BC13" s="537"/>
      <c r="BD13" s="530"/>
      <c r="BE13" s="537"/>
      <c r="BF13" s="572"/>
      <c r="BG13" s="587"/>
      <c r="BH13" s="530"/>
      <c r="BI13" s="537"/>
      <c r="BJ13" s="535">
        <f t="shared" si="2"/>
        <v>0</v>
      </c>
      <c r="BK13" s="545">
        <f t="shared" si="3"/>
        <v>0</v>
      </c>
    </row>
    <row r="14" spans="1:63" ht="23.25" customHeight="1" x14ac:dyDescent="0.35">
      <c r="A14" s="512"/>
      <c r="B14" s="512"/>
      <c r="C14" s="512" t="e">
        <f>VLOOKUP(D14,Products!B:D,2,FALSE)</f>
        <v>#N/A</v>
      </c>
      <c r="D14" s="555"/>
      <c r="E14" s="589">
        <v>1</v>
      </c>
      <c r="F14" s="598"/>
      <c r="G14" s="624"/>
      <c r="H14" s="598"/>
      <c r="I14" s="624"/>
      <c r="J14" s="598"/>
      <c r="K14" s="624"/>
      <c r="L14" s="598"/>
      <c r="M14" s="624"/>
      <c r="N14" s="598"/>
      <c r="O14" s="624"/>
      <c r="P14" s="621"/>
      <c r="Q14" s="622"/>
      <c r="R14" s="621"/>
      <c r="S14" s="622"/>
      <c r="T14" s="598"/>
      <c r="U14" s="624"/>
      <c r="V14" s="598"/>
      <c r="W14" s="624"/>
      <c r="X14" s="598"/>
      <c r="Y14" s="624"/>
      <c r="Z14" s="598"/>
      <c r="AA14" s="624"/>
      <c r="AB14" s="598"/>
      <c r="AC14" s="624"/>
      <c r="AD14" s="572"/>
      <c r="AE14" s="587"/>
      <c r="AF14" s="530"/>
      <c r="AG14" s="537"/>
      <c r="AH14" s="530"/>
      <c r="AI14" s="537"/>
      <c r="AJ14" s="530"/>
      <c r="AK14" s="537"/>
      <c r="AL14" s="530"/>
      <c r="AM14" s="537"/>
      <c r="AN14" s="530"/>
      <c r="AO14" s="537"/>
      <c r="AP14" s="530"/>
      <c r="AQ14" s="537"/>
      <c r="AR14" s="572"/>
      <c r="AS14" s="587"/>
      <c r="AT14" s="530"/>
      <c r="AU14" s="537"/>
      <c r="AV14" s="530"/>
      <c r="AW14" s="537"/>
      <c r="AX14" s="530"/>
      <c r="AY14" s="537"/>
      <c r="AZ14" s="530"/>
      <c r="BA14" s="537"/>
      <c r="BB14" s="530"/>
      <c r="BC14" s="537"/>
      <c r="BD14" s="530"/>
      <c r="BE14" s="537"/>
      <c r="BF14" s="572"/>
      <c r="BG14" s="587"/>
      <c r="BH14" s="530"/>
      <c r="BI14" s="537"/>
      <c r="BJ14" s="535">
        <f t="shared" si="2"/>
        <v>0</v>
      </c>
      <c r="BK14" s="545">
        <f t="shared" si="3"/>
        <v>0</v>
      </c>
    </row>
    <row r="15" spans="1:63" ht="23.25" customHeight="1" x14ac:dyDescent="0.35">
      <c r="A15" s="512"/>
      <c r="B15" s="512"/>
      <c r="C15" s="512" t="e">
        <f>VLOOKUP(D15,Products!B:D,2,FALSE)</f>
        <v>#N/A</v>
      </c>
      <c r="D15" s="555"/>
      <c r="E15" s="589">
        <v>1</v>
      </c>
      <c r="F15" s="598"/>
      <c r="G15" s="624"/>
      <c r="H15" s="598"/>
      <c r="I15" s="624"/>
      <c r="J15" s="598"/>
      <c r="K15" s="624"/>
      <c r="L15" s="598"/>
      <c r="M15" s="624"/>
      <c r="N15" s="598"/>
      <c r="O15" s="624"/>
      <c r="P15" s="621"/>
      <c r="Q15" s="622"/>
      <c r="R15" s="621"/>
      <c r="S15" s="622"/>
      <c r="T15" s="598"/>
      <c r="U15" s="624"/>
      <c r="V15" s="598"/>
      <c r="W15" s="624"/>
      <c r="X15" s="598"/>
      <c r="Y15" s="624"/>
      <c r="Z15" s="598"/>
      <c r="AA15" s="624"/>
      <c r="AB15" s="598"/>
      <c r="AC15" s="624"/>
      <c r="AD15" s="572"/>
      <c r="AE15" s="587"/>
      <c r="AF15" s="530"/>
      <c r="AG15" s="537"/>
      <c r="AH15" s="530"/>
      <c r="AI15" s="537"/>
      <c r="AJ15" s="530"/>
      <c r="AK15" s="537"/>
      <c r="AL15" s="530"/>
      <c r="AM15" s="537"/>
      <c r="AN15" s="530"/>
      <c r="AO15" s="537"/>
      <c r="AP15" s="530"/>
      <c r="AQ15" s="537"/>
      <c r="AR15" s="572"/>
      <c r="AS15" s="587"/>
      <c r="AT15" s="530"/>
      <c r="AU15" s="537"/>
      <c r="AV15" s="530"/>
      <c r="AW15" s="537"/>
      <c r="AX15" s="530"/>
      <c r="AY15" s="537"/>
      <c r="AZ15" s="530"/>
      <c r="BA15" s="537"/>
      <c r="BB15" s="530"/>
      <c r="BC15" s="537"/>
      <c r="BD15" s="530"/>
      <c r="BE15" s="537"/>
      <c r="BF15" s="572"/>
      <c r="BG15" s="587"/>
      <c r="BH15" s="530"/>
      <c r="BI15" s="537"/>
      <c r="BJ15" s="535">
        <f t="shared" si="2"/>
        <v>0</v>
      </c>
      <c r="BK15" s="545">
        <f t="shared" si="3"/>
        <v>0</v>
      </c>
    </row>
    <row r="16" spans="1:63" ht="23.25" customHeight="1" x14ac:dyDescent="0.35">
      <c r="A16" s="512"/>
      <c r="B16" s="512"/>
      <c r="C16" s="512" t="e">
        <f>VLOOKUP(D16,Products!B:D,2,FALSE)</f>
        <v>#N/A</v>
      </c>
      <c r="D16" s="555"/>
      <c r="E16" s="589">
        <v>1</v>
      </c>
      <c r="F16" s="598"/>
      <c r="G16" s="624"/>
      <c r="H16" s="598"/>
      <c r="I16" s="624"/>
      <c r="J16" s="598"/>
      <c r="K16" s="624"/>
      <c r="L16" s="598"/>
      <c r="M16" s="624"/>
      <c r="N16" s="598"/>
      <c r="O16" s="624"/>
      <c r="P16" s="621"/>
      <c r="Q16" s="622"/>
      <c r="R16" s="621"/>
      <c r="S16" s="622"/>
      <c r="T16" s="598"/>
      <c r="U16" s="624"/>
      <c r="V16" s="598"/>
      <c r="W16" s="624"/>
      <c r="X16" s="598"/>
      <c r="Y16" s="624"/>
      <c r="Z16" s="598"/>
      <c r="AA16" s="624"/>
      <c r="AB16" s="598"/>
      <c r="AC16" s="624"/>
      <c r="AD16" s="572"/>
      <c r="AE16" s="587"/>
      <c r="AF16" s="530"/>
      <c r="AG16" s="537"/>
      <c r="AH16" s="530"/>
      <c r="AI16" s="537"/>
      <c r="AJ16" s="530"/>
      <c r="AK16" s="537"/>
      <c r="AL16" s="530"/>
      <c r="AM16" s="537"/>
      <c r="AN16" s="530"/>
      <c r="AO16" s="537"/>
      <c r="AP16" s="530"/>
      <c r="AQ16" s="537"/>
      <c r="AR16" s="572"/>
      <c r="AS16" s="587"/>
      <c r="AT16" s="530"/>
      <c r="AU16" s="537"/>
      <c r="AV16" s="530"/>
      <c r="AW16" s="537"/>
      <c r="AX16" s="530"/>
      <c r="AY16" s="537"/>
      <c r="AZ16" s="530"/>
      <c r="BA16" s="537"/>
      <c r="BB16" s="530"/>
      <c r="BC16" s="537"/>
      <c r="BD16" s="530"/>
      <c r="BE16" s="537"/>
      <c r="BF16" s="572"/>
      <c r="BG16" s="587"/>
      <c r="BH16" s="530"/>
      <c r="BI16" s="537"/>
      <c r="BJ16" s="535">
        <f t="shared" si="2"/>
        <v>0</v>
      </c>
      <c r="BK16" s="545">
        <f t="shared" si="3"/>
        <v>0</v>
      </c>
    </row>
    <row r="17" spans="1:63" ht="23.25" customHeight="1" x14ac:dyDescent="0.35">
      <c r="A17" s="512"/>
      <c r="B17" s="512"/>
      <c r="C17" s="512" t="e">
        <f>VLOOKUP(D17,Products!B:D,2,FALSE)</f>
        <v>#N/A</v>
      </c>
      <c r="D17" s="555"/>
      <c r="E17" s="589">
        <v>1</v>
      </c>
      <c r="F17" s="598"/>
      <c r="G17" s="624"/>
      <c r="H17" s="598"/>
      <c r="I17" s="624"/>
      <c r="J17" s="598"/>
      <c r="K17" s="624"/>
      <c r="L17" s="598"/>
      <c r="M17" s="624"/>
      <c r="N17" s="598"/>
      <c r="O17" s="624"/>
      <c r="P17" s="621"/>
      <c r="Q17" s="622"/>
      <c r="R17" s="621"/>
      <c r="S17" s="622"/>
      <c r="T17" s="598"/>
      <c r="U17" s="624"/>
      <c r="V17" s="598"/>
      <c r="W17" s="624"/>
      <c r="X17" s="598"/>
      <c r="Y17" s="624"/>
      <c r="Z17" s="598"/>
      <c r="AA17" s="624"/>
      <c r="AB17" s="598"/>
      <c r="AC17" s="624"/>
      <c r="AD17" s="572"/>
      <c r="AE17" s="587"/>
      <c r="AF17" s="530"/>
      <c r="AG17" s="537"/>
      <c r="AH17" s="530"/>
      <c r="AI17" s="537"/>
      <c r="AJ17" s="530"/>
      <c r="AK17" s="537"/>
      <c r="AL17" s="530"/>
      <c r="AM17" s="537"/>
      <c r="AN17" s="530"/>
      <c r="AO17" s="537"/>
      <c r="AP17" s="530"/>
      <c r="AQ17" s="537"/>
      <c r="AR17" s="572"/>
      <c r="AS17" s="587"/>
      <c r="AT17" s="530"/>
      <c r="AU17" s="537"/>
      <c r="AV17" s="530"/>
      <c r="AW17" s="537"/>
      <c r="AX17" s="530"/>
      <c r="AY17" s="537"/>
      <c r="AZ17" s="530"/>
      <c r="BA17" s="537"/>
      <c r="BB17" s="530"/>
      <c r="BC17" s="537"/>
      <c r="BD17" s="530"/>
      <c r="BE17" s="537"/>
      <c r="BF17" s="572"/>
      <c r="BG17" s="587"/>
      <c r="BH17" s="530"/>
      <c r="BI17" s="537"/>
      <c r="BJ17" s="535">
        <f t="shared" si="2"/>
        <v>0</v>
      </c>
      <c r="BK17" s="545">
        <f t="shared" si="3"/>
        <v>0</v>
      </c>
    </row>
    <row r="18" spans="1:63" ht="23.25" customHeight="1" x14ac:dyDescent="0.35">
      <c r="A18" s="512"/>
      <c r="B18" s="512"/>
      <c r="C18" s="512" t="e">
        <f>VLOOKUP(D18,Products!B:D,2,FALSE)</f>
        <v>#N/A</v>
      </c>
      <c r="D18" s="504"/>
      <c r="E18" s="589">
        <v>1</v>
      </c>
      <c r="F18" s="598"/>
      <c r="G18" s="624"/>
      <c r="H18" s="598"/>
      <c r="I18" s="624"/>
      <c r="J18" s="598"/>
      <c r="K18" s="624"/>
      <c r="L18" s="598"/>
      <c r="M18" s="624"/>
      <c r="N18" s="598"/>
      <c r="O18" s="624"/>
      <c r="P18" s="621"/>
      <c r="Q18" s="622"/>
      <c r="R18" s="621"/>
      <c r="S18" s="622"/>
      <c r="T18" s="598"/>
      <c r="U18" s="624"/>
      <c r="V18" s="598"/>
      <c r="W18" s="624"/>
      <c r="X18" s="598"/>
      <c r="Y18" s="624"/>
      <c r="Z18" s="598"/>
      <c r="AA18" s="624"/>
      <c r="AB18" s="598"/>
      <c r="AC18" s="624"/>
      <c r="AD18" s="572"/>
      <c r="AE18" s="587"/>
      <c r="AF18" s="530"/>
      <c r="AG18" s="537"/>
      <c r="AH18" s="530"/>
      <c r="AI18" s="537"/>
      <c r="AJ18" s="530"/>
      <c r="AK18" s="537"/>
      <c r="AL18" s="530"/>
      <c r="AM18" s="537"/>
      <c r="AN18" s="530"/>
      <c r="AO18" s="537"/>
      <c r="AP18" s="530"/>
      <c r="AQ18" s="537"/>
      <c r="AR18" s="572"/>
      <c r="AS18" s="587"/>
      <c r="AT18" s="530"/>
      <c r="AU18" s="537"/>
      <c r="AV18" s="530"/>
      <c r="AW18" s="537"/>
      <c r="AX18" s="530"/>
      <c r="AY18" s="537"/>
      <c r="AZ18" s="530"/>
      <c r="BA18" s="537"/>
      <c r="BB18" s="530"/>
      <c r="BC18" s="537"/>
      <c r="BD18" s="530"/>
      <c r="BE18" s="537"/>
      <c r="BF18" s="572"/>
      <c r="BG18" s="587"/>
      <c r="BH18" s="530"/>
      <c r="BI18" s="537"/>
      <c r="BJ18" s="535">
        <f t="shared" si="2"/>
        <v>0</v>
      </c>
      <c r="BK18" s="545">
        <f t="shared" si="3"/>
        <v>0</v>
      </c>
    </row>
    <row r="19" spans="1:63" ht="23.25" customHeight="1" x14ac:dyDescent="0.35">
      <c r="A19" s="512"/>
      <c r="B19" s="512"/>
      <c r="C19" s="512" t="e">
        <f>VLOOKUP(D19,Products!B:D,2,FALSE)</f>
        <v>#N/A</v>
      </c>
      <c r="D19" s="504" t="s">
        <v>17</v>
      </c>
      <c r="E19" s="589">
        <v>1</v>
      </c>
      <c r="F19" s="598"/>
      <c r="G19" s="624"/>
      <c r="H19" s="598"/>
      <c r="I19" s="624"/>
      <c r="J19" s="598"/>
      <c r="K19" s="624"/>
      <c r="L19" s="598"/>
      <c r="M19" s="624"/>
      <c r="N19" s="598"/>
      <c r="O19" s="624"/>
      <c r="P19" s="621"/>
      <c r="Q19" s="622"/>
      <c r="R19" s="621"/>
      <c r="S19" s="622"/>
      <c r="T19" s="598"/>
      <c r="U19" s="624"/>
      <c r="V19" s="598"/>
      <c r="W19" s="624"/>
      <c r="X19" s="598"/>
      <c r="Y19" s="624"/>
      <c r="Z19" s="598"/>
      <c r="AA19" s="624"/>
      <c r="AB19" s="598"/>
      <c r="AC19" s="624"/>
      <c r="AD19" s="572"/>
      <c r="AE19" s="587"/>
      <c r="AF19" s="530"/>
      <c r="AG19" s="537"/>
      <c r="AH19" s="530"/>
      <c r="AI19" s="537"/>
      <c r="AJ19" s="530"/>
      <c r="AK19" s="537"/>
      <c r="AL19" s="530"/>
      <c r="AM19" s="537"/>
      <c r="AN19" s="530"/>
      <c r="AO19" s="537"/>
      <c r="AP19" s="530"/>
      <c r="AQ19" s="537"/>
      <c r="AR19" s="572"/>
      <c r="AS19" s="587"/>
      <c r="AT19" s="530"/>
      <c r="AU19" s="537"/>
      <c r="AV19" s="530"/>
      <c r="AW19" s="537"/>
      <c r="AX19" s="530"/>
      <c r="AY19" s="537"/>
      <c r="AZ19" s="530"/>
      <c r="BA19" s="537"/>
      <c r="BB19" s="530"/>
      <c r="BC19" s="537"/>
      <c r="BD19" s="530"/>
      <c r="BE19" s="537"/>
      <c r="BF19" s="572"/>
      <c r="BG19" s="587"/>
      <c r="BH19" s="530"/>
      <c r="BI19" s="537"/>
      <c r="BJ19" s="535">
        <f t="shared" si="2"/>
        <v>0</v>
      </c>
      <c r="BK19" s="545">
        <f t="shared" si="3"/>
        <v>0</v>
      </c>
    </row>
    <row r="20" spans="1:63" ht="30" customHeight="1" x14ac:dyDescent="0.35">
      <c r="A20" s="512"/>
      <c r="B20" s="512"/>
      <c r="C20" s="512"/>
      <c r="D20" s="649" t="s">
        <v>18</v>
      </c>
      <c r="E20" s="650"/>
      <c r="F20" s="625">
        <f t="shared" ref="F20:AK20" si="4">SUM(F21:F28)</f>
        <v>0</v>
      </c>
      <c r="G20" s="626">
        <f t="shared" si="4"/>
        <v>0</v>
      </c>
      <c r="H20" s="625">
        <f t="shared" si="4"/>
        <v>0</v>
      </c>
      <c r="I20" s="626">
        <f t="shared" si="4"/>
        <v>0</v>
      </c>
      <c r="J20" s="625">
        <f t="shared" si="4"/>
        <v>0</v>
      </c>
      <c r="K20" s="626">
        <f t="shared" si="4"/>
        <v>0</v>
      </c>
      <c r="L20" s="625">
        <f t="shared" si="4"/>
        <v>0</v>
      </c>
      <c r="M20" s="626">
        <f t="shared" si="4"/>
        <v>0</v>
      </c>
      <c r="N20" s="625">
        <f t="shared" si="4"/>
        <v>76</v>
      </c>
      <c r="O20" s="626">
        <f t="shared" si="4"/>
        <v>0</v>
      </c>
      <c r="P20" s="625">
        <f t="shared" si="4"/>
        <v>0</v>
      </c>
      <c r="Q20" s="627">
        <f t="shared" si="4"/>
        <v>0</v>
      </c>
      <c r="R20" s="625">
        <f t="shared" si="4"/>
        <v>0</v>
      </c>
      <c r="S20" s="627">
        <f t="shared" si="4"/>
        <v>0</v>
      </c>
      <c r="T20" s="625">
        <f t="shared" si="4"/>
        <v>18</v>
      </c>
      <c r="U20" s="626">
        <f t="shared" si="4"/>
        <v>0</v>
      </c>
      <c r="V20" s="625">
        <f t="shared" si="4"/>
        <v>0</v>
      </c>
      <c r="W20" s="626">
        <f t="shared" si="4"/>
        <v>0</v>
      </c>
      <c r="X20" s="625">
        <f t="shared" si="4"/>
        <v>0</v>
      </c>
      <c r="Y20" s="626">
        <f t="shared" si="4"/>
        <v>0</v>
      </c>
      <c r="Z20" s="625">
        <f t="shared" si="4"/>
        <v>0</v>
      </c>
      <c r="AA20" s="626">
        <f t="shared" si="4"/>
        <v>0</v>
      </c>
      <c r="AB20" s="625">
        <f t="shared" si="4"/>
        <v>0</v>
      </c>
      <c r="AC20" s="626">
        <f t="shared" si="4"/>
        <v>0</v>
      </c>
      <c r="AD20" s="542">
        <f t="shared" si="4"/>
        <v>0</v>
      </c>
      <c r="AE20" s="575">
        <f t="shared" si="4"/>
        <v>0</v>
      </c>
      <c r="AF20" s="542">
        <f t="shared" si="4"/>
        <v>0</v>
      </c>
      <c r="AG20" s="515">
        <f t="shared" si="4"/>
        <v>0</v>
      </c>
      <c r="AH20" s="542">
        <f t="shared" si="4"/>
        <v>0</v>
      </c>
      <c r="AI20" s="515">
        <f t="shared" si="4"/>
        <v>0</v>
      </c>
      <c r="AJ20" s="542">
        <f t="shared" si="4"/>
        <v>0</v>
      </c>
      <c r="AK20" s="515">
        <f t="shared" si="4"/>
        <v>0</v>
      </c>
      <c r="AL20" s="542">
        <f t="shared" ref="AL20:BI20" si="5">SUM(AL21:AL28)</f>
        <v>0</v>
      </c>
      <c r="AM20" s="515">
        <f t="shared" si="5"/>
        <v>0</v>
      </c>
      <c r="AN20" s="542">
        <f t="shared" si="5"/>
        <v>0</v>
      </c>
      <c r="AO20" s="515">
        <f t="shared" si="5"/>
        <v>0</v>
      </c>
      <c r="AP20" s="542">
        <f t="shared" si="5"/>
        <v>0</v>
      </c>
      <c r="AQ20" s="515">
        <f t="shared" si="5"/>
        <v>0</v>
      </c>
      <c r="AR20" s="542">
        <f t="shared" si="5"/>
        <v>0</v>
      </c>
      <c r="AS20" s="575">
        <f t="shared" si="5"/>
        <v>0</v>
      </c>
      <c r="AT20" s="542">
        <f t="shared" si="5"/>
        <v>0</v>
      </c>
      <c r="AU20" s="515">
        <f t="shared" si="5"/>
        <v>0</v>
      </c>
      <c r="AV20" s="542">
        <f t="shared" si="5"/>
        <v>0</v>
      </c>
      <c r="AW20" s="515">
        <f t="shared" si="5"/>
        <v>0</v>
      </c>
      <c r="AX20" s="542">
        <f t="shared" si="5"/>
        <v>0</v>
      </c>
      <c r="AY20" s="515">
        <f t="shared" si="5"/>
        <v>0</v>
      </c>
      <c r="AZ20" s="542">
        <f t="shared" si="5"/>
        <v>0</v>
      </c>
      <c r="BA20" s="515">
        <f t="shared" si="5"/>
        <v>0</v>
      </c>
      <c r="BB20" s="542">
        <f t="shared" si="5"/>
        <v>0</v>
      </c>
      <c r="BC20" s="515">
        <f t="shared" si="5"/>
        <v>0</v>
      </c>
      <c r="BD20" s="542">
        <f t="shared" si="5"/>
        <v>0</v>
      </c>
      <c r="BE20" s="515">
        <f t="shared" si="5"/>
        <v>0</v>
      </c>
      <c r="BF20" s="542">
        <f t="shared" si="5"/>
        <v>0</v>
      </c>
      <c r="BG20" s="575">
        <f t="shared" si="5"/>
        <v>0</v>
      </c>
      <c r="BH20" s="542">
        <f t="shared" si="5"/>
        <v>0</v>
      </c>
      <c r="BI20" s="515">
        <f t="shared" si="5"/>
        <v>0</v>
      </c>
      <c r="BJ20" s="535">
        <f t="shared" si="2"/>
        <v>94</v>
      </c>
      <c r="BK20" s="545">
        <f t="shared" si="3"/>
        <v>56</v>
      </c>
    </row>
    <row r="21" spans="1:63" x14ac:dyDescent="0.35">
      <c r="A21" s="524"/>
      <c r="B21" s="524"/>
      <c r="C21" s="524"/>
      <c r="D21" s="651" t="s">
        <v>19</v>
      </c>
      <c r="E21" s="652"/>
      <c r="F21" s="530"/>
      <c r="G21" s="537"/>
      <c r="H21" s="530"/>
      <c r="I21" s="537"/>
      <c r="J21" s="530"/>
      <c r="K21" s="537"/>
      <c r="L21" s="530"/>
      <c r="M21" s="537"/>
      <c r="N21" s="530"/>
      <c r="O21" s="537"/>
      <c r="P21" s="572"/>
      <c r="Q21" s="587"/>
      <c r="R21" s="572"/>
      <c r="S21" s="587"/>
      <c r="T21" s="530"/>
      <c r="U21" s="537"/>
      <c r="V21" s="530"/>
      <c r="W21" s="537"/>
      <c r="X21" s="530"/>
      <c r="Y21" s="537"/>
      <c r="Z21" s="530"/>
      <c r="AA21" s="537"/>
      <c r="AB21" s="530"/>
      <c r="AC21" s="537"/>
      <c r="AD21" s="572"/>
      <c r="AE21" s="587"/>
      <c r="AF21" s="530"/>
      <c r="AG21" s="537"/>
      <c r="AH21" s="530"/>
      <c r="AI21" s="537"/>
      <c r="AJ21" s="530"/>
      <c r="AK21" s="537"/>
      <c r="AL21" s="530"/>
      <c r="AM21" s="537"/>
      <c r="AN21" s="530"/>
      <c r="AO21" s="537"/>
      <c r="AP21" s="530"/>
      <c r="AQ21" s="537"/>
      <c r="AR21" s="572"/>
      <c r="AS21" s="587"/>
      <c r="AT21" s="530"/>
      <c r="AU21" s="537"/>
      <c r="AV21" s="530"/>
      <c r="AW21" s="537"/>
      <c r="AX21" s="530"/>
      <c r="AY21" s="537"/>
      <c r="AZ21" s="530"/>
      <c r="BA21" s="537"/>
      <c r="BB21" s="530"/>
      <c r="BC21" s="537"/>
      <c r="BD21" s="530"/>
      <c r="BE21" s="537"/>
      <c r="BF21" s="572"/>
      <c r="BG21" s="587"/>
      <c r="BH21" s="530"/>
      <c r="BI21" s="537"/>
      <c r="BJ21" s="535">
        <f t="shared" si="2"/>
        <v>0</v>
      </c>
      <c r="BK21" s="545">
        <f t="shared" si="3"/>
        <v>0</v>
      </c>
    </row>
    <row r="22" spans="1:63" x14ac:dyDescent="0.35">
      <c r="A22" s="524"/>
      <c r="B22" s="524"/>
      <c r="C22" s="524"/>
      <c r="D22" s="643" t="s">
        <v>20</v>
      </c>
      <c r="E22" s="644"/>
      <c r="F22" s="530"/>
      <c r="G22" s="537"/>
      <c r="H22" s="530"/>
      <c r="I22" s="537"/>
      <c r="J22" s="530"/>
      <c r="K22" s="537"/>
      <c r="L22" s="530"/>
      <c r="M22" s="537"/>
      <c r="N22" s="530">
        <v>61</v>
      </c>
      <c r="O22" s="537"/>
      <c r="P22" s="572"/>
      <c r="Q22" s="587"/>
      <c r="R22" s="572"/>
      <c r="S22" s="587"/>
      <c r="T22" s="530"/>
      <c r="U22" s="537"/>
      <c r="V22" s="530"/>
      <c r="W22" s="537"/>
      <c r="X22" s="530"/>
      <c r="Y22" s="537"/>
      <c r="Z22" s="530"/>
      <c r="AA22" s="537"/>
      <c r="AB22" s="530"/>
      <c r="AC22" s="537"/>
      <c r="AD22" s="572"/>
      <c r="AE22" s="587"/>
      <c r="AF22" s="530"/>
      <c r="AG22" s="537"/>
      <c r="AH22" s="530"/>
      <c r="AI22" s="537"/>
      <c r="AJ22" s="530"/>
      <c r="AK22" s="537"/>
      <c r="AL22" s="530"/>
      <c r="AM22" s="537"/>
      <c r="AN22" s="530"/>
      <c r="AO22" s="537"/>
      <c r="AP22" s="530"/>
      <c r="AQ22" s="537"/>
      <c r="AR22" s="572"/>
      <c r="AS22" s="587"/>
      <c r="AT22" s="530"/>
      <c r="AU22" s="537"/>
      <c r="AV22" s="530"/>
      <c r="AW22" s="537"/>
      <c r="AX22" s="530"/>
      <c r="AY22" s="537"/>
      <c r="AZ22" s="530"/>
      <c r="BA22" s="537"/>
      <c r="BB22" s="530"/>
      <c r="BC22" s="537"/>
      <c r="BD22" s="530"/>
      <c r="BE22" s="537"/>
      <c r="BF22" s="572"/>
      <c r="BG22" s="587"/>
      <c r="BH22" s="530"/>
      <c r="BI22" s="537"/>
      <c r="BJ22" s="535">
        <f t="shared" si="2"/>
        <v>61</v>
      </c>
      <c r="BK22" s="545">
        <f t="shared" si="3"/>
        <v>1</v>
      </c>
    </row>
    <row r="23" spans="1:63" x14ac:dyDescent="0.35">
      <c r="A23" s="524"/>
      <c r="B23" s="524"/>
      <c r="C23" s="524"/>
      <c r="D23" s="643" t="s">
        <v>21</v>
      </c>
      <c r="E23" s="644"/>
      <c r="F23" s="530"/>
      <c r="G23" s="537"/>
      <c r="H23" s="530"/>
      <c r="I23" s="537"/>
      <c r="J23" s="530"/>
      <c r="K23" s="537"/>
      <c r="L23" s="530"/>
      <c r="M23" s="537"/>
      <c r="N23" s="530"/>
      <c r="O23" s="537"/>
      <c r="P23" s="572"/>
      <c r="Q23" s="587"/>
      <c r="R23" s="572"/>
      <c r="S23" s="587"/>
      <c r="T23" s="530"/>
      <c r="U23" s="537"/>
      <c r="V23" s="530"/>
      <c r="W23" s="537"/>
      <c r="X23" s="530"/>
      <c r="Y23" s="537"/>
      <c r="Z23" s="530"/>
      <c r="AA23" s="537"/>
      <c r="AB23" s="530"/>
      <c r="AC23" s="537"/>
      <c r="AD23" s="572"/>
      <c r="AE23" s="587"/>
      <c r="AF23" s="530"/>
      <c r="AG23" s="537"/>
      <c r="AH23" s="530"/>
      <c r="AI23" s="537"/>
      <c r="AJ23" s="530"/>
      <c r="AK23" s="537"/>
      <c r="AL23" s="530"/>
      <c r="AM23" s="537"/>
      <c r="AN23" s="530"/>
      <c r="AO23" s="537"/>
      <c r="AP23" s="530"/>
      <c r="AQ23" s="537"/>
      <c r="AR23" s="572"/>
      <c r="AS23" s="587"/>
      <c r="AT23" s="530"/>
      <c r="AU23" s="537"/>
      <c r="AV23" s="530"/>
      <c r="AW23" s="537"/>
      <c r="AX23" s="530"/>
      <c r="AY23" s="537"/>
      <c r="AZ23" s="530"/>
      <c r="BA23" s="537"/>
      <c r="BB23" s="530"/>
      <c r="BC23" s="537"/>
      <c r="BD23" s="530"/>
      <c r="BE23" s="537"/>
      <c r="BF23" s="572"/>
      <c r="BG23" s="587"/>
      <c r="BH23" s="530"/>
      <c r="BI23" s="537"/>
      <c r="BJ23" s="535">
        <f t="shared" si="2"/>
        <v>0</v>
      </c>
      <c r="BK23" s="545">
        <f t="shared" si="3"/>
        <v>0</v>
      </c>
    </row>
    <row r="24" spans="1:63" x14ac:dyDescent="0.35">
      <c r="A24" s="524"/>
      <c r="B24" s="524"/>
      <c r="C24" s="524"/>
      <c r="D24" s="643"/>
      <c r="E24" s="644"/>
      <c r="F24" s="530"/>
      <c r="G24" s="537"/>
      <c r="H24" s="530"/>
      <c r="I24" s="537"/>
      <c r="J24" s="530"/>
      <c r="K24" s="537"/>
      <c r="L24" s="530"/>
      <c r="M24" s="537"/>
      <c r="N24" s="530"/>
      <c r="O24" s="537"/>
      <c r="P24" s="572"/>
      <c r="Q24" s="587"/>
      <c r="R24" s="572"/>
      <c r="S24" s="587"/>
      <c r="T24" s="530"/>
      <c r="U24" s="537"/>
      <c r="V24" s="530"/>
      <c r="W24" s="537"/>
      <c r="X24" s="530"/>
      <c r="Y24" s="537"/>
      <c r="Z24" s="530"/>
      <c r="AA24" s="537"/>
      <c r="AB24" s="530"/>
      <c r="AC24" s="537"/>
      <c r="AD24" s="572"/>
      <c r="AE24" s="587"/>
      <c r="AF24" s="530"/>
      <c r="AG24" s="537"/>
      <c r="AH24" s="530"/>
      <c r="AI24" s="537"/>
      <c r="AJ24" s="530"/>
      <c r="AK24" s="537"/>
      <c r="AL24" s="530"/>
      <c r="AM24" s="537"/>
      <c r="AN24" s="530"/>
      <c r="AO24" s="537"/>
      <c r="AP24" s="530"/>
      <c r="AQ24" s="537"/>
      <c r="AR24" s="572"/>
      <c r="AS24" s="587"/>
      <c r="AT24" s="530"/>
      <c r="AU24" s="537"/>
      <c r="AV24" s="530"/>
      <c r="AW24" s="537"/>
      <c r="AX24" s="530"/>
      <c r="AY24" s="537"/>
      <c r="AZ24" s="530"/>
      <c r="BA24" s="537"/>
      <c r="BB24" s="530"/>
      <c r="BC24" s="537"/>
      <c r="BD24" s="530"/>
      <c r="BE24" s="537"/>
      <c r="BF24" s="572"/>
      <c r="BG24" s="587"/>
      <c r="BH24" s="530"/>
      <c r="BI24" s="537"/>
      <c r="BJ24" s="535">
        <f t="shared" si="2"/>
        <v>0</v>
      </c>
      <c r="BK24" s="545">
        <f t="shared" si="3"/>
        <v>0</v>
      </c>
    </row>
    <row r="25" spans="1:63" x14ac:dyDescent="0.35">
      <c r="A25" s="524"/>
      <c r="B25" s="524"/>
      <c r="C25" s="524"/>
      <c r="D25" s="651" t="s">
        <v>22</v>
      </c>
      <c r="E25" s="652"/>
      <c r="F25" s="530"/>
      <c r="G25" s="537"/>
      <c r="H25" s="530"/>
      <c r="I25" s="537"/>
      <c r="J25" s="530"/>
      <c r="K25" s="537"/>
      <c r="L25" s="530"/>
      <c r="M25" s="537"/>
      <c r="N25" s="530"/>
      <c r="O25" s="537"/>
      <c r="P25" s="572"/>
      <c r="Q25" s="587"/>
      <c r="R25" s="572"/>
      <c r="S25" s="587"/>
      <c r="T25" s="530"/>
      <c r="U25" s="537"/>
      <c r="V25" s="530"/>
      <c r="W25" s="537"/>
      <c r="X25" s="530"/>
      <c r="Y25" s="537"/>
      <c r="Z25" s="530"/>
      <c r="AA25" s="537"/>
      <c r="AB25" s="530"/>
      <c r="AC25" s="537"/>
      <c r="AD25" s="572"/>
      <c r="AE25" s="587"/>
      <c r="AF25" s="530"/>
      <c r="AG25" s="537"/>
      <c r="AH25" s="530"/>
      <c r="AI25" s="537"/>
      <c r="AJ25" s="530"/>
      <c r="AK25" s="537"/>
      <c r="AL25" s="530"/>
      <c r="AM25" s="537"/>
      <c r="AN25" s="530"/>
      <c r="AO25" s="537"/>
      <c r="AP25" s="530"/>
      <c r="AQ25" s="537"/>
      <c r="AR25" s="572"/>
      <c r="AS25" s="587"/>
      <c r="AT25" s="530"/>
      <c r="AU25" s="537"/>
      <c r="AV25" s="530"/>
      <c r="AW25" s="537"/>
      <c r="AX25" s="530"/>
      <c r="AY25" s="537"/>
      <c r="AZ25" s="530"/>
      <c r="BA25" s="537"/>
      <c r="BB25" s="530"/>
      <c r="BC25" s="537"/>
      <c r="BD25" s="530"/>
      <c r="BE25" s="537"/>
      <c r="BF25" s="572"/>
      <c r="BG25" s="587"/>
      <c r="BH25" s="530"/>
      <c r="BI25" s="537"/>
      <c r="BJ25" s="535">
        <f t="shared" si="2"/>
        <v>0</v>
      </c>
      <c r="BK25" s="545">
        <f t="shared" si="3"/>
        <v>0</v>
      </c>
    </row>
    <row r="26" spans="1:63" x14ac:dyDescent="0.35">
      <c r="A26" s="524"/>
      <c r="B26" s="524"/>
      <c r="C26" s="524"/>
      <c r="D26" s="643" t="s">
        <v>20</v>
      </c>
      <c r="E26" s="644"/>
      <c r="F26" s="530"/>
      <c r="G26" s="537"/>
      <c r="H26" s="530"/>
      <c r="I26" s="537"/>
      <c r="J26" s="530"/>
      <c r="K26" s="537"/>
      <c r="L26" s="530"/>
      <c r="M26" s="537"/>
      <c r="N26" s="530">
        <v>10</v>
      </c>
      <c r="O26" s="537"/>
      <c r="P26" s="572"/>
      <c r="Q26" s="587"/>
      <c r="R26" s="572"/>
      <c r="S26" s="587"/>
      <c r="T26" s="530">
        <v>6</v>
      </c>
      <c r="U26" s="537"/>
      <c r="V26" s="530"/>
      <c r="W26" s="537"/>
      <c r="X26" s="530"/>
      <c r="Y26" s="537"/>
      <c r="Z26" s="530"/>
      <c r="AA26" s="537"/>
      <c r="AB26" s="530"/>
      <c r="AC26" s="537"/>
      <c r="AD26" s="572"/>
      <c r="AE26" s="587"/>
      <c r="AF26" s="530"/>
      <c r="AG26" s="537"/>
      <c r="AH26" s="530"/>
      <c r="AI26" s="537"/>
      <c r="AJ26" s="530"/>
      <c r="AK26" s="537"/>
      <c r="AL26" s="530"/>
      <c r="AM26" s="537"/>
      <c r="AN26" s="530"/>
      <c r="AO26" s="537"/>
      <c r="AP26" s="530"/>
      <c r="AQ26" s="537"/>
      <c r="AR26" s="572"/>
      <c r="AS26" s="587"/>
      <c r="AT26" s="530"/>
      <c r="AU26" s="537"/>
      <c r="AV26" s="530"/>
      <c r="AW26" s="537"/>
      <c r="AX26" s="530"/>
      <c r="AY26" s="537"/>
      <c r="AZ26" s="530"/>
      <c r="BA26" s="537"/>
      <c r="BB26" s="530"/>
      <c r="BC26" s="537"/>
      <c r="BD26" s="530"/>
      <c r="BE26" s="537"/>
      <c r="BF26" s="572"/>
      <c r="BG26" s="587"/>
      <c r="BH26" s="530"/>
      <c r="BI26" s="537"/>
      <c r="BJ26" s="535">
        <f t="shared" si="2"/>
        <v>16</v>
      </c>
      <c r="BK26" s="545">
        <f t="shared" si="3"/>
        <v>2</v>
      </c>
    </row>
    <row r="27" spans="1:63" x14ac:dyDescent="0.35">
      <c r="A27" s="524"/>
      <c r="B27" s="524"/>
      <c r="C27" s="524"/>
      <c r="D27" s="643" t="s">
        <v>21</v>
      </c>
      <c r="E27" s="644"/>
      <c r="F27" s="530"/>
      <c r="G27" s="537"/>
      <c r="H27" s="530"/>
      <c r="I27" s="537"/>
      <c r="J27" s="530"/>
      <c r="K27" s="537"/>
      <c r="L27" s="530"/>
      <c r="M27" s="537"/>
      <c r="N27" s="530"/>
      <c r="O27" s="537"/>
      <c r="P27" s="572"/>
      <c r="Q27" s="587"/>
      <c r="R27" s="572"/>
      <c r="S27" s="587"/>
      <c r="T27" s="530"/>
      <c r="U27" s="537"/>
      <c r="V27" s="530"/>
      <c r="W27" s="537"/>
      <c r="X27" s="530"/>
      <c r="Y27" s="537"/>
      <c r="Z27" s="530"/>
      <c r="AA27" s="537"/>
      <c r="AB27" s="530"/>
      <c r="AC27" s="537"/>
      <c r="AD27" s="572"/>
      <c r="AE27" s="587"/>
      <c r="AF27" s="530"/>
      <c r="AG27" s="537"/>
      <c r="AH27" s="530"/>
      <c r="AI27" s="537"/>
      <c r="AJ27" s="530"/>
      <c r="AK27" s="537"/>
      <c r="AL27" s="530"/>
      <c r="AM27" s="537"/>
      <c r="AN27" s="530"/>
      <c r="AO27" s="537"/>
      <c r="AP27" s="530"/>
      <c r="AQ27" s="537"/>
      <c r="AR27" s="572"/>
      <c r="AS27" s="587"/>
      <c r="AT27" s="530"/>
      <c r="AU27" s="537"/>
      <c r="AV27" s="530"/>
      <c r="AW27" s="537"/>
      <c r="AX27" s="530"/>
      <c r="AY27" s="537"/>
      <c r="AZ27" s="530"/>
      <c r="BA27" s="537"/>
      <c r="BB27" s="530"/>
      <c r="BC27" s="537"/>
      <c r="BD27" s="530"/>
      <c r="BE27" s="537"/>
      <c r="BF27" s="572"/>
      <c r="BG27" s="587"/>
      <c r="BH27" s="530"/>
      <c r="BI27" s="537"/>
      <c r="BJ27" s="535">
        <f t="shared" si="2"/>
        <v>0</v>
      </c>
      <c r="BK27" s="545">
        <f t="shared" si="3"/>
        <v>0</v>
      </c>
    </row>
    <row r="28" spans="1:63" x14ac:dyDescent="0.35">
      <c r="A28" s="524"/>
      <c r="B28" s="524"/>
      <c r="C28" s="524"/>
      <c r="D28" s="643" t="s">
        <v>23</v>
      </c>
      <c r="E28" s="644"/>
      <c r="F28" s="530"/>
      <c r="G28" s="537"/>
      <c r="H28" s="530"/>
      <c r="I28" s="537"/>
      <c r="J28" s="530"/>
      <c r="K28" s="537"/>
      <c r="L28" s="530"/>
      <c r="M28" s="537"/>
      <c r="N28" s="530">
        <v>5</v>
      </c>
      <c r="O28" s="537"/>
      <c r="P28" s="572"/>
      <c r="Q28" s="587"/>
      <c r="R28" s="572"/>
      <c r="S28" s="587"/>
      <c r="T28" s="530">
        <v>12</v>
      </c>
      <c r="U28" s="537"/>
      <c r="V28" s="530"/>
      <c r="W28" s="537"/>
      <c r="X28" s="530"/>
      <c r="Y28" s="537"/>
      <c r="Z28" s="530"/>
      <c r="AA28" s="537"/>
      <c r="AB28" s="530"/>
      <c r="AC28" s="537"/>
      <c r="AD28" s="572"/>
      <c r="AE28" s="587"/>
      <c r="AF28" s="530"/>
      <c r="AG28" s="537"/>
      <c r="AH28" s="530"/>
      <c r="AI28" s="537"/>
      <c r="AJ28" s="530"/>
      <c r="AK28" s="537"/>
      <c r="AL28" s="530"/>
      <c r="AM28" s="537"/>
      <c r="AN28" s="530"/>
      <c r="AO28" s="537"/>
      <c r="AP28" s="530"/>
      <c r="AQ28" s="537"/>
      <c r="AR28" s="572"/>
      <c r="AS28" s="587"/>
      <c r="AT28" s="530"/>
      <c r="AU28" s="537"/>
      <c r="AV28" s="530"/>
      <c r="AW28" s="537"/>
      <c r="AX28" s="530"/>
      <c r="AY28" s="537"/>
      <c r="AZ28" s="530"/>
      <c r="BA28" s="537"/>
      <c r="BB28" s="530"/>
      <c r="BC28" s="537"/>
      <c r="BD28" s="530"/>
      <c r="BE28" s="537"/>
      <c r="BF28" s="572"/>
      <c r="BG28" s="587"/>
      <c r="BH28" s="530"/>
      <c r="BI28" s="537"/>
      <c r="BJ28" s="535">
        <f t="shared" si="2"/>
        <v>17</v>
      </c>
      <c r="BK28" s="545">
        <f t="shared" si="3"/>
        <v>2</v>
      </c>
    </row>
    <row r="29" spans="1:63" ht="30.75" customHeight="1" x14ac:dyDescent="0.35">
      <c r="A29" s="524"/>
      <c r="B29" s="524"/>
      <c r="C29" s="524"/>
      <c r="D29" s="645" t="s">
        <v>24</v>
      </c>
      <c r="E29" s="646"/>
      <c r="F29" s="572">
        <f>SUM(F30:F107)</f>
        <v>0</v>
      </c>
      <c r="G29" s="514">
        <f>SUM(G30:G107)</f>
        <v>0</v>
      </c>
      <c r="H29" s="572">
        <f t="shared" ref="H29:BI29" si="6">SUM(H30:H107)</f>
        <v>0</v>
      </c>
      <c r="I29" s="514">
        <f t="shared" si="6"/>
        <v>0</v>
      </c>
      <c r="J29" s="572">
        <f t="shared" si="6"/>
        <v>0</v>
      </c>
      <c r="K29" s="514">
        <f t="shared" si="6"/>
        <v>0</v>
      </c>
      <c r="L29" s="572">
        <f t="shared" si="6"/>
        <v>101</v>
      </c>
      <c r="M29" s="514">
        <f t="shared" si="6"/>
        <v>0</v>
      </c>
      <c r="N29" s="572">
        <f t="shared" si="6"/>
        <v>40</v>
      </c>
      <c r="O29" s="514">
        <f t="shared" si="6"/>
        <v>0</v>
      </c>
      <c r="P29" s="572">
        <f t="shared" si="6"/>
        <v>0</v>
      </c>
      <c r="Q29" s="587">
        <f t="shared" si="6"/>
        <v>0</v>
      </c>
      <c r="R29" s="572">
        <f t="shared" si="6"/>
        <v>0</v>
      </c>
      <c r="S29" s="587">
        <f t="shared" si="6"/>
        <v>0</v>
      </c>
      <c r="T29" s="572">
        <f t="shared" si="6"/>
        <v>0</v>
      </c>
      <c r="U29" s="514">
        <f t="shared" si="6"/>
        <v>0</v>
      </c>
      <c r="V29" s="572">
        <f t="shared" si="6"/>
        <v>0</v>
      </c>
      <c r="W29" s="514">
        <f t="shared" si="6"/>
        <v>0</v>
      </c>
      <c r="X29" s="572">
        <f t="shared" si="6"/>
        <v>0</v>
      </c>
      <c r="Y29" s="514">
        <f t="shared" si="6"/>
        <v>0</v>
      </c>
      <c r="Z29" s="572">
        <f t="shared" si="6"/>
        <v>0</v>
      </c>
      <c r="AA29" s="514">
        <f t="shared" si="6"/>
        <v>0</v>
      </c>
      <c r="AB29" s="572">
        <f t="shared" si="6"/>
        <v>0</v>
      </c>
      <c r="AC29" s="514">
        <f t="shared" si="6"/>
        <v>0</v>
      </c>
      <c r="AD29" s="572">
        <f t="shared" si="6"/>
        <v>0</v>
      </c>
      <c r="AE29" s="587">
        <f t="shared" si="6"/>
        <v>0</v>
      </c>
      <c r="AF29" s="572">
        <f t="shared" si="6"/>
        <v>0</v>
      </c>
      <c r="AG29" s="514">
        <f t="shared" si="6"/>
        <v>0</v>
      </c>
      <c r="AH29" s="572">
        <f t="shared" si="6"/>
        <v>0</v>
      </c>
      <c r="AI29" s="514">
        <f t="shared" si="6"/>
        <v>0</v>
      </c>
      <c r="AJ29" s="572">
        <f t="shared" si="6"/>
        <v>0</v>
      </c>
      <c r="AK29" s="514">
        <f t="shared" si="6"/>
        <v>0</v>
      </c>
      <c r="AL29" s="572">
        <f t="shared" si="6"/>
        <v>0</v>
      </c>
      <c r="AM29" s="514">
        <f t="shared" si="6"/>
        <v>0</v>
      </c>
      <c r="AN29" s="572">
        <f t="shared" si="6"/>
        <v>0</v>
      </c>
      <c r="AO29" s="514">
        <f t="shared" si="6"/>
        <v>0</v>
      </c>
      <c r="AP29" s="572">
        <f t="shared" si="6"/>
        <v>0</v>
      </c>
      <c r="AQ29" s="514">
        <f t="shared" si="6"/>
        <v>0</v>
      </c>
      <c r="AR29" s="572">
        <f t="shared" si="6"/>
        <v>0</v>
      </c>
      <c r="AS29" s="587">
        <f t="shared" si="6"/>
        <v>0</v>
      </c>
      <c r="AT29" s="572">
        <f t="shared" si="6"/>
        <v>0</v>
      </c>
      <c r="AU29" s="514">
        <f t="shared" si="6"/>
        <v>0</v>
      </c>
      <c r="AV29" s="572">
        <f t="shared" si="6"/>
        <v>0</v>
      </c>
      <c r="AW29" s="514">
        <f t="shared" si="6"/>
        <v>0</v>
      </c>
      <c r="AX29" s="572">
        <v>50</v>
      </c>
      <c r="AY29" s="514">
        <f t="shared" si="6"/>
        <v>0</v>
      </c>
      <c r="AZ29" s="572">
        <f t="shared" si="6"/>
        <v>0</v>
      </c>
      <c r="BA29" s="514">
        <f t="shared" si="6"/>
        <v>0</v>
      </c>
      <c r="BB29" s="572">
        <f t="shared" si="6"/>
        <v>0</v>
      </c>
      <c r="BC29" s="514">
        <f t="shared" si="6"/>
        <v>0</v>
      </c>
      <c r="BD29" s="572">
        <f t="shared" si="6"/>
        <v>0</v>
      </c>
      <c r="BE29" s="514">
        <f t="shared" si="6"/>
        <v>0</v>
      </c>
      <c r="BF29" s="572">
        <f t="shared" si="6"/>
        <v>0</v>
      </c>
      <c r="BG29" s="587">
        <f t="shared" si="6"/>
        <v>0</v>
      </c>
      <c r="BH29" s="572">
        <f t="shared" si="6"/>
        <v>0</v>
      </c>
      <c r="BI29" s="514">
        <f t="shared" si="6"/>
        <v>0</v>
      </c>
      <c r="BJ29" s="535">
        <f t="shared" si="2"/>
        <v>191</v>
      </c>
      <c r="BK29" s="545">
        <f t="shared" si="3"/>
        <v>56</v>
      </c>
    </row>
    <row r="30" spans="1:63" ht="16.5" customHeight="1" x14ac:dyDescent="0.35">
      <c r="A30" s="567"/>
      <c r="B30" s="567"/>
      <c r="C30" s="556">
        <f>SUM(BJ31:BJ50)</f>
        <v>50</v>
      </c>
      <c r="D30" s="647" t="s">
        <v>25</v>
      </c>
      <c r="E30" s="648"/>
      <c r="F30" s="590"/>
      <c r="G30" s="562"/>
      <c r="H30" s="590"/>
      <c r="I30" s="562"/>
      <c r="J30" s="590"/>
      <c r="K30" s="562"/>
      <c r="L30" s="590"/>
      <c r="M30" s="562"/>
      <c r="N30" s="590"/>
      <c r="O30" s="562"/>
      <c r="P30" s="572"/>
      <c r="Q30" s="587"/>
      <c r="R30" s="572"/>
      <c r="S30" s="587"/>
      <c r="T30" s="590"/>
      <c r="U30" s="562"/>
      <c r="V30" s="590"/>
      <c r="W30" s="562"/>
      <c r="X30" s="590"/>
      <c r="Y30" s="562"/>
      <c r="Z30" s="590"/>
      <c r="AA30" s="562"/>
      <c r="AB30" s="590"/>
      <c r="AC30" s="562"/>
      <c r="AD30" s="572"/>
      <c r="AE30" s="587"/>
      <c r="AF30" s="590"/>
      <c r="AG30" s="562"/>
      <c r="AH30" s="590"/>
      <c r="AI30" s="562"/>
      <c r="AJ30" s="590"/>
      <c r="AK30" s="562"/>
      <c r="AL30" s="590"/>
      <c r="AM30" s="562"/>
      <c r="AN30" s="590"/>
      <c r="AO30" s="562"/>
      <c r="AP30" s="590"/>
      <c r="AQ30" s="562"/>
      <c r="AR30" s="572"/>
      <c r="AS30" s="587"/>
      <c r="AT30" s="590"/>
      <c r="AU30" s="562"/>
      <c r="AV30" s="590"/>
      <c r="AW30" s="562"/>
      <c r="AX30" s="590"/>
      <c r="AY30" s="562"/>
      <c r="AZ30" s="590"/>
      <c r="BA30" s="562"/>
      <c r="BB30" s="590"/>
      <c r="BC30" s="562"/>
      <c r="BD30" s="590"/>
      <c r="BE30" s="562"/>
      <c r="BF30" s="572"/>
      <c r="BG30" s="587"/>
      <c r="BH30" s="590"/>
      <c r="BI30" s="562"/>
      <c r="BJ30" s="535">
        <f t="shared" si="2"/>
        <v>0</v>
      </c>
      <c r="BK30" s="545">
        <f t="shared" si="3"/>
        <v>0</v>
      </c>
    </row>
    <row r="31" spans="1:63" ht="16.5" customHeight="1" x14ac:dyDescent="0.35">
      <c r="A31" s="567"/>
      <c r="B31" s="546" t="s">
        <v>26</v>
      </c>
      <c r="C31" s="567" t="s">
        <v>27</v>
      </c>
      <c r="D31" s="653" t="s">
        <v>28</v>
      </c>
      <c r="E31" s="654"/>
      <c r="F31" s="79"/>
      <c r="G31" s="80"/>
      <c r="H31" s="79"/>
      <c r="I31" s="80"/>
      <c r="J31" s="79"/>
      <c r="K31" s="80"/>
      <c r="L31" s="79">
        <v>35</v>
      </c>
      <c r="M31" s="80"/>
      <c r="N31" s="79"/>
      <c r="O31" s="80"/>
      <c r="P31" s="572"/>
      <c r="Q31" s="587"/>
      <c r="R31" s="572"/>
      <c r="S31" s="587"/>
      <c r="T31" s="79"/>
      <c r="U31" s="80"/>
      <c r="V31" s="79"/>
      <c r="W31" s="80"/>
      <c r="X31" s="79"/>
      <c r="Y31" s="80"/>
      <c r="Z31" s="79"/>
      <c r="AA31" s="80"/>
      <c r="AB31" s="79"/>
      <c r="AC31" s="80"/>
      <c r="AD31" s="572"/>
      <c r="AE31" s="587"/>
      <c r="AF31" s="79"/>
      <c r="AG31" s="80"/>
      <c r="AH31" s="79"/>
      <c r="AI31" s="80"/>
      <c r="AJ31" s="79"/>
      <c r="AK31" s="80"/>
      <c r="AL31" s="79"/>
      <c r="AM31" s="80"/>
      <c r="AN31" s="79"/>
      <c r="AO31" s="80"/>
      <c r="AP31" s="79"/>
      <c r="AQ31" s="80"/>
      <c r="AR31" s="572"/>
      <c r="AS31" s="587"/>
      <c r="AT31" s="79"/>
      <c r="AU31" s="80"/>
      <c r="AV31" s="79"/>
      <c r="AW31" s="80"/>
      <c r="AX31" s="79"/>
      <c r="AY31" s="80"/>
      <c r="AZ31" s="79"/>
      <c r="BA31" s="80"/>
      <c r="BB31" s="79"/>
      <c r="BC31" s="80"/>
      <c r="BD31" s="79"/>
      <c r="BE31" s="80"/>
      <c r="BF31" s="572"/>
      <c r="BG31" s="587"/>
      <c r="BH31" s="79"/>
      <c r="BI31" s="80"/>
      <c r="BJ31" s="535">
        <f t="shared" si="2"/>
        <v>35</v>
      </c>
      <c r="BK31" s="545">
        <f t="shared" si="3"/>
        <v>1</v>
      </c>
    </row>
    <row r="32" spans="1:63" ht="15" customHeight="1" x14ac:dyDescent="0.35">
      <c r="A32" s="579"/>
      <c r="B32" s="546" t="s">
        <v>29</v>
      </c>
      <c r="C32" s="579" t="s">
        <v>30</v>
      </c>
      <c r="D32" s="653" t="s">
        <v>31</v>
      </c>
      <c r="E32" s="654"/>
      <c r="F32" s="618"/>
      <c r="G32" s="595"/>
      <c r="H32" s="618"/>
      <c r="I32" s="595"/>
      <c r="J32" s="618"/>
      <c r="K32" s="595"/>
      <c r="L32" s="618"/>
      <c r="M32" s="595"/>
      <c r="N32" s="618"/>
      <c r="O32" s="595"/>
      <c r="P32" s="572"/>
      <c r="Q32" s="587"/>
      <c r="R32" s="572"/>
      <c r="S32" s="587"/>
      <c r="T32" s="79"/>
      <c r="U32" s="80"/>
      <c r="V32" s="79"/>
      <c r="W32" s="80"/>
      <c r="X32" s="79"/>
      <c r="Y32" s="80"/>
      <c r="Z32" s="79"/>
      <c r="AA32" s="80"/>
      <c r="AB32" s="79"/>
      <c r="AC32" s="80"/>
      <c r="AD32" s="572"/>
      <c r="AE32" s="587"/>
      <c r="AF32" s="79"/>
      <c r="AG32" s="80"/>
      <c r="AH32" s="79"/>
      <c r="AI32" s="80"/>
      <c r="AJ32" s="79"/>
      <c r="AK32" s="80"/>
      <c r="AL32" s="79"/>
      <c r="AM32" s="80"/>
      <c r="AN32" s="79"/>
      <c r="AO32" s="80"/>
      <c r="AP32" s="79"/>
      <c r="AQ32" s="80"/>
      <c r="AR32" s="572"/>
      <c r="AS32" s="587"/>
      <c r="AT32" s="79"/>
      <c r="AU32" s="80"/>
      <c r="AV32" s="79"/>
      <c r="AW32" s="80"/>
      <c r="AX32" s="79"/>
      <c r="AY32" s="80"/>
      <c r="AZ32" s="79"/>
      <c r="BA32" s="80"/>
      <c r="BB32" s="79"/>
      <c r="BC32" s="80"/>
      <c r="BD32" s="79"/>
      <c r="BE32" s="80"/>
      <c r="BF32" s="572"/>
      <c r="BG32" s="587"/>
      <c r="BH32" s="79"/>
      <c r="BI32" s="80"/>
      <c r="BJ32" s="535">
        <f t="shared" si="2"/>
        <v>0</v>
      </c>
      <c r="BK32" s="545">
        <f t="shared" si="3"/>
        <v>0</v>
      </c>
    </row>
    <row r="33" spans="1:63" ht="15" customHeight="1" x14ac:dyDescent="0.35">
      <c r="A33" s="579"/>
      <c r="B33" s="546" t="s">
        <v>26</v>
      </c>
      <c r="C33" s="579" t="s">
        <v>32</v>
      </c>
      <c r="D33" s="653" t="s">
        <v>33</v>
      </c>
      <c r="E33" s="654"/>
      <c r="F33" s="618"/>
      <c r="G33" s="595"/>
      <c r="H33" s="618"/>
      <c r="I33" s="595"/>
      <c r="J33" s="618"/>
      <c r="K33" s="595"/>
      <c r="L33" s="618"/>
      <c r="M33" s="595"/>
      <c r="N33" s="618"/>
      <c r="O33" s="595"/>
      <c r="P33" s="572"/>
      <c r="Q33" s="587"/>
      <c r="R33" s="572"/>
      <c r="S33" s="587"/>
      <c r="T33" s="79"/>
      <c r="U33" s="80"/>
      <c r="V33" s="79"/>
      <c r="W33" s="80"/>
      <c r="X33" s="79"/>
      <c r="Y33" s="80"/>
      <c r="Z33" s="79"/>
      <c r="AA33" s="80"/>
      <c r="AB33" s="79"/>
      <c r="AC33" s="80"/>
      <c r="AD33" s="572"/>
      <c r="AE33" s="587"/>
      <c r="AF33" s="79"/>
      <c r="AG33" s="80"/>
      <c r="AH33" s="79"/>
      <c r="AI33" s="80"/>
      <c r="AJ33" s="79"/>
      <c r="AK33" s="80"/>
      <c r="AL33" s="79"/>
      <c r="AM33" s="80"/>
      <c r="AN33" s="79"/>
      <c r="AO33" s="80"/>
      <c r="AP33" s="79"/>
      <c r="AQ33" s="80"/>
      <c r="AR33" s="572"/>
      <c r="AS33" s="587"/>
      <c r="AT33" s="79"/>
      <c r="AU33" s="80"/>
      <c r="AV33" s="79"/>
      <c r="AW33" s="80"/>
      <c r="AX33" s="79"/>
      <c r="AY33" s="80"/>
      <c r="AZ33" s="79"/>
      <c r="BA33" s="80"/>
      <c r="BB33" s="79"/>
      <c r="BC33" s="80"/>
      <c r="BD33" s="79"/>
      <c r="BE33" s="80"/>
      <c r="BF33" s="572"/>
      <c r="BG33" s="587"/>
      <c r="BH33" s="79"/>
      <c r="BI33" s="80"/>
      <c r="BJ33" s="535">
        <f t="shared" si="2"/>
        <v>0</v>
      </c>
      <c r="BK33" s="545">
        <f t="shared" si="3"/>
        <v>0</v>
      </c>
    </row>
    <row r="34" spans="1:63" ht="15" customHeight="1" x14ac:dyDescent="0.35">
      <c r="A34" s="579"/>
      <c r="B34" s="546" t="s">
        <v>26</v>
      </c>
      <c r="C34" s="579" t="s">
        <v>34</v>
      </c>
      <c r="D34" s="653" t="s">
        <v>35</v>
      </c>
      <c r="E34" s="654"/>
      <c r="F34" s="618"/>
      <c r="G34" s="595"/>
      <c r="H34" s="618"/>
      <c r="I34" s="595"/>
      <c r="J34" s="618"/>
      <c r="K34" s="595"/>
      <c r="L34" s="618"/>
      <c r="M34" s="595"/>
      <c r="N34" s="618"/>
      <c r="O34" s="595"/>
      <c r="P34" s="572"/>
      <c r="Q34" s="587"/>
      <c r="R34" s="572"/>
      <c r="S34" s="587"/>
      <c r="T34" s="79"/>
      <c r="U34" s="80"/>
      <c r="V34" s="79"/>
      <c r="W34" s="80"/>
      <c r="X34" s="79"/>
      <c r="Y34" s="80"/>
      <c r="Z34" s="79"/>
      <c r="AA34" s="80"/>
      <c r="AB34" s="79"/>
      <c r="AC34" s="80"/>
      <c r="AD34" s="572"/>
      <c r="AE34" s="587"/>
      <c r="AF34" s="79"/>
      <c r="AG34" s="80"/>
      <c r="AH34" s="79"/>
      <c r="AI34" s="80"/>
      <c r="AJ34" s="79"/>
      <c r="AK34" s="80"/>
      <c r="AL34" s="79"/>
      <c r="AM34" s="80"/>
      <c r="AN34" s="79"/>
      <c r="AO34" s="80"/>
      <c r="AP34" s="79"/>
      <c r="AQ34" s="80"/>
      <c r="AR34" s="572"/>
      <c r="AS34" s="587"/>
      <c r="AT34" s="79"/>
      <c r="AU34" s="80"/>
      <c r="AV34" s="79"/>
      <c r="AW34" s="80"/>
      <c r="AX34" s="79"/>
      <c r="AY34" s="80"/>
      <c r="AZ34" s="79"/>
      <c r="BA34" s="80"/>
      <c r="BB34" s="79"/>
      <c r="BC34" s="80"/>
      <c r="BD34" s="79"/>
      <c r="BE34" s="80"/>
      <c r="BF34" s="572"/>
      <c r="BG34" s="587"/>
      <c r="BH34" s="79"/>
      <c r="BI34" s="80"/>
      <c r="BJ34" s="535">
        <f t="shared" si="2"/>
        <v>0</v>
      </c>
      <c r="BK34" s="545">
        <f t="shared" si="3"/>
        <v>0</v>
      </c>
    </row>
    <row r="35" spans="1:63" ht="15" customHeight="1" x14ac:dyDescent="0.35">
      <c r="A35" s="579"/>
      <c r="B35" s="546" t="s">
        <v>26</v>
      </c>
      <c r="C35" s="579" t="s">
        <v>36</v>
      </c>
      <c r="D35" s="653" t="s">
        <v>37</v>
      </c>
      <c r="E35" s="654"/>
      <c r="F35" s="618"/>
      <c r="G35" s="595"/>
      <c r="H35" s="618"/>
      <c r="I35" s="595"/>
      <c r="J35" s="618"/>
      <c r="K35" s="595"/>
      <c r="L35" s="618"/>
      <c r="M35" s="595"/>
      <c r="N35" s="618"/>
      <c r="O35" s="595"/>
      <c r="P35" s="572"/>
      <c r="Q35" s="587"/>
      <c r="R35" s="572"/>
      <c r="S35" s="587"/>
      <c r="T35" s="79"/>
      <c r="U35" s="80"/>
      <c r="V35" s="79"/>
      <c r="W35" s="80"/>
      <c r="X35" s="79"/>
      <c r="Y35" s="80"/>
      <c r="Z35" s="79"/>
      <c r="AA35" s="80"/>
      <c r="AB35" s="79"/>
      <c r="AC35" s="80"/>
      <c r="AD35" s="572"/>
      <c r="AE35" s="587"/>
      <c r="AF35" s="79"/>
      <c r="AG35" s="80"/>
      <c r="AH35" s="79"/>
      <c r="AI35" s="80"/>
      <c r="AJ35" s="79"/>
      <c r="AK35" s="80"/>
      <c r="AL35" s="79"/>
      <c r="AM35" s="80"/>
      <c r="AN35" s="79"/>
      <c r="AO35" s="80"/>
      <c r="AP35" s="79"/>
      <c r="AQ35" s="80"/>
      <c r="AR35" s="572"/>
      <c r="AS35" s="587"/>
      <c r="AT35" s="79"/>
      <c r="AU35" s="80"/>
      <c r="AV35" s="79"/>
      <c r="AW35" s="80"/>
      <c r="AX35" s="79"/>
      <c r="AY35" s="80"/>
      <c r="AZ35" s="79"/>
      <c r="BA35" s="80"/>
      <c r="BB35" s="79"/>
      <c r="BC35" s="80"/>
      <c r="BD35" s="79"/>
      <c r="BE35" s="80"/>
      <c r="BF35" s="572"/>
      <c r="BG35" s="587"/>
      <c r="BH35" s="79"/>
      <c r="BI35" s="80"/>
      <c r="BJ35" s="535">
        <f t="shared" si="2"/>
        <v>0</v>
      </c>
      <c r="BK35" s="545">
        <f t="shared" si="3"/>
        <v>0</v>
      </c>
    </row>
    <row r="36" spans="1:63" ht="15" customHeight="1" x14ac:dyDescent="0.35">
      <c r="A36" s="579"/>
      <c r="B36" s="546" t="s">
        <v>26</v>
      </c>
      <c r="C36" s="567" t="s">
        <v>38</v>
      </c>
      <c r="D36" s="653" t="s">
        <v>39</v>
      </c>
      <c r="E36" s="654"/>
      <c r="F36" s="618"/>
      <c r="G36" s="595"/>
      <c r="H36" s="618"/>
      <c r="I36" s="595"/>
      <c r="J36" s="618"/>
      <c r="K36" s="595"/>
      <c r="L36" s="618"/>
      <c r="M36" s="595"/>
      <c r="N36" s="618"/>
      <c r="O36" s="595"/>
      <c r="P36" s="572"/>
      <c r="Q36" s="587"/>
      <c r="R36" s="572"/>
      <c r="S36" s="587"/>
      <c r="T36" s="79"/>
      <c r="U36" s="80"/>
      <c r="V36" s="79"/>
      <c r="W36" s="80"/>
      <c r="X36" s="79"/>
      <c r="Y36" s="80"/>
      <c r="Z36" s="79"/>
      <c r="AA36" s="80"/>
      <c r="AB36" s="79"/>
      <c r="AC36" s="80"/>
      <c r="AD36" s="572"/>
      <c r="AE36" s="587"/>
      <c r="AF36" s="79"/>
      <c r="AG36" s="80"/>
      <c r="AH36" s="79"/>
      <c r="AI36" s="80"/>
      <c r="AJ36" s="79"/>
      <c r="AK36" s="80"/>
      <c r="AL36" s="79"/>
      <c r="AM36" s="80"/>
      <c r="AN36" s="79"/>
      <c r="AO36" s="80"/>
      <c r="AP36" s="79"/>
      <c r="AQ36" s="80"/>
      <c r="AR36" s="572"/>
      <c r="AS36" s="587"/>
      <c r="AT36" s="79"/>
      <c r="AU36" s="80"/>
      <c r="AV36" s="79"/>
      <c r="AW36" s="80"/>
      <c r="AX36" s="79"/>
      <c r="AY36" s="80"/>
      <c r="AZ36" s="79"/>
      <c r="BA36" s="80"/>
      <c r="BB36" s="79"/>
      <c r="BC36" s="80"/>
      <c r="BD36" s="79"/>
      <c r="BE36" s="80"/>
      <c r="BF36" s="572"/>
      <c r="BG36" s="587"/>
      <c r="BH36" s="79"/>
      <c r="BI36" s="80"/>
      <c r="BJ36" s="535">
        <f t="shared" ref="BJ36:BJ67" si="7">SUM(F36:BI36)</f>
        <v>0</v>
      </c>
      <c r="BK36" s="545">
        <f t="shared" ref="BK36:BK67" si="8">COUNT(F36:BI36)</f>
        <v>0</v>
      </c>
    </row>
    <row r="37" spans="1:63" ht="15" customHeight="1" x14ac:dyDescent="0.35">
      <c r="A37" s="579"/>
      <c r="B37" s="546" t="s">
        <v>26</v>
      </c>
      <c r="C37" s="579" t="s">
        <v>40</v>
      </c>
      <c r="D37" s="653" t="s">
        <v>41</v>
      </c>
      <c r="E37" s="654"/>
      <c r="F37" s="618"/>
      <c r="G37" s="595"/>
      <c r="H37" s="618"/>
      <c r="I37" s="595"/>
      <c r="J37" s="618"/>
      <c r="K37" s="595"/>
      <c r="L37" s="618"/>
      <c r="M37" s="595"/>
      <c r="N37" s="618"/>
      <c r="O37" s="595"/>
      <c r="P37" s="572"/>
      <c r="Q37" s="587"/>
      <c r="R37" s="572"/>
      <c r="S37" s="587"/>
      <c r="T37" s="79"/>
      <c r="U37" s="80"/>
      <c r="V37" s="79"/>
      <c r="W37" s="80"/>
      <c r="X37" s="79"/>
      <c r="Y37" s="80"/>
      <c r="Z37" s="79"/>
      <c r="AA37" s="80"/>
      <c r="AB37" s="79"/>
      <c r="AC37" s="80"/>
      <c r="AD37" s="572"/>
      <c r="AE37" s="587"/>
      <c r="AF37" s="79"/>
      <c r="AG37" s="80"/>
      <c r="AH37" s="79"/>
      <c r="AI37" s="80"/>
      <c r="AJ37" s="79"/>
      <c r="AK37" s="80"/>
      <c r="AL37" s="79"/>
      <c r="AM37" s="80"/>
      <c r="AN37" s="79"/>
      <c r="AO37" s="80"/>
      <c r="AP37" s="79"/>
      <c r="AQ37" s="80"/>
      <c r="AR37" s="572"/>
      <c r="AS37" s="587"/>
      <c r="AT37" s="79"/>
      <c r="AU37" s="80"/>
      <c r="AV37" s="79"/>
      <c r="AW37" s="80"/>
      <c r="AX37" s="79"/>
      <c r="AY37" s="80"/>
      <c r="AZ37" s="79"/>
      <c r="BA37" s="80"/>
      <c r="BB37" s="79"/>
      <c r="BC37" s="80"/>
      <c r="BD37" s="79"/>
      <c r="BE37" s="80"/>
      <c r="BF37" s="572"/>
      <c r="BG37" s="587"/>
      <c r="BH37" s="79"/>
      <c r="BI37" s="80"/>
      <c r="BJ37" s="535">
        <f t="shared" si="7"/>
        <v>0</v>
      </c>
      <c r="BK37" s="545">
        <f t="shared" si="8"/>
        <v>0</v>
      </c>
    </row>
    <row r="38" spans="1:63" ht="15" customHeight="1" x14ac:dyDescent="0.35">
      <c r="A38" s="579"/>
      <c r="B38" s="546" t="s">
        <v>26</v>
      </c>
      <c r="C38" s="567" t="s">
        <v>42</v>
      </c>
      <c r="D38" s="653" t="s">
        <v>43</v>
      </c>
      <c r="E38" s="654"/>
      <c r="F38" s="618"/>
      <c r="G38" s="595"/>
      <c r="H38" s="618"/>
      <c r="I38" s="595"/>
      <c r="J38" s="618"/>
      <c r="K38" s="595"/>
      <c r="L38" s="618"/>
      <c r="M38" s="595"/>
      <c r="N38" s="618"/>
      <c r="O38" s="595"/>
      <c r="P38" s="572"/>
      <c r="Q38" s="587"/>
      <c r="R38" s="572"/>
      <c r="S38" s="587"/>
      <c r="T38" s="79"/>
      <c r="U38" s="80"/>
      <c r="V38" s="79"/>
      <c r="W38" s="80"/>
      <c r="X38" s="79"/>
      <c r="Y38" s="80"/>
      <c r="Z38" s="79"/>
      <c r="AA38" s="80"/>
      <c r="AB38" s="79"/>
      <c r="AC38" s="80"/>
      <c r="AD38" s="572"/>
      <c r="AE38" s="587"/>
      <c r="AF38" s="79"/>
      <c r="AG38" s="80"/>
      <c r="AH38" s="79"/>
      <c r="AI38" s="80"/>
      <c r="AJ38" s="79"/>
      <c r="AK38" s="80"/>
      <c r="AL38" s="79"/>
      <c r="AM38" s="80"/>
      <c r="AN38" s="79"/>
      <c r="AO38" s="80"/>
      <c r="AP38" s="79"/>
      <c r="AQ38" s="80"/>
      <c r="AR38" s="572"/>
      <c r="AS38" s="587"/>
      <c r="AT38" s="79"/>
      <c r="AU38" s="80"/>
      <c r="AV38" s="79"/>
      <c r="AW38" s="80"/>
      <c r="AX38" s="79"/>
      <c r="AY38" s="80"/>
      <c r="AZ38" s="79"/>
      <c r="BA38" s="80"/>
      <c r="BB38" s="79"/>
      <c r="BC38" s="80"/>
      <c r="BD38" s="79"/>
      <c r="BE38" s="80"/>
      <c r="BF38" s="572"/>
      <c r="BG38" s="587"/>
      <c r="BH38" s="79"/>
      <c r="BI38" s="80"/>
      <c r="BJ38" s="535">
        <f t="shared" si="7"/>
        <v>0</v>
      </c>
      <c r="BK38" s="545">
        <f t="shared" si="8"/>
        <v>0</v>
      </c>
    </row>
    <row r="39" spans="1:63" ht="15" customHeight="1" x14ac:dyDescent="0.35">
      <c r="A39" s="579"/>
      <c r="B39" s="546" t="s">
        <v>44</v>
      </c>
      <c r="C39" s="579" t="s">
        <v>45</v>
      </c>
      <c r="D39" s="653" t="s">
        <v>43</v>
      </c>
      <c r="E39" s="654"/>
      <c r="F39" s="618"/>
      <c r="G39" s="595"/>
      <c r="H39" s="618"/>
      <c r="I39" s="595"/>
      <c r="J39" s="618"/>
      <c r="K39" s="595"/>
      <c r="L39" s="618"/>
      <c r="M39" s="595"/>
      <c r="N39" s="618"/>
      <c r="O39" s="595"/>
      <c r="P39" s="572"/>
      <c r="Q39" s="587"/>
      <c r="R39" s="572"/>
      <c r="S39" s="587"/>
      <c r="T39" s="79"/>
      <c r="U39" s="80"/>
      <c r="V39" s="79"/>
      <c r="W39" s="80"/>
      <c r="X39" s="79"/>
      <c r="Y39" s="80"/>
      <c r="Z39" s="79"/>
      <c r="AA39" s="80"/>
      <c r="AB39" s="79"/>
      <c r="AC39" s="80"/>
      <c r="AD39" s="572"/>
      <c r="AE39" s="587"/>
      <c r="AF39" s="79"/>
      <c r="AG39" s="80"/>
      <c r="AH39" s="79"/>
      <c r="AI39" s="80"/>
      <c r="AJ39" s="79"/>
      <c r="AK39" s="80"/>
      <c r="AL39" s="79"/>
      <c r="AM39" s="80"/>
      <c r="AN39" s="79"/>
      <c r="AO39" s="80"/>
      <c r="AP39" s="79"/>
      <c r="AQ39" s="80"/>
      <c r="AR39" s="572"/>
      <c r="AS39" s="587"/>
      <c r="AT39" s="79"/>
      <c r="AU39" s="80"/>
      <c r="AV39" s="79"/>
      <c r="AW39" s="80"/>
      <c r="AX39" s="79"/>
      <c r="AY39" s="80"/>
      <c r="AZ39" s="79"/>
      <c r="BA39" s="80"/>
      <c r="BB39" s="79"/>
      <c r="BC39" s="80"/>
      <c r="BD39" s="79"/>
      <c r="BE39" s="80"/>
      <c r="BF39" s="572"/>
      <c r="BG39" s="587"/>
      <c r="BH39" s="79"/>
      <c r="BI39" s="80"/>
      <c r="BJ39" s="535">
        <f t="shared" si="7"/>
        <v>0</v>
      </c>
      <c r="BK39" s="545">
        <f t="shared" si="8"/>
        <v>0</v>
      </c>
    </row>
    <row r="40" spans="1:63" ht="15" customHeight="1" x14ac:dyDescent="0.35">
      <c r="A40" s="579"/>
      <c r="B40" s="546" t="s">
        <v>46</v>
      </c>
      <c r="C40" s="579" t="s">
        <v>47</v>
      </c>
      <c r="D40" s="653" t="s">
        <v>48</v>
      </c>
      <c r="E40" s="654"/>
      <c r="F40" s="618"/>
      <c r="G40" s="595"/>
      <c r="H40" s="618"/>
      <c r="I40" s="595"/>
      <c r="J40" s="618"/>
      <c r="K40" s="595"/>
      <c r="L40" s="618"/>
      <c r="M40" s="595"/>
      <c r="N40" s="618"/>
      <c r="O40" s="595"/>
      <c r="P40" s="572"/>
      <c r="Q40" s="587"/>
      <c r="R40" s="572"/>
      <c r="S40" s="587"/>
      <c r="T40" s="79"/>
      <c r="U40" s="80"/>
      <c r="V40" s="79"/>
      <c r="W40" s="80"/>
      <c r="X40" s="79"/>
      <c r="Y40" s="80"/>
      <c r="Z40" s="79"/>
      <c r="AA40" s="80"/>
      <c r="AB40" s="79"/>
      <c r="AC40" s="80"/>
      <c r="AD40" s="572"/>
      <c r="AE40" s="587"/>
      <c r="AF40" s="79"/>
      <c r="AG40" s="80"/>
      <c r="AH40" s="79"/>
      <c r="AI40" s="80"/>
      <c r="AJ40" s="79"/>
      <c r="AK40" s="80"/>
      <c r="AL40" s="79"/>
      <c r="AM40" s="80"/>
      <c r="AN40" s="79"/>
      <c r="AO40" s="80"/>
      <c r="AP40" s="79"/>
      <c r="AQ40" s="80"/>
      <c r="AR40" s="572"/>
      <c r="AS40" s="587"/>
      <c r="AT40" s="79"/>
      <c r="AU40" s="80"/>
      <c r="AV40" s="79"/>
      <c r="AW40" s="80"/>
      <c r="AX40" s="79"/>
      <c r="AY40" s="80"/>
      <c r="AZ40" s="79"/>
      <c r="BA40" s="80"/>
      <c r="BB40" s="79"/>
      <c r="BC40" s="80"/>
      <c r="BD40" s="79"/>
      <c r="BE40" s="80"/>
      <c r="BF40" s="572"/>
      <c r="BG40" s="587"/>
      <c r="BH40" s="79"/>
      <c r="BI40" s="80"/>
      <c r="BJ40" s="535">
        <f t="shared" si="7"/>
        <v>0</v>
      </c>
      <c r="BK40" s="545">
        <f t="shared" si="8"/>
        <v>0</v>
      </c>
    </row>
    <row r="41" spans="1:63" ht="15" customHeight="1" x14ac:dyDescent="0.35">
      <c r="A41" s="579"/>
      <c r="B41" s="546" t="s">
        <v>26</v>
      </c>
      <c r="C41" s="579" t="s">
        <v>49</v>
      </c>
      <c r="D41" s="653" t="s">
        <v>50</v>
      </c>
      <c r="E41" s="654"/>
      <c r="F41" s="618"/>
      <c r="G41" s="595"/>
      <c r="H41" s="618"/>
      <c r="I41" s="595"/>
      <c r="J41" s="618"/>
      <c r="K41" s="595"/>
      <c r="L41" s="618"/>
      <c r="M41" s="595"/>
      <c r="N41" s="618"/>
      <c r="O41" s="595"/>
      <c r="P41" s="572"/>
      <c r="Q41" s="587"/>
      <c r="R41" s="572"/>
      <c r="S41" s="587"/>
      <c r="T41" s="79"/>
      <c r="U41" s="80"/>
      <c r="V41" s="79"/>
      <c r="W41" s="80"/>
      <c r="X41" s="79"/>
      <c r="Y41" s="80"/>
      <c r="Z41" s="79"/>
      <c r="AA41" s="80"/>
      <c r="AB41" s="79"/>
      <c r="AC41" s="80"/>
      <c r="AD41" s="572"/>
      <c r="AE41" s="587"/>
      <c r="AF41" s="79"/>
      <c r="AG41" s="80"/>
      <c r="AH41" s="79"/>
      <c r="AI41" s="80"/>
      <c r="AJ41" s="79"/>
      <c r="AK41" s="80"/>
      <c r="AL41" s="79"/>
      <c r="AM41" s="80"/>
      <c r="AN41" s="79"/>
      <c r="AO41" s="80"/>
      <c r="AP41" s="79"/>
      <c r="AQ41" s="80"/>
      <c r="AR41" s="572"/>
      <c r="AS41" s="587"/>
      <c r="AT41" s="79"/>
      <c r="AU41" s="80"/>
      <c r="AV41" s="79"/>
      <c r="AW41" s="80"/>
      <c r="AX41" s="79"/>
      <c r="AY41" s="80"/>
      <c r="AZ41" s="79"/>
      <c r="BA41" s="80"/>
      <c r="BB41" s="79"/>
      <c r="BC41" s="80"/>
      <c r="BD41" s="79"/>
      <c r="BE41" s="80"/>
      <c r="BF41" s="572"/>
      <c r="BG41" s="587"/>
      <c r="BH41" s="79"/>
      <c r="BI41" s="80"/>
      <c r="BJ41" s="535">
        <f t="shared" si="7"/>
        <v>0</v>
      </c>
      <c r="BK41" s="545">
        <f t="shared" si="8"/>
        <v>0</v>
      </c>
    </row>
    <row r="42" spans="1:63" ht="15" customHeight="1" x14ac:dyDescent="0.35">
      <c r="A42" s="579"/>
      <c r="B42" s="546" t="s">
        <v>26</v>
      </c>
      <c r="C42" s="567" t="s">
        <v>51</v>
      </c>
      <c r="D42" s="653" t="s">
        <v>52</v>
      </c>
      <c r="E42" s="654"/>
      <c r="F42" s="618"/>
      <c r="G42" s="595"/>
      <c r="H42" s="618"/>
      <c r="I42" s="595"/>
      <c r="J42" s="618"/>
      <c r="K42" s="595"/>
      <c r="L42" s="618"/>
      <c r="M42" s="595"/>
      <c r="N42" s="618"/>
      <c r="O42" s="595"/>
      <c r="P42" s="572"/>
      <c r="Q42" s="587"/>
      <c r="R42" s="572"/>
      <c r="S42" s="587"/>
      <c r="T42" s="79"/>
      <c r="U42" s="80"/>
      <c r="V42" s="79"/>
      <c r="W42" s="80"/>
      <c r="X42" s="79"/>
      <c r="Y42" s="80"/>
      <c r="Z42" s="79"/>
      <c r="AA42" s="80"/>
      <c r="AB42" s="79"/>
      <c r="AC42" s="80"/>
      <c r="AD42" s="572"/>
      <c r="AE42" s="587"/>
      <c r="AF42" s="79"/>
      <c r="AG42" s="80"/>
      <c r="AH42" s="79"/>
      <c r="AI42" s="80"/>
      <c r="AJ42" s="79"/>
      <c r="AK42" s="80"/>
      <c r="AL42" s="79"/>
      <c r="AM42" s="80"/>
      <c r="AN42" s="79"/>
      <c r="AO42" s="80"/>
      <c r="AP42" s="79"/>
      <c r="AQ42" s="80"/>
      <c r="AR42" s="572"/>
      <c r="AS42" s="587"/>
      <c r="AT42" s="79"/>
      <c r="AU42" s="80"/>
      <c r="AV42" s="79"/>
      <c r="AW42" s="80"/>
      <c r="AX42" s="79"/>
      <c r="AY42" s="80"/>
      <c r="AZ42" s="79"/>
      <c r="BA42" s="80"/>
      <c r="BB42" s="79"/>
      <c r="BC42" s="80"/>
      <c r="BD42" s="79"/>
      <c r="BE42" s="80"/>
      <c r="BF42" s="572"/>
      <c r="BG42" s="587"/>
      <c r="BH42" s="79"/>
      <c r="BI42" s="80"/>
      <c r="BJ42" s="535">
        <f t="shared" si="7"/>
        <v>0</v>
      </c>
      <c r="BK42" s="545">
        <f t="shared" si="8"/>
        <v>0</v>
      </c>
    </row>
    <row r="43" spans="1:63" ht="15" customHeight="1" x14ac:dyDescent="0.35">
      <c r="A43" s="579"/>
      <c r="B43" s="546" t="s">
        <v>26</v>
      </c>
      <c r="C43" s="579" t="s">
        <v>53</v>
      </c>
      <c r="D43" s="653" t="s">
        <v>54</v>
      </c>
      <c r="E43" s="654"/>
      <c r="F43" s="618"/>
      <c r="G43" s="595"/>
      <c r="H43" s="618"/>
      <c r="I43" s="595"/>
      <c r="J43" s="618"/>
      <c r="K43" s="595"/>
      <c r="L43" s="618"/>
      <c r="M43" s="595"/>
      <c r="N43" s="618"/>
      <c r="O43" s="595"/>
      <c r="P43" s="572"/>
      <c r="Q43" s="587"/>
      <c r="R43" s="572"/>
      <c r="S43" s="587"/>
      <c r="T43" s="79"/>
      <c r="U43" s="80"/>
      <c r="V43" s="79"/>
      <c r="W43" s="80"/>
      <c r="X43" s="79"/>
      <c r="Y43" s="80"/>
      <c r="Z43" s="79"/>
      <c r="AA43" s="80"/>
      <c r="AB43" s="79"/>
      <c r="AC43" s="80"/>
      <c r="AD43" s="572"/>
      <c r="AE43" s="587"/>
      <c r="AF43" s="79"/>
      <c r="AG43" s="80"/>
      <c r="AH43" s="79"/>
      <c r="AI43" s="80"/>
      <c r="AJ43" s="79"/>
      <c r="AK43" s="80"/>
      <c r="AL43" s="79"/>
      <c r="AM43" s="80"/>
      <c r="AN43" s="79"/>
      <c r="AO43" s="80"/>
      <c r="AP43" s="79"/>
      <c r="AQ43" s="80"/>
      <c r="AR43" s="572"/>
      <c r="AS43" s="587"/>
      <c r="AT43" s="79"/>
      <c r="AU43" s="80"/>
      <c r="AV43" s="79"/>
      <c r="AW43" s="80"/>
      <c r="AX43" s="79"/>
      <c r="AY43" s="80"/>
      <c r="AZ43" s="79"/>
      <c r="BA43" s="80"/>
      <c r="BB43" s="79"/>
      <c r="BC43" s="80"/>
      <c r="BD43" s="79"/>
      <c r="BE43" s="80"/>
      <c r="BF43" s="572"/>
      <c r="BG43" s="587"/>
      <c r="BH43" s="79"/>
      <c r="BI43" s="80"/>
      <c r="BJ43" s="535">
        <f t="shared" si="7"/>
        <v>0</v>
      </c>
      <c r="BK43" s="545">
        <f t="shared" si="8"/>
        <v>0</v>
      </c>
    </row>
    <row r="44" spans="1:63" ht="15" customHeight="1" x14ac:dyDescent="0.35">
      <c r="A44" s="579"/>
      <c r="B44" s="546" t="s">
        <v>26</v>
      </c>
      <c r="C44" s="567" t="s">
        <v>55</v>
      </c>
      <c r="D44" s="653" t="s">
        <v>56</v>
      </c>
      <c r="E44" s="654"/>
      <c r="F44" s="618"/>
      <c r="G44" s="595"/>
      <c r="H44" s="618"/>
      <c r="I44" s="595"/>
      <c r="J44" s="618"/>
      <c r="K44" s="595"/>
      <c r="L44" s="618"/>
      <c r="M44" s="595"/>
      <c r="N44" s="618"/>
      <c r="O44" s="595"/>
      <c r="P44" s="572"/>
      <c r="Q44" s="587"/>
      <c r="R44" s="572"/>
      <c r="S44" s="587"/>
      <c r="T44" s="79"/>
      <c r="U44" s="80"/>
      <c r="V44" s="79"/>
      <c r="W44" s="80"/>
      <c r="X44" s="79"/>
      <c r="Y44" s="80"/>
      <c r="Z44" s="79"/>
      <c r="AA44" s="80"/>
      <c r="AB44" s="79"/>
      <c r="AC44" s="80"/>
      <c r="AD44" s="572"/>
      <c r="AE44" s="587"/>
      <c r="AF44" s="79"/>
      <c r="AG44" s="80"/>
      <c r="AH44" s="79"/>
      <c r="AI44" s="80"/>
      <c r="AJ44" s="79"/>
      <c r="AK44" s="80"/>
      <c r="AL44" s="79"/>
      <c r="AM44" s="80"/>
      <c r="AN44" s="79"/>
      <c r="AO44" s="80"/>
      <c r="AP44" s="79"/>
      <c r="AQ44" s="80"/>
      <c r="AR44" s="572"/>
      <c r="AS44" s="587"/>
      <c r="AT44" s="79"/>
      <c r="AU44" s="80"/>
      <c r="AV44" s="79"/>
      <c r="AW44" s="80"/>
      <c r="AX44" s="79"/>
      <c r="AY44" s="80"/>
      <c r="AZ44" s="79"/>
      <c r="BA44" s="80"/>
      <c r="BB44" s="79"/>
      <c r="BC44" s="80"/>
      <c r="BD44" s="79"/>
      <c r="BE44" s="80"/>
      <c r="BF44" s="572"/>
      <c r="BG44" s="587"/>
      <c r="BH44" s="79"/>
      <c r="BI44" s="80"/>
      <c r="BJ44" s="535">
        <f t="shared" si="7"/>
        <v>0</v>
      </c>
      <c r="BK44" s="545">
        <f t="shared" si="8"/>
        <v>0</v>
      </c>
    </row>
    <row r="45" spans="1:63" ht="15" customHeight="1" x14ac:dyDescent="0.35">
      <c r="A45" s="579"/>
      <c r="B45" s="546" t="s">
        <v>26</v>
      </c>
      <c r="C45" s="579" t="s">
        <v>57</v>
      </c>
      <c r="D45" s="653" t="s">
        <v>58</v>
      </c>
      <c r="E45" s="654"/>
      <c r="F45" s="618"/>
      <c r="G45" s="595"/>
      <c r="H45" s="618"/>
      <c r="I45" s="595"/>
      <c r="J45" s="618"/>
      <c r="K45" s="595"/>
      <c r="L45" s="618">
        <v>15</v>
      </c>
      <c r="M45" s="595"/>
      <c r="N45" s="618"/>
      <c r="O45" s="595"/>
      <c r="P45" s="572"/>
      <c r="Q45" s="587"/>
      <c r="R45" s="572"/>
      <c r="S45" s="587"/>
      <c r="T45" s="79"/>
      <c r="U45" s="80"/>
      <c r="V45" s="79"/>
      <c r="W45" s="80"/>
      <c r="X45" s="79"/>
      <c r="Y45" s="80"/>
      <c r="Z45" s="79"/>
      <c r="AA45" s="80"/>
      <c r="AB45" s="79"/>
      <c r="AC45" s="80"/>
      <c r="AD45" s="572"/>
      <c r="AE45" s="587"/>
      <c r="AF45" s="79"/>
      <c r="AG45" s="80"/>
      <c r="AH45" s="79"/>
      <c r="AI45" s="80"/>
      <c r="AJ45" s="79"/>
      <c r="AK45" s="80"/>
      <c r="AL45" s="79"/>
      <c r="AM45" s="80"/>
      <c r="AN45" s="79"/>
      <c r="AO45" s="80"/>
      <c r="AP45" s="79"/>
      <c r="AQ45" s="80"/>
      <c r="AR45" s="572"/>
      <c r="AS45" s="587"/>
      <c r="AT45" s="79"/>
      <c r="AU45" s="80"/>
      <c r="AV45" s="79"/>
      <c r="AW45" s="80"/>
      <c r="AX45" s="79"/>
      <c r="AY45" s="80"/>
      <c r="AZ45" s="79"/>
      <c r="BA45" s="80"/>
      <c r="BB45" s="79"/>
      <c r="BC45" s="80"/>
      <c r="BD45" s="79"/>
      <c r="BE45" s="80"/>
      <c r="BF45" s="572"/>
      <c r="BG45" s="587"/>
      <c r="BH45" s="79"/>
      <c r="BI45" s="80"/>
      <c r="BJ45" s="535">
        <f t="shared" si="7"/>
        <v>15</v>
      </c>
      <c r="BK45" s="545">
        <f t="shared" si="8"/>
        <v>1</v>
      </c>
    </row>
    <row r="46" spans="1:63" ht="15" customHeight="1" x14ac:dyDescent="0.35">
      <c r="A46" s="579"/>
      <c r="B46" s="546" t="s">
        <v>29</v>
      </c>
      <c r="C46" s="579" t="s">
        <v>59</v>
      </c>
      <c r="D46" s="653" t="s">
        <v>60</v>
      </c>
      <c r="E46" s="654"/>
      <c r="F46" s="618"/>
      <c r="G46" s="595"/>
      <c r="H46" s="618"/>
      <c r="I46" s="595"/>
      <c r="J46" s="618"/>
      <c r="K46" s="595"/>
      <c r="L46" s="618"/>
      <c r="M46" s="595"/>
      <c r="N46" s="618"/>
      <c r="O46" s="595"/>
      <c r="P46" s="572"/>
      <c r="Q46" s="587"/>
      <c r="R46" s="572"/>
      <c r="S46" s="587"/>
      <c r="T46" s="79"/>
      <c r="U46" s="80"/>
      <c r="V46" s="79"/>
      <c r="W46" s="80"/>
      <c r="X46" s="79"/>
      <c r="Y46" s="80"/>
      <c r="Z46" s="79"/>
      <c r="AA46" s="80"/>
      <c r="AB46" s="79"/>
      <c r="AC46" s="80"/>
      <c r="AD46" s="572"/>
      <c r="AE46" s="587"/>
      <c r="AF46" s="79"/>
      <c r="AG46" s="80"/>
      <c r="AH46" s="79"/>
      <c r="AI46" s="80"/>
      <c r="AJ46" s="79"/>
      <c r="AK46" s="80"/>
      <c r="AL46" s="79"/>
      <c r="AM46" s="80"/>
      <c r="AN46" s="79"/>
      <c r="AO46" s="80"/>
      <c r="AP46" s="79"/>
      <c r="AQ46" s="80"/>
      <c r="AR46" s="572"/>
      <c r="AS46" s="587"/>
      <c r="AT46" s="79"/>
      <c r="AU46" s="80"/>
      <c r="AV46" s="79"/>
      <c r="AW46" s="80"/>
      <c r="AX46" s="79"/>
      <c r="AY46" s="80"/>
      <c r="AZ46" s="79"/>
      <c r="BA46" s="80"/>
      <c r="BB46" s="79"/>
      <c r="BC46" s="80"/>
      <c r="BD46" s="79"/>
      <c r="BE46" s="80"/>
      <c r="BF46" s="572"/>
      <c r="BG46" s="587"/>
      <c r="BH46" s="79"/>
      <c r="BI46" s="80"/>
      <c r="BJ46" s="535">
        <f t="shared" si="7"/>
        <v>0</v>
      </c>
      <c r="BK46" s="545">
        <f t="shared" si="8"/>
        <v>0</v>
      </c>
    </row>
    <row r="47" spans="1:63" ht="15" customHeight="1" x14ac:dyDescent="0.35">
      <c r="A47" s="579"/>
      <c r="B47" s="546" t="s">
        <v>46</v>
      </c>
      <c r="C47" s="579" t="s">
        <v>61</v>
      </c>
      <c r="D47" s="653" t="s">
        <v>62</v>
      </c>
      <c r="E47" s="654"/>
      <c r="F47" s="618"/>
      <c r="G47" s="595"/>
      <c r="H47" s="618"/>
      <c r="I47" s="595"/>
      <c r="J47" s="618"/>
      <c r="K47" s="595"/>
      <c r="L47" s="618"/>
      <c r="M47" s="595"/>
      <c r="N47" s="618"/>
      <c r="O47" s="595"/>
      <c r="P47" s="572"/>
      <c r="Q47" s="587"/>
      <c r="R47" s="572"/>
      <c r="S47" s="587"/>
      <c r="T47" s="79"/>
      <c r="U47" s="80"/>
      <c r="V47" s="79"/>
      <c r="W47" s="80"/>
      <c r="X47" s="79"/>
      <c r="Y47" s="80"/>
      <c r="Z47" s="79"/>
      <c r="AA47" s="80"/>
      <c r="AB47" s="79"/>
      <c r="AC47" s="80"/>
      <c r="AD47" s="572"/>
      <c r="AE47" s="587"/>
      <c r="AF47" s="79"/>
      <c r="AG47" s="80"/>
      <c r="AH47" s="79"/>
      <c r="AI47" s="80"/>
      <c r="AJ47" s="79"/>
      <c r="AK47" s="80"/>
      <c r="AL47" s="79"/>
      <c r="AM47" s="80"/>
      <c r="AN47" s="79"/>
      <c r="AO47" s="80"/>
      <c r="AP47" s="79"/>
      <c r="AQ47" s="80"/>
      <c r="AR47" s="572"/>
      <c r="AS47" s="587"/>
      <c r="AT47" s="79"/>
      <c r="AU47" s="80"/>
      <c r="AV47" s="79"/>
      <c r="AW47" s="80"/>
      <c r="AX47" s="79"/>
      <c r="AY47" s="80"/>
      <c r="AZ47" s="79"/>
      <c r="BA47" s="80"/>
      <c r="BB47" s="79"/>
      <c r="BC47" s="80"/>
      <c r="BD47" s="79"/>
      <c r="BE47" s="80"/>
      <c r="BF47" s="572"/>
      <c r="BG47" s="587"/>
      <c r="BH47" s="79"/>
      <c r="BI47" s="80"/>
      <c r="BJ47" s="535">
        <f t="shared" si="7"/>
        <v>0</v>
      </c>
      <c r="BK47" s="545">
        <f t="shared" si="8"/>
        <v>0</v>
      </c>
    </row>
    <row r="48" spans="1:63" ht="15" customHeight="1" x14ac:dyDescent="0.35">
      <c r="A48" s="579"/>
      <c r="B48" s="546" t="s">
        <v>26</v>
      </c>
      <c r="C48" s="567" t="s">
        <v>63</v>
      </c>
      <c r="D48" s="653" t="s">
        <v>64</v>
      </c>
      <c r="E48" s="654"/>
      <c r="F48" s="618"/>
      <c r="G48" s="595"/>
      <c r="H48" s="618"/>
      <c r="I48" s="595"/>
      <c r="J48" s="618"/>
      <c r="K48" s="595"/>
      <c r="L48" s="618"/>
      <c r="M48" s="595"/>
      <c r="N48" s="618"/>
      <c r="O48" s="595"/>
      <c r="P48" s="572"/>
      <c r="Q48" s="587"/>
      <c r="R48" s="572"/>
      <c r="S48" s="587"/>
      <c r="T48" s="79"/>
      <c r="U48" s="80"/>
      <c r="V48" s="79"/>
      <c r="W48" s="80"/>
      <c r="X48" s="79"/>
      <c r="Y48" s="80"/>
      <c r="Z48" s="79"/>
      <c r="AA48" s="80"/>
      <c r="AB48" s="79"/>
      <c r="AC48" s="80"/>
      <c r="AD48" s="572"/>
      <c r="AE48" s="587"/>
      <c r="AF48" s="79"/>
      <c r="AG48" s="80"/>
      <c r="AH48" s="79"/>
      <c r="AI48" s="80"/>
      <c r="AJ48" s="79"/>
      <c r="AK48" s="80"/>
      <c r="AL48" s="79"/>
      <c r="AM48" s="80"/>
      <c r="AN48" s="79"/>
      <c r="AO48" s="80"/>
      <c r="AP48" s="79"/>
      <c r="AQ48" s="80"/>
      <c r="AR48" s="572"/>
      <c r="AS48" s="587"/>
      <c r="AT48" s="79"/>
      <c r="AU48" s="80"/>
      <c r="AV48" s="79"/>
      <c r="AW48" s="80"/>
      <c r="AX48" s="79"/>
      <c r="AY48" s="80"/>
      <c r="AZ48" s="79"/>
      <c r="BA48" s="80"/>
      <c r="BB48" s="79"/>
      <c r="BC48" s="80"/>
      <c r="BD48" s="79"/>
      <c r="BE48" s="80"/>
      <c r="BF48" s="572"/>
      <c r="BG48" s="587"/>
      <c r="BH48" s="79"/>
      <c r="BI48" s="80"/>
      <c r="BJ48" s="535">
        <f t="shared" si="7"/>
        <v>0</v>
      </c>
      <c r="BK48" s="545">
        <f t="shared" si="8"/>
        <v>0</v>
      </c>
    </row>
    <row r="49" spans="1:63" ht="15" customHeight="1" x14ac:dyDescent="0.35">
      <c r="A49" s="579"/>
      <c r="B49" s="546" t="s">
        <v>29</v>
      </c>
      <c r="C49" s="579" t="s">
        <v>65</v>
      </c>
      <c r="D49" s="653" t="s">
        <v>66</v>
      </c>
      <c r="E49" s="654"/>
      <c r="F49" s="618"/>
      <c r="G49" s="595"/>
      <c r="H49" s="618"/>
      <c r="I49" s="595"/>
      <c r="J49" s="618"/>
      <c r="K49" s="595"/>
      <c r="L49" s="618"/>
      <c r="M49" s="595"/>
      <c r="N49" s="618"/>
      <c r="O49" s="595"/>
      <c r="P49" s="572"/>
      <c r="Q49" s="587"/>
      <c r="R49" s="572"/>
      <c r="S49" s="587"/>
      <c r="T49" s="79"/>
      <c r="U49" s="80"/>
      <c r="V49" s="79"/>
      <c r="W49" s="80"/>
      <c r="X49" s="79"/>
      <c r="Y49" s="80"/>
      <c r="Z49" s="79"/>
      <c r="AA49" s="80"/>
      <c r="AB49" s="79"/>
      <c r="AC49" s="80"/>
      <c r="AD49" s="572"/>
      <c r="AE49" s="587"/>
      <c r="AF49" s="79"/>
      <c r="AG49" s="80"/>
      <c r="AH49" s="79"/>
      <c r="AI49" s="80"/>
      <c r="AJ49" s="79"/>
      <c r="AK49" s="80"/>
      <c r="AL49" s="79"/>
      <c r="AM49" s="80"/>
      <c r="AN49" s="79"/>
      <c r="AO49" s="80"/>
      <c r="AP49" s="79"/>
      <c r="AQ49" s="80"/>
      <c r="AR49" s="572"/>
      <c r="AS49" s="587"/>
      <c r="AT49" s="79"/>
      <c r="AU49" s="80"/>
      <c r="AV49" s="79"/>
      <c r="AW49" s="80"/>
      <c r="AX49" s="79"/>
      <c r="AY49" s="80"/>
      <c r="AZ49" s="79"/>
      <c r="BA49" s="80"/>
      <c r="BB49" s="79"/>
      <c r="BC49" s="80"/>
      <c r="BD49" s="79"/>
      <c r="BE49" s="80"/>
      <c r="BF49" s="572"/>
      <c r="BG49" s="587"/>
      <c r="BH49" s="79"/>
      <c r="BI49" s="80"/>
      <c r="BJ49" s="535">
        <f t="shared" si="7"/>
        <v>0</v>
      </c>
      <c r="BK49" s="545">
        <f t="shared" si="8"/>
        <v>0</v>
      </c>
    </row>
    <row r="50" spans="1:63" ht="15" customHeight="1" x14ac:dyDescent="0.35">
      <c r="A50" s="579"/>
      <c r="B50" s="546" t="s">
        <v>26</v>
      </c>
      <c r="C50" s="579" t="s">
        <v>67</v>
      </c>
      <c r="D50" s="653" t="s">
        <v>68</v>
      </c>
      <c r="E50" s="654"/>
      <c r="F50" s="618"/>
      <c r="G50" s="595"/>
      <c r="H50" s="618"/>
      <c r="I50" s="595"/>
      <c r="J50" s="618"/>
      <c r="K50" s="595"/>
      <c r="L50" s="618"/>
      <c r="M50" s="595"/>
      <c r="N50" s="618"/>
      <c r="O50" s="595"/>
      <c r="P50" s="572"/>
      <c r="Q50" s="587"/>
      <c r="R50" s="572"/>
      <c r="S50" s="587"/>
      <c r="T50" s="79"/>
      <c r="U50" s="80"/>
      <c r="V50" s="79"/>
      <c r="W50" s="80"/>
      <c r="X50" s="79"/>
      <c r="Y50" s="80"/>
      <c r="Z50" s="79"/>
      <c r="AA50" s="80"/>
      <c r="AB50" s="79"/>
      <c r="AC50" s="80"/>
      <c r="AD50" s="572"/>
      <c r="AE50" s="587"/>
      <c r="AF50" s="79"/>
      <c r="AG50" s="80"/>
      <c r="AH50" s="79"/>
      <c r="AI50" s="80"/>
      <c r="AJ50" s="79"/>
      <c r="AK50" s="80"/>
      <c r="AL50" s="79"/>
      <c r="AM50" s="80"/>
      <c r="AN50" s="79"/>
      <c r="AO50" s="80"/>
      <c r="AP50" s="79"/>
      <c r="AQ50" s="80"/>
      <c r="AR50" s="572"/>
      <c r="AS50" s="587"/>
      <c r="AT50" s="79"/>
      <c r="AU50" s="80"/>
      <c r="AV50" s="79"/>
      <c r="AW50" s="80"/>
      <c r="AX50" s="79"/>
      <c r="AY50" s="80"/>
      <c r="AZ50" s="79"/>
      <c r="BA50" s="80"/>
      <c r="BB50" s="79"/>
      <c r="BC50" s="80"/>
      <c r="BD50" s="79"/>
      <c r="BE50" s="80"/>
      <c r="BF50" s="572"/>
      <c r="BG50" s="587"/>
      <c r="BH50" s="79"/>
      <c r="BI50" s="80"/>
      <c r="BJ50" s="535">
        <f t="shared" si="7"/>
        <v>0</v>
      </c>
      <c r="BK50" s="545">
        <f t="shared" si="8"/>
        <v>0</v>
      </c>
    </row>
    <row r="51" spans="1:63" ht="15" customHeight="1" x14ac:dyDescent="0.35">
      <c r="A51" s="579"/>
      <c r="B51" s="546" t="s">
        <v>29</v>
      </c>
      <c r="C51" s="579" t="s">
        <v>69</v>
      </c>
      <c r="D51" s="653" t="s">
        <v>70</v>
      </c>
      <c r="E51" s="654"/>
      <c r="F51" s="618"/>
      <c r="G51" s="595"/>
      <c r="H51" s="618"/>
      <c r="I51" s="595"/>
      <c r="J51" s="618"/>
      <c r="K51" s="595"/>
      <c r="L51" s="618"/>
      <c r="M51" s="595"/>
      <c r="N51" s="618"/>
      <c r="O51" s="595"/>
      <c r="P51" s="572"/>
      <c r="Q51" s="587"/>
      <c r="R51" s="572"/>
      <c r="S51" s="587"/>
      <c r="T51" s="79"/>
      <c r="U51" s="80"/>
      <c r="V51" s="79"/>
      <c r="W51" s="80"/>
      <c r="X51" s="79"/>
      <c r="Y51" s="80"/>
      <c r="Z51" s="79"/>
      <c r="AA51" s="80"/>
      <c r="AB51" s="79"/>
      <c r="AC51" s="80"/>
      <c r="AD51" s="572"/>
      <c r="AE51" s="587"/>
      <c r="AF51" s="79"/>
      <c r="AG51" s="80"/>
      <c r="AH51" s="79"/>
      <c r="AI51" s="80"/>
      <c r="AJ51" s="79"/>
      <c r="AK51" s="80"/>
      <c r="AL51" s="79"/>
      <c r="AM51" s="80"/>
      <c r="AN51" s="79"/>
      <c r="AO51" s="80"/>
      <c r="AP51" s="79"/>
      <c r="AQ51" s="80"/>
      <c r="AR51" s="572"/>
      <c r="AS51" s="587"/>
      <c r="AT51" s="79"/>
      <c r="AU51" s="80"/>
      <c r="AV51" s="79"/>
      <c r="AW51" s="80"/>
      <c r="AX51" s="79"/>
      <c r="AY51" s="80"/>
      <c r="AZ51" s="79"/>
      <c r="BA51" s="80"/>
      <c r="BB51" s="79"/>
      <c r="BC51" s="80"/>
      <c r="BD51" s="79"/>
      <c r="BE51" s="80"/>
      <c r="BF51" s="572"/>
      <c r="BG51" s="587"/>
      <c r="BH51" s="79"/>
      <c r="BI51" s="80"/>
      <c r="BJ51" s="535">
        <f t="shared" si="7"/>
        <v>0</v>
      </c>
      <c r="BK51" s="545">
        <f t="shared" si="8"/>
        <v>0</v>
      </c>
    </row>
    <row r="52" spans="1:63" ht="15" customHeight="1" x14ac:dyDescent="0.35">
      <c r="A52" s="579"/>
      <c r="B52" s="546" t="s">
        <v>29</v>
      </c>
      <c r="C52" s="579" t="s">
        <v>71</v>
      </c>
      <c r="D52" s="653" t="s">
        <v>72</v>
      </c>
      <c r="E52" s="654"/>
      <c r="F52" s="618"/>
      <c r="G52" s="595"/>
      <c r="H52" s="618"/>
      <c r="I52" s="595"/>
      <c r="J52" s="618"/>
      <c r="K52" s="595"/>
      <c r="L52" s="618"/>
      <c r="M52" s="595"/>
      <c r="N52" s="618"/>
      <c r="O52" s="595"/>
      <c r="P52" s="572"/>
      <c r="Q52" s="587"/>
      <c r="R52" s="572"/>
      <c r="S52" s="587"/>
      <c r="T52" s="79"/>
      <c r="U52" s="80"/>
      <c r="V52" s="79"/>
      <c r="W52" s="80"/>
      <c r="X52" s="79"/>
      <c r="Y52" s="80"/>
      <c r="Z52" s="79"/>
      <c r="AA52" s="80"/>
      <c r="AB52" s="79"/>
      <c r="AC52" s="80"/>
      <c r="AD52" s="572"/>
      <c r="AE52" s="587"/>
      <c r="AF52" s="79"/>
      <c r="AG52" s="80"/>
      <c r="AH52" s="79"/>
      <c r="AI52" s="80"/>
      <c r="AJ52" s="79"/>
      <c r="AK52" s="80"/>
      <c r="AL52" s="79"/>
      <c r="AM52" s="80"/>
      <c r="AN52" s="79"/>
      <c r="AO52" s="80"/>
      <c r="AP52" s="79"/>
      <c r="AQ52" s="80"/>
      <c r="AR52" s="572"/>
      <c r="AS52" s="587"/>
      <c r="AT52" s="79"/>
      <c r="AU52" s="80"/>
      <c r="AV52" s="79"/>
      <c r="AW52" s="80"/>
      <c r="AX52" s="79"/>
      <c r="AY52" s="80"/>
      <c r="AZ52" s="79"/>
      <c r="BA52" s="80"/>
      <c r="BB52" s="79"/>
      <c r="BC52" s="80"/>
      <c r="BD52" s="79"/>
      <c r="BE52" s="80"/>
      <c r="BF52" s="572"/>
      <c r="BG52" s="587"/>
      <c r="BH52" s="79"/>
      <c r="BI52" s="80"/>
      <c r="BJ52" s="535">
        <f t="shared" si="7"/>
        <v>0</v>
      </c>
      <c r="BK52" s="545">
        <f t="shared" si="8"/>
        <v>0</v>
      </c>
    </row>
    <row r="53" spans="1:63" ht="15" customHeight="1" x14ac:dyDescent="0.35">
      <c r="A53" s="579"/>
      <c r="B53" s="546" t="s">
        <v>29</v>
      </c>
      <c r="C53" s="579" t="s">
        <v>73</v>
      </c>
      <c r="D53" s="653" t="s">
        <v>74</v>
      </c>
      <c r="E53" s="654"/>
      <c r="F53" s="618"/>
      <c r="G53" s="595"/>
      <c r="H53" s="618"/>
      <c r="I53" s="595"/>
      <c r="J53" s="618"/>
      <c r="K53" s="595"/>
      <c r="L53" s="618"/>
      <c r="M53" s="595"/>
      <c r="N53" s="618"/>
      <c r="O53" s="595"/>
      <c r="P53" s="572"/>
      <c r="Q53" s="587"/>
      <c r="R53" s="572"/>
      <c r="S53" s="587"/>
      <c r="T53" s="79"/>
      <c r="U53" s="80"/>
      <c r="V53" s="79"/>
      <c r="W53" s="80"/>
      <c r="X53" s="79"/>
      <c r="Y53" s="80"/>
      <c r="Z53" s="79"/>
      <c r="AA53" s="80"/>
      <c r="AB53" s="79"/>
      <c r="AC53" s="80"/>
      <c r="AD53" s="572"/>
      <c r="AE53" s="587"/>
      <c r="AF53" s="79"/>
      <c r="AG53" s="80"/>
      <c r="AH53" s="79"/>
      <c r="AI53" s="80"/>
      <c r="AJ53" s="79"/>
      <c r="AK53" s="80"/>
      <c r="AL53" s="79"/>
      <c r="AM53" s="80"/>
      <c r="AN53" s="79"/>
      <c r="AO53" s="80"/>
      <c r="AP53" s="79"/>
      <c r="AQ53" s="80"/>
      <c r="AR53" s="572"/>
      <c r="AS53" s="587"/>
      <c r="AT53" s="79"/>
      <c r="AU53" s="80"/>
      <c r="AV53" s="79"/>
      <c r="AW53" s="80"/>
      <c r="AX53" s="79"/>
      <c r="AY53" s="80"/>
      <c r="AZ53" s="79"/>
      <c r="BA53" s="80"/>
      <c r="BB53" s="79"/>
      <c r="BC53" s="80"/>
      <c r="BD53" s="79"/>
      <c r="BE53" s="80"/>
      <c r="BF53" s="572"/>
      <c r="BG53" s="587"/>
      <c r="BH53" s="79"/>
      <c r="BI53" s="80"/>
      <c r="BJ53" s="535">
        <f t="shared" si="7"/>
        <v>0</v>
      </c>
      <c r="BK53" s="545">
        <f t="shared" si="8"/>
        <v>0</v>
      </c>
    </row>
    <row r="54" spans="1:63" ht="15" customHeight="1" x14ac:dyDescent="0.35">
      <c r="A54" s="579"/>
      <c r="B54" s="546" t="s">
        <v>29</v>
      </c>
      <c r="C54" s="579" t="s">
        <v>75</v>
      </c>
      <c r="D54" s="653" t="s">
        <v>76</v>
      </c>
      <c r="E54" s="654"/>
      <c r="F54" s="618"/>
      <c r="G54" s="595"/>
      <c r="H54" s="618"/>
      <c r="I54" s="595"/>
      <c r="J54" s="618"/>
      <c r="K54" s="595"/>
      <c r="L54" s="618"/>
      <c r="M54" s="595"/>
      <c r="N54" s="618"/>
      <c r="O54" s="595"/>
      <c r="P54" s="572"/>
      <c r="Q54" s="587"/>
      <c r="R54" s="572"/>
      <c r="S54" s="587"/>
      <c r="T54" s="79"/>
      <c r="U54" s="80"/>
      <c r="V54" s="79"/>
      <c r="W54" s="80"/>
      <c r="X54" s="79"/>
      <c r="Y54" s="80"/>
      <c r="Z54" s="79"/>
      <c r="AA54" s="80"/>
      <c r="AB54" s="79"/>
      <c r="AC54" s="80"/>
      <c r="AD54" s="572"/>
      <c r="AE54" s="587"/>
      <c r="AF54" s="79"/>
      <c r="AG54" s="80"/>
      <c r="AH54" s="79"/>
      <c r="AI54" s="80"/>
      <c r="AJ54" s="79"/>
      <c r="AK54" s="80"/>
      <c r="AL54" s="79"/>
      <c r="AM54" s="80"/>
      <c r="AN54" s="79"/>
      <c r="AO54" s="80"/>
      <c r="AP54" s="79"/>
      <c r="AQ54" s="80"/>
      <c r="AR54" s="572"/>
      <c r="AS54" s="587"/>
      <c r="AT54" s="79"/>
      <c r="AU54" s="80"/>
      <c r="AV54" s="79"/>
      <c r="AW54" s="80"/>
      <c r="AX54" s="79"/>
      <c r="AY54" s="80"/>
      <c r="AZ54" s="79"/>
      <c r="BA54" s="80"/>
      <c r="BB54" s="79"/>
      <c r="BC54" s="80"/>
      <c r="BD54" s="79"/>
      <c r="BE54" s="80"/>
      <c r="BF54" s="572"/>
      <c r="BG54" s="587"/>
      <c r="BH54" s="79"/>
      <c r="BI54" s="80"/>
      <c r="BJ54" s="535">
        <f t="shared" si="7"/>
        <v>0</v>
      </c>
      <c r="BK54" s="545">
        <f t="shared" si="8"/>
        <v>0</v>
      </c>
    </row>
    <row r="55" spans="1:63" ht="15" customHeight="1" x14ac:dyDescent="0.35">
      <c r="A55" s="579"/>
      <c r="B55" s="546" t="s">
        <v>26</v>
      </c>
      <c r="C55" s="567" t="s">
        <v>77</v>
      </c>
      <c r="D55" s="653" t="s">
        <v>78</v>
      </c>
      <c r="E55" s="654"/>
      <c r="F55" s="618"/>
      <c r="G55" s="595"/>
      <c r="H55" s="618"/>
      <c r="I55" s="595"/>
      <c r="J55" s="618"/>
      <c r="K55" s="595"/>
      <c r="L55" s="618"/>
      <c r="M55" s="595"/>
      <c r="N55" s="618"/>
      <c r="O55" s="595"/>
      <c r="P55" s="572"/>
      <c r="Q55" s="587"/>
      <c r="R55" s="572"/>
      <c r="S55" s="587"/>
      <c r="T55" s="79"/>
      <c r="U55" s="80"/>
      <c r="V55" s="79"/>
      <c r="W55" s="80"/>
      <c r="X55" s="79"/>
      <c r="Y55" s="80"/>
      <c r="Z55" s="79"/>
      <c r="AA55" s="80"/>
      <c r="AB55" s="79"/>
      <c r="AC55" s="80"/>
      <c r="AD55" s="572"/>
      <c r="AE55" s="587"/>
      <c r="AF55" s="79"/>
      <c r="AG55" s="80"/>
      <c r="AH55" s="79"/>
      <c r="AI55" s="80"/>
      <c r="AJ55" s="79"/>
      <c r="AK55" s="80"/>
      <c r="AL55" s="79"/>
      <c r="AM55" s="80"/>
      <c r="AN55" s="79"/>
      <c r="AO55" s="80"/>
      <c r="AP55" s="79"/>
      <c r="AQ55" s="80"/>
      <c r="AR55" s="572"/>
      <c r="AS55" s="587"/>
      <c r="AT55" s="79"/>
      <c r="AU55" s="80"/>
      <c r="AV55" s="79"/>
      <c r="AW55" s="80"/>
      <c r="AX55" s="79"/>
      <c r="AY55" s="80"/>
      <c r="AZ55" s="79"/>
      <c r="BA55" s="80"/>
      <c r="BB55" s="79"/>
      <c r="BC55" s="80"/>
      <c r="BD55" s="79"/>
      <c r="BE55" s="80"/>
      <c r="BF55" s="572"/>
      <c r="BG55" s="587"/>
      <c r="BH55" s="79"/>
      <c r="BI55" s="80"/>
      <c r="BJ55" s="535">
        <f t="shared" si="7"/>
        <v>0</v>
      </c>
      <c r="BK55" s="545">
        <f t="shared" si="8"/>
        <v>0</v>
      </c>
    </row>
    <row r="56" spans="1:63" ht="15" customHeight="1" x14ac:dyDescent="0.35">
      <c r="A56" s="579"/>
      <c r="B56" s="546" t="s">
        <v>29</v>
      </c>
      <c r="C56" s="579" t="s">
        <v>79</v>
      </c>
      <c r="D56" s="653" t="s">
        <v>80</v>
      </c>
      <c r="E56" s="654"/>
      <c r="F56" s="618"/>
      <c r="G56" s="595"/>
      <c r="H56" s="618"/>
      <c r="I56" s="595"/>
      <c r="J56" s="618"/>
      <c r="K56" s="595"/>
      <c r="L56" s="618"/>
      <c r="M56" s="595"/>
      <c r="N56" s="618"/>
      <c r="O56" s="595"/>
      <c r="P56" s="572"/>
      <c r="Q56" s="587"/>
      <c r="R56" s="572"/>
      <c r="S56" s="587"/>
      <c r="T56" s="79"/>
      <c r="U56" s="80"/>
      <c r="V56" s="79"/>
      <c r="W56" s="80"/>
      <c r="X56" s="79"/>
      <c r="Y56" s="80"/>
      <c r="Z56" s="79"/>
      <c r="AA56" s="80"/>
      <c r="AB56" s="79"/>
      <c r="AC56" s="80"/>
      <c r="AD56" s="572"/>
      <c r="AE56" s="587"/>
      <c r="AF56" s="79"/>
      <c r="AG56" s="80"/>
      <c r="AH56" s="79"/>
      <c r="AI56" s="80"/>
      <c r="AJ56" s="79"/>
      <c r="AK56" s="80"/>
      <c r="AL56" s="79"/>
      <c r="AM56" s="80"/>
      <c r="AN56" s="79"/>
      <c r="AO56" s="80"/>
      <c r="AP56" s="79"/>
      <c r="AQ56" s="80"/>
      <c r="AR56" s="572"/>
      <c r="AS56" s="587"/>
      <c r="AT56" s="79"/>
      <c r="AU56" s="80"/>
      <c r="AV56" s="79"/>
      <c r="AW56" s="80"/>
      <c r="AX56" s="79"/>
      <c r="AY56" s="80"/>
      <c r="AZ56" s="79"/>
      <c r="BA56" s="80"/>
      <c r="BB56" s="79"/>
      <c r="BC56" s="80"/>
      <c r="BD56" s="79"/>
      <c r="BE56" s="80"/>
      <c r="BF56" s="572"/>
      <c r="BG56" s="587"/>
      <c r="BH56" s="79"/>
      <c r="BI56" s="80"/>
      <c r="BJ56" s="535">
        <f t="shared" si="7"/>
        <v>0</v>
      </c>
      <c r="BK56" s="545">
        <f t="shared" si="8"/>
        <v>0</v>
      </c>
    </row>
    <row r="57" spans="1:63" ht="15" customHeight="1" x14ac:dyDescent="0.35">
      <c r="A57" s="579"/>
      <c r="B57" s="546" t="s">
        <v>46</v>
      </c>
      <c r="C57" s="579" t="s">
        <v>81</v>
      </c>
      <c r="D57" s="653" t="s">
        <v>82</v>
      </c>
      <c r="E57" s="654"/>
      <c r="F57" s="618"/>
      <c r="G57" s="595"/>
      <c r="H57" s="618"/>
      <c r="I57" s="595"/>
      <c r="J57" s="618"/>
      <c r="K57" s="595"/>
      <c r="L57" s="618"/>
      <c r="M57" s="595"/>
      <c r="N57" s="618"/>
      <c r="O57" s="595"/>
      <c r="P57" s="572"/>
      <c r="Q57" s="587"/>
      <c r="R57" s="572"/>
      <c r="S57" s="587"/>
      <c r="T57" s="79"/>
      <c r="U57" s="80"/>
      <c r="V57" s="79"/>
      <c r="W57" s="80"/>
      <c r="X57" s="79"/>
      <c r="Y57" s="80"/>
      <c r="Z57" s="79"/>
      <c r="AA57" s="80"/>
      <c r="AB57" s="79"/>
      <c r="AC57" s="80"/>
      <c r="AD57" s="572"/>
      <c r="AE57" s="587"/>
      <c r="AF57" s="79"/>
      <c r="AG57" s="80"/>
      <c r="AH57" s="79"/>
      <c r="AI57" s="80"/>
      <c r="AJ57" s="79"/>
      <c r="AK57" s="80"/>
      <c r="AL57" s="79"/>
      <c r="AM57" s="80"/>
      <c r="AN57" s="79"/>
      <c r="AO57" s="80"/>
      <c r="AP57" s="79"/>
      <c r="AQ57" s="80"/>
      <c r="AR57" s="572"/>
      <c r="AS57" s="587"/>
      <c r="AT57" s="79"/>
      <c r="AU57" s="80"/>
      <c r="AV57" s="79"/>
      <c r="AW57" s="80"/>
      <c r="AX57" s="79"/>
      <c r="AY57" s="80"/>
      <c r="AZ57" s="79"/>
      <c r="BA57" s="80"/>
      <c r="BB57" s="79"/>
      <c r="BC57" s="80"/>
      <c r="BD57" s="79"/>
      <c r="BE57" s="80"/>
      <c r="BF57" s="572"/>
      <c r="BG57" s="587"/>
      <c r="BH57" s="79"/>
      <c r="BI57" s="80"/>
      <c r="BJ57" s="535">
        <f t="shared" si="7"/>
        <v>0</v>
      </c>
      <c r="BK57" s="545">
        <f t="shared" si="8"/>
        <v>0</v>
      </c>
    </row>
    <row r="58" spans="1:63" ht="15" customHeight="1" x14ac:dyDescent="0.35">
      <c r="A58" s="579"/>
      <c r="B58" s="579"/>
      <c r="C58" s="579"/>
      <c r="D58" s="653"/>
      <c r="E58" s="654"/>
      <c r="F58" s="618"/>
      <c r="G58" s="595"/>
      <c r="H58" s="618"/>
      <c r="I58" s="595"/>
      <c r="J58" s="618"/>
      <c r="K58" s="595"/>
      <c r="L58" s="618"/>
      <c r="M58" s="595"/>
      <c r="N58" s="618"/>
      <c r="O58" s="595"/>
      <c r="P58" s="572"/>
      <c r="Q58" s="587"/>
      <c r="R58" s="572"/>
      <c r="S58" s="587"/>
      <c r="T58" s="79"/>
      <c r="U58" s="80"/>
      <c r="V58" s="79"/>
      <c r="W58" s="80"/>
      <c r="X58" s="79"/>
      <c r="Y58" s="80"/>
      <c r="Z58" s="79"/>
      <c r="AA58" s="80"/>
      <c r="AB58" s="79"/>
      <c r="AC58" s="80"/>
      <c r="AD58" s="572"/>
      <c r="AE58" s="587"/>
      <c r="AF58" s="79"/>
      <c r="AG58" s="80"/>
      <c r="AH58" s="79"/>
      <c r="AI58" s="80"/>
      <c r="AJ58" s="79"/>
      <c r="AK58" s="80"/>
      <c r="AL58" s="79"/>
      <c r="AM58" s="80"/>
      <c r="AN58" s="79"/>
      <c r="AO58" s="80"/>
      <c r="AP58" s="79"/>
      <c r="AQ58" s="80"/>
      <c r="AR58" s="572"/>
      <c r="AS58" s="587"/>
      <c r="AT58" s="79"/>
      <c r="AU58" s="80"/>
      <c r="AV58" s="79"/>
      <c r="AW58" s="80"/>
      <c r="AX58" s="79"/>
      <c r="AY58" s="80"/>
      <c r="AZ58" s="79"/>
      <c r="BA58" s="80"/>
      <c r="BB58" s="79"/>
      <c r="BC58" s="80"/>
      <c r="BD58" s="79"/>
      <c r="BE58" s="80"/>
      <c r="BF58" s="572"/>
      <c r="BG58" s="587"/>
      <c r="BH58" s="79"/>
      <c r="BI58" s="80"/>
      <c r="BJ58" s="535">
        <f t="shared" si="7"/>
        <v>0</v>
      </c>
      <c r="BK58" s="545">
        <f t="shared" si="8"/>
        <v>0</v>
      </c>
    </row>
    <row r="59" spans="1:63" ht="16.5" customHeight="1" x14ac:dyDescent="0.35">
      <c r="A59" s="579"/>
      <c r="B59" s="579"/>
      <c r="C59" s="579">
        <f>SUM(BJ61:BJ85)</f>
        <v>91</v>
      </c>
      <c r="D59" s="647" t="s">
        <v>83</v>
      </c>
      <c r="E59" s="648"/>
      <c r="F59" s="618"/>
      <c r="G59" s="595"/>
      <c r="H59" s="618"/>
      <c r="I59" s="595"/>
      <c r="J59" s="618"/>
      <c r="K59" s="595"/>
      <c r="L59" s="618"/>
      <c r="M59" s="595"/>
      <c r="N59" s="618"/>
      <c r="O59" s="595"/>
      <c r="P59" s="572"/>
      <c r="Q59" s="587"/>
      <c r="R59" s="572"/>
      <c r="S59" s="587"/>
      <c r="T59" s="79"/>
      <c r="U59" s="80"/>
      <c r="V59" s="79"/>
      <c r="W59" s="80"/>
      <c r="X59" s="79"/>
      <c r="Y59" s="80"/>
      <c r="Z59" s="79"/>
      <c r="AA59" s="80"/>
      <c r="AB59" s="79"/>
      <c r="AC59" s="80"/>
      <c r="AD59" s="572"/>
      <c r="AE59" s="587"/>
      <c r="AF59" s="79"/>
      <c r="AG59" s="80"/>
      <c r="AH59" s="79"/>
      <c r="AI59" s="80"/>
      <c r="AJ59" s="79"/>
      <c r="AK59" s="80"/>
      <c r="AL59" s="79"/>
      <c r="AM59" s="80"/>
      <c r="AN59" s="79"/>
      <c r="AO59" s="80"/>
      <c r="AP59" s="79"/>
      <c r="AQ59" s="80"/>
      <c r="AR59" s="572"/>
      <c r="AS59" s="587"/>
      <c r="AT59" s="79"/>
      <c r="AU59" s="80"/>
      <c r="AV59" s="79"/>
      <c r="AW59" s="80"/>
      <c r="AX59" s="79"/>
      <c r="AY59" s="80"/>
      <c r="AZ59" s="79"/>
      <c r="BA59" s="80"/>
      <c r="BB59" s="79"/>
      <c r="BC59" s="80"/>
      <c r="BD59" s="79"/>
      <c r="BE59" s="80"/>
      <c r="BF59" s="572"/>
      <c r="BG59" s="587"/>
      <c r="BH59" s="79"/>
      <c r="BI59" s="80"/>
      <c r="BJ59" s="535">
        <f t="shared" si="7"/>
        <v>0</v>
      </c>
      <c r="BK59" s="545">
        <f t="shared" si="8"/>
        <v>0</v>
      </c>
    </row>
    <row r="60" spans="1:63" ht="15" customHeight="1" x14ac:dyDescent="0.35">
      <c r="A60" s="579"/>
      <c r="B60" s="546" t="s">
        <v>29</v>
      </c>
      <c r="C60" s="579" t="s">
        <v>84</v>
      </c>
      <c r="D60" s="653" t="s">
        <v>43</v>
      </c>
      <c r="E60" s="654"/>
      <c r="F60" s="618"/>
      <c r="G60" s="595"/>
      <c r="H60" s="618"/>
      <c r="I60" s="595"/>
      <c r="J60" s="618"/>
      <c r="K60" s="595"/>
      <c r="L60" s="618"/>
      <c r="M60" s="595"/>
      <c r="N60" s="618"/>
      <c r="O60" s="595"/>
      <c r="P60" s="572"/>
      <c r="Q60" s="587"/>
      <c r="R60" s="572"/>
      <c r="S60" s="587"/>
      <c r="T60" s="79"/>
      <c r="U60" s="80"/>
      <c r="V60" s="79"/>
      <c r="W60" s="80"/>
      <c r="X60" s="79"/>
      <c r="Y60" s="80"/>
      <c r="Z60" s="79"/>
      <c r="AA60" s="80"/>
      <c r="AB60" s="79"/>
      <c r="AC60" s="80"/>
      <c r="AD60" s="572"/>
      <c r="AE60" s="587"/>
      <c r="AF60" s="79"/>
      <c r="AG60" s="80"/>
      <c r="AH60" s="79"/>
      <c r="AI60" s="80"/>
      <c r="AJ60" s="79"/>
      <c r="AK60" s="80"/>
      <c r="AL60" s="79"/>
      <c r="AM60" s="80"/>
      <c r="AN60" s="79"/>
      <c r="AO60" s="80"/>
      <c r="AP60" s="79"/>
      <c r="AQ60" s="80"/>
      <c r="AR60" s="572"/>
      <c r="AS60" s="587"/>
      <c r="AT60" s="79"/>
      <c r="AU60" s="80"/>
      <c r="AV60" s="79"/>
      <c r="AW60" s="80"/>
      <c r="AX60" s="79"/>
      <c r="AY60" s="80"/>
      <c r="AZ60" s="79"/>
      <c r="BA60" s="80"/>
      <c r="BB60" s="79"/>
      <c r="BC60" s="80"/>
      <c r="BD60" s="79"/>
      <c r="BE60" s="80"/>
      <c r="BF60" s="572"/>
      <c r="BG60" s="587"/>
      <c r="BH60" s="79"/>
      <c r="BI60" s="80"/>
      <c r="BJ60" s="535">
        <f t="shared" si="7"/>
        <v>0</v>
      </c>
      <c r="BK60" s="545">
        <f t="shared" si="8"/>
        <v>0</v>
      </c>
    </row>
    <row r="61" spans="1:63" ht="15" customHeight="1" x14ac:dyDescent="0.35">
      <c r="A61" s="579"/>
      <c r="B61" s="546" t="s">
        <v>85</v>
      </c>
      <c r="C61" s="579" t="s">
        <v>86</v>
      </c>
      <c r="D61" s="653" t="s">
        <v>87</v>
      </c>
      <c r="E61" s="654"/>
      <c r="F61" s="618"/>
      <c r="G61" s="595"/>
      <c r="H61" s="618"/>
      <c r="I61" s="595"/>
      <c r="J61" s="618"/>
      <c r="K61" s="595"/>
      <c r="L61" s="618"/>
      <c r="M61" s="595"/>
      <c r="N61" s="618"/>
      <c r="O61" s="595"/>
      <c r="P61" s="572"/>
      <c r="Q61" s="587"/>
      <c r="R61" s="572"/>
      <c r="S61" s="587"/>
      <c r="T61" s="79"/>
      <c r="U61" s="80"/>
      <c r="V61" s="79"/>
      <c r="W61" s="80"/>
      <c r="X61" s="79"/>
      <c r="Y61" s="80"/>
      <c r="Z61" s="79"/>
      <c r="AA61" s="80"/>
      <c r="AB61" s="79"/>
      <c r="AC61" s="80"/>
      <c r="AD61" s="572"/>
      <c r="AE61" s="587"/>
      <c r="AF61" s="79"/>
      <c r="AG61" s="80"/>
      <c r="AH61" s="79"/>
      <c r="AI61" s="80"/>
      <c r="AJ61" s="79"/>
      <c r="AK61" s="80"/>
      <c r="AL61" s="79"/>
      <c r="AM61" s="80"/>
      <c r="AN61" s="79"/>
      <c r="AO61" s="80"/>
      <c r="AP61" s="79"/>
      <c r="AQ61" s="80"/>
      <c r="AR61" s="572"/>
      <c r="AS61" s="587"/>
      <c r="AT61" s="79"/>
      <c r="AU61" s="80"/>
      <c r="AV61" s="79"/>
      <c r="AW61" s="80"/>
      <c r="AX61" s="79"/>
      <c r="AY61" s="80"/>
      <c r="AZ61" s="79"/>
      <c r="BA61" s="80"/>
      <c r="BB61" s="79"/>
      <c r="BC61" s="80"/>
      <c r="BD61" s="79"/>
      <c r="BE61" s="80"/>
      <c r="BF61" s="572"/>
      <c r="BG61" s="587"/>
      <c r="BH61" s="79"/>
      <c r="BI61" s="80"/>
      <c r="BJ61" s="535">
        <f t="shared" si="7"/>
        <v>0</v>
      </c>
      <c r="BK61" s="545">
        <f t="shared" si="8"/>
        <v>0</v>
      </c>
    </row>
    <row r="62" spans="1:63" ht="15" customHeight="1" x14ac:dyDescent="0.35">
      <c r="A62" s="579"/>
      <c r="B62" s="546" t="s">
        <v>85</v>
      </c>
      <c r="C62" s="579" t="s">
        <v>88</v>
      </c>
      <c r="D62" s="653" t="s">
        <v>89</v>
      </c>
      <c r="E62" s="654"/>
      <c r="F62" s="618"/>
      <c r="G62" s="595"/>
      <c r="H62" s="618"/>
      <c r="I62" s="595"/>
      <c r="J62" s="618"/>
      <c r="K62" s="595"/>
      <c r="L62" s="618"/>
      <c r="M62" s="595"/>
      <c r="N62" s="618"/>
      <c r="O62" s="595"/>
      <c r="P62" s="572"/>
      <c r="Q62" s="587"/>
      <c r="R62" s="572"/>
      <c r="S62" s="587"/>
      <c r="T62" s="79"/>
      <c r="U62" s="80"/>
      <c r="V62" s="79"/>
      <c r="W62" s="80"/>
      <c r="X62" s="79"/>
      <c r="Y62" s="80"/>
      <c r="Z62" s="79"/>
      <c r="AA62" s="80"/>
      <c r="AB62" s="79"/>
      <c r="AC62" s="80"/>
      <c r="AD62" s="572"/>
      <c r="AE62" s="587"/>
      <c r="AF62" s="79"/>
      <c r="AG62" s="80"/>
      <c r="AH62" s="79"/>
      <c r="AI62" s="80"/>
      <c r="AJ62" s="79"/>
      <c r="AK62" s="80"/>
      <c r="AL62" s="79"/>
      <c r="AM62" s="80"/>
      <c r="AN62" s="79"/>
      <c r="AO62" s="80"/>
      <c r="AP62" s="79"/>
      <c r="AQ62" s="80"/>
      <c r="AR62" s="572"/>
      <c r="AS62" s="587"/>
      <c r="AT62" s="79"/>
      <c r="AU62" s="80"/>
      <c r="AV62" s="79"/>
      <c r="AW62" s="80"/>
      <c r="AX62" s="79"/>
      <c r="AY62" s="80"/>
      <c r="AZ62" s="79"/>
      <c r="BA62" s="80"/>
      <c r="BB62" s="79"/>
      <c r="BC62" s="80"/>
      <c r="BD62" s="79"/>
      <c r="BE62" s="80"/>
      <c r="BF62" s="572"/>
      <c r="BG62" s="587"/>
      <c r="BH62" s="79"/>
      <c r="BI62" s="80"/>
      <c r="BJ62" s="535">
        <f t="shared" si="7"/>
        <v>0</v>
      </c>
      <c r="BK62" s="545">
        <f t="shared" si="8"/>
        <v>0</v>
      </c>
    </row>
    <row r="63" spans="1:63" ht="15" customHeight="1" x14ac:dyDescent="0.35">
      <c r="A63" s="579"/>
      <c r="B63" s="546" t="s">
        <v>85</v>
      </c>
      <c r="C63" s="579" t="s">
        <v>90</v>
      </c>
      <c r="D63" s="653" t="s">
        <v>91</v>
      </c>
      <c r="E63" s="654"/>
      <c r="F63" s="618"/>
      <c r="G63" s="595"/>
      <c r="H63" s="618"/>
      <c r="I63" s="595"/>
      <c r="J63" s="618"/>
      <c r="K63" s="595"/>
      <c r="L63" s="618"/>
      <c r="M63" s="595"/>
      <c r="N63" s="618"/>
      <c r="O63" s="595"/>
      <c r="P63" s="572"/>
      <c r="Q63" s="587"/>
      <c r="R63" s="572"/>
      <c r="S63" s="587"/>
      <c r="T63" s="79"/>
      <c r="U63" s="80"/>
      <c r="V63" s="79"/>
      <c r="W63" s="80"/>
      <c r="X63" s="79"/>
      <c r="Y63" s="80"/>
      <c r="Z63" s="79"/>
      <c r="AA63" s="80"/>
      <c r="AB63" s="79"/>
      <c r="AC63" s="80"/>
      <c r="AD63" s="572"/>
      <c r="AE63" s="587"/>
      <c r="AF63" s="79"/>
      <c r="AG63" s="80"/>
      <c r="AH63" s="79"/>
      <c r="AI63" s="80"/>
      <c r="AJ63" s="79"/>
      <c r="AK63" s="80"/>
      <c r="AL63" s="79"/>
      <c r="AM63" s="80"/>
      <c r="AN63" s="79"/>
      <c r="AO63" s="80"/>
      <c r="AP63" s="79"/>
      <c r="AQ63" s="80"/>
      <c r="AR63" s="572"/>
      <c r="AS63" s="587"/>
      <c r="AT63" s="79"/>
      <c r="AU63" s="80"/>
      <c r="AV63" s="79"/>
      <c r="AW63" s="80"/>
      <c r="AX63" s="79"/>
      <c r="AY63" s="80"/>
      <c r="AZ63" s="79"/>
      <c r="BA63" s="80"/>
      <c r="BB63" s="79"/>
      <c r="BC63" s="80"/>
      <c r="BD63" s="79"/>
      <c r="BE63" s="80"/>
      <c r="BF63" s="572"/>
      <c r="BG63" s="587"/>
      <c r="BH63" s="79"/>
      <c r="BI63" s="80"/>
      <c r="BJ63" s="535">
        <f t="shared" si="7"/>
        <v>0</v>
      </c>
      <c r="BK63" s="545">
        <f t="shared" si="8"/>
        <v>0</v>
      </c>
    </row>
    <row r="64" spans="1:63" ht="15" customHeight="1" x14ac:dyDescent="0.35">
      <c r="A64" s="579"/>
      <c r="B64" s="546" t="s">
        <v>85</v>
      </c>
      <c r="C64" s="579" t="s">
        <v>92</v>
      </c>
      <c r="D64" s="653" t="s">
        <v>93</v>
      </c>
      <c r="E64" s="654"/>
      <c r="F64" s="618"/>
      <c r="G64" s="595"/>
      <c r="H64" s="618"/>
      <c r="I64" s="595"/>
      <c r="J64" s="618"/>
      <c r="K64" s="595"/>
      <c r="L64" s="618"/>
      <c r="M64" s="595"/>
      <c r="N64" s="618"/>
      <c r="O64" s="595"/>
      <c r="P64" s="572"/>
      <c r="Q64" s="587"/>
      <c r="R64" s="572"/>
      <c r="S64" s="587"/>
      <c r="T64" s="79"/>
      <c r="U64" s="80"/>
      <c r="V64" s="79"/>
      <c r="W64" s="80"/>
      <c r="X64" s="79"/>
      <c r="Y64" s="80"/>
      <c r="Z64" s="79"/>
      <c r="AA64" s="80"/>
      <c r="AB64" s="79"/>
      <c r="AC64" s="80"/>
      <c r="AD64" s="572"/>
      <c r="AE64" s="587"/>
      <c r="AF64" s="79"/>
      <c r="AG64" s="80"/>
      <c r="AH64" s="79"/>
      <c r="AI64" s="80"/>
      <c r="AJ64" s="79"/>
      <c r="AK64" s="80"/>
      <c r="AL64" s="79"/>
      <c r="AM64" s="80"/>
      <c r="AN64" s="79"/>
      <c r="AO64" s="80"/>
      <c r="AP64" s="79"/>
      <c r="AQ64" s="80"/>
      <c r="AR64" s="572"/>
      <c r="AS64" s="587"/>
      <c r="AT64" s="79"/>
      <c r="AU64" s="80"/>
      <c r="AV64" s="79"/>
      <c r="AW64" s="80"/>
      <c r="AX64" s="79"/>
      <c r="AY64" s="80"/>
      <c r="AZ64" s="79"/>
      <c r="BA64" s="80"/>
      <c r="BB64" s="79"/>
      <c r="BC64" s="80"/>
      <c r="BD64" s="79"/>
      <c r="BE64" s="80"/>
      <c r="BF64" s="572"/>
      <c r="BG64" s="587"/>
      <c r="BH64" s="79"/>
      <c r="BI64" s="80"/>
      <c r="BJ64" s="535">
        <f t="shared" si="7"/>
        <v>0</v>
      </c>
      <c r="BK64" s="545">
        <f t="shared" si="8"/>
        <v>0</v>
      </c>
    </row>
    <row r="65" spans="1:63" ht="15" customHeight="1" x14ac:dyDescent="0.35">
      <c r="A65" s="579"/>
      <c r="B65" s="546" t="s">
        <v>85</v>
      </c>
      <c r="C65" s="579" t="s">
        <v>94</v>
      </c>
      <c r="D65" s="653" t="s">
        <v>95</v>
      </c>
      <c r="E65" s="654"/>
      <c r="F65" s="618"/>
      <c r="G65" s="595"/>
      <c r="H65" s="618"/>
      <c r="I65" s="595"/>
      <c r="J65" s="618"/>
      <c r="K65" s="595"/>
      <c r="L65" s="618"/>
      <c r="M65" s="595"/>
      <c r="N65" s="618"/>
      <c r="O65" s="595"/>
      <c r="P65" s="572"/>
      <c r="Q65" s="587"/>
      <c r="R65" s="572"/>
      <c r="S65" s="587"/>
      <c r="T65" s="79"/>
      <c r="U65" s="80"/>
      <c r="V65" s="79"/>
      <c r="W65" s="80"/>
      <c r="X65" s="79"/>
      <c r="Y65" s="80"/>
      <c r="Z65" s="79"/>
      <c r="AA65" s="80"/>
      <c r="AB65" s="79"/>
      <c r="AC65" s="80"/>
      <c r="AD65" s="572"/>
      <c r="AE65" s="587"/>
      <c r="AF65" s="79"/>
      <c r="AG65" s="80"/>
      <c r="AH65" s="79"/>
      <c r="AI65" s="80"/>
      <c r="AJ65" s="79"/>
      <c r="AK65" s="80"/>
      <c r="AL65" s="79"/>
      <c r="AM65" s="80"/>
      <c r="AN65" s="79"/>
      <c r="AO65" s="80"/>
      <c r="AP65" s="79"/>
      <c r="AQ65" s="80"/>
      <c r="AR65" s="572"/>
      <c r="AS65" s="587"/>
      <c r="AT65" s="79"/>
      <c r="AU65" s="80"/>
      <c r="AV65" s="79"/>
      <c r="AW65" s="80"/>
      <c r="AX65" s="79"/>
      <c r="AY65" s="80"/>
      <c r="AZ65" s="79"/>
      <c r="BA65" s="80"/>
      <c r="BB65" s="79"/>
      <c r="BC65" s="80"/>
      <c r="BD65" s="79"/>
      <c r="BE65" s="80"/>
      <c r="BF65" s="572"/>
      <c r="BG65" s="587"/>
      <c r="BH65" s="79"/>
      <c r="BI65" s="80"/>
      <c r="BJ65" s="535">
        <f t="shared" si="7"/>
        <v>0</v>
      </c>
      <c r="BK65" s="545">
        <f t="shared" si="8"/>
        <v>0</v>
      </c>
    </row>
    <row r="66" spans="1:63" ht="15" customHeight="1" x14ac:dyDescent="0.35">
      <c r="A66" s="579"/>
      <c r="B66" s="546" t="s">
        <v>85</v>
      </c>
      <c r="C66" s="579" t="s">
        <v>96</v>
      </c>
      <c r="D66" s="653" t="s">
        <v>245</v>
      </c>
      <c r="E66" s="654"/>
      <c r="F66" s="618"/>
      <c r="G66" s="595"/>
      <c r="H66" s="618"/>
      <c r="I66" s="595"/>
      <c r="J66" s="618"/>
      <c r="K66" s="595"/>
      <c r="L66" s="618"/>
      <c r="M66" s="595"/>
      <c r="N66" s="618"/>
      <c r="O66" s="595"/>
      <c r="P66" s="572"/>
      <c r="Q66" s="587"/>
      <c r="R66" s="572"/>
      <c r="S66" s="587"/>
      <c r="T66" s="79"/>
      <c r="U66" s="80"/>
      <c r="V66" s="79"/>
      <c r="W66" s="80"/>
      <c r="X66" s="79"/>
      <c r="Y66" s="80"/>
      <c r="Z66" s="79"/>
      <c r="AA66" s="80"/>
      <c r="AB66" s="79"/>
      <c r="AC66" s="80"/>
      <c r="AD66" s="572"/>
      <c r="AE66" s="587"/>
      <c r="AF66" s="79"/>
      <c r="AG66" s="80"/>
      <c r="AH66" s="79"/>
      <c r="AI66" s="80"/>
      <c r="AJ66" s="79"/>
      <c r="AK66" s="80"/>
      <c r="AL66" s="79"/>
      <c r="AM66" s="80"/>
      <c r="AN66" s="79"/>
      <c r="AO66" s="80"/>
      <c r="AP66" s="79"/>
      <c r="AQ66" s="80"/>
      <c r="AR66" s="572"/>
      <c r="AS66" s="587"/>
      <c r="AT66" s="79"/>
      <c r="AU66" s="80"/>
      <c r="AV66" s="79"/>
      <c r="AW66" s="80"/>
      <c r="AX66" s="79"/>
      <c r="AY66" s="80"/>
      <c r="AZ66" s="79"/>
      <c r="BA66" s="80"/>
      <c r="BB66" s="79"/>
      <c r="BC66" s="80"/>
      <c r="BD66" s="79"/>
      <c r="BE66" s="80"/>
      <c r="BF66" s="572"/>
      <c r="BG66" s="587"/>
      <c r="BH66" s="79"/>
      <c r="BI66" s="80"/>
      <c r="BJ66" s="535">
        <f t="shared" si="7"/>
        <v>0</v>
      </c>
      <c r="BK66" s="545">
        <f t="shared" si="8"/>
        <v>0</v>
      </c>
    </row>
    <row r="67" spans="1:63" ht="15" customHeight="1" x14ac:dyDescent="0.35">
      <c r="A67" s="579"/>
      <c r="B67" s="546" t="s">
        <v>85</v>
      </c>
      <c r="C67" s="579" t="s">
        <v>98</v>
      </c>
      <c r="D67" s="653" t="s">
        <v>99</v>
      </c>
      <c r="E67" s="654"/>
      <c r="F67" s="618"/>
      <c r="G67" s="595"/>
      <c r="H67" s="618"/>
      <c r="I67" s="595"/>
      <c r="J67" s="618"/>
      <c r="K67" s="595"/>
      <c r="L67" s="618"/>
      <c r="M67" s="595"/>
      <c r="N67" s="618"/>
      <c r="O67" s="595"/>
      <c r="P67" s="572"/>
      <c r="Q67" s="587"/>
      <c r="R67" s="572"/>
      <c r="S67" s="587"/>
      <c r="T67" s="79"/>
      <c r="U67" s="80"/>
      <c r="V67" s="79"/>
      <c r="W67" s="80"/>
      <c r="X67" s="79"/>
      <c r="Y67" s="80"/>
      <c r="Z67" s="79"/>
      <c r="AA67" s="80"/>
      <c r="AB67" s="79"/>
      <c r="AC67" s="80"/>
      <c r="AD67" s="572"/>
      <c r="AE67" s="587"/>
      <c r="AF67" s="79"/>
      <c r="AG67" s="80"/>
      <c r="AH67" s="79"/>
      <c r="AI67" s="80"/>
      <c r="AJ67" s="79"/>
      <c r="AK67" s="80"/>
      <c r="AL67" s="79"/>
      <c r="AM67" s="80"/>
      <c r="AN67" s="79"/>
      <c r="AO67" s="80"/>
      <c r="AP67" s="79"/>
      <c r="AQ67" s="80"/>
      <c r="AR67" s="572"/>
      <c r="AS67" s="587"/>
      <c r="AT67" s="79"/>
      <c r="AU67" s="80"/>
      <c r="AV67" s="79"/>
      <c r="AW67" s="80"/>
      <c r="AX67" s="79"/>
      <c r="AY67" s="80"/>
      <c r="AZ67" s="79"/>
      <c r="BA67" s="80"/>
      <c r="BB67" s="79"/>
      <c r="BC67" s="80"/>
      <c r="BD67" s="79"/>
      <c r="BE67" s="80"/>
      <c r="BF67" s="572"/>
      <c r="BG67" s="587"/>
      <c r="BH67" s="79"/>
      <c r="BI67" s="80"/>
      <c r="BJ67" s="535">
        <f t="shared" si="7"/>
        <v>0</v>
      </c>
      <c r="BK67" s="545">
        <f t="shared" si="8"/>
        <v>0</v>
      </c>
    </row>
    <row r="68" spans="1:63" ht="15" customHeight="1" x14ac:dyDescent="0.35">
      <c r="A68" s="579"/>
      <c r="B68" s="546" t="s">
        <v>85</v>
      </c>
      <c r="C68" s="579" t="s">
        <v>100</v>
      </c>
      <c r="D68" s="653" t="s">
        <v>101</v>
      </c>
      <c r="E68" s="654"/>
      <c r="F68" s="618"/>
      <c r="G68" s="595"/>
      <c r="H68" s="618"/>
      <c r="I68" s="595"/>
      <c r="J68" s="618"/>
      <c r="K68" s="595"/>
      <c r="L68" s="618"/>
      <c r="M68" s="595"/>
      <c r="N68" s="618"/>
      <c r="O68" s="595"/>
      <c r="P68" s="572"/>
      <c r="Q68" s="587"/>
      <c r="R68" s="572"/>
      <c r="S68" s="587"/>
      <c r="T68" s="79"/>
      <c r="U68" s="80"/>
      <c r="V68" s="79"/>
      <c r="W68" s="80"/>
      <c r="X68" s="79"/>
      <c r="Y68" s="80"/>
      <c r="Z68" s="79"/>
      <c r="AA68" s="80"/>
      <c r="AB68" s="79"/>
      <c r="AC68" s="80"/>
      <c r="AD68" s="572"/>
      <c r="AE68" s="587"/>
      <c r="AF68" s="79"/>
      <c r="AG68" s="80"/>
      <c r="AH68" s="79"/>
      <c r="AI68" s="80"/>
      <c r="AJ68" s="79"/>
      <c r="AK68" s="80"/>
      <c r="AL68" s="79"/>
      <c r="AM68" s="80"/>
      <c r="AN68" s="79"/>
      <c r="AO68" s="80"/>
      <c r="AP68" s="79"/>
      <c r="AQ68" s="80"/>
      <c r="AR68" s="572"/>
      <c r="AS68" s="587"/>
      <c r="AT68" s="79"/>
      <c r="AU68" s="80"/>
      <c r="AV68" s="79"/>
      <c r="AW68" s="80"/>
      <c r="AX68" s="79"/>
      <c r="AY68" s="80"/>
      <c r="AZ68" s="79"/>
      <c r="BA68" s="80"/>
      <c r="BB68" s="79"/>
      <c r="BC68" s="80"/>
      <c r="BD68" s="79"/>
      <c r="BE68" s="80"/>
      <c r="BF68" s="572"/>
      <c r="BG68" s="587"/>
      <c r="BH68" s="79"/>
      <c r="BI68" s="80"/>
      <c r="BJ68" s="535">
        <f t="shared" ref="BJ68:BJ99" si="9">SUM(F68:BI68)</f>
        <v>0</v>
      </c>
      <c r="BK68" s="545">
        <f t="shared" ref="BK68:BK82" si="10">COUNT(F68:BI68)</f>
        <v>0</v>
      </c>
    </row>
    <row r="69" spans="1:63" ht="15" customHeight="1" x14ac:dyDescent="0.35">
      <c r="A69" s="579"/>
      <c r="B69" s="546" t="s">
        <v>29</v>
      </c>
      <c r="C69" s="579" t="s">
        <v>102</v>
      </c>
      <c r="D69" s="653" t="s">
        <v>103</v>
      </c>
      <c r="E69" s="654"/>
      <c r="F69" s="618"/>
      <c r="G69" s="595"/>
      <c r="H69" s="618"/>
      <c r="I69" s="595"/>
      <c r="J69" s="618"/>
      <c r="K69" s="595"/>
      <c r="L69" s="618">
        <v>10</v>
      </c>
      <c r="M69" s="595"/>
      <c r="N69" s="618">
        <v>10</v>
      </c>
      <c r="O69" s="595"/>
      <c r="P69" s="572"/>
      <c r="Q69" s="587"/>
      <c r="R69" s="572"/>
      <c r="S69" s="587"/>
      <c r="T69" s="79"/>
      <c r="U69" s="80"/>
      <c r="V69" s="79"/>
      <c r="W69" s="80"/>
      <c r="X69" s="79"/>
      <c r="Y69" s="80"/>
      <c r="Z69" s="79"/>
      <c r="AA69" s="80"/>
      <c r="AB69" s="79"/>
      <c r="AC69" s="80"/>
      <c r="AD69" s="572"/>
      <c r="AE69" s="587"/>
      <c r="AF69" s="79"/>
      <c r="AG69" s="80"/>
      <c r="AH69" s="79"/>
      <c r="AI69" s="80"/>
      <c r="AJ69" s="79"/>
      <c r="AK69" s="80"/>
      <c r="AL69" s="79"/>
      <c r="AM69" s="80"/>
      <c r="AN69" s="79"/>
      <c r="AO69" s="80"/>
      <c r="AP69" s="79"/>
      <c r="AQ69" s="80"/>
      <c r="AR69" s="572"/>
      <c r="AS69" s="587"/>
      <c r="AT69" s="79"/>
      <c r="AU69" s="80"/>
      <c r="AV69" s="79"/>
      <c r="AW69" s="80"/>
      <c r="AX69" s="79"/>
      <c r="AY69" s="80"/>
      <c r="AZ69" s="79"/>
      <c r="BA69" s="80"/>
      <c r="BB69" s="79"/>
      <c r="BC69" s="80"/>
      <c r="BD69" s="79"/>
      <c r="BE69" s="80"/>
      <c r="BF69" s="572"/>
      <c r="BG69" s="587"/>
      <c r="BH69" s="79"/>
      <c r="BI69" s="80"/>
      <c r="BJ69" s="535">
        <f t="shared" si="9"/>
        <v>20</v>
      </c>
      <c r="BK69" s="545">
        <f t="shared" si="10"/>
        <v>2</v>
      </c>
    </row>
    <row r="70" spans="1:63" ht="15" customHeight="1" x14ac:dyDescent="0.35">
      <c r="A70" s="579"/>
      <c r="B70" s="546" t="s">
        <v>104</v>
      </c>
      <c r="C70" s="579" t="s">
        <v>105</v>
      </c>
      <c r="D70" s="653" t="s">
        <v>1032</v>
      </c>
      <c r="E70" s="654"/>
      <c r="F70" s="618"/>
      <c r="G70" s="595"/>
      <c r="H70" s="618"/>
      <c r="I70" s="595"/>
      <c r="J70" s="618"/>
      <c r="K70" s="595"/>
      <c r="L70" s="618"/>
      <c r="M70" s="595"/>
      <c r="N70" s="618"/>
      <c r="O70" s="595"/>
      <c r="P70" s="572"/>
      <c r="Q70" s="587"/>
      <c r="R70" s="572"/>
      <c r="S70" s="587"/>
      <c r="T70" s="79"/>
      <c r="U70" s="80"/>
      <c r="V70" s="79"/>
      <c r="W70" s="80"/>
      <c r="X70" s="79"/>
      <c r="Y70" s="80"/>
      <c r="Z70" s="79"/>
      <c r="AA70" s="80"/>
      <c r="AB70" s="79"/>
      <c r="AC70" s="80"/>
      <c r="AD70" s="572"/>
      <c r="AE70" s="587"/>
      <c r="AF70" s="79"/>
      <c r="AG70" s="80"/>
      <c r="AH70" s="79"/>
      <c r="AI70" s="80"/>
      <c r="AJ70" s="79"/>
      <c r="AK70" s="80"/>
      <c r="AL70" s="79"/>
      <c r="AM70" s="80"/>
      <c r="AN70" s="79"/>
      <c r="AO70" s="80"/>
      <c r="AP70" s="79"/>
      <c r="AQ70" s="80"/>
      <c r="AR70" s="572"/>
      <c r="AS70" s="587"/>
      <c r="AT70" s="79"/>
      <c r="AU70" s="80"/>
      <c r="AV70" s="79"/>
      <c r="AW70" s="80"/>
      <c r="AX70" s="79"/>
      <c r="AY70" s="80"/>
      <c r="AZ70" s="79"/>
      <c r="BA70" s="80"/>
      <c r="BB70" s="79"/>
      <c r="BC70" s="80"/>
      <c r="BD70" s="79"/>
      <c r="BE70" s="80"/>
      <c r="BF70" s="572"/>
      <c r="BG70" s="587"/>
      <c r="BH70" s="79"/>
      <c r="BI70" s="80"/>
      <c r="BJ70" s="535">
        <f t="shared" si="9"/>
        <v>0</v>
      </c>
      <c r="BK70" s="545">
        <f t="shared" si="10"/>
        <v>0</v>
      </c>
    </row>
    <row r="71" spans="1:63" ht="15" customHeight="1" x14ac:dyDescent="0.35">
      <c r="A71" s="579"/>
      <c r="B71" s="546" t="s">
        <v>85</v>
      </c>
      <c r="C71" s="579" t="s">
        <v>107</v>
      </c>
      <c r="D71" s="653" t="s">
        <v>108</v>
      </c>
      <c r="E71" s="654"/>
      <c r="F71" s="618"/>
      <c r="G71" s="595"/>
      <c r="H71" s="618"/>
      <c r="I71" s="595"/>
      <c r="J71" s="618"/>
      <c r="K71" s="595"/>
      <c r="L71" s="618">
        <v>11</v>
      </c>
      <c r="M71" s="595"/>
      <c r="N71" s="618"/>
      <c r="O71" s="595"/>
      <c r="P71" s="572"/>
      <c r="Q71" s="587"/>
      <c r="R71" s="572"/>
      <c r="S71" s="587"/>
      <c r="T71" s="79"/>
      <c r="U71" s="80"/>
      <c r="V71" s="79"/>
      <c r="W71" s="80"/>
      <c r="X71" s="79"/>
      <c r="Y71" s="80"/>
      <c r="Z71" s="79"/>
      <c r="AA71" s="80"/>
      <c r="AB71" s="79"/>
      <c r="AC71" s="80"/>
      <c r="AD71" s="572"/>
      <c r="AE71" s="587"/>
      <c r="AF71" s="79"/>
      <c r="AG71" s="80"/>
      <c r="AH71" s="79"/>
      <c r="AI71" s="80"/>
      <c r="AJ71" s="79"/>
      <c r="AK71" s="80"/>
      <c r="AL71" s="79"/>
      <c r="AM71" s="80"/>
      <c r="AN71" s="79"/>
      <c r="AO71" s="80"/>
      <c r="AP71" s="79"/>
      <c r="AQ71" s="80"/>
      <c r="AR71" s="572"/>
      <c r="AS71" s="587"/>
      <c r="AT71" s="79"/>
      <c r="AU71" s="80"/>
      <c r="AV71" s="79"/>
      <c r="AW71" s="80"/>
      <c r="AX71" s="79"/>
      <c r="AY71" s="80"/>
      <c r="AZ71" s="79"/>
      <c r="BA71" s="80"/>
      <c r="BB71" s="79"/>
      <c r="BC71" s="80"/>
      <c r="BD71" s="79"/>
      <c r="BE71" s="80"/>
      <c r="BF71" s="572"/>
      <c r="BG71" s="587"/>
      <c r="BH71" s="79"/>
      <c r="BI71" s="80"/>
      <c r="BJ71" s="535">
        <f t="shared" si="9"/>
        <v>11</v>
      </c>
      <c r="BK71" s="545">
        <f t="shared" si="10"/>
        <v>1</v>
      </c>
    </row>
    <row r="72" spans="1:63" ht="15" customHeight="1" x14ac:dyDescent="0.35">
      <c r="A72" s="579"/>
      <c r="B72" s="546" t="s">
        <v>109</v>
      </c>
      <c r="C72" s="579" t="s">
        <v>110</v>
      </c>
      <c r="D72" s="653" t="s">
        <v>111</v>
      </c>
      <c r="E72" s="654"/>
      <c r="F72" s="618"/>
      <c r="G72" s="595"/>
      <c r="H72" s="618"/>
      <c r="I72" s="595"/>
      <c r="J72" s="618"/>
      <c r="K72" s="595"/>
      <c r="L72" s="618"/>
      <c r="M72" s="595"/>
      <c r="N72" s="618"/>
      <c r="O72" s="595"/>
      <c r="P72" s="572"/>
      <c r="Q72" s="587"/>
      <c r="R72" s="572"/>
      <c r="S72" s="587"/>
      <c r="T72" s="79"/>
      <c r="U72" s="80"/>
      <c r="V72" s="79"/>
      <c r="W72" s="80"/>
      <c r="X72" s="79"/>
      <c r="Y72" s="80"/>
      <c r="Z72" s="79"/>
      <c r="AA72" s="80"/>
      <c r="AB72" s="79"/>
      <c r="AC72" s="80"/>
      <c r="AD72" s="572"/>
      <c r="AE72" s="587"/>
      <c r="AF72" s="79"/>
      <c r="AG72" s="80"/>
      <c r="AH72" s="79"/>
      <c r="AI72" s="80"/>
      <c r="AJ72" s="79"/>
      <c r="AK72" s="80"/>
      <c r="AL72" s="79"/>
      <c r="AM72" s="80"/>
      <c r="AN72" s="79"/>
      <c r="AO72" s="80"/>
      <c r="AP72" s="79"/>
      <c r="AQ72" s="80"/>
      <c r="AR72" s="572"/>
      <c r="AS72" s="587"/>
      <c r="AT72" s="79"/>
      <c r="AU72" s="80"/>
      <c r="AV72" s="79"/>
      <c r="AW72" s="80"/>
      <c r="AX72" s="79"/>
      <c r="AY72" s="80"/>
      <c r="AZ72" s="79"/>
      <c r="BA72" s="80"/>
      <c r="BB72" s="79"/>
      <c r="BC72" s="80"/>
      <c r="BD72" s="79"/>
      <c r="BE72" s="80"/>
      <c r="BF72" s="572"/>
      <c r="BG72" s="587"/>
      <c r="BH72" s="79"/>
      <c r="BI72" s="80"/>
      <c r="BJ72" s="535">
        <f t="shared" si="9"/>
        <v>0</v>
      </c>
      <c r="BK72" s="545">
        <f t="shared" si="10"/>
        <v>0</v>
      </c>
    </row>
    <row r="73" spans="1:63" ht="15" customHeight="1" x14ac:dyDescent="0.35">
      <c r="A73" s="579"/>
      <c r="B73" s="546" t="s">
        <v>26</v>
      </c>
      <c r="C73" s="579" t="s">
        <v>112</v>
      </c>
      <c r="D73" s="653" t="s">
        <v>54</v>
      </c>
      <c r="E73" s="654"/>
      <c r="F73" s="618"/>
      <c r="G73" s="595"/>
      <c r="H73" s="618"/>
      <c r="I73" s="595"/>
      <c r="J73" s="618"/>
      <c r="K73" s="595"/>
      <c r="L73" s="618"/>
      <c r="M73" s="595"/>
      <c r="N73" s="618"/>
      <c r="O73" s="595"/>
      <c r="P73" s="572"/>
      <c r="Q73" s="587"/>
      <c r="R73" s="572"/>
      <c r="S73" s="587"/>
      <c r="T73" s="79"/>
      <c r="U73" s="80"/>
      <c r="V73" s="79"/>
      <c r="W73" s="80"/>
      <c r="X73" s="79"/>
      <c r="Y73" s="80"/>
      <c r="Z73" s="79"/>
      <c r="AA73" s="80"/>
      <c r="AB73" s="79"/>
      <c r="AC73" s="80"/>
      <c r="AD73" s="572"/>
      <c r="AE73" s="587"/>
      <c r="AF73" s="79"/>
      <c r="AG73" s="80"/>
      <c r="AH73" s="79"/>
      <c r="AI73" s="80"/>
      <c r="AJ73" s="79"/>
      <c r="AK73" s="80"/>
      <c r="AL73" s="79"/>
      <c r="AM73" s="80"/>
      <c r="AN73" s="79"/>
      <c r="AO73" s="80"/>
      <c r="AP73" s="79"/>
      <c r="AQ73" s="80"/>
      <c r="AR73" s="572"/>
      <c r="AS73" s="587"/>
      <c r="AT73" s="79"/>
      <c r="AU73" s="80"/>
      <c r="AV73" s="79"/>
      <c r="AW73" s="80"/>
      <c r="AX73" s="79"/>
      <c r="AY73" s="80"/>
      <c r="AZ73" s="79"/>
      <c r="BA73" s="80"/>
      <c r="BB73" s="79"/>
      <c r="BC73" s="80"/>
      <c r="BD73" s="79"/>
      <c r="BE73" s="80"/>
      <c r="BF73" s="572"/>
      <c r="BG73" s="587"/>
      <c r="BH73" s="79"/>
      <c r="BI73" s="80"/>
      <c r="BJ73" s="535">
        <f t="shared" si="9"/>
        <v>0</v>
      </c>
      <c r="BK73" s="545">
        <f t="shared" si="10"/>
        <v>0</v>
      </c>
    </row>
    <row r="74" spans="1:63" ht="15" customHeight="1" x14ac:dyDescent="0.35">
      <c r="A74" s="579"/>
      <c r="B74" s="546" t="s">
        <v>29</v>
      </c>
      <c r="C74" s="579" t="s">
        <v>113</v>
      </c>
      <c r="D74" s="653" t="s">
        <v>70</v>
      </c>
      <c r="E74" s="654"/>
      <c r="F74" s="618"/>
      <c r="G74" s="595"/>
      <c r="H74" s="618"/>
      <c r="I74" s="595"/>
      <c r="J74" s="618"/>
      <c r="K74" s="595"/>
      <c r="L74" s="618"/>
      <c r="M74" s="595"/>
      <c r="N74" s="618"/>
      <c r="O74" s="595"/>
      <c r="P74" s="572"/>
      <c r="Q74" s="587"/>
      <c r="R74" s="572"/>
      <c r="S74" s="587"/>
      <c r="T74" s="79"/>
      <c r="U74" s="80"/>
      <c r="V74" s="79"/>
      <c r="W74" s="80"/>
      <c r="X74" s="79"/>
      <c r="Y74" s="80"/>
      <c r="Z74" s="79"/>
      <c r="AA74" s="80"/>
      <c r="AB74" s="79"/>
      <c r="AC74" s="80"/>
      <c r="AD74" s="572"/>
      <c r="AE74" s="587"/>
      <c r="AF74" s="79"/>
      <c r="AG74" s="80"/>
      <c r="AH74" s="79"/>
      <c r="AI74" s="80"/>
      <c r="AJ74" s="79"/>
      <c r="AK74" s="80"/>
      <c r="AL74" s="79"/>
      <c r="AM74" s="80"/>
      <c r="AN74" s="79"/>
      <c r="AO74" s="80"/>
      <c r="AP74" s="79"/>
      <c r="AQ74" s="80"/>
      <c r="AR74" s="572"/>
      <c r="AS74" s="587"/>
      <c r="AT74" s="79"/>
      <c r="AU74" s="80"/>
      <c r="AV74" s="79"/>
      <c r="AW74" s="80"/>
      <c r="AX74" s="79"/>
      <c r="AY74" s="80"/>
      <c r="AZ74" s="79"/>
      <c r="BA74" s="80"/>
      <c r="BB74" s="79"/>
      <c r="BC74" s="80"/>
      <c r="BD74" s="79"/>
      <c r="BE74" s="80"/>
      <c r="BF74" s="572"/>
      <c r="BG74" s="587"/>
      <c r="BH74" s="79"/>
      <c r="BI74" s="80"/>
      <c r="BJ74" s="535">
        <f t="shared" si="9"/>
        <v>0</v>
      </c>
      <c r="BK74" s="545">
        <f t="shared" si="10"/>
        <v>0</v>
      </c>
    </row>
    <row r="75" spans="1:63" ht="15" customHeight="1" x14ac:dyDescent="0.35">
      <c r="A75" s="579"/>
      <c r="B75" s="546" t="s">
        <v>29</v>
      </c>
      <c r="C75" s="579" t="s">
        <v>114</v>
      </c>
      <c r="D75" s="653" t="s">
        <v>72</v>
      </c>
      <c r="E75" s="654"/>
      <c r="F75" s="618"/>
      <c r="G75" s="595"/>
      <c r="H75" s="618"/>
      <c r="I75" s="595"/>
      <c r="J75" s="618"/>
      <c r="K75" s="595"/>
      <c r="L75" s="618"/>
      <c r="M75" s="595"/>
      <c r="N75" s="618"/>
      <c r="O75" s="595"/>
      <c r="P75" s="572"/>
      <c r="Q75" s="587"/>
      <c r="R75" s="572"/>
      <c r="S75" s="587"/>
      <c r="T75" s="79"/>
      <c r="U75" s="80"/>
      <c r="V75" s="79"/>
      <c r="W75" s="80"/>
      <c r="X75" s="79"/>
      <c r="Y75" s="80"/>
      <c r="Z75" s="79"/>
      <c r="AA75" s="80"/>
      <c r="AB75" s="79"/>
      <c r="AC75" s="80"/>
      <c r="AD75" s="572"/>
      <c r="AE75" s="587"/>
      <c r="AF75" s="79"/>
      <c r="AG75" s="80"/>
      <c r="AH75" s="79"/>
      <c r="AI75" s="80"/>
      <c r="AJ75" s="79"/>
      <c r="AK75" s="80"/>
      <c r="AL75" s="79"/>
      <c r="AM75" s="80"/>
      <c r="AN75" s="79"/>
      <c r="AO75" s="80"/>
      <c r="AP75" s="79"/>
      <c r="AQ75" s="80"/>
      <c r="AR75" s="572"/>
      <c r="AS75" s="587"/>
      <c r="AT75" s="79"/>
      <c r="AU75" s="80"/>
      <c r="AV75" s="79"/>
      <c r="AW75" s="80"/>
      <c r="AX75" s="79"/>
      <c r="AY75" s="80"/>
      <c r="AZ75" s="79"/>
      <c r="BA75" s="80"/>
      <c r="BB75" s="79"/>
      <c r="BC75" s="80"/>
      <c r="BD75" s="79"/>
      <c r="BE75" s="80"/>
      <c r="BF75" s="572"/>
      <c r="BG75" s="587"/>
      <c r="BH75" s="79"/>
      <c r="BI75" s="80"/>
      <c r="BJ75" s="535">
        <f t="shared" si="9"/>
        <v>0</v>
      </c>
      <c r="BK75" s="545">
        <f t="shared" si="10"/>
        <v>0</v>
      </c>
    </row>
    <row r="76" spans="1:63" ht="15" customHeight="1" x14ac:dyDescent="0.35">
      <c r="A76" s="579"/>
      <c r="B76" s="546" t="s">
        <v>44</v>
      </c>
      <c r="C76" s="579" t="s">
        <v>115</v>
      </c>
      <c r="D76" s="653" t="s">
        <v>72</v>
      </c>
      <c r="E76" s="654"/>
      <c r="F76" s="618"/>
      <c r="G76" s="595"/>
      <c r="H76" s="618"/>
      <c r="I76" s="595"/>
      <c r="J76" s="618"/>
      <c r="K76" s="595"/>
      <c r="L76" s="618"/>
      <c r="M76" s="595"/>
      <c r="N76" s="618"/>
      <c r="O76" s="595"/>
      <c r="P76" s="572"/>
      <c r="Q76" s="587"/>
      <c r="R76" s="572"/>
      <c r="S76" s="587"/>
      <c r="T76" s="79"/>
      <c r="U76" s="80"/>
      <c r="V76" s="79"/>
      <c r="W76" s="80"/>
      <c r="X76" s="79"/>
      <c r="Y76" s="80"/>
      <c r="Z76" s="79"/>
      <c r="AA76" s="80"/>
      <c r="AB76" s="79"/>
      <c r="AC76" s="80"/>
      <c r="AD76" s="572"/>
      <c r="AE76" s="587"/>
      <c r="AF76" s="79"/>
      <c r="AG76" s="80"/>
      <c r="AH76" s="79"/>
      <c r="AI76" s="80"/>
      <c r="AJ76" s="79"/>
      <c r="AK76" s="80"/>
      <c r="AL76" s="79"/>
      <c r="AM76" s="80"/>
      <c r="AN76" s="79"/>
      <c r="AO76" s="80"/>
      <c r="AP76" s="79"/>
      <c r="AQ76" s="80"/>
      <c r="AR76" s="572"/>
      <c r="AS76" s="587"/>
      <c r="AT76" s="79"/>
      <c r="AU76" s="80"/>
      <c r="AV76" s="79"/>
      <c r="AW76" s="80"/>
      <c r="AX76" s="79"/>
      <c r="AY76" s="80"/>
      <c r="AZ76" s="79"/>
      <c r="BA76" s="80"/>
      <c r="BB76" s="79"/>
      <c r="BC76" s="80"/>
      <c r="BD76" s="79"/>
      <c r="BE76" s="80"/>
      <c r="BF76" s="572"/>
      <c r="BG76" s="587"/>
      <c r="BH76" s="79"/>
      <c r="BI76" s="80"/>
      <c r="BJ76" s="535">
        <f t="shared" si="9"/>
        <v>0</v>
      </c>
      <c r="BK76" s="545">
        <f t="shared" si="10"/>
        <v>0</v>
      </c>
    </row>
    <row r="77" spans="1:63" ht="15" customHeight="1" x14ac:dyDescent="0.35">
      <c r="A77" s="579"/>
      <c r="B77" s="546" t="s">
        <v>29</v>
      </c>
      <c r="C77" s="579" t="s">
        <v>116</v>
      </c>
      <c r="D77" s="653" t="s">
        <v>74</v>
      </c>
      <c r="E77" s="654"/>
      <c r="F77" s="618"/>
      <c r="G77" s="595"/>
      <c r="H77" s="618"/>
      <c r="I77" s="595"/>
      <c r="J77" s="618"/>
      <c r="K77" s="595"/>
      <c r="L77" s="618"/>
      <c r="M77" s="595"/>
      <c r="N77" s="618"/>
      <c r="O77" s="595"/>
      <c r="P77" s="572"/>
      <c r="Q77" s="587"/>
      <c r="R77" s="572"/>
      <c r="S77" s="587"/>
      <c r="T77" s="79"/>
      <c r="U77" s="80"/>
      <c r="V77" s="79"/>
      <c r="W77" s="80"/>
      <c r="X77" s="79"/>
      <c r="Y77" s="80"/>
      <c r="Z77" s="79"/>
      <c r="AA77" s="80"/>
      <c r="AB77" s="79"/>
      <c r="AC77" s="80"/>
      <c r="AD77" s="572"/>
      <c r="AE77" s="587"/>
      <c r="AF77" s="79"/>
      <c r="AG77" s="80"/>
      <c r="AH77" s="79"/>
      <c r="AI77" s="80"/>
      <c r="AJ77" s="79"/>
      <c r="AK77" s="80"/>
      <c r="AL77" s="79"/>
      <c r="AM77" s="80"/>
      <c r="AN77" s="79"/>
      <c r="AO77" s="80"/>
      <c r="AP77" s="79"/>
      <c r="AQ77" s="80"/>
      <c r="AR77" s="572"/>
      <c r="AS77" s="587"/>
      <c r="AT77" s="79"/>
      <c r="AU77" s="80"/>
      <c r="AV77" s="79"/>
      <c r="AW77" s="80"/>
      <c r="AX77" s="79"/>
      <c r="AY77" s="80"/>
      <c r="AZ77" s="79"/>
      <c r="BA77" s="80"/>
      <c r="BB77" s="79"/>
      <c r="BC77" s="80"/>
      <c r="BD77" s="79"/>
      <c r="BE77" s="80"/>
      <c r="BF77" s="572"/>
      <c r="BG77" s="587"/>
      <c r="BH77" s="79"/>
      <c r="BI77" s="80"/>
      <c r="BJ77" s="535">
        <f t="shared" si="9"/>
        <v>0</v>
      </c>
      <c r="BK77" s="545">
        <f t="shared" si="10"/>
        <v>0</v>
      </c>
    </row>
    <row r="78" spans="1:63" ht="15" customHeight="1" x14ac:dyDescent="0.35">
      <c r="A78" s="579"/>
      <c r="B78" s="546" t="s">
        <v>29</v>
      </c>
      <c r="C78" s="579" t="s">
        <v>117</v>
      </c>
      <c r="D78" s="653" t="s">
        <v>76</v>
      </c>
      <c r="E78" s="654"/>
      <c r="F78" s="618"/>
      <c r="G78" s="595"/>
      <c r="H78" s="618"/>
      <c r="I78" s="595"/>
      <c r="J78" s="618"/>
      <c r="K78" s="595"/>
      <c r="L78" s="618"/>
      <c r="M78" s="595"/>
      <c r="N78" s="618"/>
      <c r="O78" s="595"/>
      <c r="P78" s="572"/>
      <c r="Q78" s="587"/>
      <c r="R78" s="572"/>
      <c r="S78" s="587"/>
      <c r="T78" s="79"/>
      <c r="U78" s="80"/>
      <c r="V78" s="79"/>
      <c r="W78" s="80"/>
      <c r="X78" s="79"/>
      <c r="Y78" s="80"/>
      <c r="Z78" s="79"/>
      <c r="AA78" s="80"/>
      <c r="AB78" s="79"/>
      <c r="AC78" s="80"/>
      <c r="AD78" s="572"/>
      <c r="AE78" s="587"/>
      <c r="AF78" s="79"/>
      <c r="AG78" s="80"/>
      <c r="AH78" s="79"/>
      <c r="AI78" s="80"/>
      <c r="AJ78" s="79"/>
      <c r="AK78" s="80"/>
      <c r="AL78" s="79"/>
      <c r="AM78" s="80"/>
      <c r="AN78" s="79"/>
      <c r="AO78" s="80"/>
      <c r="AP78" s="79"/>
      <c r="AQ78" s="80"/>
      <c r="AR78" s="572"/>
      <c r="AS78" s="587"/>
      <c r="AT78" s="79"/>
      <c r="AU78" s="80"/>
      <c r="AV78" s="79"/>
      <c r="AW78" s="80"/>
      <c r="AX78" s="79"/>
      <c r="AY78" s="80"/>
      <c r="AZ78" s="79"/>
      <c r="BA78" s="80"/>
      <c r="BB78" s="79"/>
      <c r="BC78" s="80"/>
      <c r="BD78" s="79"/>
      <c r="BE78" s="80"/>
      <c r="BF78" s="572"/>
      <c r="BG78" s="587"/>
      <c r="BH78" s="79"/>
      <c r="BI78" s="80"/>
      <c r="BJ78" s="535">
        <f t="shared" si="9"/>
        <v>0</v>
      </c>
      <c r="BK78" s="545">
        <f t="shared" si="10"/>
        <v>0</v>
      </c>
    </row>
    <row r="79" spans="1:63" ht="15" customHeight="1" x14ac:dyDescent="0.35">
      <c r="A79" s="579"/>
      <c r="B79" s="546" t="s">
        <v>44</v>
      </c>
      <c r="C79" s="579" t="s">
        <v>118</v>
      </c>
      <c r="D79" s="653" t="s">
        <v>76</v>
      </c>
      <c r="E79" s="654"/>
      <c r="F79" s="618"/>
      <c r="G79" s="595"/>
      <c r="H79" s="618"/>
      <c r="I79" s="595"/>
      <c r="J79" s="618"/>
      <c r="K79" s="595"/>
      <c r="L79" s="618"/>
      <c r="M79" s="595"/>
      <c r="N79" s="618"/>
      <c r="O79" s="595"/>
      <c r="P79" s="572"/>
      <c r="Q79" s="587"/>
      <c r="R79" s="572"/>
      <c r="S79" s="587"/>
      <c r="T79" s="79"/>
      <c r="U79" s="80"/>
      <c r="V79" s="79"/>
      <c r="W79" s="80"/>
      <c r="X79" s="79"/>
      <c r="Y79" s="80"/>
      <c r="Z79" s="79"/>
      <c r="AA79" s="80"/>
      <c r="AB79" s="79"/>
      <c r="AC79" s="80"/>
      <c r="AD79" s="572"/>
      <c r="AE79" s="587"/>
      <c r="AF79" s="79"/>
      <c r="AG79" s="80"/>
      <c r="AH79" s="79"/>
      <c r="AI79" s="80"/>
      <c r="AJ79" s="79"/>
      <c r="AK79" s="80"/>
      <c r="AL79" s="79"/>
      <c r="AM79" s="80"/>
      <c r="AN79" s="79"/>
      <c r="AO79" s="80"/>
      <c r="AP79" s="79"/>
      <c r="AQ79" s="80"/>
      <c r="AR79" s="572"/>
      <c r="AS79" s="587"/>
      <c r="AT79" s="79"/>
      <c r="AU79" s="80"/>
      <c r="AV79" s="79"/>
      <c r="AW79" s="80"/>
      <c r="AX79" s="79"/>
      <c r="AY79" s="80"/>
      <c r="AZ79" s="79"/>
      <c r="BA79" s="80"/>
      <c r="BB79" s="79"/>
      <c r="BC79" s="80"/>
      <c r="BD79" s="79"/>
      <c r="BE79" s="80"/>
      <c r="BF79" s="572"/>
      <c r="BG79" s="587"/>
      <c r="BH79" s="79"/>
      <c r="BI79" s="80"/>
      <c r="BJ79" s="535">
        <f t="shared" si="9"/>
        <v>0</v>
      </c>
      <c r="BK79" s="545">
        <f t="shared" si="10"/>
        <v>0</v>
      </c>
    </row>
    <row r="80" spans="1:63" ht="15" customHeight="1" x14ac:dyDescent="0.35">
      <c r="A80" s="579"/>
      <c r="B80" s="546" t="s">
        <v>109</v>
      </c>
      <c r="C80" s="579" t="s">
        <v>119</v>
      </c>
      <c r="D80" s="653" t="s">
        <v>120</v>
      </c>
      <c r="E80" s="654"/>
      <c r="F80" s="618"/>
      <c r="G80" s="595"/>
      <c r="H80" s="618"/>
      <c r="I80" s="595"/>
      <c r="J80" s="618"/>
      <c r="K80" s="595"/>
      <c r="L80" s="618"/>
      <c r="M80" s="595"/>
      <c r="N80" s="618"/>
      <c r="O80" s="595"/>
      <c r="P80" s="572"/>
      <c r="Q80" s="587"/>
      <c r="R80" s="572"/>
      <c r="S80" s="587"/>
      <c r="T80" s="79"/>
      <c r="U80" s="80"/>
      <c r="V80" s="79"/>
      <c r="W80" s="80"/>
      <c r="X80" s="79"/>
      <c r="Y80" s="80"/>
      <c r="Z80" s="79"/>
      <c r="AA80" s="80"/>
      <c r="AB80" s="79"/>
      <c r="AC80" s="80"/>
      <c r="AD80" s="572"/>
      <c r="AE80" s="587"/>
      <c r="AF80" s="79"/>
      <c r="AG80" s="80"/>
      <c r="AH80" s="79"/>
      <c r="AI80" s="80"/>
      <c r="AJ80" s="79"/>
      <c r="AK80" s="80"/>
      <c r="AL80" s="79"/>
      <c r="AM80" s="80"/>
      <c r="AN80" s="79"/>
      <c r="AO80" s="80"/>
      <c r="AP80" s="79"/>
      <c r="AQ80" s="80"/>
      <c r="AR80" s="572"/>
      <c r="AS80" s="587"/>
      <c r="AT80" s="79"/>
      <c r="AU80" s="80"/>
      <c r="AV80" s="79"/>
      <c r="AW80" s="80"/>
      <c r="AX80" s="79"/>
      <c r="AY80" s="80"/>
      <c r="AZ80" s="79"/>
      <c r="BA80" s="80"/>
      <c r="BB80" s="79"/>
      <c r="BC80" s="80"/>
      <c r="BD80" s="79"/>
      <c r="BE80" s="80"/>
      <c r="BF80" s="572"/>
      <c r="BG80" s="587"/>
      <c r="BH80" s="79"/>
      <c r="BI80" s="80"/>
      <c r="BJ80" s="535">
        <f t="shared" si="9"/>
        <v>0</v>
      </c>
      <c r="BK80" s="545">
        <f t="shared" si="10"/>
        <v>0</v>
      </c>
    </row>
    <row r="81" spans="1:63" ht="15" customHeight="1" x14ac:dyDescent="0.35">
      <c r="A81" s="579"/>
      <c r="B81" s="546" t="s">
        <v>29</v>
      </c>
      <c r="C81" s="579" t="s">
        <v>121</v>
      </c>
      <c r="D81" s="653" t="s">
        <v>122</v>
      </c>
      <c r="E81" s="654"/>
      <c r="F81" s="618"/>
      <c r="G81" s="595"/>
      <c r="H81" s="618"/>
      <c r="I81" s="595"/>
      <c r="J81" s="618"/>
      <c r="K81" s="595"/>
      <c r="L81" s="618"/>
      <c r="M81" s="595"/>
      <c r="N81" s="618"/>
      <c r="O81" s="595"/>
      <c r="P81" s="572"/>
      <c r="Q81" s="587"/>
      <c r="R81" s="572"/>
      <c r="S81" s="587"/>
      <c r="T81" s="79"/>
      <c r="U81" s="80"/>
      <c r="V81" s="79"/>
      <c r="W81" s="80"/>
      <c r="X81" s="79"/>
      <c r="Y81" s="80"/>
      <c r="Z81" s="79"/>
      <c r="AA81" s="80"/>
      <c r="AB81" s="79"/>
      <c r="AC81" s="80"/>
      <c r="AD81" s="572"/>
      <c r="AE81" s="587"/>
      <c r="AF81" s="79"/>
      <c r="AG81" s="80"/>
      <c r="AH81" s="79"/>
      <c r="AI81" s="80"/>
      <c r="AJ81" s="79"/>
      <c r="AK81" s="80"/>
      <c r="AL81" s="79"/>
      <c r="AM81" s="80"/>
      <c r="AN81" s="79"/>
      <c r="AO81" s="80"/>
      <c r="AP81" s="79"/>
      <c r="AQ81" s="80"/>
      <c r="AR81" s="572"/>
      <c r="AS81" s="587"/>
      <c r="AT81" s="79"/>
      <c r="AU81" s="80"/>
      <c r="AV81" s="79"/>
      <c r="AW81" s="80"/>
      <c r="AX81" s="79"/>
      <c r="AY81" s="80"/>
      <c r="AZ81" s="79"/>
      <c r="BA81" s="80"/>
      <c r="BB81" s="79"/>
      <c r="BC81" s="80"/>
      <c r="BD81" s="79"/>
      <c r="BE81" s="80"/>
      <c r="BF81" s="572"/>
      <c r="BG81" s="587"/>
      <c r="BH81" s="79"/>
      <c r="BI81" s="80"/>
      <c r="BJ81" s="535">
        <f t="shared" si="9"/>
        <v>0</v>
      </c>
      <c r="BK81" s="545">
        <f t="shared" si="10"/>
        <v>0</v>
      </c>
    </row>
    <row r="82" spans="1:63" ht="15" customHeight="1" x14ac:dyDescent="0.35">
      <c r="A82" s="579"/>
      <c r="B82" s="546" t="s">
        <v>109</v>
      </c>
      <c r="C82" s="579" t="s">
        <v>123</v>
      </c>
      <c r="D82" s="653" t="s">
        <v>124</v>
      </c>
      <c r="E82" s="654"/>
      <c r="F82" s="618"/>
      <c r="G82" s="595"/>
      <c r="H82" s="618"/>
      <c r="I82" s="595"/>
      <c r="J82" s="618"/>
      <c r="K82" s="595"/>
      <c r="L82" s="618"/>
      <c r="M82" s="595"/>
      <c r="N82" s="618"/>
      <c r="O82" s="595"/>
      <c r="P82" s="572"/>
      <c r="Q82" s="587"/>
      <c r="R82" s="572"/>
      <c r="S82" s="587"/>
      <c r="T82" s="79"/>
      <c r="U82" s="80"/>
      <c r="V82" s="79"/>
      <c r="W82" s="80"/>
      <c r="X82" s="79"/>
      <c r="Y82" s="80"/>
      <c r="Z82" s="79"/>
      <c r="AA82" s="80"/>
      <c r="AB82" s="79"/>
      <c r="AC82" s="80"/>
      <c r="AD82" s="572"/>
      <c r="AE82" s="587"/>
      <c r="AF82" s="79"/>
      <c r="AG82" s="80"/>
      <c r="AH82" s="79"/>
      <c r="AI82" s="80"/>
      <c r="AJ82" s="79"/>
      <c r="AK82" s="80"/>
      <c r="AL82" s="79"/>
      <c r="AM82" s="80"/>
      <c r="AN82" s="79"/>
      <c r="AO82" s="80"/>
      <c r="AP82" s="79"/>
      <c r="AQ82" s="80"/>
      <c r="AR82" s="572"/>
      <c r="AS82" s="587"/>
      <c r="AT82" s="79"/>
      <c r="AU82" s="80"/>
      <c r="AV82" s="79"/>
      <c r="AW82" s="80"/>
      <c r="AX82" s="79"/>
      <c r="AY82" s="80"/>
      <c r="AZ82" s="79"/>
      <c r="BA82" s="80"/>
      <c r="BB82" s="79"/>
      <c r="BC82" s="80"/>
      <c r="BD82" s="79"/>
      <c r="BE82" s="80"/>
      <c r="BF82" s="572"/>
      <c r="BG82" s="587"/>
      <c r="BH82" s="79"/>
      <c r="BI82" s="80"/>
      <c r="BJ82" s="535">
        <f t="shared" si="9"/>
        <v>0</v>
      </c>
      <c r="BK82" s="545">
        <f t="shared" si="10"/>
        <v>0</v>
      </c>
    </row>
    <row r="83" spans="1:63" ht="15" customHeight="1" x14ac:dyDescent="0.35">
      <c r="A83" s="579"/>
      <c r="B83" s="546" t="s">
        <v>109</v>
      </c>
      <c r="C83" s="579" t="s">
        <v>159</v>
      </c>
      <c r="D83" s="653" t="s">
        <v>160</v>
      </c>
      <c r="E83" s="654"/>
      <c r="F83" s="618"/>
      <c r="G83" s="595"/>
      <c r="H83" s="618"/>
      <c r="I83" s="595"/>
      <c r="J83" s="618"/>
      <c r="K83" s="595"/>
      <c r="L83" s="618">
        <v>30</v>
      </c>
      <c r="M83" s="595"/>
      <c r="N83" s="618">
        <v>30</v>
      </c>
      <c r="O83" s="595"/>
      <c r="P83" s="572"/>
      <c r="Q83" s="587"/>
      <c r="R83" s="572"/>
      <c r="S83" s="587"/>
      <c r="T83" s="79"/>
      <c r="U83" s="80"/>
      <c r="V83" s="79"/>
      <c r="W83" s="80"/>
      <c r="X83" s="79"/>
      <c r="Y83" s="80"/>
      <c r="Z83" s="79"/>
      <c r="AA83" s="80"/>
      <c r="AB83" s="79"/>
      <c r="AC83" s="80"/>
      <c r="AD83" s="572"/>
      <c r="AE83" s="587"/>
      <c r="AF83" s="79"/>
      <c r="AG83" s="80"/>
      <c r="AH83" s="79"/>
      <c r="AI83" s="80"/>
      <c r="AJ83" s="79"/>
      <c r="AK83" s="80"/>
      <c r="AL83" s="79"/>
      <c r="AM83" s="80"/>
      <c r="AN83" s="79"/>
      <c r="AO83" s="80"/>
      <c r="AP83" s="79"/>
      <c r="AQ83" s="80"/>
      <c r="AR83" s="572"/>
      <c r="AS83" s="587"/>
      <c r="AT83" s="79"/>
      <c r="AU83" s="80"/>
      <c r="AV83" s="79"/>
      <c r="AW83" s="80"/>
      <c r="AX83" s="79"/>
      <c r="AY83" s="80"/>
      <c r="AZ83" s="79"/>
      <c r="BA83" s="80"/>
      <c r="BB83" s="79"/>
      <c r="BC83" s="80"/>
      <c r="BD83" s="79"/>
      <c r="BE83" s="80"/>
      <c r="BF83" s="572"/>
      <c r="BG83" s="587"/>
      <c r="BH83" s="79"/>
      <c r="BI83" s="80"/>
      <c r="BJ83" s="535">
        <f t="shared" si="9"/>
        <v>60</v>
      </c>
      <c r="BK83" s="545"/>
    </row>
    <row r="84" spans="1:63" ht="15" customHeight="1" x14ac:dyDescent="0.35">
      <c r="A84" s="579"/>
      <c r="B84" s="546" t="s">
        <v>104</v>
      </c>
      <c r="C84" s="579" t="s">
        <v>125</v>
      </c>
      <c r="D84" s="653" t="s">
        <v>126</v>
      </c>
      <c r="E84" s="654"/>
      <c r="F84" s="618"/>
      <c r="G84" s="595"/>
      <c r="H84" s="618"/>
      <c r="I84" s="595"/>
      <c r="J84" s="618"/>
      <c r="K84" s="595"/>
      <c r="L84" s="618"/>
      <c r="M84" s="595"/>
      <c r="N84" s="618"/>
      <c r="O84" s="595"/>
      <c r="P84" s="572"/>
      <c r="Q84" s="587"/>
      <c r="R84" s="572"/>
      <c r="S84" s="587"/>
      <c r="T84" s="79"/>
      <c r="U84" s="80"/>
      <c r="V84" s="79"/>
      <c r="W84" s="80"/>
      <c r="X84" s="79"/>
      <c r="Y84" s="80"/>
      <c r="Z84" s="79"/>
      <c r="AA84" s="80"/>
      <c r="AB84" s="79"/>
      <c r="AC84" s="80"/>
      <c r="AD84" s="572"/>
      <c r="AE84" s="587"/>
      <c r="AF84" s="79"/>
      <c r="AG84" s="80"/>
      <c r="AH84" s="79"/>
      <c r="AI84" s="80"/>
      <c r="AJ84" s="79"/>
      <c r="AK84" s="80"/>
      <c r="AL84" s="79"/>
      <c r="AM84" s="80"/>
      <c r="AN84" s="79"/>
      <c r="AO84" s="80"/>
      <c r="AP84" s="79"/>
      <c r="AQ84" s="80"/>
      <c r="AR84" s="572"/>
      <c r="AS84" s="587"/>
      <c r="AT84" s="79"/>
      <c r="AU84" s="80"/>
      <c r="AV84" s="79"/>
      <c r="AW84" s="80"/>
      <c r="AX84" s="79"/>
      <c r="AY84" s="80"/>
      <c r="AZ84" s="79"/>
      <c r="BA84" s="80"/>
      <c r="BB84" s="79"/>
      <c r="BC84" s="80"/>
      <c r="BD84" s="79"/>
      <c r="BE84" s="80"/>
      <c r="BF84" s="572"/>
      <c r="BG84" s="587"/>
      <c r="BH84" s="79"/>
      <c r="BI84" s="80"/>
      <c r="BJ84" s="535">
        <f t="shared" si="9"/>
        <v>0</v>
      </c>
      <c r="BK84" s="545">
        <f t="shared" ref="BK84:BK107" si="11">COUNT(F84:BI84)</f>
        <v>0</v>
      </c>
    </row>
    <row r="85" spans="1:63" ht="15" customHeight="1" x14ac:dyDescent="0.35">
      <c r="A85" s="579"/>
      <c r="B85" s="546"/>
      <c r="C85" s="579"/>
      <c r="D85" s="653"/>
      <c r="E85" s="654"/>
      <c r="F85" s="618"/>
      <c r="G85" s="595"/>
      <c r="H85" s="618"/>
      <c r="I85" s="595"/>
      <c r="J85" s="618"/>
      <c r="K85" s="595"/>
      <c r="L85" s="618"/>
      <c r="M85" s="595"/>
      <c r="N85" s="618"/>
      <c r="O85" s="595"/>
      <c r="P85" s="572"/>
      <c r="Q85" s="587"/>
      <c r="R85" s="572"/>
      <c r="S85" s="587"/>
      <c r="T85" s="79"/>
      <c r="U85" s="80"/>
      <c r="V85" s="79"/>
      <c r="W85" s="80"/>
      <c r="X85" s="79"/>
      <c r="Y85" s="80"/>
      <c r="Z85" s="79"/>
      <c r="AA85" s="80"/>
      <c r="AB85" s="79"/>
      <c r="AC85" s="80"/>
      <c r="AD85" s="572"/>
      <c r="AE85" s="587"/>
      <c r="AF85" s="79"/>
      <c r="AG85" s="80"/>
      <c r="AH85" s="79"/>
      <c r="AI85" s="80"/>
      <c r="AJ85" s="79"/>
      <c r="AK85" s="80"/>
      <c r="AL85" s="79"/>
      <c r="AM85" s="80"/>
      <c r="AN85" s="79"/>
      <c r="AO85" s="80"/>
      <c r="AP85" s="79"/>
      <c r="AQ85" s="80"/>
      <c r="AR85" s="572"/>
      <c r="AS85" s="587"/>
      <c r="AT85" s="79"/>
      <c r="AU85" s="80"/>
      <c r="AV85" s="79"/>
      <c r="AW85" s="80"/>
      <c r="AX85" s="79"/>
      <c r="AY85" s="80"/>
      <c r="AZ85" s="79"/>
      <c r="BA85" s="80"/>
      <c r="BB85" s="79"/>
      <c r="BC85" s="80"/>
      <c r="BD85" s="79"/>
      <c r="BE85" s="80"/>
      <c r="BF85" s="572"/>
      <c r="BG85" s="587"/>
      <c r="BH85" s="79"/>
      <c r="BI85" s="80"/>
      <c r="BJ85" s="535">
        <f t="shared" si="9"/>
        <v>0</v>
      </c>
      <c r="BK85" s="545">
        <f t="shared" si="11"/>
        <v>0</v>
      </c>
    </row>
    <row r="86" spans="1:63" ht="15" customHeight="1" x14ac:dyDescent="0.35">
      <c r="A86" s="579"/>
      <c r="B86" s="546"/>
      <c r="C86" s="579">
        <f>SUM(BJ87:BJ89)</f>
        <v>0</v>
      </c>
      <c r="D86" s="647" t="s">
        <v>127</v>
      </c>
      <c r="E86" s="648"/>
      <c r="F86" s="618"/>
      <c r="G86" s="595"/>
      <c r="H86" s="618"/>
      <c r="I86" s="595"/>
      <c r="J86" s="618"/>
      <c r="K86" s="595"/>
      <c r="L86" s="618"/>
      <c r="M86" s="595"/>
      <c r="N86" s="618"/>
      <c r="O86" s="595"/>
      <c r="P86" s="572"/>
      <c r="Q86" s="587"/>
      <c r="R86" s="572"/>
      <c r="S86" s="587"/>
      <c r="T86" s="79"/>
      <c r="U86" s="80"/>
      <c r="V86" s="79"/>
      <c r="W86" s="80"/>
      <c r="X86" s="79"/>
      <c r="Y86" s="80"/>
      <c r="Z86" s="79"/>
      <c r="AA86" s="80"/>
      <c r="AB86" s="79"/>
      <c r="AC86" s="80"/>
      <c r="AD86" s="572"/>
      <c r="AE86" s="587"/>
      <c r="AF86" s="79"/>
      <c r="AG86" s="80"/>
      <c r="AH86" s="79"/>
      <c r="AI86" s="80"/>
      <c r="AJ86" s="79"/>
      <c r="AK86" s="80"/>
      <c r="AL86" s="79"/>
      <c r="AM86" s="80"/>
      <c r="AN86" s="79"/>
      <c r="AO86" s="80"/>
      <c r="AP86" s="79"/>
      <c r="AQ86" s="80"/>
      <c r="AR86" s="572"/>
      <c r="AS86" s="587"/>
      <c r="AT86" s="79"/>
      <c r="AU86" s="80"/>
      <c r="AV86" s="79"/>
      <c r="AW86" s="80"/>
      <c r="AX86" s="79"/>
      <c r="AY86" s="80"/>
      <c r="AZ86" s="79"/>
      <c r="BA86" s="80"/>
      <c r="BB86" s="79"/>
      <c r="BC86" s="80"/>
      <c r="BD86" s="79"/>
      <c r="BE86" s="80"/>
      <c r="BF86" s="572"/>
      <c r="BG86" s="587"/>
      <c r="BH86" s="79"/>
      <c r="BI86" s="80"/>
      <c r="BJ86" s="535">
        <f t="shared" si="9"/>
        <v>0</v>
      </c>
      <c r="BK86" s="545">
        <f t="shared" si="11"/>
        <v>0</v>
      </c>
    </row>
    <row r="87" spans="1:63" ht="15" customHeight="1" x14ac:dyDescent="0.35">
      <c r="A87" s="579"/>
      <c r="B87" s="546" t="s">
        <v>85</v>
      </c>
      <c r="C87" s="579" t="s">
        <v>128</v>
      </c>
      <c r="D87" s="653" t="s">
        <v>129</v>
      </c>
      <c r="E87" s="654"/>
      <c r="F87" s="618"/>
      <c r="G87" s="595"/>
      <c r="H87" s="618"/>
      <c r="I87" s="595"/>
      <c r="J87" s="618"/>
      <c r="K87" s="595"/>
      <c r="L87" s="618"/>
      <c r="M87" s="595"/>
      <c r="N87" s="618"/>
      <c r="O87" s="595"/>
      <c r="P87" s="572"/>
      <c r="Q87" s="587"/>
      <c r="R87" s="572"/>
      <c r="S87" s="587"/>
      <c r="T87" s="79"/>
      <c r="U87" s="80"/>
      <c r="V87" s="79"/>
      <c r="W87" s="80"/>
      <c r="X87" s="79"/>
      <c r="Y87" s="80"/>
      <c r="Z87" s="79"/>
      <c r="AA87" s="80"/>
      <c r="AB87" s="79"/>
      <c r="AC87" s="80"/>
      <c r="AD87" s="572"/>
      <c r="AE87" s="587"/>
      <c r="AF87" s="79"/>
      <c r="AG87" s="80"/>
      <c r="AH87" s="79"/>
      <c r="AI87" s="80"/>
      <c r="AJ87" s="79"/>
      <c r="AK87" s="80"/>
      <c r="AL87" s="79"/>
      <c r="AM87" s="80"/>
      <c r="AN87" s="79"/>
      <c r="AO87" s="80"/>
      <c r="AP87" s="79"/>
      <c r="AQ87" s="80"/>
      <c r="AR87" s="572"/>
      <c r="AS87" s="587"/>
      <c r="AT87" s="79"/>
      <c r="AU87" s="80"/>
      <c r="AV87" s="79"/>
      <c r="AW87" s="80"/>
      <c r="AX87" s="79"/>
      <c r="AY87" s="80"/>
      <c r="AZ87" s="79"/>
      <c r="BA87" s="80"/>
      <c r="BB87" s="79"/>
      <c r="BC87" s="80"/>
      <c r="BD87" s="79"/>
      <c r="BE87" s="80"/>
      <c r="BF87" s="572"/>
      <c r="BG87" s="587"/>
      <c r="BH87" s="79"/>
      <c r="BI87" s="80"/>
      <c r="BJ87" s="535">
        <f t="shared" si="9"/>
        <v>0</v>
      </c>
      <c r="BK87" s="545">
        <f t="shared" si="11"/>
        <v>0</v>
      </c>
    </row>
    <row r="88" spans="1:63" ht="15" customHeight="1" x14ac:dyDescent="0.35">
      <c r="A88" s="579"/>
      <c r="B88" s="546"/>
      <c r="C88" s="579"/>
      <c r="D88" s="653"/>
      <c r="E88" s="654"/>
      <c r="F88" s="618"/>
      <c r="G88" s="595"/>
      <c r="H88" s="618"/>
      <c r="I88" s="595"/>
      <c r="J88" s="618"/>
      <c r="K88" s="595"/>
      <c r="L88" s="618"/>
      <c r="M88" s="595"/>
      <c r="N88" s="618"/>
      <c r="O88" s="595"/>
      <c r="P88" s="572"/>
      <c r="Q88" s="587"/>
      <c r="R88" s="572"/>
      <c r="S88" s="587"/>
      <c r="T88" s="79"/>
      <c r="U88" s="80"/>
      <c r="V88" s="79"/>
      <c r="W88" s="80"/>
      <c r="X88" s="79"/>
      <c r="Y88" s="80"/>
      <c r="Z88" s="79"/>
      <c r="AA88" s="80"/>
      <c r="AB88" s="79"/>
      <c r="AC88" s="80"/>
      <c r="AD88" s="572"/>
      <c r="AE88" s="587"/>
      <c r="AF88" s="79"/>
      <c r="AG88" s="80"/>
      <c r="AH88" s="79"/>
      <c r="AI88" s="80"/>
      <c r="AJ88" s="79"/>
      <c r="AK88" s="80"/>
      <c r="AL88" s="79"/>
      <c r="AM88" s="80"/>
      <c r="AN88" s="79"/>
      <c r="AO88" s="80"/>
      <c r="AP88" s="79"/>
      <c r="AQ88" s="80"/>
      <c r="AR88" s="572"/>
      <c r="AS88" s="587"/>
      <c r="AT88" s="79"/>
      <c r="AU88" s="80"/>
      <c r="AV88" s="79"/>
      <c r="AW88" s="80"/>
      <c r="AX88" s="79"/>
      <c r="AY88" s="80"/>
      <c r="AZ88" s="79"/>
      <c r="BA88" s="80"/>
      <c r="BB88" s="79"/>
      <c r="BC88" s="80"/>
      <c r="BD88" s="79"/>
      <c r="BE88" s="80"/>
      <c r="BF88" s="572"/>
      <c r="BG88" s="587"/>
      <c r="BH88" s="79"/>
      <c r="BI88" s="80"/>
      <c r="BJ88" s="535">
        <f t="shared" si="9"/>
        <v>0</v>
      </c>
      <c r="BK88" s="545">
        <f t="shared" si="11"/>
        <v>0</v>
      </c>
    </row>
    <row r="89" spans="1:63" ht="15" customHeight="1" x14ac:dyDescent="0.35">
      <c r="A89" s="579"/>
      <c r="B89" s="546"/>
      <c r="C89" s="579"/>
      <c r="D89" s="653"/>
      <c r="E89" s="654"/>
      <c r="F89" s="618"/>
      <c r="G89" s="595"/>
      <c r="H89" s="618"/>
      <c r="I89" s="595"/>
      <c r="J89" s="618"/>
      <c r="K89" s="595"/>
      <c r="L89" s="618"/>
      <c r="M89" s="595"/>
      <c r="N89" s="618"/>
      <c r="O89" s="595"/>
      <c r="P89" s="572"/>
      <c r="Q89" s="587"/>
      <c r="R89" s="572"/>
      <c r="S89" s="587"/>
      <c r="T89" s="79"/>
      <c r="U89" s="80"/>
      <c r="V89" s="79"/>
      <c r="W89" s="80"/>
      <c r="X89" s="79"/>
      <c r="Y89" s="80"/>
      <c r="Z89" s="79"/>
      <c r="AA89" s="80"/>
      <c r="AB89" s="79"/>
      <c r="AC89" s="80"/>
      <c r="AD89" s="572"/>
      <c r="AE89" s="587"/>
      <c r="AF89" s="79"/>
      <c r="AG89" s="80"/>
      <c r="AH89" s="79"/>
      <c r="AI89" s="80"/>
      <c r="AJ89" s="79"/>
      <c r="AK89" s="80"/>
      <c r="AL89" s="79"/>
      <c r="AM89" s="80"/>
      <c r="AN89" s="79"/>
      <c r="AO89" s="80"/>
      <c r="AP89" s="79"/>
      <c r="AQ89" s="80"/>
      <c r="AR89" s="572"/>
      <c r="AS89" s="587"/>
      <c r="AT89" s="79"/>
      <c r="AU89" s="80"/>
      <c r="AV89" s="79"/>
      <c r="AW89" s="80"/>
      <c r="AX89" s="79"/>
      <c r="AY89" s="80"/>
      <c r="AZ89" s="79"/>
      <c r="BA89" s="80"/>
      <c r="BB89" s="79"/>
      <c r="BC89" s="80"/>
      <c r="BD89" s="79"/>
      <c r="BE89" s="80"/>
      <c r="BF89" s="572"/>
      <c r="BG89" s="587"/>
      <c r="BH89" s="79"/>
      <c r="BI89" s="80"/>
      <c r="BJ89" s="535">
        <f t="shared" si="9"/>
        <v>0</v>
      </c>
      <c r="BK89" s="545">
        <f t="shared" si="11"/>
        <v>0</v>
      </c>
    </row>
    <row r="90" spans="1:63" ht="15" customHeight="1" x14ac:dyDescent="0.35">
      <c r="A90" s="579"/>
      <c r="B90" s="546"/>
      <c r="C90" s="579">
        <f>SUM(BJ91:BJ93)</f>
        <v>0</v>
      </c>
      <c r="D90" s="647" t="s">
        <v>130</v>
      </c>
      <c r="E90" s="648"/>
      <c r="F90" s="618"/>
      <c r="G90" s="595"/>
      <c r="H90" s="618"/>
      <c r="I90" s="595"/>
      <c r="J90" s="618"/>
      <c r="K90" s="595"/>
      <c r="L90" s="618"/>
      <c r="M90" s="595"/>
      <c r="N90" s="618"/>
      <c r="O90" s="595"/>
      <c r="P90" s="572"/>
      <c r="Q90" s="587"/>
      <c r="R90" s="572"/>
      <c r="S90" s="587"/>
      <c r="T90" s="79"/>
      <c r="U90" s="80"/>
      <c r="V90" s="79"/>
      <c r="W90" s="80"/>
      <c r="X90" s="79"/>
      <c r="Y90" s="80"/>
      <c r="Z90" s="79"/>
      <c r="AA90" s="80"/>
      <c r="AB90" s="79"/>
      <c r="AC90" s="80"/>
      <c r="AD90" s="572"/>
      <c r="AE90" s="587"/>
      <c r="AF90" s="79"/>
      <c r="AG90" s="80"/>
      <c r="AH90" s="79"/>
      <c r="AI90" s="80"/>
      <c r="AJ90" s="79"/>
      <c r="AK90" s="80"/>
      <c r="AL90" s="79"/>
      <c r="AM90" s="80"/>
      <c r="AN90" s="79"/>
      <c r="AO90" s="80"/>
      <c r="AP90" s="79"/>
      <c r="AQ90" s="80"/>
      <c r="AR90" s="572"/>
      <c r="AS90" s="587"/>
      <c r="AT90" s="79"/>
      <c r="AU90" s="80"/>
      <c r="AV90" s="79"/>
      <c r="AW90" s="80"/>
      <c r="AX90" s="79"/>
      <c r="AY90" s="80"/>
      <c r="AZ90" s="79"/>
      <c r="BA90" s="80"/>
      <c r="BB90" s="79"/>
      <c r="BC90" s="80"/>
      <c r="BD90" s="79"/>
      <c r="BE90" s="80"/>
      <c r="BF90" s="572"/>
      <c r="BG90" s="587"/>
      <c r="BH90" s="79"/>
      <c r="BI90" s="80"/>
      <c r="BJ90" s="535">
        <f t="shared" si="9"/>
        <v>0</v>
      </c>
      <c r="BK90" s="545">
        <f t="shared" si="11"/>
        <v>0</v>
      </c>
    </row>
    <row r="91" spans="1:63" ht="15" customHeight="1" x14ac:dyDescent="0.35">
      <c r="A91" s="579"/>
      <c r="B91" s="546" t="s">
        <v>85</v>
      </c>
      <c r="C91" s="579" t="s">
        <v>131</v>
      </c>
      <c r="D91" s="653" t="s">
        <v>132</v>
      </c>
      <c r="E91" s="654"/>
      <c r="F91" s="618"/>
      <c r="G91" s="595"/>
      <c r="H91" s="618"/>
      <c r="I91" s="595"/>
      <c r="J91" s="618"/>
      <c r="K91" s="595"/>
      <c r="L91" s="618"/>
      <c r="M91" s="595"/>
      <c r="N91" s="618"/>
      <c r="O91" s="595"/>
      <c r="P91" s="572"/>
      <c r="Q91" s="587"/>
      <c r="R91" s="572"/>
      <c r="S91" s="587"/>
      <c r="T91" s="79"/>
      <c r="U91" s="80"/>
      <c r="V91" s="79"/>
      <c r="W91" s="80"/>
      <c r="X91" s="79"/>
      <c r="Y91" s="80"/>
      <c r="Z91" s="79"/>
      <c r="AA91" s="80"/>
      <c r="AB91" s="79"/>
      <c r="AC91" s="80"/>
      <c r="AD91" s="572"/>
      <c r="AE91" s="587"/>
      <c r="AF91" s="79"/>
      <c r="AG91" s="80"/>
      <c r="AH91" s="79"/>
      <c r="AI91" s="80"/>
      <c r="AJ91" s="79"/>
      <c r="AK91" s="80"/>
      <c r="AL91" s="79"/>
      <c r="AM91" s="80"/>
      <c r="AN91" s="79"/>
      <c r="AO91" s="80"/>
      <c r="AP91" s="79"/>
      <c r="AQ91" s="80"/>
      <c r="AR91" s="572"/>
      <c r="AS91" s="587"/>
      <c r="AT91" s="79"/>
      <c r="AU91" s="80"/>
      <c r="AV91" s="79"/>
      <c r="AW91" s="80"/>
      <c r="AX91" s="79"/>
      <c r="AY91" s="80"/>
      <c r="AZ91" s="79"/>
      <c r="BA91" s="80"/>
      <c r="BB91" s="79"/>
      <c r="BC91" s="80"/>
      <c r="BD91" s="79"/>
      <c r="BE91" s="80"/>
      <c r="BF91" s="572"/>
      <c r="BG91" s="587"/>
      <c r="BH91" s="79"/>
      <c r="BI91" s="80"/>
      <c r="BJ91" s="535">
        <f t="shared" si="9"/>
        <v>0</v>
      </c>
      <c r="BK91" s="545">
        <f t="shared" si="11"/>
        <v>0</v>
      </c>
    </row>
    <row r="92" spans="1:63" ht="15" customHeight="1" x14ac:dyDescent="0.35">
      <c r="A92" s="579"/>
      <c r="B92" s="546"/>
      <c r="C92" s="579"/>
      <c r="D92" s="653"/>
      <c r="E92" s="654"/>
      <c r="F92" s="618"/>
      <c r="G92" s="595"/>
      <c r="H92" s="618"/>
      <c r="I92" s="595"/>
      <c r="J92" s="618"/>
      <c r="K92" s="595"/>
      <c r="L92" s="618"/>
      <c r="M92" s="595"/>
      <c r="N92" s="618"/>
      <c r="O92" s="595"/>
      <c r="P92" s="572"/>
      <c r="Q92" s="587"/>
      <c r="R92" s="572"/>
      <c r="S92" s="587"/>
      <c r="T92" s="79"/>
      <c r="U92" s="80"/>
      <c r="V92" s="79"/>
      <c r="W92" s="80"/>
      <c r="X92" s="79"/>
      <c r="Y92" s="80"/>
      <c r="Z92" s="79"/>
      <c r="AA92" s="80"/>
      <c r="AB92" s="79"/>
      <c r="AC92" s="80"/>
      <c r="AD92" s="572"/>
      <c r="AE92" s="587"/>
      <c r="AF92" s="79"/>
      <c r="AG92" s="80"/>
      <c r="AH92" s="79"/>
      <c r="AI92" s="80"/>
      <c r="AJ92" s="79"/>
      <c r="AK92" s="80"/>
      <c r="AL92" s="79"/>
      <c r="AM92" s="80"/>
      <c r="AN92" s="79"/>
      <c r="AO92" s="80"/>
      <c r="AP92" s="79"/>
      <c r="AQ92" s="80"/>
      <c r="AR92" s="572"/>
      <c r="AS92" s="587"/>
      <c r="AT92" s="79"/>
      <c r="AU92" s="80"/>
      <c r="AV92" s="79"/>
      <c r="AW92" s="80"/>
      <c r="AX92" s="79"/>
      <c r="AY92" s="80"/>
      <c r="AZ92" s="79"/>
      <c r="BA92" s="80"/>
      <c r="BB92" s="79"/>
      <c r="BC92" s="80"/>
      <c r="BD92" s="79"/>
      <c r="BE92" s="80"/>
      <c r="BF92" s="572"/>
      <c r="BG92" s="587"/>
      <c r="BH92" s="79"/>
      <c r="BI92" s="80"/>
      <c r="BJ92" s="535">
        <f t="shared" si="9"/>
        <v>0</v>
      </c>
      <c r="BK92" s="545">
        <f t="shared" si="11"/>
        <v>0</v>
      </c>
    </row>
    <row r="93" spans="1:63" ht="15" customHeight="1" x14ac:dyDescent="0.35">
      <c r="A93" s="579"/>
      <c r="B93" s="546"/>
      <c r="C93" s="579"/>
      <c r="D93" s="653"/>
      <c r="E93" s="654"/>
      <c r="F93" s="618"/>
      <c r="G93" s="595"/>
      <c r="H93" s="618"/>
      <c r="I93" s="595"/>
      <c r="J93" s="618"/>
      <c r="K93" s="595"/>
      <c r="L93" s="618"/>
      <c r="M93" s="595"/>
      <c r="N93" s="618"/>
      <c r="O93" s="595"/>
      <c r="P93" s="572"/>
      <c r="Q93" s="587"/>
      <c r="R93" s="572"/>
      <c r="S93" s="587"/>
      <c r="T93" s="79"/>
      <c r="U93" s="80"/>
      <c r="V93" s="79"/>
      <c r="W93" s="80"/>
      <c r="X93" s="79"/>
      <c r="Y93" s="80"/>
      <c r="Z93" s="79"/>
      <c r="AA93" s="80"/>
      <c r="AB93" s="79"/>
      <c r="AC93" s="80"/>
      <c r="AD93" s="572"/>
      <c r="AE93" s="587"/>
      <c r="AF93" s="79"/>
      <c r="AG93" s="80"/>
      <c r="AH93" s="79"/>
      <c r="AI93" s="80"/>
      <c r="AJ93" s="79"/>
      <c r="AK93" s="80"/>
      <c r="AL93" s="79"/>
      <c r="AM93" s="80"/>
      <c r="AN93" s="79"/>
      <c r="AO93" s="80"/>
      <c r="AP93" s="79"/>
      <c r="AQ93" s="80"/>
      <c r="AR93" s="572"/>
      <c r="AS93" s="587"/>
      <c r="AT93" s="79"/>
      <c r="AU93" s="80"/>
      <c r="AV93" s="79"/>
      <c r="AW93" s="80"/>
      <c r="AX93" s="79"/>
      <c r="AY93" s="80"/>
      <c r="AZ93" s="79"/>
      <c r="BA93" s="80"/>
      <c r="BB93" s="79"/>
      <c r="BC93" s="80"/>
      <c r="BD93" s="79"/>
      <c r="BE93" s="80"/>
      <c r="BF93" s="572"/>
      <c r="BG93" s="587"/>
      <c r="BH93" s="79"/>
      <c r="BI93" s="80"/>
      <c r="BJ93" s="535">
        <f t="shared" si="9"/>
        <v>0</v>
      </c>
      <c r="BK93" s="545">
        <f t="shared" si="11"/>
        <v>0</v>
      </c>
    </row>
    <row r="94" spans="1:63" ht="15" customHeight="1" x14ac:dyDescent="0.35">
      <c r="A94" s="579"/>
      <c r="B94" s="546"/>
      <c r="C94" s="579">
        <f>SUM(BJ95:BJ101)</f>
        <v>0</v>
      </c>
      <c r="D94" s="647" t="s">
        <v>133</v>
      </c>
      <c r="E94" s="648"/>
      <c r="F94" s="618"/>
      <c r="G94" s="595"/>
      <c r="H94" s="618"/>
      <c r="I94" s="595"/>
      <c r="J94" s="618"/>
      <c r="K94" s="595"/>
      <c r="L94" s="618"/>
      <c r="M94" s="595"/>
      <c r="N94" s="618"/>
      <c r="O94" s="595"/>
      <c r="P94" s="572"/>
      <c r="Q94" s="587"/>
      <c r="R94" s="572"/>
      <c r="S94" s="587"/>
      <c r="T94" s="79"/>
      <c r="U94" s="80"/>
      <c r="V94" s="79"/>
      <c r="W94" s="80"/>
      <c r="X94" s="79"/>
      <c r="Y94" s="80"/>
      <c r="Z94" s="79"/>
      <c r="AA94" s="80"/>
      <c r="AB94" s="79"/>
      <c r="AC94" s="80"/>
      <c r="AD94" s="572"/>
      <c r="AE94" s="587"/>
      <c r="AF94" s="79"/>
      <c r="AG94" s="80"/>
      <c r="AH94" s="79"/>
      <c r="AI94" s="80"/>
      <c r="AJ94" s="79"/>
      <c r="AK94" s="80"/>
      <c r="AL94" s="79"/>
      <c r="AM94" s="80"/>
      <c r="AN94" s="79"/>
      <c r="AO94" s="80"/>
      <c r="AP94" s="79"/>
      <c r="AQ94" s="80"/>
      <c r="AR94" s="572"/>
      <c r="AS94" s="587"/>
      <c r="AT94" s="79"/>
      <c r="AU94" s="80"/>
      <c r="AV94" s="79"/>
      <c r="AW94" s="80"/>
      <c r="AX94" s="79"/>
      <c r="AY94" s="80"/>
      <c r="AZ94" s="79"/>
      <c r="BA94" s="80"/>
      <c r="BB94" s="79"/>
      <c r="BC94" s="80"/>
      <c r="BD94" s="79"/>
      <c r="BE94" s="80"/>
      <c r="BF94" s="572"/>
      <c r="BG94" s="587"/>
      <c r="BH94" s="79"/>
      <c r="BI94" s="80"/>
      <c r="BJ94" s="535">
        <f t="shared" si="9"/>
        <v>0</v>
      </c>
      <c r="BK94" s="545">
        <f t="shared" si="11"/>
        <v>0</v>
      </c>
    </row>
    <row r="95" spans="1:63" ht="15" customHeight="1" x14ac:dyDescent="0.35">
      <c r="A95" s="579"/>
      <c r="B95" s="546" t="s">
        <v>44</v>
      </c>
      <c r="C95" s="579" t="s">
        <v>134</v>
      </c>
      <c r="D95" s="653" t="s">
        <v>135</v>
      </c>
      <c r="E95" s="654"/>
      <c r="F95" s="618"/>
      <c r="G95" s="595"/>
      <c r="H95" s="618"/>
      <c r="I95" s="595"/>
      <c r="J95" s="618"/>
      <c r="K95" s="595"/>
      <c r="L95" s="618"/>
      <c r="M95" s="595"/>
      <c r="N95" s="618"/>
      <c r="O95" s="595"/>
      <c r="P95" s="572"/>
      <c r="Q95" s="587"/>
      <c r="R95" s="572"/>
      <c r="S95" s="587"/>
      <c r="T95" s="79"/>
      <c r="U95" s="80"/>
      <c r="V95" s="79"/>
      <c r="W95" s="80"/>
      <c r="X95" s="79"/>
      <c r="Y95" s="80"/>
      <c r="Z95" s="79"/>
      <c r="AA95" s="80"/>
      <c r="AB95" s="79"/>
      <c r="AC95" s="80"/>
      <c r="AD95" s="572"/>
      <c r="AE95" s="587"/>
      <c r="AF95" s="79"/>
      <c r="AG95" s="80"/>
      <c r="AH95" s="79"/>
      <c r="AI95" s="80"/>
      <c r="AJ95" s="79"/>
      <c r="AK95" s="80"/>
      <c r="AL95" s="79"/>
      <c r="AM95" s="80"/>
      <c r="AN95" s="79"/>
      <c r="AO95" s="80"/>
      <c r="AP95" s="79"/>
      <c r="AQ95" s="80"/>
      <c r="AR95" s="572"/>
      <c r="AS95" s="587"/>
      <c r="AT95" s="79"/>
      <c r="AU95" s="80"/>
      <c r="AV95" s="79"/>
      <c r="AW95" s="80"/>
      <c r="AX95" s="79"/>
      <c r="AY95" s="80"/>
      <c r="AZ95" s="79"/>
      <c r="BA95" s="80"/>
      <c r="BB95" s="79"/>
      <c r="BC95" s="80"/>
      <c r="BD95" s="79"/>
      <c r="BE95" s="80"/>
      <c r="BF95" s="572"/>
      <c r="BG95" s="587"/>
      <c r="BH95" s="79"/>
      <c r="BI95" s="80"/>
      <c r="BJ95" s="535">
        <f t="shared" si="9"/>
        <v>0</v>
      </c>
      <c r="BK95" s="545">
        <f t="shared" si="11"/>
        <v>0</v>
      </c>
    </row>
    <row r="96" spans="1:63" ht="15" customHeight="1" x14ac:dyDescent="0.35">
      <c r="A96" s="579"/>
      <c r="B96" s="546" t="s">
        <v>44</v>
      </c>
      <c r="C96" s="579" t="s">
        <v>136</v>
      </c>
      <c r="D96" s="653" t="s">
        <v>137</v>
      </c>
      <c r="E96" s="654"/>
      <c r="F96" s="618"/>
      <c r="G96" s="595"/>
      <c r="H96" s="618"/>
      <c r="I96" s="595"/>
      <c r="J96" s="618"/>
      <c r="K96" s="595"/>
      <c r="L96" s="618"/>
      <c r="M96" s="595"/>
      <c r="N96" s="618"/>
      <c r="O96" s="595"/>
      <c r="P96" s="572"/>
      <c r="Q96" s="587"/>
      <c r="R96" s="572"/>
      <c r="S96" s="587"/>
      <c r="T96" s="79"/>
      <c r="U96" s="80"/>
      <c r="V96" s="79"/>
      <c r="W96" s="80"/>
      <c r="X96" s="79"/>
      <c r="Y96" s="80"/>
      <c r="Z96" s="79"/>
      <c r="AA96" s="80"/>
      <c r="AB96" s="79"/>
      <c r="AC96" s="80"/>
      <c r="AD96" s="572"/>
      <c r="AE96" s="587"/>
      <c r="AF96" s="79"/>
      <c r="AG96" s="80"/>
      <c r="AH96" s="79"/>
      <c r="AI96" s="80"/>
      <c r="AJ96" s="79"/>
      <c r="AK96" s="80"/>
      <c r="AL96" s="79"/>
      <c r="AM96" s="80"/>
      <c r="AN96" s="79"/>
      <c r="AO96" s="80"/>
      <c r="AP96" s="79"/>
      <c r="AQ96" s="80"/>
      <c r="AR96" s="572"/>
      <c r="AS96" s="587"/>
      <c r="AT96" s="79"/>
      <c r="AU96" s="80"/>
      <c r="AV96" s="79"/>
      <c r="AW96" s="80"/>
      <c r="AX96" s="79"/>
      <c r="AY96" s="80"/>
      <c r="AZ96" s="79"/>
      <c r="BA96" s="80"/>
      <c r="BB96" s="79"/>
      <c r="BC96" s="80"/>
      <c r="BD96" s="79"/>
      <c r="BE96" s="80"/>
      <c r="BF96" s="572"/>
      <c r="BG96" s="587"/>
      <c r="BH96" s="79"/>
      <c r="BI96" s="80"/>
      <c r="BJ96" s="535">
        <f t="shared" si="9"/>
        <v>0</v>
      </c>
      <c r="BK96" s="545">
        <f t="shared" si="11"/>
        <v>0</v>
      </c>
    </row>
    <row r="97" spans="1:63" ht="15" customHeight="1" x14ac:dyDescent="0.35">
      <c r="A97" s="579"/>
      <c r="B97" s="546" t="s">
        <v>44</v>
      </c>
      <c r="C97" s="579" t="s">
        <v>138</v>
      </c>
      <c r="D97" s="653" t="s">
        <v>139</v>
      </c>
      <c r="E97" s="654"/>
      <c r="F97" s="618"/>
      <c r="G97" s="595"/>
      <c r="H97" s="618"/>
      <c r="I97" s="595"/>
      <c r="J97" s="618"/>
      <c r="K97" s="595"/>
      <c r="L97" s="618"/>
      <c r="M97" s="595"/>
      <c r="N97" s="618"/>
      <c r="O97" s="595"/>
      <c r="P97" s="572"/>
      <c r="Q97" s="587"/>
      <c r="R97" s="572"/>
      <c r="S97" s="587"/>
      <c r="T97" s="79"/>
      <c r="U97" s="80"/>
      <c r="V97" s="79"/>
      <c r="W97" s="80"/>
      <c r="X97" s="79"/>
      <c r="Y97" s="80"/>
      <c r="Z97" s="79"/>
      <c r="AA97" s="80"/>
      <c r="AB97" s="79"/>
      <c r="AC97" s="80"/>
      <c r="AD97" s="572"/>
      <c r="AE97" s="587"/>
      <c r="AF97" s="79"/>
      <c r="AG97" s="80"/>
      <c r="AH97" s="79"/>
      <c r="AI97" s="80"/>
      <c r="AJ97" s="79"/>
      <c r="AK97" s="80"/>
      <c r="AL97" s="79"/>
      <c r="AM97" s="80"/>
      <c r="AN97" s="79"/>
      <c r="AO97" s="80"/>
      <c r="AP97" s="79"/>
      <c r="AQ97" s="80"/>
      <c r="AR97" s="572"/>
      <c r="AS97" s="587"/>
      <c r="AT97" s="79"/>
      <c r="AU97" s="80"/>
      <c r="AV97" s="79"/>
      <c r="AW97" s="80"/>
      <c r="AX97" s="79"/>
      <c r="AY97" s="80"/>
      <c r="AZ97" s="79"/>
      <c r="BA97" s="80"/>
      <c r="BB97" s="79"/>
      <c r="BC97" s="80"/>
      <c r="BD97" s="79"/>
      <c r="BE97" s="80"/>
      <c r="BF97" s="572"/>
      <c r="BG97" s="587"/>
      <c r="BH97" s="79"/>
      <c r="BI97" s="80"/>
      <c r="BJ97" s="535">
        <f t="shared" si="9"/>
        <v>0</v>
      </c>
      <c r="BK97" s="545">
        <f t="shared" si="11"/>
        <v>0</v>
      </c>
    </row>
    <row r="98" spans="1:63" ht="15.75" customHeight="1" x14ac:dyDescent="0.35">
      <c r="A98" s="579"/>
      <c r="B98" s="546" t="s">
        <v>44</v>
      </c>
      <c r="C98" s="579" t="s">
        <v>140</v>
      </c>
      <c r="D98" s="653" t="s">
        <v>141</v>
      </c>
      <c r="E98" s="654"/>
      <c r="F98" s="618"/>
      <c r="G98" s="595"/>
      <c r="H98" s="618"/>
      <c r="I98" s="595"/>
      <c r="J98" s="618"/>
      <c r="K98" s="595"/>
      <c r="L98" s="618"/>
      <c r="M98" s="595"/>
      <c r="N98" s="618"/>
      <c r="O98" s="595"/>
      <c r="P98" s="572"/>
      <c r="Q98" s="587"/>
      <c r="R98" s="572"/>
      <c r="S98" s="587"/>
      <c r="T98" s="79"/>
      <c r="U98" s="80"/>
      <c r="V98" s="79"/>
      <c r="W98" s="80"/>
      <c r="X98" s="79"/>
      <c r="Y98" s="80"/>
      <c r="Z98" s="79"/>
      <c r="AA98" s="80"/>
      <c r="AB98" s="79"/>
      <c r="AC98" s="80"/>
      <c r="AD98" s="572"/>
      <c r="AE98" s="587"/>
      <c r="AF98" s="79"/>
      <c r="AG98" s="80"/>
      <c r="AH98" s="79"/>
      <c r="AI98" s="80"/>
      <c r="AJ98" s="79"/>
      <c r="AK98" s="80"/>
      <c r="AL98" s="79"/>
      <c r="AM98" s="80"/>
      <c r="AN98" s="79"/>
      <c r="AO98" s="80"/>
      <c r="AP98" s="79"/>
      <c r="AQ98" s="80"/>
      <c r="AR98" s="572"/>
      <c r="AS98" s="587"/>
      <c r="AT98" s="79"/>
      <c r="AU98" s="80"/>
      <c r="AV98" s="79"/>
      <c r="AW98" s="80"/>
      <c r="AX98" s="79"/>
      <c r="AY98" s="80"/>
      <c r="AZ98" s="79"/>
      <c r="BA98" s="80"/>
      <c r="BB98" s="79"/>
      <c r="BC98" s="80"/>
      <c r="BD98" s="79"/>
      <c r="BE98" s="80"/>
      <c r="BF98" s="572"/>
      <c r="BG98" s="587"/>
      <c r="BH98" s="79"/>
      <c r="BI98" s="80"/>
      <c r="BJ98" s="535">
        <f t="shared" si="9"/>
        <v>0</v>
      </c>
      <c r="BK98" s="545">
        <f t="shared" si="11"/>
        <v>0</v>
      </c>
    </row>
    <row r="99" spans="1:63" ht="15" customHeight="1" x14ac:dyDescent="0.35">
      <c r="A99" s="579"/>
      <c r="B99" s="546" t="s">
        <v>44</v>
      </c>
      <c r="C99" s="579" t="s">
        <v>142</v>
      </c>
      <c r="D99" s="653" t="s">
        <v>143</v>
      </c>
      <c r="E99" s="654"/>
      <c r="F99" s="618"/>
      <c r="G99" s="595"/>
      <c r="H99" s="618"/>
      <c r="I99" s="595"/>
      <c r="J99" s="618"/>
      <c r="K99" s="595"/>
      <c r="L99" s="618"/>
      <c r="M99" s="595"/>
      <c r="N99" s="618"/>
      <c r="O99" s="595"/>
      <c r="P99" s="572"/>
      <c r="Q99" s="587"/>
      <c r="R99" s="572"/>
      <c r="S99" s="587"/>
      <c r="T99" s="79"/>
      <c r="U99" s="80"/>
      <c r="V99" s="79"/>
      <c r="W99" s="80"/>
      <c r="X99" s="79"/>
      <c r="Y99" s="80"/>
      <c r="Z99" s="79"/>
      <c r="AA99" s="80"/>
      <c r="AB99" s="79"/>
      <c r="AC99" s="80"/>
      <c r="AD99" s="572"/>
      <c r="AE99" s="587"/>
      <c r="AF99" s="79"/>
      <c r="AG99" s="80"/>
      <c r="AH99" s="79"/>
      <c r="AI99" s="80"/>
      <c r="AJ99" s="79"/>
      <c r="AK99" s="80"/>
      <c r="AL99" s="79"/>
      <c r="AM99" s="80"/>
      <c r="AN99" s="79"/>
      <c r="AO99" s="80"/>
      <c r="AP99" s="79"/>
      <c r="AQ99" s="80"/>
      <c r="AR99" s="572"/>
      <c r="AS99" s="587"/>
      <c r="AT99" s="79"/>
      <c r="AU99" s="80"/>
      <c r="AV99" s="79"/>
      <c r="AW99" s="80"/>
      <c r="AX99" s="79"/>
      <c r="AY99" s="80"/>
      <c r="AZ99" s="79"/>
      <c r="BA99" s="80"/>
      <c r="BB99" s="79"/>
      <c r="BC99" s="80"/>
      <c r="BD99" s="79"/>
      <c r="BE99" s="80"/>
      <c r="BF99" s="572"/>
      <c r="BG99" s="587"/>
      <c r="BH99" s="79"/>
      <c r="BI99" s="80"/>
      <c r="BJ99" s="535">
        <f t="shared" si="9"/>
        <v>0</v>
      </c>
      <c r="BK99" s="545">
        <f t="shared" si="11"/>
        <v>0</v>
      </c>
    </row>
    <row r="100" spans="1:63" ht="15" customHeight="1" x14ac:dyDescent="0.35">
      <c r="A100" s="579"/>
      <c r="B100" s="546" t="s">
        <v>85</v>
      </c>
      <c r="C100" s="579" t="s">
        <v>144</v>
      </c>
      <c r="D100" s="653" t="s">
        <v>143</v>
      </c>
      <c r="E100" s="654"/>
      <c r="F100" s="618"/>
      <c r="G100" s="595"/>
      <c r="H100" s="618"/>
      <c r="I100" s="595"/>
      <c r="J100" s="618"/>
      <c r="K100" s="595"/>
      <c r="L100" s="618"/>
      <c r="M100" s="595"/>
      <c r="N100" s="618"/>
      <c r="O100" s="595"/>
      <c r="P100" s="572"/>
      <c r="Q100" s="587"/>
      <c r="R100" s="572"/>
      <c r="S100" s="587"/>
      <c r="T100" s="79"/>
      <c r="U100" s="80"/>
      <c r="V100" s="79"/>
      <c r="W100" s="80"/>
      <c r="X100" s="79"/>
      <c r="Y100" s="80"/>
      <c r="Z100" s="79"/>
      <c r="AA100" s="80"/>
      <c r="AB100" s="79"/>
      <c r="AC100" s="80"/>
      <c r="AD100" s="572"/>
      <c r="AE100" s="587"/>
      <c r="AF100" s="79"/>
      <c r="AG100" s="80"/>
      <c r="AH100" s="79"/>
      <c r="AI100" s="80"/>
      <c r="AJ100" s="79"/>
      <c r="AK100" s="80"/>
      <c r="AL100" s="79"/>
      <c r="AM100" s="80"/>
      <c r="AN100" s="79"/>
      <c r="AO100" s="80"/>
      <c r="AP100" s="79"/>
      <c r="AQ100" s="80"/>
      <c r="AR100" s="572"/>
      <c r="AS100" s="587"/>
      <c r="AT100" s="79"/>
      <c r="AU100" s="80"/>
      <c r="AV100" s="79"/>
      <c r="AW100" s="80"/>
      <c r="AX100" s="79"/>
      <c r="AY100" s="80"/>
      <c r="AZ100" s="79"/>
      <c r="BA100" s="80"/>
      <c r="BB100" s="79"/>
      <c r="BC100" s="80"/>
      <c r="BD100" s="79"/>
      <c r="BE100" s="80"/>
      <c r="BF100" s="572"/>
      <c r="BG100" s="587"/>
      <c r="BH100" s="79"/>
      <c r="BI100" s="80"/>
      <c r="BJ100" s="535">
        <f t="shared" ref="BJ100:BJ116" si="12">SUM(F100:BI100)</f>
        <v>0</v>
      </c>
      <c r="BK100" s="545">
        <f t="shared" si="11"/>
        <v>0</v>
      </c>
    </row>
    <row r="101" spans="1:63" ht="15.75" customHeight="1" x14ac:dyDescent="0.35">
      <c r="A101" s="579"/>
      <c r="B101" s="546"/>
      <c r="C101" s="579"/>
      <c r="D101" s="653"/>
      <c r="E101" s="654"/>
      <c r="F101" s="618"/>
      <c r="G101" s="595"/>
      <c r="H101" s="618"/>
      <c r="I101" s="595"/>
      <c r="J101" s="618"/>
      <c r="K101" s="595"/>
      <c r="L101" s="618"/>
      <c r="M101" s="595"/>
      <c r="N101" s="618"/>
      <c r="O101" s="595"/>
      <c r="P101" s="572"/>
      <c r="Q101" s="587"/>
      <c r="R101" s="572"/>
      <c r="S101" s="587"/>
      <c r="T101" s="79"/>
      <c r="U101" s="80"/>
      <c r="V101" s="79"/>
      <c r="W101" s="80"/>
      <c r="X101" s="79"/>
      <c r="Y101" s="80"/>
      <c r="Z101" s="79"/>
      <c r="AA101" s="80"/>
      <c r="AB101" s="79"/>
      <c r="AC101" s="80"/>
      <c r="AD101" s="572"/>
      <c r="AE101" s="587"/>
      <c r="AF101" s="79"/>
      <c r="AG101" s="80"/>
      <c r="AH101" s="79"/>
      <c r="AI101" s="80"/>
      <c r="AJ101" s="79"/>
      <c r="AK101" s="80"/>
      <c r="AL101" s="79"/>
      <c r="AM101" s="80"/>
      <c r="AN101" s="79"/>
      <c r="AO101" s="80"/>
      <c r="AP101" s="79"/>
      <c r="AQ101" s="80"/>
      <c r="AR101" s="572"/>
      <c r="AS101" s="587"/>
      <c r="AT101" s="79"/>
      <c r="AU101" s="80"/>
      <c r="AV101" s="79"/>
      <c r="AW101" s="80"/>
      <c r="AX101" s="79"/>
      <c r="AY101" s="80"/>
      <c r="AZ101" s="79"/>
      <c r="BA101" s="80"/>
      <c r="BB101" s="79"/>
      <c r="BC101" s="80"/>
      <c r="BD101" s="79"/>
      <c r="BE101" s="80"/>
      <c r="BF101" s="572"/>
      <c r="BG101" s="587"/>
      <c r="BH101" s="79"/>
      <c r="BI101" s="80"/>
      <c r="BJ101" s="535">
        <f t="shared" si="12"/>
        <v>0</v>
      </c>
      <c r="BK101" s="545">
        <f t="shared" si="11"/>
        <v>0</v>
      </c>
    </row>
    <row r="102" spans="1:63" ht="15.75" customHeight="1" x14ac:dyDescent="0.35">
      <c r="A102" s="579"/>
      <c r="B102" s="546"/>
      <c r="C102" s="579">
        <f>SUM(BJ103:BJ107)</f>
        <v>0</v>
      </c>
      <c r="D102" s="647" t="s">
        <v>145</v>
      </c>
      <c r="E102" s="648"/>
      <c r="F102" s="618"/>
      <c r="G102" s="595"/>
      <c r="H102" s="618"/>
      <c r="I102" s="595"/>
      <c r="J102" s="618"/>
      <c r="K102" s="595"/>
      <c r="L102" s="618"/>
      <c r="M102" s="595"/>
      <c r="N102" s="618"/>
      <c r="O102" s="595"/>
      <c r="P102" s="572"/>
      <c r="Q102" s="587"/>
      <c r="R102" s="572"/>
      <c r="S102" s="587"/>
      <c r="T102" s="79"/>
      <c r="U102" s="80"/>
      <c r="V102" s="79"/>
      <c r="W102" s="80"/>
      <c r="X102" s="79"/>
      <c r="Y102" s="80"/>
      <c r="Z102" s="79"/>
      <c r="AA102" s="80"/>
      <c r="AB102" s="79"/>
      <c r="AC102" s="80"/>
      <c r="AD102" s="572"/>
      <c r="AE102" s="587"/>
      <c r="AF102" s="79"/>
      <c r="AG102" s="80"/>
      <c r="AH102" s="79"/>
      <c r="AI102" s="80"/>
      <c r="AJ102" s="79"/>
      <c r="AK102" s="80"/>
      <c r="AL102" s="79"/>
      <c r="AM102" s="80"/>
      <c r="AN102" s="79"/>
      <c r="AO102" s="80"/>
      <c r="AP102" s="79"/>
      <c r="AQ102" s="80"/>
      <c r="AR102" s="572"/>
      <c r="AS102" s="587"/>
      <c r="AT102" s="79"/>
      <c r="AU102" s="80"/>
      <c r="AV102" s="79"/>
      <c r="AW102" s="80"/>
      <c r="AX102" s="79"/>
      <c r="AY102" s="80"/>
      <c r="AZ102" s="79"/>
      <c r="BA102" s="80"/>
      <c r="BB102" s="79"/>
      <c r="BC102" s="80"/>
      <c r="BD102" s="79"/>
      <c r="BE102" s="80"/>
      <c r="BF102" s="572"/>
      <c r="BG102" s="587"/>
      <c r="BH102" s="79"/>
      <c r="BI102" s="80"/>
      <c r="BJ102" s="535">
        <f t="shared" si="12"/>
        <v>0</v>
      </c>
      <c r="BK102" s="545">
        <f t="shared" si="11"/>
        <v>0</v>
      </c>
    </row>
    <row r="103" spans="1:63" ht="15" customHeight="1" x14ac:dyDescent="0.35">
      <c r="A103" s="579"/>
      <c r="B103" s="546" t="s">
        <v>85</v>
      </c>
      <c r="C103" s="579" t="s">
        <v>146</v>
      </c>
      <c r="D103" s="653" t="s">
        <v>147</v>
      </c>
      <c r="E103" s="654"/>
      <c r="F103" s="618"/>
      <c r="G103" s="595"/>
      <c r="H103" s="618"/>
      <c r="I103" s="595"/>
      <c r="J103" s="618"/>
      <c r="K103" s="595"/>
      <c r="L103" s="618"/>
      <c r="M103" s="595"/>
      <c r="N103" s="618"/>
      <c r="O103" s="595"/>
      <c r="P103" s="572"/>
      <c r="Q103" s="587"/>
      <c r="R103" s="572"/>
      <c r="S103" s="587"/>
      <c r="T103" s="79"/>
      <c r="U103" s="80"/>
      <c r="V103" s="79"/>
      <c r="W103" s="80"/>
      <c r="X103" s="79"/>
      <c r="Y103" s="80"/>
      <c r="Z103" s="79"/>
      <c r="AA103" s="80"/>
      <c r="AB103" s="79"/>
      <c r="AC103" s="80"/>
      <c r="AD103" s="572"/>
      <c r="AE103" s="587"/>
      <c r="AF103" s="79"/>
      <c r="AG103" s="80"/>
      <c r="AH103" s="79"/>
      <c r="AI103" s="80"/>
      <c r="AJ103" s="79"/>
      <c r="AK103" s="80"/>
      <c r="AL103" s="79"/>
      <c r="AM103" s="80"/>
      <c r="AN103" s="79"/>
      <c r="AO103" s="80"/>
      <c r="AP103" s="79"/>
      <c r="AQ103" s="80"/>
      <c r="AR103" s="572"/>
      <c r="AS103" s="587"/>
      <c r="AT103" s="79"/>
      <c r="AU103" s="80"/>
      <c r="AV103" s="79"/>
      <c r="AW103" s="80"/>
      <c r="AX103" s="79"/>
      <c r="AY103" s="80"/>
      <c r="AZ103" s="79"/>
      <c r="BA103" s="80"/>
      <c r="BB103" s="79"/>
      <c r="BC103" s="80"/>
      <c r="BD103" s="79"/>
      <c r="BE103" s="80"/>
      <c r="BF103" s="572"/>
      <c r="BG103" s="587"/>
      <c r="BH103" s="79"/>
      <c r="BI103" s="80"/>
      <c r="BJ103" s="535">
        <f t="shared" si="12"/>
        <v>0</v>
      </c>
      <c r="BK103" s="545">
        <f t="shared" si="11"/>
        <v>0</v>
      </c>
    </row>
    <row r="104" spans="1:63" ht="15" customHeight="1" x14ac:dyDescent="0.35">
      <c r="A104" s="579"/>
      <c r="B104" s="546" t="s">
        <v>44</v>
      </c>
      <c r="C104" s="579" t="s">
        <v>148</v>
      </c>
      <c r="D104" s="653" t="s">
        <v>137</v>
      </c>
      <c r="E104" s="654"/>
      <c r="F104" s="618"/>
      <c r="G104" s="595"/>
      <c r="H104" s="618"/>
      <c r="I104" s="595"/>
      <c r="J104" s="618"/>
      <c r="K104" s="595"/>
      <c r="L104" s="618"/>
      <c r="M104" s="595"/>
      <c r="N104" s="618"/>
      <c r="O104" s="595"/>
      <c r="P104" s="572"/>
      <c r="Q104" s="587"/>
      <c r="R104" s="572"/>
      <c r="S104" s="587"/>
      <c r="T104" s="79"/>
      <c r="U104" s="80"/>
      <c r="V104" s="79"/>
      <c r="W104" s="80"/>
      <c r="X104" s="79"/>
      <c r="Y104" s="80"/>
      <c r="Z104" s="79"/>
      <c r="AA104" s="80"/>
      <c r="AB104" s="79"/>
      <c r="AC104" s="80"/>
      <c r="AD104" s="572"/>
      <c r="AE104" s="587"/>
      <c r="AF104" s="79"/>
      <c r="AG104" s="80"/>
      <c r="AH104" s="79"/>
      <c r="AI104" s="80"/>
      <c r="AJ104" s="79"/>
      <c r="AK104" s="80"/>
      <c r="AL104" s="79"/>
      <c r="AM104" s="80"/>
      <c r="AN104" s="79"/>
      <c r="AO104" s="80"/>
      <c r="AP104" s="79"/>
      <c r="AQ104" s="80"/>
      <c r="AR104" s="572"/>
      <c r="AS104" s="587"/>
      <c r="AT104" s="79"/>
      <c r="AU104" s="80"/>
      <c r="AV104" s="79"/>
      <c r="AW104" s="80"/>
      <c r="AX104" s="79"/>
      <c r="AY104" s="80"/>
      <c r="AZ104" s="79"/>
      <c r="BA104" s="80"/>
      <c r="BB104" s="79"/>
      <c r="BC104" s="80"/>
      <c r="BD104" s="79"/>
      <c r="BE104" s="80"/>
      <c r="BF104" s="572"/>
      <c r="BG104" s="587"/>
      <c r="BH104" s="79"/>
      <c r="BI104" s="80"/>
      <c r="BJ104" s="535">
        <f t="shared" si="12"/>
        <v>0</v>
      </c>
      <c r="BK104" s="545">
        <f t="shared" si="11"/>
        <v>0</v>
      </c>
    </row>
    <row r="105" spans="1:63" ht="15" customHeight="1" x14ac:dyDescent="0.35">
      <c r="A105" s="579"/>
      <c r="B105" s="546" t="s">
        <v>44</v>
      </c>
      <c r="C105" s="579" t="s">
        <v>149</v>
      </c>
      <c r="D105" s="653" t="s">
        <v>150</v>
      </c>
      <c r="E105" s="654"/>
      <c r="F105" s="618"/>
      <c r="G105" s="595"/>
      <c r="H105" s="618"/>
      <c r="I105" s="595"/>
      <c r="J105" s="618"/>
      <c r="K105" s="595"/>
      <c r="L105" s="618"/>
      <c r="M105" s="595"/>
      <c r="N105" s="618"/>
      <c r="O105" s="595"/>
      <c r="P105" s="572"/>
      <c r="Q105" s="587"/>
      <c r="R105" s="572"/>
      <c r="S105" s="587"/>
      <c r="T105" s="79"/>
      <c r="U105" s="80"/>
      <c r="V105" s="79"/>
      <c r="W105" s="80"/>
      <c r="X105" s="79"/>
      <c r="Y105" s="80"/>
      <c r="Z105" s="79"/>
      <c r="AA105" s="80"/>
      <c r="AB105" s="79"/>
      <c r="AC105" s="80"/>
      <c r="AD105" s="572"/>
      <c r="AE105" s="587"/>
      <c r="AF105" s="79"/>
      <c r="AG105" s="80"/>
      <c r="AH105" s="79"/>
      <c r="AI105" s="80"/>
      <c r="AJ105" s="79"/>
      <c r="AK105" s="80"/>
      <c r="AL105" s="79"/>
      <c r="AM105" s="80"/>
      <c r="AN105" s="79"/>
      <c r="AO105" s="80"/>
      <c r="AP105" s="79"/>
      <c r="AQ105" s="80"/>
      <c r="AR105" s="572"/>
      <c r="AS105" s="587"/>
      <c r="AT105" s="79"/>
      <c r="AU105" s="80"/>
      <c r="AV105" s="79"/>
      <c r="AW105" s="80"/>
      <c r="AX105" s="79"/>
      <c r="AY105" s="80"/>
      <c r="AZ105" s="79"/>
      <c r="BA105" s="80"/>
      <c r="BB105" s="79"/>
      <c r="BC105" s="80"/>
      <c r="BD105" s="79"/>
      <c r="BE105" s="80"/>
      <c r="BF105" s="572"/>
      <c r="BG105" s="587"/>
      <c r="BH105" s="79"/>
      <c r="BI105" s="80"/>
      <c r="BJ105" s="535">
        <f t="shared" si="12"/>
        <v>0</v>
      </c>
      <c r="BK105" s="545">
        <f t="shared" si="11"/>
        <v>0</v>
      </c>
    </row>
    <row r="106" spans="1:63" ht="15" customHeight="1" x14ac:dyDescent="0.35">
      <c r="A106" s="579"/>
      <c r="B106" s="579"/>
      <c r="C106" s="579"/>
      <c r="D106" s="653"/>
      <c r="E106" s="654"/>
      <c r="F106" s="618"/>
      <c r="G106" s="595"/>
      <c r="H106" s="618"/>
      <c r="I106" s="595"/>
      <c r="J106" s="618"/>
      <c r="K106" s="595"/>
      <c r="L106" s="618"/>
      <c r="M106" s="595"/>
      <c r="N106" s="618"/>
      <c r="O106" s="595"/>
      <c r="P106" s="572"/>
      <c r="Q106" s="587"/>
      <c r="R106" s="572"/>
      <c r="S106" s="587"/>
      <c r="T106" s="79"/>
      <c r="U106" s="80"/>
      <c r="V106" s="79"/>
      <c r="W106" s="80"/>
      <c r="X106" s="79"/>
      <c r="Y106" s="80"/>
      <c r="Z106" s="79"/>
      <c r="AA106" s="80"/>
      <c r="AB106" s="79"/>
      <c r="AC106" s="80"/>
      <c r="AD106" s="572"/>
      <c r="AE106" s="587"/>
      <c r="AF106" s="79"/>
      <c r="AG106" s="80"/>
      <c r="AH106" s="79"/>
      <c r="AI106" s="80"/>
      <c r="AJ106" s="79"/>
      <c r="AK106" s="80"/>
      <c r="AL106" s="79"/>
      <c r="AM106" s="80"/>
      <c r="AN106" s="79"/>
      <c r="AO106" s="80"/>
      <c r="AP106" s="79"/>
      <c r="AQ106" s="80"/>
      <c r="AR106" s="572"/>
      <c r="AS106" s="587"/>
      <c r="AT106" s="79"/>
      <c r="AU106" s="80"/>
      <c r="AV106" s="79"/>
      <c r="AW106" s="80"/>
      <c r="AX106" s="79"/>
      <c r="AY106" s="80"/>
      <c r="AZ106" s="79"/>
      <c r="BA106" s="80"/>
      <c r="BB106" s="79"/>
      <c r="BC106" s="80"/>
      <c r="BD106" s="79"/>
      <c r="BE106" s="80"/>
      <c r="BF106" s="572"/>
      <c r="BG106" s="587"/>
      <c r="BH106" s="79"/>
      <c r="BI106" s="80"/>
      <c r="BJ106" s="535">
        <f t="shared" si="12"/>
        <v>0</v>
      </c>
      <c r="BK106" s="545">
        <f t="shared" si="11"/>
        <v>0</v>
      </c>
    </row>
    <row r="107" spans="1:63" ht="15" customHeight="1" x14ac:dyDescent="0.35">
      <c r="A107" s="579"/>
      <c r="B107" s="579"/>
      <c r="C107" s="579"/>
      <c r="D107" s="653"/>
      <c r="E107" s="654"/>
      <c r="F107" s="618"/>
      <c r="G107" s="595"/>
      <c r="H107" s="618"/>
      <c r="I107" s="595"/>
      <c r="J107" s="618"/>
      <c r="K107" s="595"/>
      <c r="L107" s="618"/>
      <c r="M107" s="595"/>
      <c r="N107" s="618"/>
      <c r="O107" s="595"/>
      <c r="P107" s="572"/>
      <c r="Q107" s="587"/>
      <c r="R107" s="572"/>
      <c r="S107" s="587"/>
      <c r="T107" s="79"/>
      <c r="U107" s="80"/>
      <c r="V107" s="79"/>
      <c r="W107" s="80"/>
      <c r="X107" s="79"/>
      <c r="Y107" s="80"/>
      <c r="Z107" s="79"/>
      <c r="AA107" s="80"/>
      <c r="AB107" s="79"/>
      <c r="AC107" s="80"/>
      <c r="AD107" s="572"/>
      <c r="AE107" s="587"/>
      <c r="AF107" s="79"/>
      <c r="AG107" s="80"/>
      <c r="AH107" s="79"/>
      <c r="AI107" s="80"/>
      <c r="AJ107" s="79"/>
      <c r="AK107" s="80"/>
      <c r="AL107" s="79"/>
      <c r="AM107" s="80"/>
      <c r="AN107" s="79"/>
      <c r="AO107" s="80"/>
      <c r="AP107" s="79"/>
      <c r="AQ107" s="80"/>
      <c r="AR107" s="572"/>
      <c r="AS107" s="587"/>
      <c r="AT107" s="79"/>
      <c r="AU107" s="80"/>
      <c r="AV107" s="79"/>
      <c r="AW107" s="80"/>
      <c r="AX107" s="79"/>
      <c r="AY107" s="80"/>
      <c r="AZ107" s="79"/>
      <c r="BA107" s="80"/>
      <c r="BB107" s="79"/>
      <c r="BC107" s="80"/>
      <c r="BD107" s="79"/>
      <c r="BE107" s="80"/>
      <c r="BF107" s="572"/>
      <c r="BG107" s="587"/>
      <c r="BH107" s="79"/>
      <c r="BI107" s="80"/>
      <c r="BJ107" s="535">
        <f t="shared" si="12"/>
        <v>0</v>
      </c>
      <c r="BK107" s="545">
        <f t="shared" si="11"/>
        <v>0</v>
      </c>
    </row>
    <row r="108" spans="1:63" x14ac:dyDescent="0.35">
      <c r="A108" s="583"/>
      <c r="B108" s="583"/>
      <c r="C108" s="583"/>
      <c r="D108" s="661" t="s">
        <v>151</v>
      </c>
      <c r="E108" s="662"/>
      <c r="F108" s="536"/>
      <c r="G108" s="573"/>
      <c r="H108" s="536"/>
      <c r="I108" s="573"/>
      <c r="J108" s="536"/>
      <c r="K108" s="573"/>
      <c r="L108" s="536"/>
      <c r="M108" s="573"/>
      <c r="N108" s="536"/>
      <c r="O108" s="573"/>
      <c r="P108" s="572"/>
      <c r="Q108" s="587"/>
      <c r="R108" s="572"/>
      <c r="S108" s="587"/>
      <c r="T108" s="536"/>
      <c r="U108" s="573"/>
      <c r="V108" s="536"/>
      <c r="W108" s="573"/>
      <c r="X108" s="536"/>
      <c r="Y108" s="573"/>
      <c r="Z108" s="536"/>
      <c r="AA108" s="573"/>
      <c r="AB108" s="536"/>
      <c r="AC108" s="573"/>
      <c r="AD108" s="572"/>
      <c r="AE108" s="587"/>
      <c r="AF108" s="536"/>
      <c r="AG108" s="573"/>
      <c r="AH108" s="536"/>
      <c r="AI108" s="573"/>
      <c r="AJ108" s="536"/>
      <c r="AK108" s="573"/>
      <c r="AL108" s="536"/>
      <c r="AM108" s="573"/>
      <c r="AN108" s="536"/>
      <c r="AO108" s="573"/>
      <c r="AP108" s="536"/>
      <c r="AQ108" s="573"/>
      <c r="AR108" s="572"/>
      <c r="AS108" s="587"/>
      <c r="AT108" s="536"/>
      <c r="AU108" s="573"/>
      <c r="AV108" s="536"/>
      <c r="AW108" s="573"/>
      <c r="AX108" s="536"/>
      <c r="AY108" s="573"/>
      <c r="AZ108" s="536"/>
      <c r="BA108" s="573"/>
      <c r="BB108" s="536"/>
      <c r="BC108" s="573"/>
      <c r="BD108" s="536"/>
      <c r="BE108" s="573"/>
      <c r="BF108" s="572"/>
      <c r="BG108" s="587"/>
      <c r="BH108" s="536"/>
      <c r="BI108" s="573"/>
      <c r="BJ108" s="535">
        <f t="shared" si="12"/>
        <v>0</v>
      </c>
      <c r="BK108" s="545"/>
    </row>
    <row r="109" spans="1:63" x14ac:dyDescent="0.35">
      <c r="A109" s="583"/>
      <c r="B109" s="583"/>
      <c r="C109" s="583"/>
      <c r="D109" s="655" t="s">
        <v>152</v>
      </c>
      <c r="E109" s="656"/>
      <c r="F109" s="588"/>
      <c r="G109" s="574"/>
      <c r="H109" s="588"/>
      <c r="I109" s="574"/>
      <c r="J109" s="588"/>
      <c r="K109" s="574"/>
      <c r="L109" s="588"/>
      <c r="M109" s="574"/>
      <c r="N109" s="588"/>
      <c r="O109" s="574"/>
      <c r="P109" s="572"/>
      <c r="Q109" s="587"/>
      <c r="R109" s="572"/>
      <c r="S109" s="587"/>
      <c r="T109" s="588"/>
      <c r="U109" s="574"/>
      <c r="V109" s="588"/>
      <c r="W109" s="574"/>
      <c r="X109" s="588"/>
      <c r="Y109" s="574"/>
      <c r="Z109" s="588"/>
      <c r="AA109" s="574"/>
      <c r="AB109" s="588"/>
      <c r="AC109" s="574"/>
      <c r="AD109" s="572"/>
      <c r="AE109" s="587"/>
      <c r="AF109" s="588"/>
      <c r="AG109" s="574"/>
      <c r="AH109" s="588"/>
      <c r="AI109" s="574"/>
      <c r="AJ109" s="588"/>
      <c r="AK109" s="574"/>
      <c r="AL109" s="588"/>
      <c r="AM109" s="574"/>
      <c r="AN109" s="588"/>
      <c r="AO109" s="574"/>
      <c r="AP109" s="588"/>
      <c r="AQ109" s="574"/>
      <c r="AR109" s="572"/>
      <c r="AS109" s="587"/>
      <c r="AT109" s="588"/>
      <c r="AU109" s="574"/>
      <c r="AV109" s="588"/>
      <c r="AW109" s="574"/>
      <c r="AX109" s="588"/>
      <c r="AY109" s="574"/>
      <c r="AZ109" s="588"/>
      <c r="BA109" s="574"/>
      <c r="BB109" s="588"/>
      <c r="BC109" s="574"/>
      <c r="BD109" s="588"/>
      <c r="BE109" s="574"/>
      <c r="BF109" s="572"/>
      <c r="BG109" s="587"/>
      <c r="BH109" s="588"/>
      <c r="BI109" s="574"/>
      <c r="BJ109" s="535">
        <f t="shared" si="12"/>
        <v>0</v>
      </c>
      <c r="BK109" s="545"/>
    </row>
    <row r="110" spans="1:63" s="531" customFormat="1" x14ac:dyDescent="0.35">
      <c r="A110" s="551"/>
      <c r="B110" s="551"/>
      <c r="C110" s="551"/>
      <c r="D110" s="657" t="s">
        <v>1041</v>
      </c>
      <c r="E110" s="658"/>
      <c r="F110" s="601"/>
      <c r="G110" s="90"/>
      <c r="H110" s="89"/>
      <c r="I110" s="601"/>
      <c r="J110" s="601"/>
      <c r="K110" s="601"/>
      <c r="L110" s="601">
        <v>6</v>
      </c>
      <c r="M110" s="601"/>
      <c r="N110" s="89">
        <v>6</v>
      </c>
      <c r="O110" s="601"/>
      <c r="P110" s="572"/>
      <c r="Q110" s="587"/>
      <c r="R110" s="572"/>
      <c r="S110" s="587"/>
      <c r="T110" s="89">
        <v>6</v>
      </c>
      <c r="U110" s="90"/>
      <c r="V110" s="601">
        <v>6</v>
      </c>
      <c r="W110" s="601"/>
      <c r="X110" s="601"/>
      <c r="Y110" s="601"/>
      <c r="Z110" s="89"/>
      <c r="AA110" s="90"/>
      <c r="AB110" s="601"/>
      <c r="AC110" s="90"/>
      <c r="AD110" s="572"/>
      <c r="AE110" s="587"/>
      <c r="AF110" s="601"/>
      <c r="AG110" s="90"/>
      <c r="AH110" s="89"/>
      <c r="AI110" s="90"/>
      <c r="AJ110" s="89"/>
      <c r="AK110" s="90"/>
      <c r="AL110" s="89"/>
      <c r="AM110" s="90"/>
      <c r="AN110" s="599"/>
      <c r="AO110" s="604"/>
      <c r="AP110" s="599"/>
      <c r="AQ110" s="90"/>
      <c r="AR110" s="572"/>
      <c r="AS110" s="587"/>
      <c r="AT110" s="89"/>
      <c r="AU110" s="90"/>
      <c r="AV110" s="89"/>
      <c r="AW110" s="90"/>
      <c r="AX110" s="89"/>
      <c r="AY110" s="90"/>
      <c r="AZ110" s="89"/>
      <c r="BA110" s="90"/>
      <c r="BB110" s="89"/>
      <c r="BC110" s="90"/>
      <c r="BD110" s="89"/>
      <c r="BE110" s="90"/>
      <c r="BF110" s="572"/>
      <c r="BG110" s="587"/>
      <c r="BH110" s="89"/>
      <c r="BI110" s="90"/>
      <c r="BJ110" s="535">
        <f t="shared" si="12"/>
        <v>24</v>
      </c>
      <c r="BK110" s="591"/>
    </row>
    <row r="111" spans="1:63" s="531" customFormat="1" x14ac:dyDescent="0.35">
      <c r="A111" s="551"/>
      <c r="B111" s="551"/>
      <c r="C111" s="551"/>
      <c r="D111" s="657" t="s">
        <v>154</v>
      </c>
      <c r="E111" s="658"/>
      <c r="F111" s="530"/>
      <c r="G111" s="537"/>
      <c r="H111" s="530"/>
      <c r="I111" s="537"/>
      <c r="J111" s="530"/>
      <c r="K111" s="537"/>
      <c r="L111" s="530"/>
      <c r="M111" s="537"/>
      <c r="N111" s="530"/>
      <c r="O111" s="537"/>
      <c r="P111" s="572"/>
      <c r="Q111" s="587"/>
      <c r="R111" s="572"/>
      <c r="S111" s="587"/>
      <c r="T111" s="530"/>
      <c r="U111" s="537"/>
      <c r="V111" s="530"/>
      <c r="W111" s="537"/>
      <c r="X111" s="530"/>
      <c r="Y111" s="537"/>
      <c r="Z111" s="530"/>
      <c r="AA111" s="537"/>
      <c r="AB111" s="530"/>
      <c r="AC111" s="537"/>
      <c r="AD111" s="572"/>
      <c r="AE111" s="587"/>
      <c r="AF111" s="530"/>
      <c r="AG111" s="537"/>
      <c r="AH111" s="530"/>
      <c r="AI111" s="537"/>
      <c r="AJ111" s="530"/>
      <c r="AK111" s="537"/>
      <c r="AL111" s="530"/>
      <c r="AM111" s="537"/>
      <c r="AN111" s="530"/>
      <c r="AO111" s="537"/>
      <c r="AP111" s="530"/>
      <c r="AQ111" s="537"/>
      <c r="AR111" s="572"/>
      <c r="AS111" s="587"/>
      <c r="AT111" s="530"/>
      <c r="AU111" s="537"/>
      <c r="AV111" s="530"/>
      <c r="AW111" s="537"/>
      <c r="AX111" s="530"/>
      <c r="AY111" s="530"/>
      <c r="AZ111" s="530"/>
      <c r="BA111" s="537"/>
      <c r="BB111" s="530"/>
      <c r="BC111" s="537"/>
      <c r="BD111" s="530"/>
      <c r="BE111" s="537"/>
      <c r="BF111" s="572"/>
      <c r="BG111" s="587"/>
      <c r="BH111" s="530"/>
      <c r="BI111" s="537"/>
      <c r="BJ111" s="535">
        <f t="shared" si="12"/>
        <v>0</v>
      </c>
      <c r="BK111" s="591"/>
    </row>
    <row r="112" spans="1:63" s="531" customFormat="1" x14ac:dyDescent="0.35">
      <c r="A112" s="551"/>
      <c r="B112" s="551"/>
      <c r="C112" s="551"/>
      <c r="D112" s="657" t="s">
        <v>155</v>
      </c>
      <c r="E112" s="658"/>
      <c r="F112" s="530">
        <f t="shared" ref="F112:BI112" si="13">(F110*60)+F111</f>
        <v>0</v>
      </c>
      <c r="G112" s="537">
        <f t="shared" si="13"/>
        <v>0</v>
      </c>
      <c r="H112" s="530">
        <f t="shared" si="13"/>
        <v>0</v>
      </c>
      <c r="I112" s="537">
        <f t="shared" si="13"/>
        <v>0</v>
      </c>
      <c r="J112" s="530">
        <f t="shared" si="13"/>
        <v>0</v>
      </c>
      <c r="K112" s="537">
        <f t="shared" si="13"/>
        <v>0</v>
      </c>
      <c r="L112" s="530">
        <f t="shared" si="13"/>
        <v>360</v>
      </c>
      <c r="M112" s="537">
        <f t="shared" si="13"/>
        <v>0</v>
      </c>
      <c r="N112" s="530">
        <f t="shared" si="13"/>
        <v>360</v>
      </c>
      <c r="O112" s="537">
        <f t="shared" si="13"/>
        <v>0</v>
      </c>
      <c r="P112" s="572">
        <f t="shared" si="13"/>
        <v>0</v>
      </c>
      <c r="Q112" s="587">
        <f t="shared" si="13"/>
        <v>0</v>
      </c>
      <c r="R112" s="572">
        <f t="shared" si="13"/>
        <v>0</v>
      </c>
      <c r="S112" s="587">
        <f t="shared" si="13"/>
        <v>0</v>
      </c>
      <c r="T112" s="530">
        <f t="shared" si="13"/>
        <v>360</v>
      </c>
      <c r="U112" s="537">
        <f t="shared" si="13"/>
        <v>0</v>
      </c>
      <c r="V112" s="530">
        <f>(V110*60)+V111</f>
        <v>360</v>
      </c>
      <c r="W112" s="537">
        <f t="shared" si="13"/>
        <v>0</v>
      </c>
      <c r="X112" s="530">
        <f t="shared" si="13"/>
        <v>0</v>
      </c>
      <c r="Y112" s="537">
        <f t="shared" si="13"/>
        <v>0</v>
      </c>
      <c r="Z112" s="530">
        <f t="shared" si="13"/>
        <v>0</v>
      </c>
      <c r="AA112" s="537">
        <f t="shared" si="13"/>
        <v>0</v>
      </c>
      <c r="AB112" s="530">
        <f t="shared" si="13"/>
        <v>0</v>
      </c>
      <c r="AC112" s="537">
        <f t="shared" si="13"/>
        <v>0</v>
      </c>
      <c r="AD112" s="572">
        <f t="shared" si="13"/>
        <v>0</v>
      </c>
      <c r="AE112" s="587">
        <f t="shared" si="13"/>
        <v>0</v>
      </c>
      <c r="AF112" s="530">
        <f t="shared" si="13"/>
        <v>0</v>
      </c>
      <c r="AG112" s="537">
        <f t="shared" si="13"/>
        <v>0</v>
      </c>
      <c r="AH112" s="530">
        <f t="shared" si="13"/>
        <v>0</v>
      </c>
      <c r="AI112" s="537">
        <f t="shared" si="13"/>
        <v>0</v>
      </c>
      <c r="AJ112" s="530">
        <f t="shared" si="13"/>
        <v>0</v>
      </c>
      <c r="AK112" s="537">
        <f t="shared" si="13"/>
        <v>0</v>
      </c>
      <c r="AL112" s="530">
        <f t="shared" si="13"/>
        <v>0</v>
      </c>
      <c r="AM112" s="537">
        <f t="shared" si="13"/>
        <v>0</v>
      </c>
      <c r="AN112" s="530">
        <f t="shared" si="13"/>
        <v>0</v>
      </c>
      <c r="AO112" s="537">
        <f t="shared" si="13"/>
        <v>0</v>
      </c>
      <c r="AP112" s="530">
        <f t="shared" si="13"/>
        <v>0</v>
      </c>
      <c r="AQ112" s="537">
        <f t="shared" si="13"/>
        <v>0</v>
      </c>
      <c r="AR112" s="572">
        <f t="shared" si="13"/>
        <v>0</v>
      </c>
      <c r="AS112" s="587">
        <f t="shared" si="13"/>
        <v>0</v>
      </c>
      <c r="AT112" s="530">
        <f t="shared" si="13"/>
        <v>0</v>
      </c>
      <c r="AU112" s="537">
        <f t="shared" si="13"/>
        <v>0</v>
      </c>
      <c r="AV112" s="530">
        <f t="shared" si="13"/>
        <v>0</v>
      </c>
      <c r="AW112" s="537">
        <f t="shared" si="13"/>
        <v>0</v>
      </c>
      <c r="AX112" s="530">
        <f t="shared" si="13"/>
        <v>0</v>
      </c>
      <c r="AY112" s="530">
        <f>(AY110*60)+AY111</f>
        <v>0</v>
      </c>
      <c r="AZ112" s="530">
        <f>(AZ110*60)+AZ111</f>
        <v>0</v>
      </c>
      <c r="BA112" s="537">
        <f t="shared" si="13"/>
        <v>0</v>
      </c>
      <c r="BB112" s="530">
        <f t="shared" si="13"/>
        <v>0</v>
      </c>
      <c r="BC112" s="537">
        <f t="shared" si="13"/>
        <v>0</v>
      </c>
      <c r="BD112" s="530">
        <f t="shared" si="13"/>
        <v>0</v>
      </c>
      <c r="BE112" s="537">
        <f t="shared" si="13"/>
        <v>0</v>
      </c>
      <c r="BF112" s="572">
        <f t="shared" si="13"/>
        <v>0</v>
      </c>
      <c r="BG112" s="587">
        <f t="shared" si="13"/>
        <v>0</v>
      </c>
      <c r="BH112" s="530">
        <f t="shared" si="13"/>
        <v>0</v>
      </c>
      <c r="BI112" s="537">
        <f t="shared" si="13"/>
        <v>0</v>
      </c>
      <c r="BJ112" s="535">
        <f t="shared" si="12"/>
        <v>1440</v>
      </c>
      <c r="BK112" s="591"/>
    </row>
    <row r="113" spans="1:63" s="531" customFormat="1" x14ac:dyDescent="0.35">
      <c r="A113" s="551"/>
      <c r="B113" s="551"/>
      <c r="C113" s="551"/>
      <c r="D113" s="657" t="s">
        <v>156</v>
      </c>
      <c r="E113" s="658"/>
      <c r="F113" s="530">
        <f t="shared" ref="F113:BI113" si="14">F112-F114</f>
        <v>0</v>
      </c>
      <c r="G113" s="537">
        <f t="shared" si="14"/>
        <v>0</v>
      </c>
      <c r="H113" s="530">
        <f t="shared" si="14"/>
        <v>0</v>
      </c>
      <c r="I113" s="537">
        <f t="shared" si="14"/>
        <v>0</v>
      </c>
      <c r="J113" s="530">
        <f t="shared" si="14"/>
        <v>0</v>
      </c>
      <c r="K113" s="537">
        <f t="shared" si="14"/>
        <v>0</v>
      </c>
      <c r="L113" s="530">
        <f t="shared" si="14"/>
        <v>315</v>
      </c>
      <c r="M113" s="537">
        <f t="shared" si="14"/>
        <v>0</v>
      </c>
      <c r="N113" s="530">
        <f t="shared" si="14"/>
        <v>260</v>
      </c>
      <c r="O113" s="537">
        <f t="shared" si="14"/>
        <v>0</v>
      </c>
      <c r="P113" s="588">
        <f t="shared" si="14"/>
        <v>0</v>
      </c>
      <c r="Q113" s="586">
        <f t="shared" si="14"/>
        <v>0</v>
      </c>
      <c r="R113" s="588">
        <f t="shared" si="14"/>
        <v>0</v>
      </c>
      <c r="S113" s="586">
        <f t="shared" si="14"/>
        <v>0</v>
      </c>
      <c r="T113" s="530">
        <f t="shared" si="14"/>
        <v>140</v>
      </c>
      <c r="U113" s="537">
        <f t="shared" si="14"/>
        <v>0</v>
      </c>
      <c r="V113" s="530">
        <f t="shared" si="14"/>
        <v>90</v>
      </c>
      <c r="W113" s="537">
        <f t="shared" si="14"/>
        <v>0</v>
      </c>
      <c r="X113" s="530">
        <f t="shared" si="14"/>
        <v>0</v>
      </c>
      <c r="Y113" s="537">
        <f t="shared" si="14"/>
        <v>0</v>
      </c>
      <c r="Z113" s="530">
        <f t="shared" si="14"/>
        <v>0</v>
      </c>
      <c r="AA113" s="537">
        <f t="shared" si="14"/>
        <v>0</v>
      </c>
      <c r="AB113" s="530">
        <f t="shared" si="14"/>
        <v>0</v>
      </c>
      <c r="AC113" s="537">
        <f t="shared" si="14"/>
        <v>0</v>
      </c>
      <c r="AD113" s="588">
        <f t="shared" si="14"/>
        <v>0</v>
      </c>
      <c r="AE113" s="586">
        <f t="shared" si="14"/>
        <v>0</v>
      </c>
      <c r="AF113" s="530">
        <f t="shared" si="14"/>
        <v>0</v>
      </c>
      <c r="AG113" s="537">
        <f t="shared" si="14"/>
        <v>0</v>
      </c>
      <c r="AH113" s="530">
        <f>AH112-AH114</f>
        <v>0</v>
      </c>
      <c r="AI113" s="537">
        <f t="shared" si="14"/>
        <v>0</v>
      </c>
      <c r="AJ113" s="530">
        <f t="shared" si="14"/>
        <v>0</v>
      </c>
      <c r="AK113" s="537">
        <f t="shared" si="14"/>
        <v>0</v>
      </c>
      <c r="AL113" s="530">
        <f t="shared" si="14"/>
        <v>0</v>
      </c>
      <c r="AM113" s="537">
        <f t="shared" si="14"/>
        <v>0</v>
      </c>
      <c r="AN113" s="530">
        <f t="shared" si="14"/>
        <v>0</v>
      </c>
      <c r="AO113" s="537">
        <f t="shared" si="14"/>
        <v>0</v>
      </c>
      <c r="AP113" s="530">
        <f t="shared" si="14"/>
        <v>0</v>
      </c>
      <c r="AQ113" s="537">
        <f t="shared" si="14"/>
        <v>0</v>
      </c>
      <c r="AR113" s="588">
        <f t="shared" si="14"/>
        <v>0</v>
      </c>
      <c r="AS113" s="586">
        <f t="shared" si="14"/>
        <v>0</v>
      </c>
      <c r="AT113" s="530">
        <f t="shared" si="14"/>
        <v>0</v>
      </c>
      <c r="AU113" s="537">
        <f t="shared" si="14"/>
        <v>0</v>
      </c>
      <c r="AV113" s="530">
        <f t="shared" si="14"/>
        <v>0</v>
      </c>
      <c r="AW113" s="537">
        <f t="shared" si="14"/>
        <v>0</v>
      </c>
      <c r="AX113" s="530">
        <f t="shared" si="14"/>
        <v>0</v>
      </c>
      <c r="AY113" s="530">
        <f>AY112-AY114</f>
        <v>0</v>
      </c>
      <c r="AZ113" s="530">
        <f>AZ112-AZ114</f>
        <v>0</v>
      </c>
      <c r="BA113" s="537">
        <f t="shared" si="14"/>
        <v>0</v>
      </c>
      <c r="BB113" s="530">
        <f t="shared" si="14"/>
        <v>0</v>
      </c>
      <c r="BC113" s="537">
        <f t="shared" si="14"/>
        <v>0</v>
      </c>
      <c r="BD113" s="530">
        <f t="shared" si="14"/>
        <v>0</v>
      </c>
      <c r="BE113" s="537">
        <f t="shared" si="14"/>
        <v>0</v>
      </c>
      <c r="BF113" s="588">
        <f t="shared" si="14"/>
        <v>0</v>
      </c>
      <c r="BG113" s="586">
        <f t="shared" si="14"/>
        <v>0</v>
      </c>
      <c r="BH113" s="530">
        <f t="shared" si="14"/>
        <v>0</v>
      </c>
      <c r="BI113" s="537">
        <f t="shared" si="14"/>
        <v>0</v>
      </c>
      <c r="BJ113" s="535">
        <f t="shared" si="12"/>
        <v>805</v>
      </c>
      <c r="BK113" s="591"/>
    </row>
    <row r="114" spans="1:63" s="531" customFormat="1" x14ac:dyDescent="0.35">
      <c r="A114" s="529"/>
      <c r="B114" s="529"/>
      <c r="C114" s="529"/>
      <c r="D114" s="659" t="s">
        <v>157</v>
      </c>
      <c r="E114" s="660"/>
      <c r="F114" s="553">
        <f t="shared" ref="F114:AK114" si="15">SUM(F115:F116)</f>
        <v>0</v>
      </c>
      <c r="G114" s="560">
        <f t="shared" si="15"/>
        <v>0</v>
      </c>
      <c r="H114" s="553">
        <f t="shared" si="15"/>
        <v>0</v>
      </c>
      <c r="I114" s="560">
        <f t="shared" si="15"/>
        <v>0</v>
      </c>
      <c r="J114" s="553">
        <f t="shared" si="15"/>
        <v>0</v>
      </c>
      <c r="K114" s="560">
        <f t="shared" si="15"/>
        <v>0</v>
      </c>
      <c r="L114" s="553">
        <f t="shared" si="15"/>
        <v>45</v>
      </c>
      <c r="M114" s="560">
        <f t="shared" si="15"/>
        <v>0</v>
      </c>
      <c r="N114" s="553">
        <f t="shared" si="15"/>
        <v>100</v>
      </c>
      <c r="O114" s="560">
        <f t="shared" si="15"/>
        <v>0</v>
      </c>
      <c r="P114" s="572">
        <f t="shared" si="15"/>
        <v>0</v>
      </c>
      <c r="Q114" s="587">
        <f t="shared" si="15"/>
        <v>0</v>
      </c>
      <c r="R114" s="572">
        <f t="shared" si="15"/>
        <v>0</v>
      </c>
      <c r="S114" s="587">
        <f t="shared" si="15"/>
        <v>0</v>
      </c>
      <c r="T114" s="553">
        <f t="shared" si="15"/>
        <v>220</v>
      </c>
      <c r="U114" s="560">
        <f t="shared" si="15"/>
        <v>0</v>
      </c>
      <c r="V114" s="553">
        <f t="shared" si="15"/>
        <v>270</v>
      </c>
      <c r="W114" s="560">
        <f t="shared" si="15"/>
        <v>0</v>
      </c>
      <c r="X114" s="553">
        <f>SUM(X115:X116)</f>
        <v>0</v>
      </c>
      <c r="Y114" s="560">
        <f t="shared" si="15"/>
        <v>0</v>
      </c>
      <c r="Z114" s="553">
        <f t="shared" si="15"/>
        <v>0</v>
      </c>
      <c r="AA114" s="560">
        <f t="shared" si="15"/>
        <v>0</v>
      </c>
      <c r="AB114" s="553">
        <f t="shared" si="15"/>
        <v>0</v>
      </c>
      <c r="AC114" s="560">
        <f t="shared" si="15"/>
        <v>0</v>
      </c>
      <c r="AD114" s="572">
        <f t="shared" si="15"/>
        <v>0</v>
      </c>
      <c r="AE114" s="587">
        <f t="shared" si="15"/>
        <v>0</v>
      </c>
      <c r="AF114" s="553">
        <f t="shared" si="15"/>
        <v>0</v>
      </c>
      <c r="AG114" s="560">
        <f t="shared" si="15"/>
        <v>0</v>
      </c>
      <c r="AH114" s="553">
        <f t="shared" si="15"/>
        <v>0</v>
      </c>
      <c r="AI114" s="560">
        <f t="shared" si="15"/>
        <v>0</v>
      </c>
      <c r="AJ114" s="553">
        <f t="shared" si="15"/>
        <v>0</v>
      </c>
      <c r="AK114" s="560">
        <f t="shared" si="15"/>
        <v>0</v>
      </c>
      <c r="AL114" s="553">
        <f t="shared" ref="AL114:BI114" si="16">SUM(AL115:AL116)</f>
        <v>0</v>
      </c>
      <c r="AM114" s="560">
        <f t="shared" si="16"/>
        <v>0</v>
      </c>
      <c r="AN114" s="553">
        <f t="shared" si="16"/>
        <v>0</v>
      </c>
      <c r="AO114" s="560">
        <f t="shared" si="16"/>
        <v>0</v>
      </c>
      <c r="AP114" s="553">
        <f t="shared" si="16"/>
        <v>0</v>
      </c>
      <c r="AQ114" s="560">
        <f t="shared" si="16"/>
        <v>0</v>
      </c>
      <c r="AR114" s="572">
        <f t="shared" si="16"/>
        <v>0</v>
      </c>
      <c r="AS114" s="587">
        <f t="shared" si="16"/>
        <v>0</v>
      </c>
      <c r="AT114" s="553">
        <f t="shared" si="16"/>
        <v>0</v>
      </c>
      <c r="AU114" s="560">
        <f t="shared" si="16"/>
        <v>0</v>
      </c>
      <c r="AV114" s="553">
        <f t="shared" si="16"/>
        <v>0</v>
      </c>
      <c r="AW114" s="560">
        <f t="shared" si="16"/>
        <v>0</v>
      </c>
      <c r="AX114" s="553">
        <f t="shared" si="16"/>
        <v>0</v>
      </c>
      <c r="AY114" s="553">
        <f>SUM(AY115:AY116)</f>
        <v>0</v>
      </c>
      <c r="AZ114" s="553">
        <f>SUM(AZ115:AZ116)</f>
        <v>0</v>
      </c>
      <c r="BA114" s="560">
        <f t="shared" si="16"/>
        <v>0</v>
      </c>
      <c r="BB114" s="553">
        <f t="shared" si="16"/>
        <v>0</v>
      </c>
      <c r="BC114" s="560">
        <f t="shared" si="16"/>
        <v>0</v>
      </c>
      <c r="BD114" s="553">
        <f t="shared" si="16"/>
        <v>0</v>
      </c>
      <c r="BE114" s="560">
        <f t="shared" si="16"/>
        <v>0</v>
      </c>
      <c r="BF114" s="572">
        <f t="shared" si="16"/>
        <v>0</v>
      </c>
      <c r="BG114" s="587">
        <f t="shared" si="16"/>
        <v>0</v>
      </c>
      <c r="BH114" s="553">
        <f t="shared" si="16"/>
        <v>0</v>
      </c>
      <c r="BI114" s="560">
        <f t="shared" si="16"/>
        <v>0</v>
      </c>
      <c r="BJ114" s="535">
        <f t="shared" si="12"/>
        <v>635</v>
      </c>
      <c r="BK114" s="591"/>
    </row>
    <row r="115" spans="1:63" s="531" customFormat="1" x14ac:dyDescent="0.35">
      <c r="A115" s="579"/>
      <c r="B115" s="579"/>
      <c r="C115" s="579"/>
      <c r="D115" s="665" t="s">
        <v>158</v>
      </c>
      <c r="E115" s="666"/>
      <c r="F115" s="599"/>
      <c r="G115" s="599"/>
      <c r="H115" s="599"/>
      <c r="I115" s="599"/>
      <c r="J115" s="599"/>
      <c r="K115" s="599"/>
      <c r="L115" s="89">
        <v>45</v>
      </c>
      <c r="M115" s="90"/>
      <c r="N115" s="89"/>
      <c r="O115" s="90"/>
      <c r="P115" s="572"/>
      <c r="Q115" s="587"/>
      <c r="R115" s="572"/>
      <c r="S115" s="587"/>
      <c r="T115" s="89">
        <v>220</v>
      </c>
      <c r="U115" s="90"/>
      <c r="V115" s="557">
        <f>4*60+30</f>
        <v>270</v>
      </c>
      <c r="W115" s="557"/>
      <c r="X115" s="557"/>
      <c r="Y115" s="557"/>
      <c r="Z115" s="557"/>
      <c r="AA115" s="557"/>
      <c r="AB115" s="557"/>
      <c r="AC115" s="90"/>
      <c r="AD115" s="572"/>
      <c r="AE115" s="587"/>
      <c r="AF115" s="89"/>
      <c r="AG115" s="90"/>
      <c r="AH115" s="89"/>
      <c r="AI115" s="90"/>
      <c r="AJ115" s="89"/>
      <c r="AK115" s="90"/>
      <c r="AL115" s="89"/>
      <c r="AM115" s="90"/>
      <c r="AN115" s="89"/>
      <c r="AO115" s="90"/>
      <c r="AP115" s="89"/>
      <c r="AQ115" s="90"/>
      <c r="AR115" s="572"/>
      <c r="AS115" s="587"/>
      <c r="AT115" s="89"/>
      <c r="AU115" s="90"/>
      <c r="AV115" s="89"/>
      <c r="AW115" s="90"/>
      <c r="AX115" s="89"/>
      <c r="AY115" s="90"/>
      <c r="AZ115" s="89"/>
      <c r="BA115" s="90"/>
      <c r="BB115" s="89"/>
      <c r="BC115" s="90"/>
      <c r="BD115" s="89"/>
      <c r="BE115" s="90"/>
      <c r="BF115" s="572"/>
      <c r="BG115" s="587"/>
      <c r="BH115" s="89"/>
      <c r="BI115" s="90"/>
      <c r="BJ115" s="535">
        <f t="shared" si="12"/>
        <v>535</v>
      </c>
      <c r="BK115" s="591"/>
    </row>
    <row r="116" spans="1:63" s="531" customFormat="1" x14ac:dyDescent="0.35">
      <c r="A116" s="579"/>
      <c r="B116" s="579"/>
      <c r="C116" s="579"/>
      <c r="D116" s="665" t="s">
        <v>161</v>
      </c>
      <c r="E116" s="666"/>
      <c r="F116" s="513"/>
      <c r="G116" s="557"/>
      <c r="H116" s="513"/>
      <c r="I116" s="557"/>
      <c r="J116" s="513"/>
      <c r="K116" s="557"/>
      <c r="L116" s="513"/>
      <c r="M116" s="557"/>
      <c r="N116" s="513">
        <v>100</v>
      </c>
      <c r="O116" s="557"/>
      <c r="P116" s="572"/>
      <c r="Q116" s="587"/>
      <c r="R116" s="572"/>
      <c r="S116" s="587"/>
      <c r="T116" s="513"/>
      <c r="U116" s="557"/>
      <c r="V116" s="513"/>
      <c r="W116" s="557"/>
      <c r="X116" s="513"/>
      <c r="Y116" s="557"/>
      <c r="Z116" s="513"/>
      <c r="AA116" s="557"/>
      <c r="AB116" s="513"/>
      <c r="AC116" s="557"/>
      <c r="AD116" s="572"/>
      <c r="AE116" s="587"/>
      <c r="AF116" s="513"/>
      <c r="AG116" s="557"/>
      <c r="AH116" s="513"/>
      <c r="AI116" s="557"/>
      <c r="AJ116" s="513"/>
      <c r="AK116" s="557"/>
      <c r="AL116" s="513"/>
      <c r="AM116" s="557"/>
      <c r="AN116" s="513"/>
      <c r="AO116" s="557"/>
      <c r="AP116" s="513"/>
      <c r="AQ116" s="557"/>
      <c r="AR116" s="572"/>
      <c r="AS116" s="587"/>
      <c r="AT116" s="513"/>
      <c r="AU116" s="557"/>
      <c r="AV116" s="513"/>
      <c r="AW116" s="557"/>
      <c r="AX116" s="513"/>
      <c r="AY116" s="557"/>
      <c r="AZ116" s="513"/>
      <c r="BA116" s="557"/>
      <c r="BB116" s="513"/>
      <c r="BC116" s="557"/>
      <c r="BD116" s="513"/>
      <c r="BE116" s="557"/>
      <c r="BF116" s="572"/>
      <c r="BG116" s="587"/>
      <c r="BH116" s="513"/>
      <c r="BI116" s="557"/>
      <c r="BJ116" s="535">
        <f t="shared" si="12"/>
        <v>100</v>
      </c>
      <c r="BK116" s="591"/>
    </row>
    <row r="117" spans="1:63" x14ac:dyDescent="0.35">
      <c r="A117" s="518"/>
      <c r="B117" s="518"/>
      <c r="C117" s="518"/>
      <c r="D117" s="667" t="s">
        <v>162</v>
      </c>
      <c r="E117" s="668"/>
      <c r="F117" s="536"/>
      <c r="G117" s="536"/>
      <c r="H117" s="536"/>
      <c r="I117" s="536"/>
      <c r="J117" s="536"/>
      <c r="K117" s="536"/>
      <c r="L117" s="536">
        <f>L112-L114-L29</f>
        <v>214</v>
      </c>
      <c r="M117" s="536"/>
      <c r="N117" s="536">
        <f>N112-N114-N29</f>
        <v>220</v>
      </c>
      <c r="O117" s="536"/>
      <c r="P117" s="536"/>
      <c r="Q117" s="536"/>
      <c r="R117" s="536"/>
      <c r="S117" s="536"/>
      <c r="T117" s="536">
        <f>T112-T114-T29</f>
        <v>140</v>
      </c>
      <c r="U117" s="536"/>
      <c r="V117" s="536">
        <f>V112-V114-V29</f>
        <v>90</v>
      </c>
      <c r="W117" s="536"/>
      <c r="X117" s="536"/>
      <c r="Y117" s="536"/>
      <c r="Z117" s="536"/>
      <c r="AA117" s="536"/>
      <c r="AB117" s="536"/>
      <c r="AC117" s="536"/>
      <c r="AD117" s="536"/>
      <c r="AE117" s="536"/>
      <c r="AF117" s="536"/>
      <c r="AG117" s="536"/>
      <c r="AH117" s="536"/>
      <c r="AI117" s="536"/>
      <c r="AJ117" s="536"/>
      <c r="AK117" s="536"/>
      <c r="AL117" s="536"/>
      <c r="AM117" s="536"/>
      <c r="AN117" s="536"/>
      <c r="AO117" s="536"/>
      <c r="AP117" s="536"/>
      <c r="AQ117" s="536"/>
      <c r="AR117" s="536"/>
      <c r="AS117" s="536"/>
      <c r="AT117" s="536"/>
      <c r="AU117" s="536"/>
      <c r="AV117" s="536"/>
      <c r="AW117" s="536"/>
      <c r="AX117" s="536"/>
      <c r="AY117" s="536"/>
      <c r="AZ117" s="536"/>
      <c r="BA117" s="536"/>
      <c r="BB117" s="536"/>
      <c r="BC117" s="536"/>
      <c r="BD117" s="536"/>
      <c r="BE117" s="536"/>
      <c r="BF117" s="536"/>
      <c r="BG117" s="536"/>
      <c r="BH117" s="536"/>
      <c r="BI117" s="536"/>
      <c r="BJ117" s="509">
        <f>BJ112-BJ114-BJ29</f>
        <v>614</v>
      </c>
      <c r="BK117" s="545"/>
    </row>
    <row r="118" spans="1:63" x14ac:dyDescent="0.35">
      <c r="A118" s="518"/>
      <c r="B118" s="518"/>
      <c r="C118" s="518"/>
      <c r="D118" s="667" t="s">
        <v>163</v>
      </c>
      <c r="E118" s="668"/>
      <c r="F118" s="547"/>
      <c r="G118" s="547"/>
      <c r="H118" s="547"/>
      <c r="I118" s="547"/>
      <c r="J118" s="547"/>
      <c r="K118" s="547"/>
      <c r="L118" s="547">
        <f>IFERROR(SUMPRODUCT(L5:L19/$E$5:$E$19),0)</f>
        <v>198.6</v>
      </c>
      <c r="M118" s="547"/>
      <c r="N118" s="547">
        <f>IFERROR(SUMPRODUCT(N5:N19/$E$5:$E$19),0)</f>
        <v>188.85</v>
      </c>
      <c r="O118" s="547"/>
      <c r="P118" s="547"/>
      <c r="Q118" s="547"/>
      <c r="R118" s="547"/>
      <c r="S118" s="547"/>
      <c r="T118" s="547">
        <f>IFERROR(SUMPRODUCT(T5:T19/$E$5:$E$19),0)</f>
        <v>109.25</v>
      </c>
      <c r="U118" s="547"/>
      <c r="V118" s="547">
        <f>IFERROR(SUMPRODUCT(V5:V19/$E$5:$E$19),0)</f>
        <v>80</v>
      </c>
      <c r="W118" s="547"/>
      <c r="X118" s="547"/>
      <c r="Y118" s="547"/>
      <c r="Z118" s="547"/>
      <c r="AA118" s="547"/>
      <c r="AB118" s="547"/>
      <c r="AC118" s="547"/>
      <c r="AD118" s="547"/>
      <c r="AE118" s="547"/>
      <c r="AF118" s="547"/>
      <c r="AG118" s="547"/>
      <c r="AH118" s="547"/>
      <c r="AI118" s="547"/>
      <c r="AJ118" s="547"/>
      <c r="AK118" s="547"/>
      <c r="AL118" s="547"/>
      <c r="AM118" s="547"/>
      <c r="AN118" s="547"/>
      <c r="AO118" s="547"/>
      <c r="AP118" s="547"/>
      <c r="AQ118" s="547"/>
      <c r="AR118" s="547"/>
      <c r="AS118" s="547"/>
      <c r="AT118" s="547"/>
      <c r="AU118" s="547"/>
      <c r="AV118" s="547"/>
      <c r="AW118" s="547"/>
      <c r="AX118" s="547"/>
      <c r="AY118" s="547"/>
      <c r="AZ118" s="547"/>
      <c r="BA118" s="547"/>
      <c r="BB118" s="547"/>
      <c r="BC118" s="547"/>
      <c r="BD118" s="547"/>
      <c r="BE118" s="547"/>
      <c r="BF118" s="547"/>
      <c r="BG118" s="547"/>
      <c r="BH118" s="547"/>
      <c r="BI118" s="547"/>
      <c r="BJ118" s="509">
        <f>IFERROR(SUMPRODUCT(BJ5:BJ19/$E$5:$E$19),0)</f>
        <v>576.70000000000005</v>
      </c>
      <c r="BK118" s="545"/>
    </row>
    <row r="119" spans="1:63" x14ac:dyDescent="0.35">
      <c r="A119" s="518"/>
      <c r="B119" s="518"/>
      <c r="C119" s="518"/>
      <c r="D119" s="667" t="s">
        <v>164</v>
      </c>
      <c r="E119" s="668"/>
      <c r="F119" s="547"/>
      <c r="G119" s="547"/>
      <c r="H119" s="547"/>
      <c r="I119" s="547"/>
      <c r="J119" s="547"/>
      <c r="K119" s="547"/>
      <c r="L119" s="547">
        <f>L117-L118</f>
        <v>15.400000000000006</v>
      </c>
      <c r="M119" s="547"/>
      <c r="N119" s="547">
        <f>N117-N118</f>
        <v>31.150000000000006</v>
      </c>
      <c r="O119" s="547"/>
      <c r="P119" s="547"/>
      <c r="Q119" s="547"/>
      <c r="R119" s="547"/>
      <c r="S119" s="547"/>
      <c r="T119" s="547">
        <f>T117-T118</f>
        <v>30.75</v>
      </c>
      <c r="U119" s="547"/>
      <c r="V119" s="547">
        <f>V117-V118</f>
        <v>10</v>
      </c>
      <c r="W119" s="547"/>
      <c r="X119" s="547"/>
      <c r="Y119" s="547"/>
      <c r="Z119" s="547"/>
      <c r="AA119" s="547"/>
      <c r="AB119" s="547"/>
      <c r="AC119" s="547"/>
      <c r="AD119" s="547"/>
      <c r="AE119" s="547"/>
      <c r="AF119" s="547"/>
      <c r="AG119" s="547"/>
      <c r="AH119" s="547"/>
      <c r="AI119" s="547"/>
      <c r="AJ119" s="547"/>
      <c r="AK119" s="547"/>
      <c r="AL119" s="547"/>
      <c r="AM119" s="547"/>
      <c r="AN119" s="547"/>
      <c r="AO119" s="547"/>
      <c r="AP119" s="547"/>
      <c r="AQ119" s="547"/>
      <c r="AR119" s="547"/>
      <c r="AS119" s="547"/>
      <c r="AT119" s="547"/>
      <c r="AU119" s="547"/>
      <c r="AV119" s="547"/>
      <c r="AW119" s="547"/>
      <c r="AX119" s="547"/>
      <c r="AY119" s="547"/>
      <c r="AZ119" s="547"/>
      <c r="BA119" s="547"/>
      <c r="BB119" s="547"/>
      <c r="BC119" s="547"/>
      <c r="BD119" s="547"/>
      <c r="BE119" s="547"/>
      <c r="BF119" s="547"/>
      <c r="BG119" s="547"/>
      <c r="BH119" s="547"/>
      <c r="BI119" s="547"/>
      <c r="BJ119" s="509">
        <f>BJ117-BJ118</f>
        <v>37.299999999999955</v>
      </c>
      <c r="BK119" s="545"/>
    </row>
    <row r="120" spans="1:63" x14ac:dyDescent="0.35">
      <c r="A120" s="518"/>
      <c r="B120" s="518"/>
      <c r="C120" s="518"/>
      <c r="D120" s="667" t="s">
        <v>165</v>
      </c>
      <c r="E120" s="668"/>
      <c r="F120" s="547"/>
      <c r="G120" s="547"/>
      <c r="H120" s="547"/>
      <c r="I120" s="547"/>
      <c r="J120" s="547"/>
      <c r="K120" s="547"/>
      <c r="L120" s="547">
        <f>SUM(L5:L20)/(L113-L29)</f>
        <v>18.560747663551403</v>
      </c>
      <c r="M120" s="547"/>
      <c r="N120" s="547">
        <f>SUM(N5:N20)/(N113-N29)</f>
        <v>17.513636363636362</v>
      </c>
      <c r="O120" s="547"/>
      <c r="P120" s="547"/>
      <c r="Q120" s="547"/>
      <c r="R120" s="547"/>
      <c r="S120" s="547"/>
      <c r="T120" s="547">
        <f>SUM(T5:T20)/(T113-T29)</f>
        <v>15.735714285714286</v>
      </c>
      <c r="U120" s="547"/>
      <c r="V120" s="547">
        <f>SUM(V5:V20)/(V113-V29)</f>
        <v>17.777777777777779</v>
      </c>
      <c r="W120" s="547"/>
      <c r="X120" s="547"/>
      <c r="Y120" s="547"/>
      <c r="Z120" s="547"/>
      <c r="AA120" s="547"/>
      <c r="AB120" s="547"/>
      <c r="AC120" s="547"/>
      <c r="AD120" s="547"/>
      <c r="AE120" s="547"/>
      <c r="AF120" s="547"/>
      <c r="AG120" s="547"/>
      <c r="AH120" s="547"/>
      <c r="AI120" s="547"/>
      <c r="AJ120" s="547"/>
      <c r="AK120" s="547"/>
      <c r="AL120" s="547"/>
      <c r="AM120" s="547"/>
      <c r="AN120" s="547"/>
      <c r="AO120" s="547"/>
      <c r="AP120" s="547"/>
      <c r="AQ120" s="547"/>
      <c r="AR120" s="547"/>
      <c r="AS120" s="547"/>
      <c r="AT120" s="547"/>
      <c r="AU120" s="547"/>
      <c r="AV120" s="547"/>
      <c r="AW120" s="547"/>
      <c r="AX120" s="547"/>
      <c r="AY120" s="547"/>
      <c r="AZ120" s="547"/>
      <c r="BA120" s="547"/>
      <c r="BB120" s="547"/>
      <c r="BC120" s="547"/>
      <c r="BD120" s="547"/>
      <c r="BE120" s="547"/>
      <c r="BF120" s="547"/>
      <c r="BG120" s="547"/>
      <c r="BH120" s="547"/>
      <c r="BI120" s="547"/>
      <c r="BJ120" s="582">
        <f>SUM(BJ5:BJ20)/(BJ113-BJ29)</f>
        <v>18.938110749185668</v>
      </c>
      <c r="BK120" s="545"/>
    </row>
    <row r="121" spans="1:63" x14ac:dyDescent="0.35">
      <c r="A121" s="581"/>
      <c r="B121" s="581"/>
      <c r="C121" s="581"/>
      <c r="D121" s="663" t="s">
        <v>166</v>
      </c>
      <c r="E121" s="664"/>
      <c r="F121" s="580"/>
      <c r="G121" s="580"/>
      <c r="H121" s="580"/>
      <c r="I121" s="580"/>
      <c r="J121" s="580"/>
      <c r="K121" s="580"/>
      <c r="L121" s="580">
        <f>(L113-L29)/L113</f>
        <v>0.67936507936507939</v>
      </c>
      <c r="M121" s="580"/>
      <c r="N121" s="580">
        <f>(N113-N29)/N113</f>
        <v>0.84615384615384615</v>
      </c>
      <c r="O121" s="580"/>
      <c r="P121" s="580"/>
      <c r="Q121" s="580"/>
      <c r="R121" s="580"/>
      <c r="S121" s="580"/>
      <c r="T121" s="580">
        <f>(T113-T29)/T113</f>
        <v>1</v>
      </c>
      <c r="U121" s="580"/>
      <c r="V121" s="580">
        <f>(V113-V29)/V113</f>
        <v>1</v>
      </c>
      <c r="W121" s="580"/>
      <c r="X121" s="580"/>
      <c r="Y121" s="580"/>
      <c r="Z121" s="580"/>
      <c r="AA121" s="580"/>
      <c r="AB121" s="580"/>
      <c r="AC121" s="580"/>
      <c r="AD121" s="580"/>
      <c r="AE121" s="580"/>
      <c r="AF121" s="580"/>
      <c r="AG121" s="580"/>
      <c r="AH121" s="580"/>
      <c r="AI121" s="580"/>
      <c r="AJ121" s="580"/>
      <c r="AK121" s="580"/>
      <c r="AL121" s="580"/>
      <c r="AM121" s="580"/>
      <c r="AN121" s="580"/>
      <c r="AO121" s="580"/>
      <c r="AP121" s="580"/>
      <c r="AQ121" s="580"/>
      <c r="AR121" s="580"/>
      <c r="AS121" s="580"/>
      <c r="AT121" s="580"/>
      <c r="AU121" s="580"/>
      <c r="AV121" s="580"/>
      <c r="AW121" s="580"/>
      <c r="AX121" s="580"/>
      <c r="AY121" s="580"/>
      <c r="AZ121" s="580"/>
      <c r="BA121" s="580"/>
      <c r="BB121" s="580"/>
      <c r="BC121" s="580"/>
      <c r="BD121" s="580"/>
      <c r="BE121" s="580"/>
      <c r="BF121" s="580"/>
      <c r="BG121" s="580"/>
      <c r="BH121" s="580"/>
      <c r="BI121" s="580"/>
      <c r="BJ121" s="593">
        <f>(BJ113-BJ29)/BJ113</f>
        <v>0.76273291925465836</v>
      </c>
      <c r="BK121" s="545"/>
    </row>
    <row r="122" spans="1:63" x14ac:dyDescent="0.35">
      <c r="A122" s="581"/>
      <c r="B122" s="581"/>
      <c r="C122" s="581"/>
      <c r="D122" s="663" t="s">
        <v>167</v>
      </c>
      <c r="E122" s="664"/>
      <c r="F122" s="580"/>
      <c r="G122" s="580"/>
      <c r="H122" s="580"/>
      <c r="I122" s="580"/>
      <c r="J122" s="580"/>
      <c r="K122" s="580"/>
      <c r="L122" s="580">
        <f>L118/L117</f>
        <v>0.92803738317757012</v>
      </c>
      <c r="M122" s="580"/>
      <c r="N122" s="580">
        <f>N118/N117</f>
        <v>0.8584090909090909</v>
      </c>
      <c r="O122" s="580"/>
      <c r="P122" s="580"/>
      <c r="Q122" s="580"/>
      <c r="R122" s="580"/>
      <c r="S122" s="580"/>
      <c r="T122" s="580">
        <f>T118/T117</f>
        <v>0.78035714285714286</v>
      </c>
      <c r="U122" s="580"/>
      <c r="V122" s="580">
        <f>V118/V117</f>
        <v>0.88888888888888884</v>
      </c>
      <c r="W122" s="580"/>
      <c r="X122" s="580"/>
      <c r="Y122" s="580"/>
      <c r="Z122" s="580"/>
      <c r="AA122" s="580"/>
      <c r="AB122" s="580"/>
      <c r="AC122" s="580"/>
      <c r="AD122" s="580"/>
      <c r="AE122" s="580"/>
      <c r="AF122" s="580"/>
      <c r="AG122" s="580"/>
      <c r="AH122" s="580"/>
      <c r="AI122" s="580"/>
      <c r="AJ122" s="580"/>
      <c r="AK122" s="580"/>
      <c r="AL122" s="580"/>
      <c r="AM122" s="580"/>
      <c r="AN122" s="580"/>
      <c r="AO122" s="580"/>
      <c r="AP122" s="580"/>
      <c r="AQ122" s="580"/>
      <c r="AR122" s="580"/>
      <c r="AS122" s="580"/>
      <c r="AT122" s="580"/>
      <c r="AU122" s="580"/>
      <c r="AV122" s="580"/>
      <c r="AW122" s="580"/>
      <c r="AX122" s="580"/>
      <c r="AY122" s="580"/>
      <c r="AZ122" s="580"/>
      <c r="BA122" s="580"/>
      <c r="BB122" s="580"/>
      <c r="BC122" s="580"/>
      <c r="BD122" s="580"/>
      <c r="BE122" s="580"/>
      <c r="BF122" s="580"/>
      <c r="BG122" s="580"/>
      <c r="BH122" s="580"/>
      <c r="BI122" s="580"/>
      <c r="BJ122" s="593">
        <f>BJ118/BJ117</f>
        <v>0.93925081433224766</v>
      </c>
      <c r="BK122" s="545"/>
    </row>
    <row r="123" spans="1:63" x14ac:dyDescent="0.35">
      <c r="A123" s="581"/>
      <c r="B123" s="581"/>
      <c r="C123" s="581"/>
      <c r="D123" s="663" t="s">
        <v>168</v>
      </c>
      <c r="E123" s="664"/>
      <c r="F123" s="580"/>
      <c r="G123" s="580"/>
      <c r="H123" s="580"/>
      <c r="I123" s="580"/>
      <c r="J123" s="580"/>
      <c r="K123" s="580"/>
      <c r="L123" s="580">
        <f>SUM(L5:L19)/(SUM(L5:L20))</f>
        <v>1</v>
      </c>
      <c r="M123" s="580"/>
      <c r="N123" s="580">
        <f>SUM(N5:N19)/(SUM(N5:N20))</f>
        <v>0.98027511030365944</v>
      </c>
      <c r="O123" s="580"/>
      <c r="P123" s="580"/>
      <c r="Q123" s="580"/>
      <c r="R123" s="580"/>
      <c r="S123" s="580"/>
      <c r="T123" s="580">
        <f>SUM(T5:T19)/(SUM(T5:T20))</f>
        <v>0.99182932364956877</v>
      </c>
      <c r="U123" s="580"/>
      <c r="V123" s="580">
        <f>SUM(V5:V19)/(SUM(V5:V20))</f>
        <v>1</v>
      </c>
      <c r="W123" s="580"/>
      <c r="X123" s="580"/>
      <c r="Y123" s="580"/>
      <c r="Z123" s="580"/>
      <c r="AA123" s="580"/>
      <c r="AB123" s="580"/>
      <c r="AC123" s="580"/>
      <c r="AD123" s="580"/>
      <c r="AE123" s="580"/>
      <c r="AF123" s="580"/>
      <c r="AG123" s="580"/>
      <c r="AH123" s="580"/>
      <c r="AI123" s="580"/>
      <c r="AJ123" s="580"/>
      <c r="AK123" s="580"/>
      <c r="AL123" s="580"/>
      <c r="AM123" s="580"/>
      <c r="AN123" s="580"/>
      <c r="AO123" s="580"/>
      <c r="AP123" s="580"/>
      <c r="AQ123" s="580"/>
      <c r="AR123" s="580"/>
      <c r="AS123" s="580"/>
      <c r="AT123" s="580"/>
      <c r="AU123" s="580"/>
      <c r="AV123" s="580"/>
      <c r="AW123" s="580"/>
      <c r="AX123" s="580"/>
      <c r="AY123" s="580"/>
      <c r="AZ123" s="580"/>
      <c r="BA123" s="580"/>
      <c r="BB123" s="580"/>
      <c r="BC123" s="580"/>
      <c r="BD123" s="580"/>
      <c r="BE123" s="580"/>
      <c r="BF123" s="580"/>
      <c r="BG123" s="580"/>
      <c r="BH123" s="580"/>
      <c r="BI123" s="580"/>
      <c r="BJ123" s="593">
        <f>SUM(BJ5:BJ19)/(SUM(BJ5:BJ20))</f>
        <v>0.99191606467148263</v>
      </c>
      <c r="BK123" s="545"/>
    </row>
    <row r="124" spans="1:63" ht="24" thickBot="1" x14ac:dyDescent="0.4">
      <c r="A124" s="581"/>
      <c r="B124" s="581"/>
      <c r="C124" s="581"/>
      <c r="D124" s="663" t="s">
        <v>169</v>
      </c>
      <c r="E124" s="664"/>
      <c r="F124" s="541"/>
      <c r="G124" s="541"/>
      <c r="H124" s="541"/>
      <c r="I124" s="541"/>
      <c r="J124" s="541"/>
      <c r="K124" s="541"/>
      <c r="L124" s="541">
        <f>L123*L122*L121</f>
        <v>0.63047619047619052</v>
      </c>
      <c r="M124" s="541"/>
      <c r="N124" s="541">
        <f>N123*N122*N121</f>
        <v>0.71201905608017724</v>
      </c>
      <c r="O124" s="541"/>
      <c r="P124" s="541"/>
      <c r="Q124" s="541"/>
      <c r="R124" s="541"/>
      <c r="S124" s="541"/>
      <c r="T124" s="541">
        <f>T123*T122*T121</f>
        <v>0.77398109720510988</v>
      </c>
      <c r="U124" s="541"/>
      <c r="V124" s="541">
        <f>V123*V122*V121</f>
        <v>0.88888888888888884</v>
      </c>
      <c r="W124" s="541"/>
      <c r="X124" s="541"/>
      <c r="Y124" s="541"/>
      <c r="Z124" s="541"/>
      <c r="AA124" s="541"/>
      <c r="AB124" s="541"/>
      <c r="AC124" s="541"/>
      <c r="AD124" s="541"/>
      <c r="AE124" s="541"/>
      <c r="AF124" s="541"/>
      <c r="AG124" s="541"/>
      <c r="AH124" s="541"/>
      <c r="AI124" s="541"/>
      <c r="AJ124" s="541"/>
      <c r="AK124" s="541"/>
      <c r="AL124" s="541"/>
      <c r="AM124" s="541"/>
      <c r="AN124" s="541"/>
      <c r="AO124" s="541"/>
      <c r="AP124" s="541"/>
      <c r="AQ124" s="541"/>
      <c r="AR124" s="541"/>
      <c r="AS124" s="541"/>
      <c r="AT124" s="541"/>
      <c r="AU124" s="541"/>
      <c r="AV124" s="541"/>
      <c r="AW124" s="541"/>
      <c r="AX124" s="541"/>
      <c r="AY124" s="541"/>
      <c r="AZ124" s="541"/>
      <c r="BA124" s="541"/>
      <c r="BB124" s="541"/>
      <c r="BC124" s="541"/>
      <c r="BD124" s="541"/>
      <c r="BE124" s="541"/>
      <c r="BF124" s="541"/>
      <c r="BG124" s="541"/>
      <c r="BH124" s="541"/>
      <c r="BI124" s="541"/>
      <c r="BJ124" s="593">
        <f>BJ123*BJ122*BJ121</f>
        <v>0.71060620434291188</v>
      </c>
      <c r="BK124" s="545"/>
    </row>
    <row r="125" spans="1:63" ht="17.25" customHeight="1" x14ac:dyDescent="0.35"/>
    <row r="261" spans="8:8" x14ac:dyDescent="0.35">
      <c r="H261" s="505" t="s">
        <v>170</v>
      </c>
    </row>
    <row r="262" spans="8:8" x14ac:dyDescent="0.35">
      <c r="H262" s="505" t="s">
        <v>171</v>
      </c>
    </row>
    <row r="263" spans="8:8" x14ac:dyDescent="0.35">
      <c r="H263" s="505" t="s">
        <v>172</v>
      </c>
    </row>
    <row r="264" spans="8:8" x14ac:dyDescent="0.35">
      <c r="H264" s="505" t="s">
        <v>173</v>
      </c>
    </row>
    <row r="265" spans="8:8" x14ac:dyDescent="0.35">
      <c r="H265" s="505" t="s">
        <v>174</v>
      </c>
    </row>
    <row r="266" spans="8:8" x14ac:dyDescent="0.35">
      <c r="H266" s="505" t="s">
        <v>175</v>
      </c>
    </row>
    <row r="267" spans="8:8" x14ac:dyDescent="0.35">
      <c r="H267" s="505" t="s">
        <v>176</v>
      </c>
    </row>
    <row r="268" spans="8:8" x14ac:dyDescent="0.35">
      <c r="H268" s="505" t="s">
        <v>177</v>
      </c>
    </row>
    <row r="269" spans="8:8" x14ac:dyDescent="0.35">
      <c r="H269" s="505" t="s">
        <v>178</v>
      </c>
    </row>
    <row r="270" spans="8:8" x14ac:dyDescent="0.35">
      <c r="H270" s="505" t="s">
        <v>179</v>
      </c>
    </row>
    <row r="271" spans="8:8" x14ac:dyDescent="0.35">
      <c r="H271" s="505" t="s">
        <v>180</v>
      </c>
    </row>
    <row r="272" spans="8:8" x14ac:dyDescent="0.35">
      <c r="H272" s="505" t="s">
        <v>181</v>
      </c>
    </row>
    <row r="273" spans="8:8" x14ac:dyDescent="0.35">
      <c r="H273" s="505" t="s">
        <v>182</v>
      </c>
    </row>
    <row r="274" spans="8:8" x14ac:dyDescent="0.35">
      <c r="H274" s="505" t="s">
        <v>183</v>
      </c>
    </row>
    <row r="275" spans="8:8" x14ac:dyDescent="0.35">
      <c r="H275" s="505" t="s">
        <v>184</v>
      </c>
    </row>
    <row r="276" spans="8:8" x14ac:dyDescent="0.35">
      <c r="H276" s="505" t="s">
        <v>185</v>
      </c>
    </row>
    <row r="277" spans="8:8" x14ac:dyDescent="0.35">
      <c r="H277" s="505" t="s">
        <v>186</v>
      </c>
    </row>
    <row r="278" spans="8:8" x14ac:dyDescent="0.35">
      <c r="H278" s="505" t="s">
        <v>187</v>
      </c>
    </row>
    <row r="279" spans="8:8" x14ac:dyDescent="0.35">
      <c r="H279" s="505" t="s">
        <v>188</v>
      </c>
    </row>
    <row r="280" spans="8:8" x14ac:dyDescent="0.35">
      <c r="H280" s="505" t="s">
        <v>189</v>
      </c>
    </row>
    <row r="281" spans="8:8" x14ac:dyDescent="0.35">
      <c r="H281" s="505" t="s">
        <v>190</v>
      </c>
    </row>
    <row r="282" spans="8:8" x14ac:dyDescent="0.35">
      <c r="H282" s="505" t="s">
        <v>191</v>
      </c>
    </row>
    <row r="283" spans="8:8" x14ac:dyDescent="0.35">
      <c r="H283" s="505" t="s">
        <v>192</v>
      </c>
    </row>
    <row r="284" spans="8:8" x14ac:dyDescent="0.35">
      <c r="H284" s="505" t="s">
        <v>193</v>
      </c>
    </row>
    <row r="285" spans="8:8" x14ac:dyDescent="0.35">
      <c r="H285" s="505" t="s">
        <v>194</v>
      </c>
    </row>
    <row r="286" spans="8:8" x14ac:dyDescent="0.35">
      <c r="H286" s="505" t="s">
        <v>195</v>
      </c>
    </row>
    <row r="287" spans="8:8" x14ac:dyDescent="0.35">
      <c r="H287" s="505" t="s">
        <v>196</v>
      </c>
    </row>
    <row r="288" spans="8:8" x14ac:dyDescent="0.35">
      <c r="H288" s="505" t="s">
        <v>197</v>
      </c>
    </row>
    <row r="289" spans="8:8" x14ac:dyDescent="0.35">
      <c r="H289" s="505" t="s">
        <v>198</v>
      </c>
    </row>
    <row r="290" spans="8:8" x14ac:dyDescent="0.35">
      <c r="H290" s="505" t="s">
        <v>199</v>
      </c>
    </row>
    <row r="291" spans="8:8" x14ac:dyDescent="0.35">
      <c r="H291" s="505" t="s">
        <v>200</v>
      </c>
    </row>
    <row r="292" spans="8:8" x14ac:dyDescent="0.35">
      <c r="H292" s="505" t="s">
        <v>201</v>
      </c>
    </row>
    <row r="293" spans="8:8" x14ac:dyDescent="0.35">
      <c r="H293" s="505" t="s">
        <v>202</v>
      </c>
    </row>
    <row r="294" spans="8:8" x14ac:dyDescent="0.35">
      <c r="H294" s="505" t="s">
        <v>203</v>
      </c>
    </row>
    <row r="295" spans="8:8" x14ac:dyDescent="0.35">
      <c r="H295" s="505" t="s">
        <v>204</v>
      </c>
    </row>
    <row r="296" spans="8:8" x14ac:dyDescent="0.35">
      <c r="H296" s="505" t="s">
        <v>205</v>
      </c>
    </row>
    <row r="297" spans="8:8" x14ac:dyDescent="0.35">
      <c r="H297" s="505" t="s">
        <v>206</v>
      </c>
    </row>
    <row r="298" spans="8:8" x14ac:dyDescent="0.35">
      <c r="H298" s="505" t="s">
        <v>207</v>
      </c>
    </row>
    <row r="299" spans="8:8" x14ac:dyDescent="0.35">
      <c r="H299" s="505" t="s">
        <v>208</v>
      </c>
    </row>
    <row r="300" spans="8:8" x14ac:dyDescent="0.35">
      <c r="H300" s="505" t="s">
        <v>209</v>
      </c>
    </row>
    <row r="301" spans="8:8" x14ac:dyDescent="0.35">
      <c r="H301" s="505" t="s">
        <v>210</v>
      </c>
    </row>
    <row r="302" spans="8:8" x14ac:dyDescent="0.35">
      <c r="H302" s="505" t="s">
        <v>211</v>
      </c>
    </row>
    <row r="303" spans="8:8" x14ac:dyDescent="0.35">
      <c r="H303" s="505" t="s">
        <v>212</v>
      </c>
    </row>
    <row r="304" spans="8:8" x14ac:dyDescent="0.35">
      <c r="H304" s="505" t="s">
        <v>213</v>
      </c>
    </row>
    <row r="305" spans="8:8" x14ac:dyDescent="0.35">
      <c r="H305" s="505" t="s">
        <v>214</v>
      </c>
    </row>
    <row r="306" spans="8:8" x14ac:dyDescent="0.35">
      <c r="H306" s="505" t="s">
        <v>215</v>
      </c>
    </row>
    <row r="307" spans="8:8" x14ac:dyDescent="0.35">
      <c r="H307" s="505" t="s">
        <v>216</v>
      </c>
    </row>
    <row r="308" spans="8:8" x14ac:dyDescent="0.35">
      <c r="H308" s="505" t="s">
        <v>217</v>
      </c>
    </row>
    <row r="309" spans="8:8" x14ac:dyDescent="0.35">
      <c r="H309" s="505" t="s">
        <v>218</v>
      </c>
    </row>
    <row r="310" spans="8:8" x14ac:dyDescent="0.35">
      <c r="H310" s="505" t="s">
        <v>219</v>
      </c>
    </row>
    <row r="311" spans="8:8" x14ac:dyDescent="0.35">
      <c r="H311" s="505" t="s">
        <v>220</v>
      </c>
    </row>
    <row r="312" spans="8:8" x14ac:dyDescent="0.35">
      <c r="H312" s="505" t="s">
        <v>221</v>
      </c>
    </row>
    <row r="313" spans="8:8" x14ac:dyDescent="0.35">
      <c r="H313" s="505" t="s">
        <v>222</v>
      </c>
    </row>
    <row r="314" spans="8:8" x14ac:dyDescent="0.35">
      <c r="H314" s="505" t="s">
        <v>223</v>
      </c>
    </row>
    <row r="315" spans="8:8" x14ac:dyDescent="0.35">
      <c r="H315" s="505" t="s">
        <v>224</v>
      </c>
    </row>
    <row r="316" spans="8:8" x14ac:dyDescent="0.35">
      <c r="H316" s="505" t="s">
        <v>225</v>
      </c>
    </row>
  </sheetData>
  <autoFilter ref="A30:BK124" xr:uid="{00000000-0009-0000-0000-000018000000}"/>
  <mergeCells count="163">
    <mergeCell ref="BF2:BG2"/>
    <mergeCell ref="BH2:BI2"/>
    <mergeCell ref="C3:E3"/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  <mergeCell ref="Z2:AA2"/>
    <mergeCell ref="BB2:BC2"/>
    <mergeCell ref="BD2:BE2"/>
    <mergeCell ref="C2:E2"/>
    <mergeCell ref="F2:G2"/>
    <mergeCell ref="H2:I2"/>
    <mergeCell ref="BB4:B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J2:K2"/>
    <mergeCell ref="L2:M2"/>
    <mergeCell ref="N2:O2"/>
    <mergeCell ref="AF2:AG2"/>
    <mergeCell ref="AH2:AI2"/>
    <mergeCell ref="AJ2:AK2"/>
    <mergeCell ref="D26:E26"/>
    <mergeCell ref="BD4:BE4"/>
    <mergeCell ref="BH4:BI4"/>
    <mergeCell ref="F4:G4"/>
    <mergeCell ref="H4:I4"/>
    <mergeCell ref="J4:K4"/>
    <mergeCell ref="L4:M4"/>
    <mergeCell ref="N4:O4"/>
    <mergeCell ref="R4:S4"/>
    <mergeCell ref="T4:U4"/>
    <mergeCell ref="V4:W4"/>
    <mergeCell ref="X4:Y4"/>
    <mergeCell ref="Z4:AA4"/>
    <mergeCell ref="AB4:AC4"/>
    <mergeCell ref="BF4:BG4"/>
    <mergeCell ref="P4:Q4"/>
    <mergeCell ref="AX4:AY4"/>
    <mergeCell ref="AZ4:BA4"/>
    <mergeCell ref="D27:E27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73:E73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121:E121"/>
    <mergeCell ref="D122:E122"/>
    <mergeCell ref="D123:E123"/>
    <mergeCell ref="D124:E124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6E01-3FAD-40A8-AB7A-C7B1164A03BE}">
  <sheetPr>
    <tabColor rgb="FF00B050"/>
  </sheetPr>
  <dimension ref="A1:BK329"/>
  <sheetViews>
    <sheetView tabSelected="1" zoomScale="55" zoomScaleNormal="55" workbookViewId="0">
      <pane xSplit="5" ySplit="31" topLeftCell="V107" activePane="bottomRight" state="frozen"/>
      <selection activeCell="I78" sqref="I78"/>
      <selection pane="topRight" activeCell="I78" sqref="I78"/>
      <selection pane="bottomLeft" activeCell="I78" sqref="I78"/>
      <selection pane="bottomRight" activeCell="V6" sqref="V6"/>
    </sheetView>
  </sheetViews>
  <sheetFormatPr defaultColWidth="9" defaultRowHeight="23.25" x14ac:dyDescent="0.35"/>
  <cols>
    <col min="1" max="3" width="15.7109375" style="505" customWidth="1"/>
    <col min="4" max="4" width="61.7109375" style="505" customWidth="1"/>
    <col min="5" max="5" width="7.85546875" style="576" customWidth="1"/>
    <col min="6" max="45" width="12.140625" style="505" bestFit="1" customWidth="1"/>
    <col min="46" max="46" width="13.140625" style="505" bestFit="1" customWidth="1"/>
    <col min="47" max="61" width="12.140625" style="505" bestFit="1" customWidth="1"/>
    <col min="62" max="62" width="12.140625" style="505" customWidth="1"/>
    <col min="63" max="64" width="9" style="505"/>
    <col min="65" max="65" width="9.7109375" style="505" customWidth="1"/>
    <col min="66" max="16384" width="9" style="505"/>
  </cols>
  <sheetData>
    <row r="1" spans="1:63" ht="24" thickBot="1" x14ac:dyDescent="0.4">
      <c r="F1" s="544">
        <f>SUM(F5:F31)</f>
        <v>0</v>
      </c>
      <c r="G1" s="544">
        <f t="shared" ref="G1:BI1" si="0">SUM(G5:G31)</f>
        <v>0</v>
      </c>
      <c r="H1" s="544">
        <f t="shared" si="0"/>
        <v>0</v>
      </c>
      <c r="I1" s="544">
        <f t="shared" si="0"/>
        <v>0</v>
      </c>
      <c r="J1" s="544">
        <f t="shared" si="0"/>
        <v>3940</v>
      </c>
      <c r="K1" s="544">
        <f t="shared" si="0"/>
        <v>0</v>
      </c>
      <c r="L1" s="544">
        <f t="shared" si="0"/>
        <v>7079</v>
      </c>
      <c r="M1" s="544">
        <f t="shared" si="0"/>
        <v>0</v>
      </c>
      <c r="N1" s="544">
        <f t="shared" si="0"/>
        <v>6850</v>
      </c>
      <c r="O1" s="544">
        <f t="shared" si="0"/>
        <v>0</v>
      </c>
      <c r="P1" s="544">
        <f t="shared" si="0"/>
        <v>0</v>
      </c>
      <c r="Q1" s="544">
        <f t="shared" si="0"/>
        <v>0</v>
      </c>
      <c r="R1" s="544">
        <f t="shared" si="0"/>
        <v>0</v>
      </c>
      <c r="S1" s="544">
        <f t="shared" si="0"/>
        <v>0</v>
      </c>
      <c r="T1" s="544">
        <f t="shared" si="0"/>
        <v>7200</v>
      </c>
      <c r="U1" s="544">
        <f t="shared" si="0"/>
        <v>0</v>
      </c>
      <c r="V1" s="544">
        <f t="shared" si="0"/>
        <v>6512</v>
      </c>
      <c r="W1" s="544">
        <f t="shared" si="0"/>
        <v>0</v>
      </c>
      <c r="X1" s="544">
        <f t="shared" si="0"/>
        <v>7100</v>
      </c>
      <c r="Y1" s="544">
        <f t="shared" si="0"/>
        <v>0</v>
      </c>
      <c r="Z1" s="544">
        <f t="shared" si="0"/>
        <v>7620</v>
      </c>
      <c r="AA1" s="544">
        <f t="shared" si="0"/>
        <v>0</v>
      </c>
      <c r="AB1" s="544">
        <f t="shared" si="0"/>
        <v>7515</v>
      </c>
      <c r="AC1" s="544">
        <f t="shared" si="0"/>
        <v>0</v>
      </c>
      <c r="AD1" s="544">
        <f t="shared" si="0"/>
        <v>0</v>
      </c>
      <c r="AE1" s="544">
        <f t="shared" si="0"/>
        <v>0</v>
      </c>
      <c r="AF1" s="544">
        <f t="shared" si="0"/>
        <v>7800</v>
      </c>
      <c r="AG1" s="544">
        <f t="shared" si="0"/>
        <v>0</v>
      </c>
      <c r="AH1" s="544">
        <f t="shared" si="0"/>
        <v>0</v>
      </c>
      <c r="AI1" s="544">
        <f t="shared" si="0"/>
        <v>0</v>
      </c>
      <c r="AJ1" s="544">
        <f t="shared" si="0"/>
        <v>0</v>
      </c>
      <c r="AK1" s="544">
        <f t="shared" si="0"/>
        <v>0</v>
      </c>
      <c r="AL1" s="544">
        <f t="shared" si="0"/>
        <v>0</v>
      </c>
      <c r="AM1" s="544">
        <f t="shared" si="0"/>
        <v>0</v>
      </c>
      <c r="AN1" s="544">
        <f t="shared" si="0"/>
        <v>0</v>
      </c>
      <c r="AO1" s="544">
        <f t="shared" si="0"/>
        <v>0</v>
      </c>
      <c r="AP1" s="544">
        <f t="shared" si="0"/>
        <v>0</v>
      </c>
      <c r="AQ1" s="544">
        <f t="shared" si="0"/>
        <v>0</v>
      </c>
      <c r="AR1" s="544">
        <f t="shared" si="0"/>
        <v>0</v>
      </c>
      <c r="AS1" s="544">
        <f t="shared" si="0"/>
        <v>0</v>
      </c>
      <c r="AT1" s="544">
        <f t="shared" si="0"/>
        <v>0</v>
      </c>
      <c r="AU1" s="544">
        <f t="shared" si="0"/>
        <v>0</v>
      </c>
      <c r="AV1" s="544">
        <f t="shared" si="0"/>
        <v>0</v>
      </c>
      <c r="AW1" s="544">
        <f t="shared" si="0"/>
        <v>0</v>
      </c>
      <c r="AX1" s="544">
        <f t="shared" si="0"/>
        <v>0</v>
      </c>
      <c r="AY1" s="544">
        <f t="shared" si="0"/>
        <v>0</v>
      </c>
      <c r="AZ1" s="544">
        <f t="shared" si="0"/>
        <v>0</v>
      </c>
      <c r="BA1" s="544">
        <f t="shared" si="0"/>
        <v>0</v>
      </c>
      <c r="BB1" s="544">
        <f t="shared" si="0"/>
        <v>0</v>
      </c>
      <c r="BC1" s="544">
        <f t="shared" si="0"/>
        <v>0</v>
      </c>
      <c r="BD1" s="544">
        <f t="shared" si="0"/>
        <v>0</v>
      </c>
      <c r="BE1" s="544">
        <f t="shared" si="0"/>
        <v>0</v>
      </c>
      <c r="BF1" s="544">
        <f t="shared" si="0"/>
        <v>0</v>
      </c>
      <c r="BG1" s="544">
        <f t="shared" si="0"/>
        <v>0</v>
      </c>
      <c r="BH1" s="544">
        <f t="shared" si="0"/>
        <v>0</v>
      </c>
      <c r="BI1" s="544">
        <f t="shared" si="0"/>
        <v>0</v>
      </c>
      <c r="BJ1" s="544">
        <f>SUM(BJ5:BJ31)</f>
        <v>61616</v>
      </c>
    </row>
    <row r="2" spans="1:63" ht="24" customHeight="1" x14ac:dyDescent="0.35">
      <c r="A2" s="538"/>
      <c r="B2" s="538"/>
      <c r="C2" s="641" t="s">
        <v>0</v>
      </c>
      <c r="D2" s="642"/>
      <c r="E2" s="642"/>
      <c r="F2" s="639">
        <v>46082</v>
      </c>
      <c r="G2" s="640"/>
      <c r="H2" s="639">
        <v>46083</v>
      </c>
      <c r="I2" s="640"/>
      <c r="J2" s="639">
        <v>46084</v>
      </c>
      <c r="K2" s="640"/>
      <c r="L2" s="639">
        <v>46085</v>
      </c>
      <c r="M2" s="640"/>
      <c r="N2" s="639">
        <v>46086</v>
      </c>
      <c r="O2" s="640"/>
      <c r="P2" s="639">
        <v>46087</v>
      </c>
      <c r="Q2" s="640"/>
      <c r="R2" s="639">
        <v>46088</v>
      </c>
      <c r="S2" s="640"/>
      <c r="T2" s="639">
        <v>46089</v>
      </c>
      <c r="U2" s="640"/>
      <c r="V2" s="639">
        <v>46090</v>
      </c>
      <c r="W2" s="640"/>
      <c r="X2" s="639">
        <v>46091</v>
      </c>
      <c r="Y2" s="640"/>
      <c r="Z2" s="639">
        <v>46092</v>
      </c>
      <c r="AA2" s="640"/>
      <c r="AB2" s="639">
        <v>46093</v>
      </c>
      <c r="AC2" s="640"/>
      <c r="AD2" s="639">
        <v>46094</v>
      </c>
      <c r="AE2" s="640"/>
      <c r="AF2" s="639">
        <v>46095</v>
      </c>
      <c r="AG2" s="640"/>
      <c r="AH2" s="639">
        <v>46096</v>
      </c>
      <c r="AI2" s="640"/>
      <c r="AJ2" s="639">
        <v>46097</v>
      </c>
      <c r="AK2" s="640"/>
      <c r="AL2" s="639">
        <v>46098</v>
      </c>
      <c r="AM2" s="640"/>
      <c r="AN2" s="639">
        <v>46099</v>
      </c>
      <c r="AO2" s="640"/>
      <c r="AP2" s="639">
        <v>46100</v>
      </c>
      <c r="AQ2" s="640"/>
      <c r="AR2" s="639">
        <v>46101</v>
      </c>
      <c r="AS2" s="640"/>
      <c r="AT2" s="639">
        <v>46102</v>
      </c>
      <c r="AU2" s="640"/>
      <c r="AV2" s="639">
        <v>46103</v>
      </c>
      <c r="AW2" s="640"/>
      <c r="AX2" s="639">
        <v>46104</v>
      </c>
      <c r="AY2" s="640"/>
      <c r="AZ2" s="639">
        <v>46105</v>
      </c>
      <c r="BA2" s="640"/>
      <c r="BB2" s="639">
        <v>46106</v>
      </c>
      <c r="BC2" s="640"/>
      <c r="BD2" s="639">
        <v>46107</v>
      </c>
      <c r="BE2" s="640"/>
      <c r="BF2" s="639">
        <v>46108</v>
      </c>
      <c r="BG2" s="640"/>
      <c r="BH2" s="639">
        <v>46109</v>
      </c>
      <c r="BI2" s="640"/>
      <c r="BJ2" s="527"/>
    </row>
    <row r="3" spans="1:63" ht="24" customHeight="1" x14ac:dyDescent="0.35">
      <c r="A3" s="538"/>
      <c r="B3" s="538"/>
      <c r="C3" s="641" t="s">
        <v>1</v>
      </c>
      <c r="D3" s="642"/>
      <c r="E3" s="642"/>
      <c r="F3" s="565" t="s">
        <v>2</v>
      </c>
      <c r="G3" s="577" t="s">
        <v>3</v>
      </c>
      <c r="H3" s="565" t="s">
        <v>2</v>
      </c>
      <c r="I3" s="577" t="s">
        <v>3</v>
      </c>
      <c r="J3" s="565" t="s">
        <v>2</v>
      </c>
      <c r="K3" s="577" t="s">
        <v>3</v>
      </c>
      <c r="L3" s="565" t="s">
        <v>2</v>
      </c>
      <c r="M3" s="577" t="s">
        <v>3</v>
      </c>
      <c r="N3" s="565" t="s">
        <v>2</v>
      </c>
      <c r="O3" s="577" t="s">
        <v>3</v>
      </c>
      <c r="P3" s="565" t="s">
        <v>2</v>
      </c>
      <c r="Q3" s="549" t="s">
        <v>3</v>
      </c>
      <c r="R3" s="565" t="s">
        <v>2</v>
      </c>
      <c r="S3" s="549" t="s">
        <v>3</v>
      </c>
      <c r="T3" s="565" t="s">
        <v>2</v>
      </c>
      <c r="U3" s="577" t="s">
        <v>3</v>
      </c>
      <c r="V3" s="565" t="s">
        <v>2</v>
      </c>
      <c r="W3" s="577" t="s">
        <v>3</v>
      </c>
      <c r="X3" s="565" t="s">
        <v>2</v>
      </c>
      <c r="Y3" s="577" t="s">
        <v>3</v>
      </c>
      <c r="Z3" s="565" t="s">
        <v>2</v>
      </c>
      <c r="AA3" s="577" t="s">
        <v>3</v>
      </c>
      <c r="AB3" s="565" t="s">
        <v>2</v>
      </c>
      <c r="AC3" s="577" t="s">
        <v>3</v>
      </c>
      <c r="AD3" s="565" t="s">
        <v>2</v>
      </c>
      <c r="AE3" s="549" t="s">
        <v>3</v>
      </c>
      <c r="AF3" s="565" t="s">
        <v>2</v>
      </c>
      <c r="AG3" s="577" t="s">
        <v>3</v>
      </c>
      <c r="AH3" s="565" t="s">
        <v>2</v>
      </c>
      <c r="AI3" s="577" t="s">
        <v>3</v>
      </c>
      <c r="AJ3" s="565" t="s">
        <v>2</v>
      </c>
      <c r="AK3" s="577" t="s">
        <v>3</v>
      </c>
      <c r="AL3" s="565" t="s">
        <v>2</v>
      </c>
      <c r="AM3" s="577" t="s">
        <v>3</v>
      </c>
      <c r="AN3" s="565" t="s">
        <v>2</v>
      </c>
      <c r="AO3" s="577" t="s">
        <v>3</v>
      </c>
      <c r="AP3" s="565" t="s">
        <v>2</v>
      </c>
      <c r="AQ3" s="577" t="s">
        <v>3</v>
      </c>
      <c r="AR3" s="565" t="s">
        <v>2</v>
      </c>
      <c r="AS3" s="549" t="s">
        <v>3</v>
      </c>
      <c r="AT3" s="565" t="s">
        <v>2</v>
      </c>
      <c r="AU3" s="577" t="s">
        <v>3</v>
      </c>
      <c r="AV3" s="565" t="s">
        <v>2</v>
      </c>
      <c r="AW3" s="577" t="s">
        <v>3</v>
      </c>
      <c r="AX3" s="565" t="s">
        <v>2</v>
      </c>
      <c r="AY3" s="577" t="s">
        <v>3</v>
      </c>
      <c r="AZ3" s="565" t="s">
        <v>2</v>
      </c>
      <c r="BA3" s="577" t="s">
        <v>3</v>
      </c>
      <c r="BB3" s="565" t="s">
        <v>2</v>
      </c>
      <c r="BC3" s="577" t="s">
        <v>3</v>
      </c>
      <c r="BD3" s="565" t="s">
        <v>2</v>
      </c>
      <c r="BE3" s="577" t="s">
        <v>3</v>
      </c>
      <c r="BF3" s="565" t="s">
        <v>2</v>
      </c>
      <c r="BG3" s="549" t="s">
        <v>3</v>
      </c>
      <c r="BH3" s="565" t="s">
        <v>2</v>
      </c>
      <c r="BI3" s="577" t="s">
        <v>3</v>
      </c>
      <c r="BJ3" s="527"/>
    </row>
    <row r="4" spans="1:63" ht="49.5" customHeight="1" x14ac:dyDescent="0.35">
      <c r="A4" s="561"/>
      <c r="B4" s="561"/>
      <c r="C4" s="561" t="s">
        <v>4</v>
      </c>
      <c r="D4" s="523" t="s">
        <v>5</v>
      </c>
      <c r="E4" s="571" t="s">
        <v>6</v>
      </c>
      <c r="F4" s="637" t="s">
        <v>12</v>
      </c>
      <c r="G4" s="638"/>
      <c r="H4" s="637" t="s">
        <v>13</v>
      </c>
      <c r="I4" s="638"/>
      <c r="J4" s="637" t="s">
        <v>7</v>
      </c>
      <c r="K4" s="638"/>
      <c r="L4" s="637" t="s">
        <v>8</v>
      </c>
      <c r="M4" s="638"/>
      <c r="N4" s="637" t="s">
        <v>9</v>
      </c>
      <c r="O4" s="638"/>
      <c r="P4" s="637" t="s">
        <v>10</v>
      </c>
      <c r="Q4" s="638"/>
      <c r="R4" s="637" t="s">
        <v>11</v>
      </c>
      <c r="S4" s="638"/>
      <c r="T4" s="637" t="s">
        <v>12</v>
      </c>
      <c r="U4" s="638"/>
      <c r="V4" s="637" t="s">
        <v>13</v>
      </c>
      <c r="W4" s="638"/>
      <c r="X4" s="637" t="s">
        <v>7</v>
      </c>
      <c r="Y4" s="638"/>
      <c r="Z4" s="637" t="s">
        <v>8</v>
      </c>
      <c r="AA4" s="638"/>
      <c r="AB4" s="637" t="s">
        <v>9</v>
      </c>
      <c r="AC4" s="638"/>
      <c r="AD4" s="637" t="s">
        <v>10</v>
      </c>
      <c r="AE4" s="638"/>
      <c r="AF4" s="637" t="s">
        <v>11</v>
      </c>
      <c r="AG4" s="638"/>
      <c r="AH4" s="637" t="s">
        <v>12</v>
      </c>
      <c r="AI4" s="638"/>
      <c r="AJ4" s="637" t="s">
        <v>13</v>
      </c>
      <c r="AK4" s="638"/>
      <c r="AL4" s="637" t="s">
        <v>7</v>
      </c>
      <c r="AM4" s="638"/>
      <c r="AN4" s="637" t="s">
        <v>8</v>
      </c>
      <c r="AO4" s="638"/>
      <c r="AP4" s="637" t="s">
        <v>9</v>
      </c>
      <c r="AQ4" s="638"/>
      <c r="AR4" s="637" t="s">
        <v>10</v>
      </c>
      <c r="AS4" s="638"/>
      <c r="AT4" s="637" t="s">
        <v>11</v>
      </c>
      <c r="AU4" s="638"/>
      <c r="AV4" s="637" t="s">
        <v>12</v>
      </c>
      <c r="AW4" s="638"/>
      <c r="AX4" s="637" t="s">
        <v>13</v>
      </c>
      <c r="AY4" s="638"/>
      <c r="AZ4" s="637" t="s">
        <v>7</v>
      </c>
      <c r="BA4" s="638"/>
      <c r="BB4" s="637" t="s">
        <v>8</v>
      </c>
      <c r="BC4" s="638"/>
      <c r="BD4" s="637" t="s">
        <v>9</v>
      </c>
      <c r="BE4" s="638"/>
      <c r="BF4" s="637" t="s">
        <v>10</v>
      </c>
      <c r="BG4" s="638"/>
      <c r="BH4" s="637" t="s">
        <v>11</v>
      </c>
      <c r="BI4" s="638"/>
    </row>
    <row r="5" spans="1:63" x14ac:dyDescent="0.35">
      <c r="A5" s="512"/>
      <c r="B5" s="512"/>
      <c r="C5" s="512">
        <f>VLOOKUP(D5,Products!B:D,2,FALSE)</f>
        <v>40300026</v>
      </c>
      <c r="D5" s="380" t="s">
        <v>712</v>
      </c>
      <c r="E5" s="380">
        <v>22</v>
      </c>
      <c r="F5" s="596"/>
      <c r="G5" s="596"/>
      <c r="H5" s="596"/>
      <c r="I5" s="596"/>
      <c r="J5" s="596">
        <v>3940</v>
      </c>
      <c r="K5" s="596"/>
      <c r="L5" s="596">
        <v>7079</v>
      </c>
      <c r="M5" s="12"/>
      <c r="N5" s="12">
        <v>6850</v>
      </c>
      <c r="O5" s="12"/>
      <c r="P5" s="572"/>
      <c r="Q5" s="587"/>
      <c r="R5" s="572"/>
      <c r="S5" s="587"/>
      <c r="T5" s="12">
        <v>7200</v>
      </c>
      <c r="U5" s="12"/>
      <c r="V5" s="12">
        <f>6164+43+8+297</f>
        <v>6512</v>
      </c>
      <c r="W5" s="12"/>
      <c r="X5" s="12">
        <v>7100</v>
      </c>
      <c r="Y5" s="12"/>
      <c r="Z5" s="12">
        <v>7620</v>
      </c>
      <c r="AA5" s="12"/>
      <c r="AB5" s="12">
        <v>7515</v>
      </c>
      <c r="AC5" s="12"/>
      <c r="AD5" s="572"/>
      <c r="AE5" s="587"/>
      <c r="AF5" s="12">
        <v>7800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572"/>
      <c r="AS5" s="587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572"/>
      <c r="BG5" s="587"/>
      <c r="BH5" s="12"/>
      <c r="BI5" s="12"/>
      <c r="BJ5" s="535">
        <f>SUM(F5:BI5)</f>
        <v>61616</v>
      </c>
      <c r="BK5" s="545">
        <f t="shared" ref="BK5:BK36" si="1">COUNT(F5:BI5)</f>
        <v>9</v>
      </c>
    </row>
    <row r="6" spans="1:63" x14ac:dyDescent="0.35">
      <c r="A6" s="512"/>
      <c r="B6" s="512"/>
      <c r="C6" s="512" t="e">
        <f>VLOOKUP(D6,Products!B:D,2,FALSE)</f>
        <v>#N/A</v>
      </c>
      <c r="D6" s="380"/>
      <c r="E6" s="380">
        <v>1</v>
      </c>
      <c r="F6" s="597"/>
      <c r="G6" s="597"/>
      <c r="H6" s="597"/>
      <c r="I6" s="597"/>
      <c r="J6" s="597"/>
      <c r="K6" s="597"/>
      <c r="L6" s="597"/>
      <c r="M6" s="72"/>
      <c r="N6" s="72"/>
      <c r="O6" s="72"/>
      <c r="P6" s="572"/>
      <c r="Q6" s="587"/>
      <c r="R6" s="572"/>
      <c r="S6" s="587"/>
      <c r="T6" s="72"/>
      <c r="U6" s="72"/>
      <c r="V6" s="72"/>
      <c r="W6" s="72"/>
      <c r="X6" s="72"/>
      <c r="Y6" s="72"/>
      <c r="Z6" s="72"/>
      <c r="AA6" s="72"/>
      <c r="AB6" s="72"/>
      <c r="AC6" s="72"/>
      <c r="AD6" s="572"/>
      <c r="AE6" s="587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572"/>
      <c r="AS6" s="587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572"/>
      <c r="BG6" s="587"/>
      <c r="BH6" s="72"/>
      <c r="BI6" s="72"/>
      <c r="BJ6" s="535">
        <f>SUM(F6:BI6)</f>
        <v>0</v>
      </c>
      <c r="BK6" s="545">
        <f t="shared" si="1"/>
        <v>0</v>
      </c>
    </row>
    <row r="7" spans="1:63" x14ac:dyDescent="0.35">
      <c r="A7" s="512"/>
      <c r="B7" s="512"/>
      <c r="C7" s="512" t="e">
        <f>VLOOKUP(D7,Products!B:D,2,FALSE)</f>
        <v>#N/A</v>
      </c>
      <c r="D7" s="380"/>
      <c r="E7" s="380">
        <v>1</v>
      </c>
      <c r="F7" s="598"/>
      <c r="G7" s="598"/>
      <c r="H7" s="598"/>
      <c r="I7" s="598"/>
      <c r="J7" s="598"/>
      <c r="K7" s="598"/>
      <c r="L7" s="598"/>
      <c r="M7" s="530"/>
      <c r="N7" s="597"/>
      <c r="O7" s="530"/>
      <c r="P7" s="572"/>
      <c r="Q7" s="587"/>
      <c r="R7" s="572"/>
      <c r="S7" s="587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72"/>
      <c r="AE7" s="587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72"/>
      <c r="AS7" s="587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72"/>
      <c r="BG7" s="587"/>
      <c r="BH7" s="530"/>
      <c r="BI7" s="530"/>
      <c r="BJ7" s="535">
        <f t="shared" ref="BJ7:BJ12" si="2">SUM(F7:BI7)</f>
        <v>0</v>
      </c>
      <c r="BK7" s="545">
        <f t="shared" si="1"/>
        <v>0</v>
      </c>
    </row>
    <row r="8" spans="1:63" x14ac:dyDescent="0.35">
      <c r="A8" s="512"/>
      <c r="B8" s="512"/>
      <c r="C8" s="512" t="e">
        <f>VLOOKUP(D8,Products!B:D,2,FALSE)</f>
        <v>#N/A</v>
      </c>
      <c r="D8" s="380"/>
      <c r="E8" s="380">
        <v>1</v>
      </c>
      <c r="F8" s="598"/>
      <c r="G8" s="598"/>
      <c r="H8" s="598"/>
      <c r="I8" s="598"/>
      <c r="J8" s="598"/>
      <c r="K8" s="598"/>
      <c r="L8" s="598"/>
      <c r="M8" s="530"/>
      <c r="N8" s="530"/>
      <c r="O8" s="530"/>
      <c r="P8" s="572"/>
      <c r="Q8" s="587"/>
      <c r="R8" s="572"/>
      <c r="S8" s="587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72"/>
      <c r="AE8" s="587"/>
      <c r="AF8" s="530"/>
      <c r="AG8" s="530"/>
      <c r="AH8" s="530"/>
      <c r="AI8" s="530"/>
      <c r="AJ8" s="530"/>
      <c r="AK8" s="530"/>
      <c r="AL8" s="530"/>
      <c r="AM8" s="530"/>
      <c r="AN8" s="530"/>
      <c r="AO8" s="530"/>
      <c r="AP8" s="530"/>
      <c r="AQ8" s="530"/>
      <c r="AR8" s="572"/>
      <c r="AS8" s="587"/>
      <c r="AT8" s="530"/>
      <c r="AU8" s="530"/>
      <c r="AV8" s="530"/>
      <c r="AW8" s="530"/>
      <c r="AX8" s="530"/>
      <c r="AY8" s="530"/>
      <c r="AZ8" s="530"/>
      <c r="BA8" s="530"/>
      <c r="BB8" s="530"/>
      <c r="BC8" s="530"/>
      <c r="BD8" s="530"/>
      <c r="BE8" s="530"/>
      <c r="BF8" s="572"/>
      <c r="BG8" s="587"/>
      <c r="BH8" s="530"/>
      <c r="BI8" s="530"/>
      <c r="BJ8" s="535">
        <f t="shared" si="2"/>
        <v>0</v>
      </c>
      <c r="BK8" s="545">
        <f t="shared" si="1"/>
        <v>0</v>
      </c>
    </row>
    <row r="9" spans="1:63" x14ac:dyDescent="0.35">
      <c r="A9" s="512"/>
      <c r="B9" s="512"/>
      <c r="C9" s="512" t="e">
        <f>VLOOKUP(D9,Products!B:D,2,FALSE)</f>
        <v>#N/A</v>
      </c>
      <c r="D9" s="555"/>
      <c r="E9" s="380">
        <v>1</v>
      </c>
      <c r="F9" s="598"/>
      <c r="G9" s="598"/>
      <c r="H9" s="598"/>
      <c r="I9" s="598"/>
      <c r="J9" s="598"/>
      <c r="K9" s="598"/>
      <c r="L9" s="598"/>
      <c r="M9" s="530"/>
      <c r="N9" s="530"/>
      <c r="O9" s="530"/>
      <c r="P9" s="572"/>
      <c r="Q9" s="587"/>
      <c r="R9" s="572"/>
      <c r="S9" s="587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72"/>
      <c r="AE9" s="587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72"/>
      <c r="AS9" s="587"/>
      <c r="AT9" s="530"/>
      <c r="AU9" s="530"/>
      <c r="AV9" s="530"/>
      <c r="AW9" s="530"/>
      <c r="AX9" s="530"/>
      <c r="AY9" s="530"/>
      <c r="AZ9" s="530"/>
      <c r="BA9" s="530"/>
      <c r="BB9" s="530"/>
      <c r="BC9" s="530"/>
      <c r="BD9" s="530"/>
      <c r="BE9" s="530"/>
      <c r="BF9" s="572"/>
      <c r="BG9" s="587"/>
      <c r="BH9" s="530"/>
      <c r="BI9" s="530"/>
      <c r="BJ9" s="535">
        <f t="shared" si="2"/>
        <v>0</v>
      </c>
      <c r="BK9" s="545">
        <f t="shared" si="1"/>
        <v>0</v>
      </c>
    </row>
    <row r="10" spans="1:63" x14ac:dyDescent="0.35">
      <c r="A10" s="512"/>
      <c r="B10" s="512"/>
      <c r="C10" s="512" t="e">
        <f>VLOOKUP(D10,Products!B:D,2,FALSE)</f>
        <v>#N/A</v>
      </c>
      <c r="D10" s="555"/>
      <c r="E10" s="380">
        <v>1</v>
      </c>
      <c r="F10" s="598"/>
      <c r="G10" s="598"/>
      <c r="H10" s="598"/>
      <c r="I10" s="598"/>
      <c r="J10" s="598"/>
      <c r="K10" s="598"/>
      <c r="L10" s="598"/>
      <c r="M10" s="530"/>
      <c r="N10" s="530"/>
      <c r="O10" s="530"/>
      <c r="P10" s="572"/>
      <c r="Q10" s="587"/>
      <c r="R10" s="572"/>
      <c r="S10" s="587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72"/>
      <c r="AE10" s="587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72"/>
      <c r="AS10" s="587"/>
      <c r="AT10" s="530"/>
      <c r="AU10" s="530"/>
      <c r="AV10" s="530"/>
      <c r="AW10" s="530"/>
      <c r="AX10" s="530"/>
      <c r="AY10" s="530"/>
      <c r="AZ10" s="530"/>
      <c r="BA10" s="530"/>
      <c r="BB10" s="530"/>
      <c r="BC10" s="530"/>
      <c r="BD10" s="530"/>
      <c r="BE10" s="530"/>
      <c r="BF10" s="572"/>
      <c r="BG10" s="587"/>
      <c r="BH10" s="530"/>
      <c r="BI10" s="530"/>
      <c r="BJ10" s="535">
        <f t="shared" si="2"/>
        <v>0</v>
      </c>
      <c r="BK10" s="545">
        <f t="shared" si="1"/>
        <v>0</v>
      </c>
    </row>
    <row r="11" spans="1:63" x14ac:dyDescent="0.35">
      <c r="A11" s="512"/>
      <c r="B11" s="512"/>
      <c r="C11" s="512" t="e">
        <f>VLOOKUP(D11,Products!B:D,2,FALSE)</f>
        <v>#N/A</v>
      </c>
      <c r="D11" s="555"/>
      <c r="E11" s="589">
        <v>1</v>
      </c>
      <c r="F11" s="598"/>
      <c r="G11" s="598"/>
      <c r="H11" s="598"/>
      <c r="I11" s="598"/>
      <c r="J11" s="598"/>
      <c r="K11" s="598"/>
      <c r="L11" s="598"/>
      <c r="M11" s="530"/>
      <c r="N11" s="530"/>
      <c r="O11" s="530"/>
      <c r="P11" s="572"/>
      <c r="Q11" s="587"/>
      <c r="R11" s="572"/>
      <c r="S11" s="587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  <c r="AD11" s="572"/>
      <c r="AE11" s="587"/>
      <c r="AF11" s="530"/>
      <c r="AG11" s="530"/>
      <c r="AH11" s="530"/>
      <c r="AI11" s="530"/>
      <c r="AJ11" s="530"/>
      <c r="AK11" s="530"/>
      <c r="AL11" s="530"/>
      <c r="AM11" s="530"/>
      <c r="AN11" s="530"/>
      <c r="AO11" s="530"/>
      <c r="AP11" s="530"/>
      <c r="AQ11" s="530"/>
      <c r="AR11" s="572"/>
      <c r="AS11" s="587"/>
      <c r="AT11" s="530"/>
      <c r="AU11" s="530"/>
      <c r="AV11" s="530"/>
      <c r="AW11" s="530"/>
      <c r="AX11" s="530"/>
      <c r="AY11" s="530"/>
      <c r="AZ11" s="530"/>
      <c r="BA11" s="530"/>
      <c r="BB11" s="530"/>
      <c r="BC11" s="530"/>
      <c r="BD11" s="530"/>
      <c r="BE11" s="530"/>
      <c r="BF11" s="572"/>
      <c r="BG11" s="587"/>
      <c r="BH11" s="530"/>
      <c r="BI11" s="530"/>
      <c r="BJ11" s="535">
        <f t="shared" si="2"/>
        <v>0</v>
      </c>
      <c r="BK11" s="545">
        <f t="shared" si="1"/>
        <v>0</v>
      </c>
    </row>
    <row r="12" spans="1:63" x14ac:dyDescent="0.35">
      <c r="A12" s="512"/>
      <c r="B12" s="512"/>
      <c r="C12" s="512" t="e">
        <f>VLOOKUP(D12,Products!B:D,2,FALSE)</f>
        <v>#N/A</v>
      </c>
      <c r="D12" s="555"/>
      <c r="E12" s="589">
        <v>1</v>
      </c>
      <c r="F12" s="530"/>
      <c r="G12" s="530"/>
      <c r="H12" s="530"/>
      <c r="I12" s="530"/>
      <c r="J12" s="530"/>
      <c r="K12" s="530"/>
      <c r="L12" s="530"/>
      <c r="M12" s="530"/>
      <c r="N12" s="530"/>
      <c r="O12" s="530"/>
      <c r="P12" s="572"/>
      <c r="Q12" s="587"/>
      <c r="R12" s="572"/>
      <c r="S12" s="587"/>
      <c r="T12" s="530"/>
      <c r="U12" s="530"/>
      <c r="V12" s="530"/>
      <c r="W12" s="530"/>
      <c r="X12" s="530"/>
      <c r="Y12" s="530"/>
      <c r="Z12" s="530"/>
      <c r="AA12" s="530"/>
      <c r="AB12" s="530"/>
      <c r="AC12" s="530"/>
      <c r="AD12" s="572"/>
      <c r="AE12" s="587"/>
      <c r="AF12" s="530"/>
      <c r="AG12" s="530"/>
      <c r="AH12" s="530"/>
      <c r="AI12" s="530"/>
      <c r="AJ12" s="530"/>
      <c r="AK12" s="530"/>
      <c r="AL12" s="530"/>
      <c r="AM12" s="530"/>
      <c r="AN12" s="530"/>
      <c r="AO12" s="530"/>
      <c r="AP12" s="530"/>
      <c r="AQ12" s="530"/>
      <c r="AR12" s="572"/>
      <c r="AS12" s="587"/>
      <c r="AT12" s="530"/>
      <c r="AU12" s="530"/>
      <c r="AV12" s="530"/>
      <c r="AW12" s="530"/>
      <c r="AX12" s="530"/>
      <c r="AY12" s="530"/>
      <c r="AZ12" s="530"/>
      <c r="BA12" s="530"/>
      <c r="BB12" s="530"/>
      <c r="BC12" s="530"/>
      <c r="BD12" s="530"/>
      <c r="BE12" s="530"/>
      <c r="BF12" s="572"/>
      <c r="BG12" s="587"/>
      <c r="BH12" s="530"/>
      <c r="BI12" s="530"/>
      <c r="BJ12" s="535">
        <f t="shared" si="2"/>
        <v>0</v>
      </c>
      <c r="BK12" s="545">
        <f t="shared" si="1"/>
        <v>0</v>
      </c>
    </row>
    <row r="13" spans="1:63" ht="23.25" hidden="1" customHeight="1" x14ac:dyDescent="0.35">
      <c r="A13" s="512"/>
      <c r="B13" s="512"/>
      <c r="C13" s="512" t="e">
        <f>VLOOKUP(D13,Products!B:D,2,FALSE)</f>
        <v>#N/A</v>
      </c>
      <c r="D13" s="555"/>
      <c r="E13" s="589">
        <v>1</v>
      </c>
      <c r="F13" s="530"/>
      <c r="G13" s="530"/>
      <c r="H13" s="530"/>
      <c r="I13" s="530"/>
      <c r="J13" s="530"/>
      <c r="K13" s="530"/>
      <c r="L13" s="530"/>
      <c r="M13" s="530"/>
      <c r="N13" s="530"/>
      <c r="O13" s="530"/>
      <c r="P13" s="572"/>
      <c r="Q13" s="587"/>
      <c r="R13" s="572"/>
      <c r="S13" s="587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72"/>
      <c r="AE13" s="587"/>
      <c r="AF13" s="530"/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72"/>
      <c r="AS13" s="587"/>
      <c r="AT13" s="530"/>
      <c r="AU13" s="530"/>
      <c r="AV13" s="530"/>
      <c r="AW13" s="530"/>
      <c r="AX13" s="530"/>
      <c r="AY13" s="530"/>
      <c r="AZ13" s="530"/>
      <c r="BA13" s="530"/>
      <c r="BB13" s="530"/>
      <c r="BC13" s="530"/>
      <c r="BD13" s="530"/>
      <c r="BE13" s="530"/>
      <c r="BF13" s="572"/>
      <c r="BG13" s="587"/>
      <c r="BH13" s="530"/>
      <c r="BI13" s="530"/>
      <c r="BJ13" s="535">
        <f t="shared" ref="BJ13:BJ36" si="3">SUM(F13:BI13)</f>
        <v>0</v>
      </c>
      <c r="BK13" s="545">
        <f t="shared" si="1"/>
        <v>0</v>
      </c>
    </row>
    <row r="14" spans="1:63" ht="23.25" hidden="1" customHeight="1" x14ac:dyDescent="0.35">
      <c r="A14" s="512"/>
      <c r="B14" s="512"/>
      <c r="C14" s="512" t="e">
        <f>VLOOKUP(D14,Products!B:D,2,FALSE)</f>
        <v>#N/A</v>
      </c>
      <c r="D14" s="555"/>
      <c r="E14" s="589">
        <v>1</v>
      </c>
      <c r="F14" s="530"/>
      <c r="G14" s="530"/>
      <c r="H14" s="530"/>
      <c r="I14" s="530"/>
      <c r="J14" s="530"/>
      <c r="K14" s="530"/>
      <c r="L14" s="530"/>
      <c r="M14" s="530"/>
      <c r="N14" s="530"/>
      <c r="O14" s="530"/>
      <c r="P14" s="572"/>
      <c r="Q14" s="587"/>
      <c r="R14" s="572"/>
      <c r="S14" s="587"/>
      <c r="T14" s="530"/>
      <c r="U14" s="530"/>
      <c r="V14" s="530"/>
      <c r="W14" s="530"/>
      <c r="X14" s="530"/>
      <c r="Y14" s="530"/>
      <c r="Z14" s="530"/>
      <c r="AA14" s="530"/>
      <c r="AB14" s="530"/>
      <c r="AC14" s="530"/>
      <c r="AD14" s="572"/>
      <c r="AE14" s="587"/>
      <c r="AF14" s="530"/>
      <c r="AG14" s="530"/>
      <c r="AH14" s="530"/>
      <c r="AI14" s="530"/>
      <c r="AJ14" s="530"/>
      <c r="AK14" s="530"/>
      <c r="AL14" s="530"/>
      <c r="AM14" s="530"/>
      <c r="AN14" s="530"/>
      <c r="AO14" s="530"/>
      <c r="AP14" s="530"/>
      <c r="AQ14" s="530"/>
      <c r="AR14" s="572"/>
      <c r="AS14" s="587"/>
      <c r="AT14" s="530"/>
      <c r="AU14" s="530"/>
      <c r="AV14" s="530"/>
      <c r="AW14" s="530"/>
      <c r="AX14" s="530"/>
      <c r="AY14" s="530"/>
      <c r="AZ14" s="530"/>
      <c r="BA14" s="530"/>
      <c r="BB14" s="530"/>
      <c r="BC14" s="530"/>
      <c r="BD14" s="530"/>
      <c r="BE14" s="530"/>
      <c r="BF14" s="572"/>
      <c r="BG14" s="587"/>
      <c r="BH14" s="530"/>
      <c r="BI14" s="530"/>
      <c r="BJ14" s="535">
        <f t="shared" si="3"/>
        <v>0</v>
      </c>
      <c r="BK14" s="545">
        <f t="shared" si="1"/>
        <v>0</v>
      </c>
    </row>
    <row r="15" spans="1:63" ht="15.75" hidden="1" customHeight="1" x14ac:dyDescent="0.35">
      <c r="A15" s="512"/>
      <c r="B15" s="512"/>
      <c r="C15" s="512" t="e">
        <f>VLOOKUP(D15,Products!B:D,2,FALSE)</f>
        <v>#N/A</v>
      </c>
      <c r="D15" s="555"/>
      <c r="E15" s="589">
        <v>1</v>
      </c>
      <c r="F15" s="530"/>
      <c r="G15" s="530"/>
      <c r="H15" s="530"/>
      <c r="I15" s="530"/>
      <c r="J15" s="530"/>
      <c r="K15" s="530"/>
      <c r="L15" s="530"/>
      <c r="M15" s="530"/>
      <c r="N15" s="530"/>
      <c r="O15" s="530"/>
      <c r="P15" s="572"/>
      <c r="Q15" s="587"/>
      <c r="R15" s="572"/>
      <c r="S15" s="587"/>
      <c r="T15" s="530"/>
      <c r="U15" s="530"/>
      <c r="V15" s="530"/>
      <c r="W15" s="530"/>
      <c r="X15" s="530"/>
      <c r="Y15" s="530"/>
      <c r="Z15" s="530"/>
      <c r="AA15" s="530"/>
      <c r="AB15" s="530"/>
      <c r="AC15" s="530"/>
      <c r="AD15" s="572"/>
      <c r="AE15" s="587"/>
      <c r="AF15" s="530"/>
      <c r="AG15" s="530"/>
      <c r="AH15" s="530"/>
      <c r="AI15" s="530"/>
      <c r="AJ15" s="530"/>
      <c r="AK15" s="530"/>
      <c r="AL15" s="530"/>
      <c r="AM15" s="530"/>
      <c r="AN15" s="530"/>
      <c r="AO15" s="530"/>
      <c r="AP15" s="530"/>
      <c r="AQ15" s="530"/>
      <c r="AR15" s="572"/>
      <c r="AS15" s="587"/>
      <c r="AT15" s="530"/>
      <c r="AU15" s="530"/>
      <c r="AV15" s="530"/>
      <c r="AW15" s="530"/>
      <c r="AX15" s="530"/>
      <c r="AY15" s="530"/>
      <c r="AZ15" s="530"/>
      <c r="BA15" s="530"/>
      <c r="BB15" s="530"/>
      <c r="BC15" s="530"/>
      <c r="BD15" s="530"/>
      <c r="BE15" s="530"/>
      <c r="BF15" s="572"/>
      <c r="BG15" s="587"/>
      <c r="BH15" s="530"/>
      <c r="BI15" s="530"/>
      <c r="BJ15" s="535">
        <f t="shared" si="3"/>
        <v>0</v>
      </c>
      <c r="BK15" s="545">
        <f t="shared" si="1"/>
        <v>0</v>
      </c>
    </row>
    <row r="16" spans="1:63" ht="15.75" hidden="1" customHeight="1" x14ac:dyDescent="0.35">
      <c r="A16" s="512"/>
      <c r="B16" s="512"/>
      <c r="C16" s="512" t="e">
        <f>VLOOKUP(D16,Products!B:D,2,FALSE)</f>
        <v>#N/A</v>
      </c>
      <c r="D16" s="555"/>
      <c r="E16" s="589">
        <v>1</v>
      </c>
      <c r="F16" s="530"/>
      <c r="G16" s="530"/>
      <c r="H16" s="530"/>
      <c r="I16" s="530"/>
      <c r="J16" s="530"/>
      <c r="K16" s="530"/>
      <c r="L16" s="530"/>
      <c r="M16" s="530"/>
      <c r="N16" s="530"/>
      <c r="O16" s="530"/>
      <c r="P16" s="572"/>
      <c r="Q16" s="587"/>
      <c r="R16" s="572"/>
      <c r="S16" s="587"/>
      <c r="T16" s="530"/>
      <c r="U16" s="530"/>
      <c r="V16" s="530"/>
      <c r="W16" s="530"/>
      <c r="X16" s="530"/>
      <c r="Y16" s="530"/>
      <c r="Z16" s="530"/>
      <c r="AA16" s="530"/>
      <c r="AB16" s="530"/>
      <c r="AC16" s="530"/>
      <c r="AD16" s="572"/>
      <c r="AE16" s="587"/>
      <c r="AF16" s="530"/>
      <c r="AG16" s="530"/>
      <c r="AH16" s="530"/>
      <c r="AI16" s="530"/>
      <c r="AJ16" s="530"/>
      <c r="AK16" s="530"/>
      <c r="AL16" s="530"/>
      <c r="AM16" s="530"/>
      <c r="AN16" s="530"/>
      <c r="AO16" s="530"/>
      <c r="AP16" s="530"/>
      <c r="AQ16" s="530"/>
      <c r="AR16" s="572"/>
      <c r="AS16" s="587"/>
      <c r="AT16" s="530"/>
      <c r="AU16" s="530"/>
      <c r="AV16" s="530"/>
      <c r="AW16" s="530"/>
      <c r="AX16" s="530"/>
      <c r="AY16" s="530"/>
      <c r="AZ16" s="530"/>
      <c r="BA16" s="530"/>
      <c r="BB16" s="530"/>
      <c r="BC16" s="530"/>
      <c r="BD16" s="530"/>
      <c r="BE16" s="530"/>
      <c r="BF16" s="572"/>
      <c r="BG16" s="587"/>
      <c r="BH16" s="530"/>
      <c r="BI16" s="530"/>
      <c r="BJ16" s="535">
        <f t="shared" si="3"/>
        <v>0</v>
      </c>
      <c r="BK16" s="545">
        <f t="shared" si="1"/>
        <v>0</v>
      </c>
    </row>
    <row r="17" spans="1:63" ht="15.75" hidden="1" customHeight="1" x14ac:dyDescent="0.35">
      <c r="A17" s="512"/>
      <c r="B17" s="512"/>
      <c r="C17" s="512" t="e">
        <f>VLOOKUP(D17,Products!B:D,2,FALSE)</f>
        <v>#N/A</v>
      </c>
      <c r="D17" s="555"/>
      <c r="E17" s="589">
        <v>1</v>
      </c>
      <c r="F17" s="530"/>
      <c r="G17" s="530"/>
      <c r="H17" s="530"/>
      <c r="I17" s="530"/>
      <c r="J17" s="530"/>
      <c r="K17" s="530"/>
      <c r="L17" s="530"/>
      <c r="M17" s="530"/>
      <c r="N17" s="530"/>
      <c r="O17" s="530"/>
      <c r="P17" s="572"/>
      <c r="Q17" s="587"/>
      <c r="R17" s="572"/>
      <c r="S17" s="587"/>
      <c r="T17" s="530"/>
      <c r="U17" s="530"/>
      <c r="V17" s="530"/>
      <c r="W17" s="530"/>
      <c r="X17" s="530"/>
      <c r="Y17" s="530"/>
      <c r="Z17" s="530"/>
      <c r="AA17" s="530"/>
      <c r="AB17" s="530"/>
      <c r="AC17" s="530"/>
      <c r="AD17" s="572"/>
      <c r="AE17" s="587"/>
      <c r="AF17" s="530"/>
      <c r="AG17" s="530"/>
      <c r="AH17" s="530"/>
      <c r="AI17" s="530"/>
      <c r="AJ17" s="530"/>
      <c r="AK17" s="530"/>
      <c r="AL17" s="530"/>
      <c r="AM17" s="530"/>
      <c r="AN17" s="530"/>
      <c r="AO17" s="530"/>
      <c r="AP17" s="530"/>
      <c r="AQ17" s="530"/>
      <c r="AR17" s="572"/>
      <c r="AS17" s="587"/>
      <c r="AT17" s="530"/>
      <c r="AU17" s="530"/>
      <c r="AV17" s="530"/>
      <c r="AW17" s="530"/>
      <c r="AX17" s="530"/>
      <c r="AY17" s="530"/>
      <c r="AZ17" s="530"/>
      <c r="BA17" s="530"/>
      <c r="BB17" s="530"/>
      <c r="BC17" s="530"/>
      <c r="BD17" s="530"/>
      <c r="BE17" s="530"/>
      <c r="BF17" s="572"/>
      <c r="BG17" s="587"/>
      <c r="BH17" s="530"/>
      <c r="BI17" s="530"/>
      <c r="BJ17" s="535">
        <f t="shared" si="3"/>
        <v>0</v>
      </c>
      <c r="BK17" s="545">
        <f t="shared" si="1"/>
        <v>0</v>
      </c>
    </row>
    <row r="18" spans="1:63" ht="15.75" hidden="1" customHeight="1" x14ac:dyDescent="0.35">
      <c r="A18" s="512"/>
      <c r="B18" s="512"/>
      <c r="C18" s="512" t="e">
        <f>VLOOKUP(D18,Products!B:D,2,FALSE)</f>
        <v>#N/A</v>
      </c>
      <c r="D18" s="555"/>
      <c r="E18" s="589">
        <v>1</v>
      </c>
      <c r="F18" s="530"/>
      <c r="G18" s="530"/>
      <c r="H18" s="530"/>
      <c r="I18" s="530"/>
      <c r="J18" s="530"/>
      <c r="K18" s="530"/>
      <c r="L18" s="530"/>
      <c r="M18" s="530"/>
      <c r="N18" s="530"/>
      <c r="O18" s="530"/>
      <c r="P18" s="572"/>
      <c r="Q18" s="587"/>
      <c r="R18" s="572"/>
      <c r="S18" s="587"/>
      <c r="T18" s="530"/>
      <c r="U18" s="530"/>
      <c r="V18" s="530"/>
      <c r="W18" s="530"/>
      <c r="X18" s="530"/>
      <c r="Y18" s="530"/>
      <c r="Z18" s="530"/>
      <c r="AA18" s="530"/>
      <c r="AB18" s="530"/>
      <c r="AC18" s="530"/>
      <c r="AD18" s="572"/>
      <c r="AE18" s="587"/>
      <c r="AF18" s="530"/>
      <c r="AG18" s="530"/>
      <c r="AH18" s="530"/>
      <c r="AI18" s="530"/>
      <c r="AJ18" s="530"/>
      <c r="AK18" s="530"/>
      <c r="AL18" s="530"/>
      <c r="AM18" s="530"/>
      <c r="AN18" s="530"/>
      <c r="AO18" s="530"/>
      <c r="AP18" s="530"/>
      <c r="AQ18" s="530"/>
      <c r="AR18" s="572"/>
      <c r="AS18" s="587"/>
      <c r="AT18" s="530"/>
      <c r="AU18" s="530"/>
      <c r="AV18" s="530"/>
      <c r="AW18" s="530"/>
      <c r="AX18" s="530"/>
      <c r="AY18" s="530"/>
      <c r="AZ18" s="530"/>
      <c r="BA18" s="530"/>
      <c r="BB18" s="530"/>
      <c r="BC18" s="530"/>
      <c r="BD18" s="530"/>
      <c r="BE18" s="530"/>
      <c r="BF18" s="572"/>
      <c r="BG18" s="587"/>
      <c r="BH18" s="530"/>
      <c r="BI18" s="530"/>
      <c r="BJ18" s="535">
        <f t="shared" si="3"/>
        <v>0</v>
      </c>
      <c r="BK18" s="545">
        <f t="shared" si="1"/>
        <v>0</v>
      </c>
    </row>
    <row r="19" spans="1:63" ht="15.75" hidden="1" customHeight="1" x14ac:dyDescent="0.35">
      <c r="A19" s="512"/>
      <c r="B19" s="512"/>
      <c r="C19" s="512" t="e">
        <f>VLOOKUP(D19,Products!B:D,2,FALSE)</f>
        <v>#N/A</v>
      </c>
      <c r="D19" s="555"/>
      <c r="E19" s="589">
        <v>1</v>
      </c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72"/>
      <c r="Q19" s="587"/>
      <c r="R19" s="572"/>
      <c r="S19" s="587"/>
      <c r="T19" s="530"/>
      <c r="U19" s="530"/>
      <c r="V19" s="530"/>
      <c r="W19" s="530"/>
      <c r="X19" s="530"/>
      <c r="Y19" s="530"/>
      <c r="Z19" s="530"/>
      <c r="AA19" s="530"/>
      <c r="AB19" s="530"/>
      <c r="AC19" s="530"/>
      <c r="AD19" s="572"/>
      <c r="AE19" s="587"/>
      <c r="AF19" s="530"/>
      <c r="AG19" s="530"/>
      <c r="AH19" s="530"/>
      <c r="AI19" s="530"/>
      <c r="AJ19" s="530"/>
      <c r="AK19" s="530"/>
      <c r="AL19" s="530"/>
      <c r="AM19" s="530"/>
      <c r="AN19" s="530"/>
      <c r="AO19" s="530"/>
      <c r="AP19" s="530"/>
      <c r="AQ19" s="530"/>
      <c r="AR19" s="572"/>
      <c r="AS19" s="587"/>
      <c r="AT19" s="530"/>
      <c r="AU19" s="530"/>
      <c r="AV19" s="530"/>
      <c r="AW19" s="530"/>
      <c r="AX19" s="530"/>
      <c r="AY19" s="530"/>
      <c r="AZ19" s="530"/>
      <c r="BA19" s="530"/>
      <c r="BB19" s="530"/>
      <c r="BC19" s="530"/>
      <c r="BD19" s="530"/>
      <c r="BE19" s="530"/>
      <c r="BF19" s="572"/>
      <c r="BG19" s="587"/>
      <c r="BH19" s="530"/>
      <c r="BI19" s="530"/>
      <c r="BJ19" s="535">
        <f t="shared" si="3"/>
        <v>0</v>
      </c>
      <c r="BK19" s="545">
        <f t="shared" si="1"/>
        <v>0</v>
      </c>
    </row>
    <row r="20" spans="1:63" ht="15.75" hidden="1" customHeight="1" x14ac:dyDescent="0.35">
      <c r="A20" s="512"/>
      <c r="B20" s="512"/>
      <c r="C20" s="512" t="e">
        <f>VLOOKUP(D20,Products!B:D,2,FALSE)</f>
        <v>#N/A</v>
      </c>
      <c r="D20" s="555"/>
      <c r="E20" s="589">
        <v>1</v>
      </c>
      <c r="F20" s="530"/>
      <c r="G20" s="530"/>
      <c r="H20" s="530"/>
      <c r="I20" s="530"/>
      <c r="J20" s="530"/>
      <c r="K20" s="530"/>
      <c r="L20" s="530"/>
      <c r="M20" s="530"/>
      <c r="N20" s="530"/>
      <c r="O20" s="530"/>
      <c r="P20" s="572"/>
      <c r="Q20" s="587"/>
      <c r="R20" s="572"/>
      <c r="S20" s="587"/>
      <c r="T20" s="530"/>
      <c r="U20" s="530"/>
      <c r="V20" s="530"/>
      <c r="W20" s="530"/>
      <c r="X20" s="530"/>
      <c r="Y20" s="530"/>
      <c r="Z20" s="530"/>
      <c r="AA20" s="530"/>
      <c r="AB20" s="530"/>
      <c r="AC20" s="530"/>
      <c r="AD20" s="572"/>
      <c r="AE20" s="587"/>
      <c r="AF20" s="530"/>
      <c r="AG20" s="530"/>
      <c r="AH20" s="530"/>
      <c r="AI20" s="530"/>
      <c r="AJ20" s="530"/>
      <c r="AK20" s="530"/>
      <c r="AL20" s="530"/>
      <c r="AM20" s="530"/>
      <c r="AN20" s="530"/>
      <c r="AO20" s="530"/>
      <c r="AP20" s="530"/>
      <c r="AQ20" s="530"/>
      <c r="AR20" s="572"/>
      <c r="AS20" s="587"/>
      <c r="AT20" s="530"/>
      <c r="AU20" s="530"/>
      <c r="AV20" s="530"/>
      <c r="AW20" s="530"/>
      <c r="AX20" s="530"/>
      <c r="AY20" s="530"/>
      <c r="AZ20" s="530"/>
      <c r="BA20" s="530"/>
      <c r="BB20" s="530"/>
      <c r="BC20" s="530"/>
      <c r="BD20" s="530"/>
      <c r="BE20" s="530"/>
      <c r="BF20" s="572"/>
      <c r="BG20" s="587"/>
      <c r="BH20" s="530"/>
      <c r="BI20" s="530"/>
      <c r="BJ20" s="535">
        <f t="shared" si="3"/>
        <v>0</v>
      </c>
      <c r="BK20" s="545">
        <f t="shared" si="1"/>
        <v>0</v>
      </c>
    </row>
    <row r="21" spans="1:63" ht="15.75" hidden="1" customHeight="1" x14ac:dyDescent="0.35">
      <c r="A21" s="512"/>
      <c r="B21" s="512"/>
      <c r="C21" s="512" t="e">
        <f>VLOOKUP(D21,Products!B:D,2,FALSE)</f>
        <v>#N/A</v>
      </c>
      <c r="D21" s="555"/>
      <c r="E21" s="589">
        <v>1</v>
      </c>
      <c r="F21" s="530"/>
      <c r="G21" s="530"/>
      <c r="H21" s="530"/>
      <c r="I21" s="530"/>
      <c r="J21" s="530"/>
      <c r="K21" s="530"/>
      <c r="L21" s="530"/>
      <c r="M21" s="530"/>
      <c r="N21" s="530"/>
      <c r="O21" s="530"/>
      <c r="P21" s="572"/>
      <c r="Q21" s="587"/>
      <c r="R21" s="572"/>
      <c r="S21" s="587"/>
      <c r="T21" s="530"/>
      <c r="U21" s="530"/>
      <c r="V21" s="530"/>
      <c r="W21" s="530"/>
      <c r="X21" s="530"/>
      <c r="Y21" s="530"/>
      <c r="Z21" s="530"/>
      <c r="AA21" s="530"/>
      <c r="AB21" s="530"/>
      <c r="AC21" s="530"/>
      <c r="AD21" s="572"/>
      <c r="AE21" s="587"/>
      <c r="AF21" s="530"/>
      <c r="AG21" s="530"/>
      <c r="AH21" s="530"/>
      <c r="AI21" s="530"/>
      <c r="AJ21" s="530"/>
      <c r="AK21" s="530"/>
      <c r="AL21" s="530"/>
      <c r="AM21" s="530"/>
      <c r="AN21" s="530"/>
      <c r="AO21" s="530"/>
      <c r="AP21" s="530"/>
      <c r="AQ21" s="530"/>
      <c r="AR21" s="572"/>
      <c r="AS21" s="587"/>
      <c r="AT21" s="530"/>
      <c r="AU21" s="530"/>
      <c r="AV21" s="530"/>
      <c r="AW21" s="530"/>
      <c r="AX21" s="530"/>
      <c r="AY21" s="530"/>
      <c r="AZ21" s="530"/>
      <c r="BA21" s="530"/>
      <c r="BB21" s="530"/>
      <c r="BC21" s="530"/>
      <c r="BD21" s="530"/>
      <c r="BE21" s="530"/>
      <c r="BF21" s="572"/>
      <c r="BG21" s="587"/>
      <c r="BH21" s="530"/>
      <c r="BI21" s="530"/>
      <c r="BJ21" s="535">
        <f t="shared" si="3"/>
        <v>0</v>
      </c>
      <c r="BK21" s="545">
        <f t="shared" si="1"/>
        <v>0</v>
      </c>
    </row>
    <row r="22" spans="1:63" ht="15.75" hidden="1" customHeight="1" x14ac:dyDescent="0.35">
      <c r="A22" s="512"/>
      <c r="B22" s="512"/>
      <c r="C22" s="512" t="e">
        <f>VLOOKUP(D22,Products!B:D,2,FALSE)</f>
        <v>#N/A</v>
      </c>
      <c r="D22" s="555"/>
      <c r="E22" s="589">
        <v>1</v>
      </c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72"/>
      <c r="Q22" s="587"/>
      <c r="R22" s="572"/>
      <c r="S22" s="587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72"/>
      <c r="AE22" s="587"/>
      <c r="AF22" s="530"/>
      <c r="AG22" s="530"/>
      <c r="AH22" s="530"/>
      <c r="AI22" s="530"/>
      <c r="AJ22" s="530"/>
      <c r="AK22" s="530"/>
      <c r="AL22" s="530"/>
      <c r="AM22" s="530"/>
      <c r="AN22" s="530"/>
      <c r="AO22" s="530"/>
      <c r="AP22" s="530"/>
      <c r="AQ22" s="530"/>
      <c r="AR22" s="572"/>
      <c r="AS22" s="587"/>
      <c r="AT22" s="530"/>
      <c r="AU22" s="530"/>
      <c r="AV22" s="530"/>
      <c r="AW22" s="530"/>
      <c r="AX22" s="530"/>
      <c r="AY22" s="530"/>
      <c r="AZ22" s="530"/>
      <c r="BA22" s="530"/>
      <c r="BB22" s="530"/>
      <c r="BC22" s="530"/>
      <c r="BD22" s="530"/>
      <c r="BE22" s="530"/>
      <c r="BF22" s="572"/>
      <c r="BG22" s="587"/>
      <c r="BH22" s="530"/>
      <c r="BI22" s="530"/>
      <c r="BJ22" s="535">
        <f t="shared" si="3"/>
        <v>0</v>
      </c>
      <c r="BK22" s="545">
        <f t="shared" si="1"/>
        <v>0</v>
      </c>
    </row>
    <row r="23" spans="1:63" ht="15.75" hidden="1" customHeight="1" x14ac:dyDescent="0.35">
      <c r="A23" s="512"/>
      <c r="B23" s="512"/>
      <c r="C23" s="512" t="e">
        <f>VLOOKUP(D23,Products!B:D,2,FALSE)</f>
        <v>#N/A</v>
      </c>
      <c r="D23" s="504"/>
      <c r="E23" s="589">
        <v>1</v>
      </c>
      <c r="F23" s="530"/>
      <c r="G23" s="530"/>
      <c r="H23" s="530"/>
      <c r="I23" s="530"/>
      <c r="J23" s="530"/>
      <c r="K23" s="530"/>
      <c r="L23" s="530"/>
      <c r="M23" s="530"/>
      <c r="N23" s="530"/>
      <c r="O23" s="530"/>
      <c r="P23" s="542">
        <f>SUM(P24:P31)</f>
        <v>0</v>
      </c>
      <c r="Q23" s="575">
        <f>SUM(Q24:Q31)</f>
        <v>0</v>
      </c>
      <c r="R23" s="542"/>
      <c r="S23" s="575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42">
        <f>SUM(AD24:AD31)</f>
        <v>0</v>
      </c>
      <c r="AE23" s="575">
        <f>SUM(AE24:AE31)</f>
        <v>0</v>
      </c>
      <c r="AF23" s="530"/>
      <c r="AG23" s="530"/>
      <c r="AH23" s="530"/>
      <c r="AI23" s="530"/>
      <c r="AJ23" s="530"/>
      <c r="AK23" s="530"/>
      <c r="AL23" s="530"/>
      <c r="AM23" s="530"/>
      <c r="AN23" s="530"/>
      <c r="AO23" s="530"/>
      <c r="AP23" s="530"/>
      <c r="AQ23" s="530"/>
      <c r="AR23" s="542">
        <f>SUM(AR24:AR31)</f>
        <v>0</v>
      </c>
      <c r="AS23" s="575">
        <f>SUM(AS24:AS31)</f>
        <v>0</v>
      </c>
      <c r="AT23" s="530"/>
      <c r="AU23" s="530"/>
      <c r="AV23" s="530"/>
      <c r="AW23" s="530"/>
      <c r="AX23" s="530"/>
      <c r="AY23" s="530"/>
      <c r="AZ23" s="530"/>
      <c r="BA23" s="530"/>
      <c r="BB23" s="530"/>
      <c r="BC23" s="530"/>
      <c r="BD23" s="530"/>
      <c r="BE23" s="530"/>
      <c r="BF23" s="542">
        <f>SUM(BF24:BF31)</f>
        <v>0</v>
      </c>
      <c r="BG23" s="575">
        <f>SUM(BG24:BG31)</f>
        <v>0</v>
      </c>
      <c r="BH23" s="530"/>
      <c r="BI23" s="530"/>
      <c r="BJ23" s="535">
        <f t="shared" si="3"/>
        <v>0</v>
      </c>
      <c r="BK23" s="545">
        <f t="shared" si="1"/>
        <v>8</v>
      </c>
    </row>
    <row r="24" spans="1:63" ht="15.75" hidden="1" customHeight="1" x14ac:dyDescent="0.35">
      <c r="A24" s="512"/>
      <c r="B24" s="512"/>
      <c r="C24" s="512" t="e">
        <f>VLOOKUP(D24,Products!B:D,2,FALSE)</f>
        <v>#N/A</v>
      </c>
      <c r="D24" s="504" t="s">
        <v>17</v>
      </c>
      <c r="E24" s="589">
        <v>1</v>
      </c>
      <c r="F24" s="530"/>
      <c r="G24" s="530"/>
      <c r="H24" s="530"/>
      <c r="I24" s="530"/>
      <c r="J24" s="530"/>
      <c r="K24" s="530"/>
      <c r="L24" s="530"/>
      <c r="M24" s="530"/>
      <c r="N24" s="530"/>
      <c r="O24" s="530"/>
      <c r="P24" s="572"/>
      <c r="Q24" s="587"/>
      <c r="R24" s="572"/>
      <c r="S24" s="587"/>
      <c r="T24" s="530"/>
      <c r="U24" s="530"/>
      <c r="V24" s="530"/>
      <c r="W24" s="530"/>
      <c r="X24" s="530"/>
      <c r="Y24" s="530"/>
      <c r="Z24" s="530"/>
      <c r="AA24" s="530"/>
      <c r="AB24" s="530"/>
      <c r="AC24" s="530"/>
      <c r="AD24" s="572"/>
      <c r="AE24" s="587"/>
      <c r="AF24" s="530"/>
      <c r="AG24" s="530"/>
      <c r="AH24" s="530"/>
      <c r="AI24" s="530"/>
      <c r="AJ24" s="530"/>
      <c r="AK24" s="530"/>
      <c r="AL24" s="530"/>
      <c r="AM24" s="530"/>
      <c r="AN24" s="530"/>
      <c r="AO24" s="530"/>
      <c r="AP24" s="530"/>
      <c r="AQ24" s="530"/>
      <c r="AR24" s="572"/>
      <c r="AS24" s="587"/>
      <c r="AT24" s="530"/>
      <c r="AU24" s="530"/>
      <c r="AV24" s="530"/>
      <c r="AW24" s="530"/>
      <c r="AX24" s="530"/>
      <c r="AY24" s="530"/>
      <c r="AZ24" s="530"/>
      <c r="BA24" s="530"/>
      <c r="BB24" s="530"/>
      <c r="BC24" s="530"/>
      <c r="BD24" s="530"/>
      <c r="BE24" s="530"/>
      <c r="BF24" s="572"/>
      <c r="BG24" s="587"/>
      <c r="BH24" s="530"/>
      <c r="BI24" s="530"/>
      <c r="BJ24" s="535">
        <f t="shared" si="3"/>
        <v>0</v>
      </c>
      <c r="BK24" s="545">
        <f t="shared" si="1"/>
        <v>0</v>
      </c>
    </row>
    <row r="25" spans="1:63" ht="15.75" hidden="1" customHeight="1" x14ac:dyDescent="0.35">
      <c r="A25" s="512"/>
      <c r="B25" s="512"/>
      <c r="C25" s="512" t="e">
        <f>VLOOKUP(D25,Products!B:D,2,FALSE)</f>
        <v>#N/A</v>
      </c>
      <c r="D25" s="504"/>
      <c r="E25" s="554">
        <v>1</v>
      </c>
      <c r="F25" s="530"/>
      <c r="G25" s="530"/>
      <c r="H25" s="530"/>
      <c r="I25" s="530"/>
      <c r="J25" s="530"/>
      <c r="K25" s="530"/>
      <c r="L25" s="530"/>
      <c r="M25" s="530"/>
      <c r="N25" s="530"/>
      <c r="O25" s="530"/>
      <c r="P25" s="572"/>
      <c r="Q25" s="587"/>
      <c r="R25" s="572"/>
      <c r="S25" s="587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72"/>
      <c r="AE25" s="587"/>
      <c r="AF25" s="530"/>
      <c r="AG25" s="530"/>
      <c r="AH25" s="530"/>
      <c r="AI25" s="530"/>
      <c r="AJ25" s="530"/>
      <c r="AK25" s="530"/>
      <c r="AL25" s="530"/>
      <c r="AM25" s="530"/>
      <c r="AN25" s="530"/>
      <c r="AO25" s="530"/>
      <c r="AP25" s="530"/>
      <c r="AQ25" s="530"/>
      <c r="AR25" s="572"/>
      <c r="AS25" s="587"/>
      <c r="AT25" s="530"/>
      <c r="AU25" s="530"/>
      <c r="AV25" s="530"/>
      <c r="AW25" s="530"/>
      <c r="AX25" s="530"/>
      <c r="AY25" s="530"/>
      <c r="AZ25" s="530"/>
      <c r="BA25" s="530"/>
      <c r="BB25" s="530"/>
      <c r="BC25" s="530"/>
      <c r="BD25" s="530"/>
      <c r="BE25" s="530"/>
      <c r="BF25" s="572"/>
      <c r="BG25" s="587"/>
      <c r="BH25" s="530"/>
      <c r="BI25" s="530"/>
      <c r="BJ25" s="535">
        <f t="shared" si="3"/>
        <v>0</v>
      </c>
      <c r="BK25" s="545">
        <f t="shared" si="1"/>
        <v>0</v>
      </c>
    </row>
    <row r="26" spans="1:63" ht="15.75" hidden="1" customHeight="1" x14ac:dyDescent="0.35">
      <c r="A26" s="512"/>
      <c r="B26" s="512"/>
      <c r="C26" s="512" t="e">
        <f>VLOOKUP(D26,Products!B:D,2,FALSE)</f>
        <v>#N/A</v>
      </c>
      <c r="D26" s="504"/>
      <c r="E26" s="554">
        <v>1</v>
      </c>
      <c r="F26" s="530"/>
      <c r="G26" s="530"/>
      <c r="H26" s="530"/>
      <c r="I26" s="530"/>
      <c r="J26" s="530"/>
      <c r="K26" s="530"/>
      <c r="L26" s="530"/>
      <c r="M26" s="530"/>
      <c r="N26" s="530"/>
      <c r="O26" s="530"/>
      <c r="P26" s="572"/>
      <c r="Q26" s="587"/>
      <c r="R26" s="572"/>
      <c r="S26" s="587"/>
      <c r="T26" s="530"/>
      <c r="U26" s="530"/>
      <c r="V26" s="530"/>
      <c r="W26" s="530"/>
      <c r="X26" s="530"/>
      <c r="Y26" s="530"/>
      <c r="Z26" s="530"/>
      <c r="AA26" s="530"/>
      <c r="AB26" s="530"/>
      <c r="AC26" s="530"/>
      <c r="AD26" s="572"/>
      <c r="AE26" s="587"/>
      <c r="AF26" s="530"/>
      <c r="AG26" s="530"/>
      <c r="AH26" s="530"/>
      <c r="AI26" s="530"/>
      <c r="AJ26" s="530"/>
      <c r="AK26" s="530"/>
      <c r="AL26" s="530"/>
      <c r="AM26" s="530"/>
      <c r="AN26" s="530"/>
      <c r="AO26" s="530"/>
      <c r="AP26" s="530"/>
      <c r="AQ26" s="530"/>
      <c r="AR26" s="572"/>
      <c r="AS26" s="587"/>
      <c r="AT26" s="530"/>
      <c r="AU26" s="530"/>
      <c r="AV26" s="530"/>
      <c r="AW26" s="530"/>
      <c r="AX26" s="530"/>
      <c r="AY26" s="530"/>
      <c r="AZ26" s="530"/>
      <c r="BA26" s="530"/>
      <c r="BB26" s="530"/>
      <c r="BC26" s="530"/>
      <c r="BD26" s="530"/>
      <c r="BE26" s="530"/>
      <c r="BF26" s="572"/>
      <c r="BG26" s="587"/>
      <c r="BH26" s="530"/>
      <c r="BI26" s="530"/>
      <c r="BJ26" s="535">
        <f t="shared" si="3"/>
        <v>0</v>
      </c>
      <c r="BK26" s="545">
        <f t="shared" si="1"/>
        <v>0</v>
      </c>
    </row>
    <row r="27" spans="1:63" ht="15.75" hidden="1" customHeight="1" x14ac:dyDescent="0.35">
      <c r="A27" s="512"/>
      <c r="B27" s="512"/>
      <c r="C27" s="512" t="e">
        <f>VLOOKUP(D27,Products!B:D,2,FALSE)</f>
        <v>#N/A</v>
      </c>
      <c r="D27" s="504"/>
      <c r="E27" s="554">
        <v>1</v>
      </c>
      <c r="F27" s="530"/>
      <c r="G27" s="530"/>
      <c r="H27" s="530"/>
      <c r="I27" s="530"/>
      <c r="J27" s="530"/>
      <c r="K27" s="530"/>
      <c r="L27" s="530"/>
      <c r="M27" s="530"/>
      <c r="N27" s="530"/>
      <c r="O27" s="530"/>
      <c r="P27" s="572"/>
      <c r="Q27" s="587"/>
      <c r="R27" s="572"/>
      <c r="S27" s="587"/>
      <c r="T27" s="530"/>
      <c r="U27" s="530"/>
      <c r="V27" s="530"/>
      <c r="W27" s="530"/>
      <c r="X27" s="530"/>
      <c r="Y27" s="530"/>
      <c r="Z27" s="530"/>
      <c r="AA27" s="530"/>
      <c r="AB27" s="530"/>
      <c r="AC27" s="530"/>
      <c r="AD27" s="572"/>
      <c r="AE27" s="587"/>
      <c r="AF27" s="530"/>
      <c r="AG27" s="530"/>
      <c r="AH27" s="530"/>
      <c r="AI27" s="530"/>
      <c r="AJ27" s="530"/>
      <c r="AK27" s="530"/>
      <c r="AL27" s="530"/>
      <c r="AM27" s="530"/>
      <c r="AN27" s="530"/>
      <c r="AO27" s="530"/>
      <c r="AP27" s="530"/>
      <c r="AQ27" s="530"/>
      <c r="AR27" s="572"/>
      <c r="AS27" s="587"/>
      <c r="AT27" s="530"/>
      <c r="AU27" s="530"/>
      <c r="AV27" s="530"/>
      <c r="AW27" s="530"/>
      <c r="AX27" s="530"/>
      <c r="AY27" s="530"/>
      <c r="AZ27" s="530"/>
      <c r="BA27" s="530"/>
      <c r="BB27" s="530"/>
      <c r="BC27" s="530"/>
      <c r="BD27" s="530"/>
      <c r="BE27" s="530"/>
      <c r="BF27" s="572"/>
      <c r="BG27" s="587"/>
      <c r="BH27" s="530"/>
      <c r="BI27" s="530"/>
      <c r="BJ27" s="535">
        <f t="shared" si="3"/>
        <v>0</v>
      </c>
      <c r="BK27" s="545">
        <f t="shared" si="1"/>
        <v>0</v>
      </c>
    </row>
    <row r="28" spans="1:63" ht="15.75" hidden="1" customHeight="1" x14ac:dyDescent="0.35">
      <c r="A28" s="512"/>
      <c r="B28" s="512"/>
      <c r="C28" s="512" t="e">
        <f>VLOOKUP(D28,Products!B:D,2,FALSE)</f>
        <v>#N/A</v>
      </c>
      <c r="D28" s="504"/>
      <c r="E28" s="554">
        <v>1</v>
      </c>
      <c r="F28" s="530"/>
      <c r="G28" s="530"/>
      <c r="H28" s="530"/>
      <c r="I28" s="530"/>
      <c r="J28" s="530"/>
      <c r="K28" s="530"/>
      <c r="L28" s="530"/>
      <c r="M28" s="530"/>
      <c r="N28" s="530"/>
      <c r="O28" s="530"/>
      <c r="P28" s="572"/>
      <c r="Q28" s="587"/>
      <c r="R28" s="572"/>
      <c r="S28" s="587"/>
      <c r="T28" s="530"/>
      <c r="U28" s="530"/>
      <c r="V28" s="530"/>
      <c r="W28" s="530"/>
      <c r="X28" s="530"/>
      <c r="Y28" s="530"/>
      <c r="Z28" s="530"/>
      <c r="AA28" s="530"/>
      <c r="AB28" s="530"/>
      <c r="AC28" s="530"/>
      <c r="AD28" s="572"/>
      <c r="AE28" s="587"/>
      <c r="AF28" s="530"/>
      <c r="AG28" s="530"/>
      <c r="AH28" s="530"/>
      <c r="AI28" s="530"/>
      <c r="AJ28" s="530"/>
      <c r="AK28" s="530"/>
      <c r="AL28" s="530"/>
      <c r="AM28" s="530"/>
      <c r="AN28" s="530"/>
      <c r="AO28" s="530"/>
      <c r="AP28" s="530"/>
      <c r="AQ28" s="530"/>
      <c r="AR28" s="572"/>
      <c r="AS28" s="587"/>
      <c r="AT28" s="530"/>
      <c r="AU28" s="530"/>
      <c r="AV28" s="530"/>
      <c r="AW28" s="530"/>
      <c r="AX28" s="530"/>
      <c r="AY28" s="530"/>
      <c r="AZ28" s="530"/>
      <c r="BA28" s="530"/>
      <c r="BB28" s="530"/>
      <c r="BC28" s="530"/>
      <c r="BD28" s="530"/>
      <c r="BE28" s="530"/>
      <c r="BF28" s="572"/>
      <c r="BG28" s="587"/>
      <c r="BH28" s="530"/>
      <c r="BI28" s="530"/>
      <c r="BJ28" s="535">
        <f t="shared" si="3"/>
        <v>0</v>
      </c>
      <c r="BK28" s="545">
        <f t="shared" si="1"/>
        <v>0</v>
      </c>
    </row>
    <row r="29" spans="1:63" ht="15.75" hidden="1" customHeight="1" x14ac:dyDescent="0.35">
      <c r="A29" s="512"/>
      <c r="B29" s="512"/>
      <c r="C29" s="512" t="e">
        <f>VLOOKUP(D29,Products!B:D,2,FALSE)</f>
        <v>#N/A</v>
      </c>
      <c r="D29" s="504"/>
      <c r="E29" s="554">
        <v>1</v>
      </c>
      <c r="F29" s="530"/>
      <c r="G29" s="530"/>
      <c r="H29" s="530"/>
      <c r="I29" s="530"/>
      <c r="J29" s="530"/>
      <c r="K29" s="530"/>
      <c r="L29" s="530"/>
      <c r="M29" s="530"/>
      <c r="N29" s="530"/>
      <c r="O29" s="530"/>
      <c r="P29" s="572"/>
      <c r="Q29" s="587"/>
      <c r="R29" s="572"/>
      <c r="S29" s="587"/>
      <c r="T29" s="530"/>
      <c r="U29" s="530"/>
      <c r="V29" s="530"/>
      <c r="W29" s="530"/>
      <c r="X29" s="530"/>
      <c r="Y29" s="530"/>
      <c r="Z29" s="530"/>
      <c r="AA29" s="530"/>
      <c r="AB29" s="530"/>
      <c r="AC29" s="530"/>
      <c r="AD29" s="572"/>
      <c r="AE29" s="587"/>
      <c r="AF29" s="530"/>
      <c r="AG29" s="530"/>
      <c r="AH29" s="530"/>
      <c r="AI29" s="530"/>
      <c r="AJ29" s="530"/>
      <c r="AK29" s="530"/>
      <c r="AL29" s="530"/>
      <c r="AM29" s="530"/>
      <c r="AN29" s="530"/>
      <c r="AO29" s="530"/>
      <c r="AP29" s="530"/>
      <c r="AQ29" s="530"/>
      <c r="AR29" s="572"/>
      <c r="AS29" s="587"/>
      <c r="AT29" s="530"/>
      <c r="AU29" s="530"/>
      <c r="AV29" s="530"/>
      <c r="AW29" s="530"/>
      <c r="AX29" s="530"/>
      <c r="AY29" s="530"/>
      <c r="AZ29" s="530"/>
      <c r="BA29" s="530"/>
      <c r="BB29" s="530"/>
      <c r="BC29" s="530"/>
      <c r="BD29" s="530"/>
      <c r="BE29" s="530"/>
      <c r="BF29" s="572"/>
      <c r="BG29" s="587"/>
      <c r="BH29" s="530"/>
      <c r="BI29" s="530"/>
      <c r="BJ29" s="535">
        <f t="shared" si="3"/>
        <v>0</v>
      </c>
      <c r="BK29" s="545">
        <f t="shared" si="1"/>
        <v>0</v>
      </c>
    </row>
    <row r="30" spans="1:63" ht="15.75" hidden="1" customHeight="1" x14ac:dyDescent="0.35">
      <c r="A30" s="512"/>
      <c r="B30" s="512"/>
      <c r="C30" s="512" t="e">
        <f>VLOOKUP(D30,Products!B:D,2,FALSE)</f>
        <v>#N/A</v>
      </c>
      <c r="D30" s="504"/>
      <c r="E30" s="554">
        <v>1</v>
      </c>
      <c r="F30" s="530"/>
      <c r="G30" s="530"/>
      <c r="H30" s="530"/>
      <c r="I30" s="530"/>
      <c r="J30" s="530"/>
      <c r="K30" s="530"/>
      <c r="L30" s="530"/>
      <c r="M30" s="530"/>
      <c r="N30" s="530"/>
      <c r="O30" s="530"/>
      <c r="P30" s="572"/>
      <c r="Q30" s="587"/>
      <c r="R30" s="572"/>
      <c r="S30" s="587"/>
      <c r="T30" s="530"/>
      <c r="U30" s="530"/>
      <c r="V30" s="530"/>
      <c r="W30" s="530"/>
      <c r="X30" s="530"/>
      <c r="Y30" s="530"/>
      <c r="Z30" s="530"/>
      <c r="AA30" s="530"/>
      <c r="AB30" s="530"/>
      <c r="AC30" s="530"/>
      <c r="AD30" s="572"/>
      <c r="AE30" s="587"/>
      <c r="AF30" s="530"/>
      <c r="AG30" s="530"/>
      <c r="AH30" s="530"/>
      <c r="AI30" s="530"/>
      <c r="AJ30" s="530"/>
      <c r="AK30" s="530"/>
      <c r="AL30" s="530"/>
      <c r="AM30" s="530"/>
      <c r="AN30" s="530"/>
      <c r="AO30" s="530"/>
      <c r="AP30" s="530"/>
      <c r="AQ30" s="530"/>
      <c r="AR30" s="572"/>
      <c r="AS30" s="587"/>
      <c r="AT30" s="530"/>
      <c r="AU30" s="530"/>
      <c r="AV30" s="530"/>
      <c r="AW30" s="530"/>
      <c r="AX30" s="530"/>
      <c r="AY30" s="530"/>
      <c r="AZ30" s="530"/>
      <c r="BA30" s="530"/>
      <c r="BB30" s="530"/>
      <c r="BC30" s="530"/>
      <c r="BD30" s="530"/>
      <c r="BE30" s="530"/>
      <c r="BF30" s="572"/>
      <c r="BG30" s="587"/>
      <c r="BH30" s="530"/>
      <c r="BI30" s="530"/>
      <c r="BJ30" s="535">
        <f t="shared" si="3"/>
        <v>0</v>
      </c>
      <c r="BK30" s="545">
        <f t="shared" si="1"/>
        <v>0</v>
      </c>
    </row>
    <row r="31" spans="1:63" ht="15.75" hidden="1" customHeight="1" x14ac:dyDescent="0.35">
      <c r="A31" s="512"/>
      <c r="B31" s="512"/>
      <c r="C31" s="512" t="e">
        <f>VLOOKUP(D31,Products!B:D,2,FALSE)</f>
        <v>#N/A</v>
      </c>
      <c r="D31" s="504"/>
      <c r="E31" s="554">
        <v>1</v>
      </c>
      <c r="F31" s="530"/>
      <c r="G31" s="530"/>
      <c r="H31" s="530"/>
      <c r="I31" s="530"/>
      <c r="J31" s="530"/>
      <c r="K31" s="530"/>
      <c r="L31" s="530"/>
      <c r="M31" s="530"/>
      <c r="N31" s="530"/>
      <c r="O31" s="530"/>
      <c r="P31" s="572"/>
      <c r="Q31" s="587"/>
      <c r="R31" s="572"/>
      <c r="S31" s="587"/>
      <c r="T31" s="530"/>
      <c r="U31" s="530"/>
      <c r="V31" s="530"/>
      <c r="W31" s="530"/>
      <c r="X31" s="530"/>
      <c r="Y31" s="530"/>
      <c r="Z31" s="530"/>
      <c r="AA31" s="530"/>
      <c r="AB31" s="530"/>
      <c r="AC31" s="530"/>
      <c r="AD31" s="572"/>
      <c r="AE31" s="587"/>
      <c r="AF31" s="530"/>
      <c r="AG31" s="530"/>
      <c r="AH31" s="530"/>
      <c r="AI31" s="530"/>
      <c r="AJ31" s="530"/>
      <c r="AK31" s="530"/>
      <c r="AL31" s="530"/>
      <c r="AM31" s="530"/>
      <c r="AN31" s="530"/>
      <c r="AO31" s="530"/>
      <c r="AP31" s="530"/>
      <c r="AQ31" s="530"/>
      <c r="AR31" s="572"/>
      <c r="AS31" s="587"/>
      <c r="AT31" s="530"/>
      <c r="AU31" s="530"/>
      <c r="AV31" s="530"/>
      <c r="AW31" s="530"/>
      <c r="AX31" s="530"/>
      <c r="AY31" s="530"/>
      <c r="AZ31" s="530"/>
      <c r="BA31" s="530"/>
      <c r="BB31" s="530"/>
      <c r="BC31" s="530"/>
      <c r="BD31" s="530"/>
      <c r="BE31" s="530"/>
      <c r="BF31" s="572"/>
      <c r="BG31" s="587"/>
      <c r="BH31" s="530"/>
      <c r="BI31" s="530"/>
      <c r="BJ31" s="535">
        <f t="shared" si="3"/>
        <v>0</v>
      </c>
      <c r="BK31" s="545">
        <f t="shared" si="1"/>
        <v>0</v>
      </c>
    </row>
    <row r="32" spans="1:63" ht="30" customHeight="1" x14ac:dyDescent="0.35">
      <c r="A32" s="512"/>
      <c r="B32" s="512"/>
      <c r="C32" s="512"/>
      <c r="D32" s="649" t="s">
        <v>18</v>
      </c>
      <c r="E32" s="650"/>
      <c r="F32" s="542">
        <f t="shared" ref="F32:AK32" si="4">SUM(F33:F41)</f>
        <v>0</v>
      </c>
      <c r="G32" s="542">
        <f t="shared" si="4"/>
        <v>0</v>
      </c>
      <c r="H32" s="542">
        <f t="shared" si="4"/>
        <v>0</v>
      </c>
      <c r="I32" s="542">
        <f t="shared" si="4"/>
        <v>0</v>
      </c>
      <c r="J32" s="542">
        <f t="shared" si="4"/>
        <v>79</v>
      </c>
      <c r="K32" s="542">
        <f t="shared" si="4"/>
        <v>0</v>
      </c>
      <c r="L32" s="542">
        <f t="shared" si="4"/>
        <v>246</v>
      </c>
      <c r="M32" s="542">
        <f t="shared" si="4"/>
        <v>0</v>
      </c>
      <c r="N32" s="542">
        <f t="shared" si="4"/>
        <v>167</v>
      </c>
      <c r="O32" s="542">
        <f t="shared" si="4"/>
        <v>0</v>
      </c>
      <c r="P32" s="572">
        <f>SUM(P33:P110)</f>
        <v>0</v>
      </c>
      <c r="Q32" s="587">
        <f>SUM(Q33:Q110)</f>
        <v>0</v>
      </c>
      <c r="R32" s="572">
        <f t="shared" si="4"/>
        <v>0</v>
      </c>
      <c r="S32" s="587">
        <f t="shared" si="4"/>
        <v>0</v>
      </c>
      <c r="T32" s="542">
        <f t="shared" si="4"/>
        <v>60</v>
      </c>
      <c r="U32" s="542">
        <f t="shared" si="4"/>
        <v>0</v>
      </c>
      <c r="V32" s="542">
        <f t="shared" si="4"/>
        <v>0</v>
      </c>
      <c r="W32" s="542">
        <f t="shared" si="4"/>
        <v>0</v>
      </c>
      <c r="X32" s="542">
        <f t="shared" si="4"/>
        <v>135</v>
      </c>
      <c r="Y32" s="542">
        <f t="shared" si="4"/>
        <v>0</v>
      </c>
      <c r="Z32" s="542">
        <f t="shared" si="4"/>
        <v>0</v>
      </c>
      <c r="AA32" s="542">
        <f t="shared" si="4"/>
        <v>0</v>
      </c>
      <c r="AB32" s="542">
        <f t="shared" si="4"/>
        <v>0</v>
      </c>
      <c r="AC32" s="542">
        <f t="shared" si="4"/>
        <v>0</v>
      </c>
      <c r="AD32" s="572">
        <f>SUM(AD33:AD110)</f>
        <v>0</v>
      </c>
      <c r="AE32" s="587">
        <f>SUM(AE33:AE110)</f>
        <v>0</v>
      </c>
      <c r="AF32" s="542">
        <f t="shared" si="4"/>
        <v>0</v>
      </c>
      <c r="AG32" s="542">
        <f t="shared" si="4"/>
        <v>0</v>
      </c>
      <c r="AH32" s="542">
        <f t="shared" si="4"/>
        <v>0</v>
      </c>
      <c r="AI32" s="542">
        <f t="shared" si="4"/>
        <v>0</v>
      </c>
      <c r="AJ32" s="542">
        <f t="shared" si="4"/>
        <v>0</v>
      </c>
      <c r="AK32" s="542">
        <f t="shared" si="4"/>
        <v>0</v>
      </c>
      <c r="AL32" s="542">
        <f t="shared" ref="AL32:BI32" si="5">SUM(AL33:AL41)</f>
        <v>0</v>
      </c>
      <c r="AM32" s="542">
        <f t="shared" si="5"/>
        <v>0</v>
      </c>
      <c r="AN32" s="542">
        <f t="shared" si="5"/>
        <v>0</v>
      </c>
      <c r="AO32" s="542">
        <f t="shared" si="5"/>
        <v>0</v>
      </c>
      <c r="AP32" s="542">
        <f t="shared" si="5"/>
        <v>0</v>
      </c>
      <c r="AQ32" s="542">
        <f t="shared" si="5"/>
        <v>0</v>
      </c>
      <c r="AR32" s="572">
        <f>SUM(AR33:AR110)</f>
        <v>0</v>
      </c>
      <c r="AS32" s="587">
        <f>SUM(AS33:AS110)</f>
        <v>0</v>
      </c>
      <c r="AT32" s="542">
        <f t="shared" si="5"/>
        <v>0</v>
      </c>
      <c r="AU32" s="542">
        <f t="shared" si="5"/>
        <v>0</v>
      </c>
      <c r="AV32" s="542">
        <f t="shared" si="5"/>
        <v>0</v>
      </c>
      <c r="AW32" s="542">
        <f t="shared" si="5"/>
        <v>0</v>
      </c>
      <c r="AX32" s="542">
        <f t="shared" si="5"/>
        <v>0</v>
      </c>
      <c r="AY32" s="542">
        <f t="shared" si="5"/>
        <v>0</v>
      </c>
      <c r="AZ32" s="542">
        <f t="shared" si="5"/>
        <v>0</v>
      </c>
      <c r="BA32" s="542">
        <f t="shared" si="5"/>
        <v>0</v>
      </c>
      <c r="BB32" s="542">
        <f t="shared" si="5"/>
        <v>0</v>
      </c>
      <c r="BC32" s="542">
        <f t="shared" si="5"/>
        <v>0</v>
      </c>
      <c r="BD32" s="542">
        <f t="shared" si="5"/>
        <v>0</v>
      </c>
      <c r="BE32" s="542">
        <f t="shared" si="5"/>
        <v>0</v>
      </c>
      <c r="BF32" s="572">
        <f>SUM(BF33:BF110)</f>
        <v>0</v>
      </c>
      <c r="BG32" s="587">
        <f>SUM(BG33:BG110)</f>
        <v>0</v>
      </c>
      <c r="BH32" s="542">
        <f t="shared" si="5"/>
        <v>0</v>
      </c>
      <c r="BI32" s="542">
        <f t="shared" si="5"/>
        <v>0</v>
      </c>
      <c r="BJ32" s="535">
        <f t="shared" si="3"/>
        <v>687</v>
      </c>
      <c r="BK32" s="545">
        <f t="shared" si="1"/>
        <v>56</v>
      </c>
    </row>
    <row r="33" spans="1:63" x14ac:dyDescent="0.35">
      <c r="A33" s="524"/>
      <c r="B33" s="524"/>
      <c r="C33" s="524"/>
      <c r="D33" s="651" t="s">
        <v>19</v>
      </c>
      <c r="E33" s="652"/>
      <c r="F33" s="530"/>
      <c r="G33" s="530"/>
      <c r="H33" s="530"/>
      <c r="I33" s="530"/>
      <c r="J33" s="530"/>
      <c r="K33" s="530"/>
      <c r="L33" s="530"/>
      <c r="M33" s="530"/>
      <c r="N33" s="530"/>
      <c r="O33" s="530"/>
      <c r="P33" s="572"/>
      <c r="Q33" s="587"/>
      <c r="R33" s="572"/>
      <c r="S33" s="587"/>
      <c r="T33" s="530"/>
      <c r="U33" s="530"/>
      <c r="V33" s="530"/>
      <c r="W33" s="530"/>
      <c r="X33" s="530"/>
      <c r="Y33" s="530"/>
      <c r="Z33" s="530"/>
      <c r="AA33" s="530"/>
      <c r="AB33" s="530"/>
      <c r="AC33" s="530"/>
      <c r="AD33" s="572"/>
      <c r="AE33" s="587"/>
      <c r="AF33" s="530"/>
      <c r="AG33" s="530"/>
      <c r="AH33" s="530"/>
      <c r="AI33" s="530"/>
      <c r="AJ33" s="530"/>
      <c r="AK33" s="530"/>
      <c r="AL33" s="530"/>
      <c r="AM33" s="530"/>
      <c r="AN33" s="530"/>
      <c r="AO33" s="530"/>
      <c r="AP33" s="530"/>
      <c r="AQ33" s="530"/>
      <c r="AR33" s="572"/>
      <c r="AS33" s="587"/>
      <c r="AT33" s="530"/>
      <c r="AU33" s="530"/>
      <c r="AV33" s="530"/>
      <c r="AW33" s="530"/>
      <c r="AX33" s="530"/>
      <c r="AY33" s="530"/>
      <c r="AZ33" s="530"/>
      <c r="BA33" s="530"/>
      <c r="BB33" s="530"/>
      <c r="BC33" s="530"/>
      <c r="BD33" s="530"/>
      <c r="BE33" s="530"/>
      <c r="BF33" s="572"/>
      <c r="BG33" s="587"/>
      <c r="BH33" s="530"/>
      <c r="BI33" s="530"/>
      <c r="BJ33" s="535">
        <f t="shared" si="3"/>
        <v>0</v>
      </c>
      <c r="BK33" s="545">
        <f t="shared" si="1"/>
        <v>0</v>
      </c>
    </row>
    <row r="34" spans="1:63" x14ac:dyDescent="0.35">
      <c r="A34" s="524"/>
      <c r="B34" s="524"/>
      <c r="C34" s="524"/>
      <c r="D34" s="643" t="s">
        <v>20</v>
      </c>
      <c r="E34" s="644"/>
      <c r="F34" s="598"/>
      <c r="G34" s="598"/>
      <c r="H34" s="598"/>
      <c r="I34" s="598"/>
      <c r="J34" s="598"/>
      <c r="K34" s="598"/>
      <c r="L34" s="530"/>
      <c r="M34" s="530"/>
      <c r="N34" s="530"/>
      <c r="O34" s="530"/>
      <c r="P34" s="572"/>
      <c r="Q34" s="587"/>
      <c r="R34" s="572"/>
      <c r="S34" s="587"/>
      <c r="T34" s="530"/>
      <c r="U34" s="530"/>
      <c r="V34" s="530"/>
      <c r="W34" s="530"/>
      <c r="X34" s="530">
        <v>60</v>
      </c>
      <c r="Y34" s="530"/>
      <c r="Z34" s="530"/>
      <c r="AA34" s="530"/>
      <c r="AB34" s="530"/>
      <c r="AC34" s="530"/>
      <c r="AD34" s="572"/>
      <c r="AE34" s="587"/>
      <c r="AF34" s="530"/>
      <c r="AG34" s="530"/>
      <c r="AH34" s="530"/>
      <c r="AI34" s="530"/>
      <c r="AJ34" s="530"/>
      <c r="AK34" s="530"/>
      <c r="AL34" s="530"/>
      <c r="AM34" s="530"/>
      <c r="AN34" s="530"/>
      <c r="AO34" s="530"/>
      <c r="AP34" s="530"/>
      <c r="AQ34" s="530"/>
      <c r="AR34" s="572"/>
      <c r="AS34" s="587"/>
      <c r="AT34" s="530"/>
      <c r="AU34" s="530"/>
      <c r="AV34" s="530"/>
      <c r="AW34" s="530"/>
      <c r="AX34" s="530"/>
      <c r="AY34" s="530"/>
      <c r="AZ34" s="530"/>
      <c r="BA34" s="530"/>
      <c r="BB34" s="530"/>
      <c r="BC34" s="530"/>
      <c r="BD34" s="530"/>
      <c r="BE34" s="530"/>
      <c r="BF34" s="572"/>
      <c r="BG34" s="587"/>
      <c r="BH34" s="530"/>
      <c r="BI34" s="530"/>
      <c r="BJ34" s="535">
        <f t="shared" si="3"/>
        <v>60</v>
      </c>
      <c r="BK34" s="545">
        <f t="shared" si="1"/>
        <v>1</v>
      </c>
    </row>
    <row r="35" spans="1:63" x14ac:dyDescent="0.35">
      <c r="A35" s="524"/>
      <c r="B35" s="524"/>
      <c r="C35" s="524"/>
      <c r="D35" s="643" t="s">
        <v>21</v>
      </c>
      <c r="E35" s="644"/>
      <c r="F35" s="598"/>
      <c r="G35" s="598"/>
      <c r="H35" s="598"/>
      <c r="I35" s="598"/>
      <c r="J35" s="598"/>
      <c r="K35" s="598"/>
      <c r="L35" s="530"/>
      <c r="M35" s="530"/>
      <c r="N35" s="530"/>
      <c r="O35" s="530"/>
      <c r="P35" s="572"/>
      <c r="Q35" s="587"/>
      <c r="R35" s="572"/>
      <c r="S35" s="587"/>
      <c r="T35" s="530"/>
      <c r="U35" s="530"/>
      <c r="V35" s="530"/>
      <c r="W35" s="530"/>
      <c r="X35" s="530"/>
      <c r="Y35" s="530"/>
      <c r="Z35" s="530"/>
      <c r="AA35" s="530"/>
      <c r="AB35" s="530"/>
      <c r="AC35" s="530"/>
      <c r="AD35" s="572"/>
      <c r="AE35" s="587"/>
      <c r="AF35" s="530"/>
      <c r="AG35" s="530"/>
      <c r="AH35" s="530"/>
      <c r="AI35" s="530"/>
      <c r="AJ35" s="530"/>
      <c r="AK35" s="530"/>
      <c r="AL35" s="530"/>
      <c r="AM35" s="530"/>
      <c r="AN35" s="530"/>
      <c r="AO35" s="530"/>
      <c r="AP35" s="530"/>
      <c r="AQ35" s="530"/>
      <c r="AR35" s="572"/>
      <c r="AS35" s="587"/>
      <c r="AT35" s="530"/>
      <c r="AU35" s="530"/>
      <c r="AV35" s="530"/>
      <c r="AW35" s="530"/>
      <c r="AX35" s="530"/>
      <c r="AY35" s="530"/>
      <c r="AZ35" s="530"/>
      <c r="BA35" s="530"/>
      <c r="BB35" s="530"/>
      <c r="BC35" s="530"/>
      <c r="BD35" s="530"/>
      <c r="BE35" s="530"/>
      <c r="BF35" s="572"/>
      <c r="BG35" s="587"/>
      <c r="BH35" s="530"/>
      <c r="BI35" s="530"/>
      <c r="BJ35" s="535">
        <f t="shared" si="3"/>
        <v>0</v>
      </c>
      <c r="BK35" s="545">
        <f t="shared" si="1"/>
        <v>0</v>
      </c>
    </row>
    <row r="36" spans="1:63" x14ac:dyDescent="0.35">
      <c r="A36" s="524"/>
      <c r="B36" s="524"/>
      <c r="C36" s="524"/>
      <c r="D36" s="643"/>
      <c r="E36" s="644"/>
      <c r="F36" s="598"/>
      <c r="G36" s="598"/>
      <c r="H36" s="598"/>
      <c r="I36" s="598"/>
      <c r="J36" s="598"/>
      <c r="K36" s="598"/>
      <c r="L36" s="530"/>
      <c r="M36" s="530"/>
      <c r="N36" s="530"/>
      <c r="O36" s="530"/>
      <c r="P36" s="572"/>
      <c r="Q36" s="587"/>
      <c r="R36" s="572"/>
      <c r="S36" s="587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72"/>
      <c r="AE36" s="587"/>
      <c r="AF36" s="530"/>
      <c r="AG36" s="530"/>
      <c r="AH36" s="530"/>
      <c r="AI36" s="530"/>
      <c r="AJ36" s="530"/>
      <c r="AK36" s="530"/>
      <c r="AL36" s="530"/>
      <c r="AM36" s="530"/>
      <c r="AN36" s="530"/>
      <c r="AO36" s="530"/>
      <c r="AP36" s="530"/>
      <c r="AQ36" s="530"/>
      <c r="AR36" s="572"/>
      <c r="AS36" s="587"/>
      <c r="AT36" s="530"/>
      <c r="AU36" s="530"/>
      <c r="AV36" s="530"/>
      <c r="AW36" s="530"/>
      <c r="AX36" s="530"/>
      <c r="AY36" s="530"/>
      <c r="AZ36" s="530"/>
      <c r="BA36" s="530"/>
      <c r="BB36" s="530"/>
      <c r="BC36" s="530"/>
      <c r="BD36" s="530"/>
      <c r="BE36" s="530"/>
      <c r="BF36" s="572"/>
      <c r="BG36" s="587"/>
      <c r="BH36" s="530"/>
      <c r="BI36" s="530"/>
      <c r="BJ36" s="535">
        <f t="shared" si="3"/>
        <v>0</v>
      </c>
      <c r="BK36" s="545">
        <f t="shared" si="1"/>
        <v>0</v>
      </c>
    </row>
    <row r="37" spans="1:63" x14ac:dyDescent="0.35">
      <c r="A37" s="524"/>
      <c r="B37" s="524"/>
      <c r="C37" s="524"/>
      <c r="D37" s="651" t="s">
        <v>22</v>
      </c>
      <c r="E37" s="652"/>
      <c r="F37" s="598"/>
      <c r="G37" s="598"/>
      <c r="H37" s="598"/>
      <c r="I37" s="598"/>
      <c r="J37" s="598"/>
      <c r="K37" s="598"/>
      <c r="L37" s="530"/>
      <c r="M37" s="530"/>
      <c r="N37" s="530"/>
      <c r="O37" s="530"/>
      <c r="P37" s="572"/>
      <c r="Q37" s="587"/>
      <c r="R37" s="572"/>
      <c r="S37" s="587"/>
      <c r="T37" s="530"/>
      <c r="U37" s="530"/>
      <c r="V37" s="530"/>
      <c r="W37" s="530"/>
      <c r="X37" s="530"/>
      <c r="Y37" s="530"/>
      <c r="Z37" s="530"/>
      <c r="AA37" s="530"/>
      <c r="AB37" s="530"/>
      <c r="AC37" s="530"/>
      <c r="AD37" s="572"/>
      <c r="AE37" s="587"/>
      <c r="AF37" s="530"/>
      <c r="AG37" s="530"/>
      <c r="AH37" s="530"/>
      <c r="AI37" s="530"/>
      <c r="AJ37" s="530"/>
      <c r="AK37" s="530"/>
      <c r="AL37" s="530"/>
      <c r="AM37" s="530"/>
      <c r="AN37" s="530"/>
      <c r="AO37" s="530"/>
      <c r="AP37" s="530"/>
      <c r="AQ37" s="530"/>
      <c r="AR37" s="572"/>
      <c r="AS37" s="587"/>
      <c r="AT37" s="530"/>
      <c r="AU37" s="530"/>
      <c r="AV37" s="530"/>
      <c r="AW37" s="530"/>
      <c r="AX37" s="530"/>
      <c r="AY37" s="530"/>
      <c r="AZ37" s="530"/>
      <c r="BA37" s="530"/>
      <c r="BB37" s="530"/>
      <c r="BC37" s="530"/>
      <c r="BD37" s="530"/>
      <c r="BE37" s="530"/>
      <c r="BF37" s="572"/>
      <c r="BG37" s="587"/>
      <c r="BH37" s="530"/>
      <c r="BI37" s="530"/>
      <c r="BJ37" s="535">
        <f t="shared" ref="BJ37:BJ68" si="6">SUM(F37:BI37)</f>
        <v>0</v>
      </c>
      <c r="BK37" s="545">
        <f t="shared" ref="BK37:BK68" si="7">COUNT(F37:BI37)</f>
        <v>0</v>
      </c>
    </row>
    <row r="38" spans="1:63" x14ac:dyDescent="0.35">
      <c r="A38" s="524"/>
      <c r="B38" s="524"/>
      <c r="C38" s="524"/>
      <c r="D38" s="643" t="s">
        <v>20</v>
      </c>
      <c r="E38" s="644"/>
      <c r="F38" s="598"/>
      <c r="G38" s="598"/>
      <c r="H38" s="598"/>
      <c r="I38" s="598"/>
      <c r="J38" s="598"/>
      <c r="K38" s="598"/>
      <c r="L38" s="530">
        <v>113</v>
      </c>
      <c r="M38" s="530"/>
      <c r="N38" s="530">
        <v>50</v>
      </c>
      <c r="O38" s="530"/>
      <c r="P38" s="572"/>
      <c r="Q38" s="587"/>
      <c r="R38" s="572"/>
      <c r="S38" s="587"/>
      <c r="T38" s="530">
        <v>50</v>
      </c>
      <c r="U38" s="530"/>
      <c r="V38" s="530"/>
      <c r="W38" s="530"/>
      <c r="X38" s="530">
        <v>52</v>
      </c>
      <c r="Y38" s="530"/>
      <c r="Z38" s="530"/>
      <c r="AA38" s="530"/>
      <c r="AB38" s="530"/>
      <c r="AC38" s="530"/>
      <c r="AD38" s="572"/>
      <c r="AE38" s="587"/>
      <c r="AF38" s="530"/>
      <c r="AG38" s="530"/>
      <c r="AH38" s="530"/>
      <c r="AI38" s="530"/>
      <c r="AJ38" s="530"/>
      <c r="AK38" s="530"/>
      <c r="AL38" s="530"/>
      <c r="AM38" s="530"/>
      <c r="AN38" s="530"/>
      <c r="AO38" s="530"/>
      <c r="AP38" s="530"/>
      <c r="AQ38" s="530"/>
      <c r="AR38" s="572"/>
      <c r="AS38" s="587"/>
      <c r="AT38" s="530"/>
      <c r="AU38" s="530"/>
      <c r="AV38" s="530"/>
      <c r="AW38" s="530"/>
      <c r="AX38" s="530"/>
      <c r="AY38" s="530"/>
      <c r="AZ38" s="530"/>
      <c r="BA38" s="530"/>
      <c r="BB38" s="530"/>
      <c r="BC38" s="530"/>
      <c r="BD38" s="530"/>
      <c r="BE38" s="530"/>
      <c r="BF38" s="572"/>
      <c r="BG38" s="587"/>
      <c r="BH38" s="530"/>
      <c r="BI38" s="530"/>
      <c r="BJ38" s="535">
        <f t="shared" si="6"/>
        <v>265</v>
      </c>
      <c r="BK38" s="545">
        <f t="shared" si="7"/>
        <v>4</v>
      </c>
    </row>
    <row r="39" spans="1:63" x14ac:dyDescent="0.35">
      <c r="A39" s="524"/>
      <c r="B39" s="524"/>
      <c r="C39" s="524"/>
      <c r="D39" s="643" t="s">
        <v>21</v>
      </c>
      <c r="E39" s="644"/>
      <c r="F39" s="598"/>
      <c r="G39" s="598"/>
      <c r="H39" s="598"/>
      <c r="I39" s="598"/>
      <c r="J39" s="598">
        <v>79</v>
      </c>
      <c r="K39" s="598"/>
      <c r="L39" s="530">
        <v>133</v>
      </c>
      <c r="M39" s="530"/>
      <c r="N39" s="530">
        <v>117</v>
      </c>
      <c r="O39" s="530"/>
      <c r="P39" s="572"/>
      <c r="Q39" s="587"/>
      <c r="R39" s="572"/>
      <c r="S39" s="587"/>
      <c r="T39" s="530">
        <v>10</v>
      </c>
      <c r="U39" s="530"/>
      <c r="V39" s="530"/>
      <c r="W39" s="530"/>
      <c r="X39" s="530">
        <v>23</v>
      </c>
      <c r="Y39" s="530"/>
      <c r="Z39" s="530"/>
      <c r="AA39" s="530"/>
      <c r="AB39" s="530"/>
      <c r="AC39" s="530"/>
      <c r="AD39" s="572"/>
      <c r="AE39" s="587"/>
      <c r="AF39" s="530"/>
      <c r="AG39" s="530"/>
      <c r="AH39" s="530"/>
      <c r="AI39" s="530"/>
      <c r="AJ39" s="530"/>
      <c r="AK39" s="530"/>
      <c r="AL39" s="530"/>
      <c r="AM39" s="530"/>
      <c r="AN39" s="530"/>
      <c r="AO39" s="530"/>
      <c r="AP39" s="530"/>
      <c r="AQ39" s="530"/>
      <c r="AR39" s="572"/>
      <c r="AS39" s="587"/>
      <c r="AT39" s="530"/>
      <c r="AU39" s="530"/>
      <c r="AV39" s="530"/>
      <c r="AW39" s="530"/>
      <c r="AX39" s="530"/>
      <c r="AY39" s="530"/>
      <c r="AZ39" s="530"/>
      <c r="BA39" s="530"/>
      <c r="BB39" s="530"/>
      <c r="BC39" s="530"/>
      <c r="BD39" s="530"/>
      <c r="BE39" s="530"/>
      <c r="BF39" s="572"/>
      <c r="BG39" s="587"/>
      <c r="BH39" s="530"/>
      <c r="BI39" s="530"/>
      <c r="BJ39" s="535">
        <f t="shared" si="6"/>
        <v>362</v>
      </c>
      <c r="BK39" s="545">
        <f t="shared" si="7"/>
        <v>5</v>
      </c>
    </row>
    <row r="40" spans="1:63" x14ac:dyDescent="0.35">
      <c r="A40" s="524"/>
      <c r="B40" s="524"/>
      <c r="C40" s="524"/>
      <c r="D40" s="643" t="s">
        <v>23</v>
      </c>
      <c r="E40" s="644"/>
      <c r="F40" s="598"/>
      <c r="G40" s="598"/>
      <c r="H40" s="598"/>
      <c r="I40" s="598"/>
      <c r="J40" s="598"/>
      <c r="K40" s="598"/>
      <c r="L40" s="530"/>
      <c r="M40" s="530"/>
      <c r="N40" s="530"/>
      <c r="O40" s="530"/>
      <c r="P40" s="572"/>
      <c r="Q40" s="587"/>
      <c r="R40" s="572"/>
      <c r="S40" s="587"/>
      <c r="T40" s="530"/>
      <c r="U40" s="530"/>
      <c r="V40" s="530"/>
      <c r="W40" s="530"/>
      <c r="X40" s="530"/>
      <c r="Y40" s="530"/>
      <c r="Z40" s="530"/>
      <c r="AA40" s="530"/>
      <c r="AB40" s="530"/>
      <c r="AC40" s="530"/>
      <c r="AD40" s="572"/>
      <c r="AE40" s="587"/>
      <c r="AF40" s="530"/>
      <c r="AG40" s="530"/>
      <c r="AH40" s="530"/>
      <c r="AI40" s="530"/>
      <c r="AJ40" s="530"/>
      <c r="AK40" s="530"/>
      <c r="AL40" s="530"/>
      <c r="AM40" s="530"/>
      <c r="AN40" s="530"/>
      <c r="AO40" s="530"/>
      <c r="AP40" s="530"/>
      <c r="AQ40" s="530"/>
      <c r="AR40" s="572"/>
      <c r="AS40" s="587"/>
      <c r="AT40" s="530"/>
      <c r="AU40" s="530"/>
      <c r="AV40" s="530"/>
      <c r="AW40" s="530"/>
      <c r="AX40" s="530"/>
      <c r="AY40" s="530"/>
      <c r="AZ40" s="530"/>
      <c r="BA40" s="530"/>
      <c r="BB40" s="530"/>
      <c r="BC40" s="530"/>
      <c r="BD40" s="530"/>
      <c r="BE40" s="530"/>
      <c r="BF40" s="572"/>
      <c r="BG40" s="587"/>
      <c r="BH40" s="530"/>
      <c r="BI40" s="530"/>
      <c r="BJ40" s="535">
        <f t="shared" si="6"/>
        <v>0</v>
      </c>
      <c r="BK40" s="545">
        <f t="shared" si="7"/>
        <v>0</v>
      </c>
    </row>
    <row r="41" spans="1:63" x14ac:dyDescent="0.35">
      <c r="A41" s="524"/>
      <c r="B41" s="524"/>
      <c r="C41" s="524"/>
      <c r="D41" s="643"/>
      <c r="E41" s="644"/>
      <c r="F41" s="598"/>
      <c r="G41" s="598"/>
      <c r="H41" s="598"/>
      <c r="I41" s="598"/>
      <c r="J41" s="598"/>
      <c r="K41" s="598"/>
      <c r="L41" s="530"/>
      <c r="M41" s="530"/>
      <c r="N41" s="530"/>
      <c r="O41" s="530"/>
      <c r="P41" s="572"/>
      <c r="Q41" s="587"/>
      <c r="R41" s="572"/>
      <c r="S41" s="587"/>
      <c r="T41" s="530"/>
      <c r="U41" s="530"/>
      <c r="V41" s="530"/>
      <c r="W41" s="530"/>
      <c r="X41" s="530"/>
      <c r="Y41" s="530"/>
      <c r="Z41" s="530"/>
      <c r="AA41" s="530"/>
      <c r="AB41" s="530"/>
      <c r="AC41" s="530"/>
      <c r="AD41" s="572"/>
      <c r="AE41" s="587"/>
      <c r="AF41" s="530"/>
      <c r="AG41" s="530"/>
      <c r="AH41" s="530"/>
      <c r="AI41" s="530"/>
      <c r="AJ41" s="530"/>
      <c r="AK41" s="530"/>
      <c r="AL41" s="530"/>
      <c r="AM41" s="530"/>
      <c r="AN41" s="530"/>
      <c r="AO41" s="530"/>
      <c r="AP41" s="530"/>
      <c r="AQ41" s="530"/>
      <c r="AR41" s="572"/>
      <c r="AS41" s="587"/>
      <c r="AT41" s="530"/>
      <c r="AU41" s="530"/>
      <c r="AV41" s="530"/>
      <c r="AW41" s="530"/>
      <c r="AX41" s="530"/>
      <c r="AY41" s="530"/>
      <c r="AZ41" s="530"/>
      <c r="BA41" s="530"/>
      <c r="BB41" s="530"/>
      <c r="BC41" s="530"/>
      <c r="BD41" s="530"/>
      <c r="BE41" s="530"/>
      <c r="BF41" s="572"/>
      <c r="BG41" s="587"/>
      <c r="BH41" s="530"/>
      <c r="BI41" s="530"/>
      <c r="BJ41" s="535">
        <f t="shared" si="6"/>
        <v>0</v>
      </c>
      <c r="BK41" s="545">
        <f t="shared" si="7"/>
        <v>0</v>
      </c>
    </row>
    <row r="42" spans="1:63" ht="30.75" customHeight="1" x14ac:dyDescent="0.35">
      <c r="A42" s="524"/>
      <c r="B42" s="524"/>
      <c r="C42" s="524"/>
      <c r="D42" s="645" t="s">
        <v>24</v>
      </c>
      <c r="E42" s="646"/>
      <c r="F42" s="572">
        <f>SUM(F43:F120)</f>
        <v>0</v>
      </c>
      <c r="G42" s="572">
        <f>SUM(G43:G120)</f>
        <v>0</v>
      </c>
      <c r="H42" s="572">
        <f t="shared" ref="H42:BI42" si="8">SUM(H43:H120)</f>
        <v>0</v>
      </c>
      <c r="I42" s="572">
        <f t="shared" si="8"/>
        <v>0</v>
      </c>
      <c r="J42" s="572">
        <f t="shared" si="8"/>
        <v>0</v>
      </c>
      <c r="K42" s="572">
        <f t="shared" si="8"/>
        <v>0</v>
      </c>
      <c r="L42" s="572">
        <f t="shared" si="8"/>
        <v>0</v>
      </c>
      <c r="M42" s="572">
        <f t="shared" si="8"/>
        <v>0</v>
      </c>
      <c r="N42" s="572">
        <f t="shared" si="8"/>
        <v>0</v>
      </c>
      <c r="O42" s="572">
        <f t="shared" si="8"/>
        <v>0</v>
      </c>
      <c r="P42" s="572"/>
      <c r="Q42" s="587"/>
      <c r="R42" s="572">
        <f t="shared" si="8"/>
        <v>0</v>
      </c>
      <c r="S42" s="587">
        <f t="shared" si="8"/>
        <v>0</v>
      </c>
      <c r="T42" s="572">
        <f t="shared" si="8"/>
        <v>0</v>
      </c>
      <c r="U42" s="572">
        <f t="shared" si="8"/>
        <v>0</v>
      </c>
      <c r="V42" s="572">
        <f t="shared" si="8"/>
        <v>31</v>
      </c>
      <c r="W42" s="572">
        <f t="shared" si="8"/>
        <v>0</v>
      </c>
      <c r="X42" s="572">
        <f t="shared" si="8"/>
        <v>0</v>
      </c>
      <c r="Y42" s="572">
        <f t="shared" si="8"/>
        <v>0</v>
      </c>
      <c r="Z42" s="572">
        <f t="shared" si="8"/>
        <v>0</v>
      </c>
      <c r="AA42" s="572">
        <f>SUM(AA43:AA120)</f>
        <v>0</v>
      </c>
      <c r="AB42" s="572">
        <f t="shared" si="8"/>
        <v>0</v>
      </c>
      <c r="AC42" s="572">
        <f t="shared" si="8"/>
        <v>0</v>
      </c>
      <c r="AD42" s="572"/>
      <c r="AE42" s="587"/>
      <c r="AF42" s="572">
        <f t="shared" si="8"/>
        <v>0</v>
      </c>
      <c r="AG42" s="572">
        <f t="shared" si="8"/>
        <v>0</v>
      </c>
      <c r="AH42" s="572">
        <f t="shared" si="8"/>
        <v>0</v>
      </c>
      <c r="AI42" s="572">
        <f t="shared" si="8"/>
        <v>0</v>
      </c>
      <c r="AJ42" s="572">
        <f t="shared" si="8"/>
        <v>0</v>
      </c>
      <c r="AK42" s="572">
        <f t="shared" si="8"/>
        <v>0</v>
      </c>
      <c r="AL42" s="572">
        <f t="shared" si="8"/>
        <v>0</v>
      </c>
      <c r="AM42" s="572">
        <f t="shared" si="8"/>
        <v>0</v>
      </c>
      <c r="AN42" s="572">
        <f t="shared" si="8"/>
        <v>0</v>
      </c>
      <c r="AO42" s="572">
        <f t="shared" si="8"/>
        <v>0</v>
      </c>
      <c r="AP42" s="572">
        <f t="shared" si="8"/>
        <v>0</v>
      </c>
      <c r="AQ42" s="572">
        <f t="shared" si="8"/>
        <v>0</v>
      </c>
      <c r="AR42" s="572"/>
      <c r="AS42" s="587"/>
      <c r="AT42" s="572">
        <f t="shared" si="8"/>
        <v>0</v>
      </c>
      <c r="AU42" s="572">
        <f t="shared" si="8"/>
        <v>0</v>
      </c>
      <c r="AV42" s="572">
        <f t="shared" si="8"/>
        <v>0</v>
      </c>
      <c r="AW42" s="572">
        <f t="shared" si="8"/>
        <v>0</v>
      </c>
      <c r="AX42" s="572">
        <f t="shared" si="8"/>
        <v>0</v>
      </c>
      <c r="AY42" s="572">
        <f t="shared" si="8"/>
        <v>0</v>
      </c>
      <c r="AZ42" s="572">
        <f t="shared" si="8"/>
        <v>0</v>
      </c>
      <c r="BA42" s="572">
        <f t="shared" si="8"/>
        <v>0</v>
      </c>
      <c r="BB42" s="572">
        <f t="shared" si="8"/>
        <v>0</v>
      </c>
      <c r="BC42" s="572">
        <f t="shared" si="8"/>
        <v>0</v>
      </c>
      <c r="BD42" s="572">
        <f t="shared" si="8"/>
        <v>0</v>
      </c>
      <c r="BE42" s="572">
        <f t="shared" si="8"/>
        <v>0</v>
      </c>
      <c r="BF42" s="572"/>
      <c r="BG42" s="587"/>
      <c r="BH42" s="572">
        <f t="shared" si="8"/>
        <v>0</v>
      </c>
      <c r="BI42" s="572">
        <f t="shared" si="8"/>
        <v>0</v>
      </c>
      <c r="BJ42" s="535">
        <f t="shared" si="6"/>
        <v>31</v>
      </c>
      <c r="BK42" s="545">
        <f t="shared" si="7"/>
        <v>48</v>
      </c>
    </row>
    <row r="43" spans="1:63" ht="16.5" customHeight="1" x14ac:dyDescent="0.35">
      <c r="A43" s="567"/>
      <c r="B43" s="567"/>
      <c r="C43" s="516">
        <f>SUM(BJ44:BJ63)</f>
        <v>0</v>
      </c>
      <c r="D43" s="647" t="s">
        <v>25</v>
      </c>
      <c r="E43" s="648"/>
      <c r="F43" s="590"/>
      <c r="G43" s="590"/>
      <c r="H43" s="590"/>
      <c r="I43" s="590"/>
      <c r="J43" s="590"/>
      <c r="K43" s="590"/>
      <c r="L43" s="590"/>
      <c r="M43" s="590"/>
      <c r="N43" s="590"/>
      <c r="O43" s="590"/>
      <c r="P43" s="572"/>
      <c r="Q43" s="587"/>
      <c r="R43" s="572"/>
      <c r="S43" s="587"/>
      <c r="T43" s="590"/>
      <c r="U43" s="590"/>
      <c r="V43" s="590"/>
      <c r="W43" s="590"/>
      <c r="X43" s="590"/>
      <c r="Y43" s="590"/>
      <c r="Z43" s="590"/>
      <c r="AA43" s="590"/>
      <c r="AB43" s="590"/>
      <c r="AC43" s="590"/>
      <c r="AD43" s="572"/>
      <c r="AE43" s="587"/>
      <c r="AF43" s="590"/>
      <c r="AG43" s="590"/>
      <c r="AH43" s="590"/>
      <c r="AI43" s="590"/>
      <c r="AJ43" s="590"/>
      <c r="AK43" s="590"/>
      <c r="AL43" s="590"/>
      <c r="AM43" s="590"/>
      <c r="AN43" s="590"/>
      <c r="AO43" s="590"/>
      <c r="AP43" s="590"/>
      <c r="AQ43" s="590"/>
      <c r="AR43" s="572"/>
      <c r="AS43" s="587"/>
      <c r="AT43" s="590"/>
      <c r="AU43" s="590"/>
      <c r="AV43" s="590"/>
      <c r="AW43" s="590"/>
      <c r="AX43" s="590"/>
      <c r="AY43" s="590"/>
      <c r="AZ43" s="590"/>
      <c r="BA43" s="590"/>
      <c r="BB43" s="590"/>
      <c r="BC43" s="590"/>
      <c r="BD43" s="590"/>
      <c r="BE43" s="590"/>
      <c r="BF43" s="572"/>
      <c r="BG43" s="587"/>
      <c r="BH43" s="590"/>
      <c r="BI43" s="590"/>
      <c r="BJ43" s="535">
        <f t="shared" si="6"/>
        <v>0</v>
      </c>
      <c r="BK43" s="545">
        <f t="shared" si="7"/>
        <v>0</v>
      </c>
    </row>
    <row r="44" spans="1:63" ht="16.5" customHeight="1" x14ac:dyDescent="0.35">
      <c r="A44" s="567"/>
      <c r="B44" s="546" t="s">
        <v>26</v>
      </c>
      <c r="C44" s="567" t="s">
        <v>27</v>
      </c>
      <c r="D44" s="653" t="s">
        <v>28</v>
      </c>
      <c r="E44" s="654"/>
      <c r="F44" s="618"/>
      <c r="G44" s="618"/>
      <c r="H44" s="618"/>
      <c r="I44" s="618"/>
      <c r="J44" s="618"/>
      <c r="K44" s="618"/>
      <c r="L44" s="618"/>
      <c r="M44" s="618"/>
      <c r="N44" s="79"/>
      <c r="O44" s="79"/>
      <c r="P44" s="572"/>
      <c r="Q44" s="587"/>
      <c r="R44" s="572"/>
      <c r="S44" s="587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572"/>
      <c r="AE44" s="587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572"/>
      <c r="AS44" s="587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572"/>
      <c r="BG44" s="587"/>
      <c r="BH44" s="79"/>
      <c r="BI44" s="79"/>
      <c r="BJ44" s="535">
        <f t="shared" si="6"/>
        <v>0</v>
      </c>
      <c r="BK44" s="545">
        <f t="shared" si="7"/>
        <v>0</v>
      </c>
    </row>
    <row r="45" spans="1:63" ht="15" customHeight="1" x14ac:dyDescent="0.35">
      <c r="A45" s="579"/>
      <c r="B45" s="546" t="s">
        <v>29</v>
      </c>
      <c r="C45" s="579" t="s">
        <v>30</v>
      </c>
      <c r="D45" s="653" t="s">
        <v>31</v>
      </c>
      <c r="E45" s="654"/>
      <c r="F45" s="618"/>
      <c r="G45" s="618"/>
      <c r="H45" s="618"/>
      <c r="I45" s="618"/>
      <c r="J45" s="618"/>
      <c r="K45" s="618"/>
      <c r="L45" s="618"/>
      <c r="M45" s="618"/>
      <c r="N45" s="79"/>
      <c r="O45" s="79"/>
      <c r="P45" s="572"/>
      <c r="Q45" s="587"/>
      <c r="R45" s="572"/>
      <c r="S45" s="587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572"/>
      <c r="AE45" s="587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572"/>
      <c r="AS45" s="587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572"/>
      <c r="BG45" s="587"/>
      <c r="BH45" s="79"/>
      <c r="BI45" s="79"/>
      <c r="BJ45" s="535">
        <f t="shared" si="6"/>
        <v>0</v>
      </c>
      <c r="BK45" s="545">
        <f t="shared" si="7"/>
        <v>0</v>
      </c>
    </row>
    <row r="46" spans="1:63" ht="15" customHeight="1" x14ac:dyDescent="0.35">
      <c r="A46" s="579"/>
      <c r="B46" s="546" t="s">
        <v>26</v>
      </c>
      <c r="C46" s="579" t="s">
        <v>32</v>
      </c>
      <c r="D46" s="653" t="s">
        <v>33</v>
      </c>
      <c r="E46" s="654"/>
      <c r="F46" s="618"/>
      <c r="G46" s="618"/>
      <c r="H46" s="618"/>
      <c r="I46" s="618"/>
      <c r="J46" s="618"/>
      <c r="K46" s="618"/>
      <c r="L46" s="618"/>
      <c r="M46" s="618"/>
      <c r="N46" s="79"/>
      <c r="O46" s="79"/>
      <c r="P46" s="572"/>
      <c r="Q46" s="587"/>
      <c r="R46" s="572"/>
      <c r="S46" s="587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572"/>
      <c r="AE46" s="587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572"/>
      <c r="AS46" s="587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572"/>
      <c r="BG46" s="587"/>
      <c r="BH46" s="79"/>
      <c r="BI46" s="79"/>
      <c r="BJ46" s="535">
        <f t="shared" si="6"/>
        <v>0</v>
      </c>
      <c r="BK46" s="545">
        <f t="shared" si="7"/>
        <v>0</v>
      </c>
    </row>
    <row r="47" spans="1:63" ht="15" customHeight="1" x14ac:dyDescent="0.35">
      <c r="A47" s="579"/>
      <c r="B47" s="546" t="s">
        <v>26</v>
      </c>
      <c r="C47" s="579" t="s">
        <v>34</v>
      </c>
      <c r="D47" s="653" t="s">
        <v>35</v>
      </c>
      <c r="E47" s="654"/>
      <c r="F47" s="618"/>
      <c r="G47" s="618"/>
      <c r="H47" s="618"/>
      <c r="I47" s="618"/>
      <c r="J47" s="618"/>
      <c r="K47" s="618"/>
      <c r="L47" s="618"/>
      <c r="M47" s="618"/>
      <c r="N47" s="79"/>
      <c r="O47" s="79"/>
      <c r="P47" s="572"/>
      <c r="Q47" s="587"/>
      <c r="R47" s="572"/>
      <c r="S47" s="587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572"/>
      <c r="AE47" s="587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572"/>
      <c r="AS47" s="587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572"/>
      <c r="BG47" s="587"/>
      <c r="BH47" s="79"/>
      <c r="BI47" s="79"/>
      <c r="BJ47" s="535">
        <f t="shared" si="6"/>
        <v>0</v>
      </c>
      <c r="BK47" s="545">
        <f t="shared" si="7"/>
        <v>0</v>
      </c>
    </row>
    <row r="48" spans="1:63" ht="15" customHeight="1" x14ac:dyDescent="0.35">
      <c r="A48" s="579"/>
      <c r="B48" s="546" t="s">
        <v>26</v>
      </c>
      <c r="C48" s="579" t="s">
        <v>36</v>
      </c>
      <c r="D48" s="653" t="s">
        <v>37</v>
      </c>
      <c r="E48" s="654"/>
      <c r="F48" s="618"/>
      <c r="G48" s="618"/>
      <c r="H48" s="618"/>
      <c r="I48" s="618"/>
      <c r="J48" s="618"/>
      <c r="K48" s="618"/>
      <c r="L48" s="618"/>
      <c r="M48" s="618"/>
      <c r="N48" s="79"/>
      <c r="O48" s="79"/>
      <c r="P48" s="572"/>
      <c r="Q48" s="587"/>
      <c r="R48" s="572"/>
      <c r="S48" s="587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572"/>
      <c r="AE48" s="587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572"/>
      <c r="AS48" s="587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572"/>
      <c r="BG48" s="587"/>
      <c r="BH48" s="79"/>
      <c r="BI48" s="79"/>
      <c r="BJ48" s="535">
        <f t="shared" si="6"/>
        <v>0</v>
      </c>
      <c r="BK48" s="545">
        <f t="shared" si="7"/>
        <v>0</v>
      </c>
    </row>
    <row r="49" spans="1:63" ht="15" customHeight="1" x14ac:dyDescent="0.35">
      <c r="A49" s="579"/>
      <c r="B49" s="546" t="s">
        <v>26</v>
      </c>
      <c r="C49" s="567" t="s">
        <v>38</v>
      </c>
      <c r="D49" s="653" t="s">
        <v>39</v>
      </c>
      <c r="E49" s="654"/>
      <c r="F49" s="618"/>
      <c r="G49" s="618"/>
      <c r="H49" s="618"/>
      <c r="I49" s="618"/>
      <c r="J49" s="618"/>
      <c r="K49" s="618"/>
      <c r="L49" s="618"/>
      <c r="M49" s="618"/>
      <c r="N49" s="79"/>
      <c r="O49" s="79"/>
      <c r="P49" s="572"/>
      <c r="Q49" s="587"/>
      <c r="R49" s="572"/>
      <c r="S49" s="587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572"/>
      <c r="AE49" s="587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572"/>
      <c r="AS49" s="587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572"/>
      <c r="BG49" s="587"/>
      <c r="BH49" s="79"/>
      <c r="BI49" s="79"/>
      <c r="BJ49" s="535">
        <f t="shared" si="6"/>
        <v>0</v>
      </c>
      <c r="BK49" s="545">
        <f t="shared" si="7"/>
        <v>0</v>
      </c>
    </row>
    <row r="50" spans="1:63" ht="15" customHeight="1" x14ac:dyDescent="0.35">
      <c r="A50" s="579"/>
      <c r="B50" s="546" t="s">
        <v>26</v>
      </c>
      <c r="C50" s="579" t="s">
        <v>40</v>
      </c>
      <c r="D50" s="653" t="s">
        <v>41</v>
      </c>
      <c r="E50" s="654"/>
      <c r="F50" s="618"/>
      <c r="G50" s="618"/>
      <c r="H50" s="618"/>
      <c r="I50" s="618"/>
      <c r="J50" s="618"/>
      <c r="K50" s="618"/>
      <c r="L50" s="618"/>
      <c r="M50" s="618"/>
      <c r="N50" s="79"/>
      <c r="O50" s="79"/>
      <c r="P50" s="572"/>
      <c r="Q50" s="587"/>
      <c r="R50" s="572"/>
      <c r="S50" s="587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572"/>
      <c r="AE50" s="587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572"/>
      <c r="AS50" s="587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572"/>
      <c r="BG50" s="587"/>
      <c r="BH50" s="79"/>
      <c r="BI50" s="79"/>
      <c r="BJ50" s="535">
        <f t="shared" si="6"/>
        <v>0</v>
      </c>
      <c r="BK50" s="545">
        <f t="shared" si="7"/>
        <v>0</v>
      </c>
    </row>
    <row r="51" spans="1:63" ht="15" customHeight="1" x14ac:dyDescent="0.35">
      <c r="A51" s="579"/>
      <c r="B51" s="546" t="s">
        <v>26</v>
      </c>
      <c r="C51" s="567" t="s">
        <v>42</v>
      </c>
      <c r="D51" s="653" t="s">
        <v>43</v>
      </c>
      <c r="E51" s="654"/>
      <c r="F51" s="618"/>
      <c r="G51" s="618"/>
      <c r="H51" s="618"/>
      <c r="I51" s="618"/>
      <c r="J51" s="618"/>
      <c r="K51" s="618"/>
      <c r="L51" s="618"/>
      <c r="M51" s="618"/>
      <c r="N51" s="79"/>
      <c r="O51" s="79"/>
      <c r="P51" s="572"/>
      <c r="Q51" s="587"/>
      <c r="R51" s="572"/>
      <c r="S51" s="587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572"/>
      <c r="AE51" s="587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572"/>
      <c r="AS51" s="587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572"/>
      <c r="BG51" s="587"/>
      <c r="BH51" s="79"/>
      <c r="BI51" s="79"/>
      <c r="BJ51" s="535">
        <f t="shared" si="6"/>
        <v>0</v>
      </c>
      <c r="BK51" s="545">
        <f t="shared" si="7"/>
        <v>0</v>
      </c>
    </row>
    <row r="52" spans="1:63" ht="15" customHeight="1" x14ac:dyDescent="0.35">
      <c r="A52" s="579"/>
      <c r="B52" s="546" t="s">
        <v>44</v>
      </c>
      <c r="C52" s="579" t="s">
        <v>45</v>
      </c>
      <c r="D52" s="653" t="s">
        <v>43</v>
      </c>
      <c r="E52" s="654"/>
      <c r="F52" s="618"/>
      <c r="G52" s="618"/>
      <c r="H52" s="618"/>
      <c r="I52" s="618"/>
      <c r="J52" s="618"/>
      <c r="K52" s="618"/>
      <c r="L52" s="618"/>
      <c r="M52" s="618"/>
      <c r="N52" s="79"/>
      <c r="O52" s="79"/>
      <c r="P52" s="572"/>
      <c r="Q52" s="587"/>
      <c r="R52" s="572"/>
      <c r="S52" s="587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572"/>
      <c r="AE52" s="587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572"/>
      <c r="AS52" s="587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572"/>
      <c r="BG52" s="587"/>
      <c r="BH52" s="79"/>
      <c r="BI52" s="79"/>
      <c r="BJ52" s="535">
        <f t="shared" si="6"/>
        <v>0</v>
      </c>
      <c r="BK52" s="545">
        <f t="shared" si="7"/>
        <v>0</v>
      </c>
    </row>
    <row r="53" spans="1:63" ht="15" customHeight="1" x14ac:dyDescent="0.35">
      <c r="A53" s="579"/>
      <c r="B53" s="546" t="s">
        <v>46</v>
      </c>
      <c r="C53" s="579" t="s">
        <v>47</v>
      </c>
      <c r="D53" s="653" t="s">
        <v>48</v>
      </c>
      <c r="E53" s="654"/>
      <c r="F53" s="618"/>
      <c r="G53" s="618"/>
      <c r="H53" s="618"/>
      <c r="I53" s="618"/>
      <c r="J53" s="618"/>
      <c r="K53" s="618"/>
      <c r="L53" s="618"/>
      <c r="M53" s="618"/>
      <c r="N53" s="79"/>
      <c r="O53" s="79"/>
      <c r="P53" s="572"/>
      <c r="Q53" s="587"/>
      <c r="R53" s="572"/>
      <c r="S53" s="587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572"/>
      <c r="AE53" s="587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572"/>
      <c r="AS53" s="587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572"/>
      <c r="BG53" s="587"/>
      <c r="BH53" s="79"/>
      <c r="BI53" s="79"/>
      <c r="BJ53" s="535">
        <f t="shared" si="6"/>
        <v>0</v>
      </c>
      <c r="BK53" s="545">
        <f t="shared" si="7"/>
        <v>0</v>
      </c>
    </row>
    <row r="54" spans="1:63" ht="15" customHeight="1" x14ac:dyDescent="0.35">
      <c r="A54" s="579"/>
      <c r="B54" s="546" t="s">
        <v>26</v>
      </c>
      <c r="C54" s="579" t="s">
        <v>49</v>
      </c>
      <c r="D54" s="653" t="s">
        <v>50</v>
      </c>
      <c r="E54" s="654"/>
      <c r="F54" s="618"/>
      <c r="G54" s="618"/>
      <c r="H54" s="618"/>
      <c r="I54" s="618"/>
      <c r="J54" s="618"/>
      <c r="K54" s="618"/>
      <c r="L54" s="618"/>
      <c r="M54" s="618"/>
      <c r="N54" s="79"/>
      <c r="O54" s="79"/>
      <c r="P54" s="572"/>
      <c r="Q54" s="587"/>
      <c r="R54" s="572"/>
      <c r="S54" s="587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572"/>
      <c r="AE54" s="587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572"/>
      <c r="AS54" s="587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572"/>
      <c r="BG54" s="587"/>
      <c r="BH54" s="79"/>
      <c r="BI54" s="79"/>
      <c r="BJ54" s="535">
        <f t="shared" si="6"/>
        <v>0</v>
      </c>
      <c r="BK54" s="545">
        <f t="shared" si="7"/>
        <v>0</v>
      </c>
    </row>
    <row r="55" spans="1:63" ht="15" customHeight="1" x14ac:dyDescent="0.35">
      <c r="A55" s="579"/>
      <c r="B55" s="546" t="s">
        <v>26</v>
      </c>
      <c r="C55" s="567" t="s">
        <v>51</v>
      </c>
      <c r="D55" s="653" t="s">
        <v>52</v>
      </c>
      <c r="E55" s="654"/>
      <c r="F55" s="618"/>
      <c r="G55" s="618"/>
      <c r="H55" s="618"/>
      <c r="I55" s="618"/>
      <c r="J55" s="618"/>
      <c r="K55" s="618"/>
      <c r="L55" s="618"/>
      <c r="M55" s="618"/>
      <c r="N55" s="79"/>
      <c r="O55" s="79"/>
      <c r="P55" s="572"/>
      <c r="Q55" s="587"/>
      <c r="R55" s="572"/>
      <c r="S55" s="587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572"/>
      <c r="AE55" s="587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572"/>
      <c r="AS55" s="587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572"/>
      <c r="BG55" s="587"/>
      <c r="BH55" s="79"/>
      <c r="BI55" s="79"/>
      <c r="BJ55" s="535">
        <f t="shared" si="6"/>
        <v>0</v>
      </c>
      <c r="BK55" s="545">
        <f t="shared" si="7"/>
        <v>0</v>
      </c>
    </row>
    <row r="56" spans="1:63" ht="15" customHeight="1" x14ac:dyDescent="0.35">
      <c r="A56" s="579"/>
      <c r="B56" s="546" t="s">
        <v>26</v>
      </c>
      <c r="C56" s="579" t="s">
        <v>53</v>
      </c>
      <c r="D56" s="653" t="s">
        <v>54</v>
      </c>
      <c r="E56" s="654"/>
      <c r="F56" s="618"/>
      <c r="G56" s="618"/>
      <c r="H56" s="618"/>
      <c r="I56" s="618"/>
      <c r="J56" s="618"/>
      <c r="K56" s="618"/>
      <c r="L56" s="618"/>
      <c r="M56" s="618"/>
      <c r="N56" s="79"/>
      <c r="O56" s="79"/>
      <c r="P56" s="572"/>
      <c r="Q56" s="587"/>
      <c r="R56" s="572"/>
      <c r="S56" s="587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572"/>
      <c r="AE56" s="587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572"/>
      <c r="AS56" s="587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572"/>
      <c r="BG56" s="587"/>
      <c r="BH56" s="79"/>
      <c r="BI56" s="79"/>
      <c r="BJ56" s="535">
        <f t="shared" si="6"/>
        <v>0</v>
      </c>
      <c r="BK56" s="545">
        <f t="shared" si="7"/>
        <v>0</v>
      </c>
    </row>
    <row r="57" spans="1:63" ht="15" customHeight="1" x14ac:dyDescent="0.35">
      <c r="A57" s="579"/>
      <c r="B57" s="546" t="s">
        <v>26</v>
      </c>
      <c r="C57" s="567" t="s">
        <v>55</v>
      </c>
      <c r="D57" s="653" t="s">
        <v>56</v>
      </c>
      <c r="E57" s="654"/>
      <c r="F57" s="618"/>
      <c r="G57" s="618"/>
      <c r="H57" s="618"/>
      <c r="I57" s="618"/>
      <c r="J57" s="618"/>
      <c r="K57" s="618"/>
      <c r="L57" s="618"/>
      <c r="M57" s="618"/>
      <c r="N57" s="79"/>
      <c r="O57" s="79"/>
      <c r="P57" s="572"/>
      <c r="Q57" s="587"/>
      <c r="R57" s="572"/>
      <c r="S57" s="587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572"/>
      <c r="AE57" s="587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572"/>
      <c r="AS57" s="587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572"/>
      <c r="BG57" s="587"/>
      <c r="BH57" s="79"/>
      <c r="BI57" s="79"/>
      <c r="BJ57" s="535">
        <f t="shared" si="6"/>
        <v>0</v>
      </c>
      <c r="BK57" s="545">
        <f t="shared" si="7"/>
        <v>0</v>
      </c>
    </row>
    <row r="58" spans="1:63" ht="15" customHeight="1" x14ac:dyDescent="0.35">
      <c r="A58" s="579"/>
      <c r="B58" s="546" t="s">
        <v>26</v>
      </c>
      <c r="C58" s="579" t="s">
        <v>57</v>
      </c>
      <c r="D58" s="653" t="s">
        <v>58</v>
      </c>
      <c r="E58" s="654"/>
      <c r="F58" s="618"/>
      <c r="G58" s="618"/>
      <c r="H58" s="618"/>
      <c r="I58" s="618"/>
      <c r="J58" s="618"/>
      <c r="K58" s="618"/>
      <c r="L58" s="618"/>
      <c r="M58" s="618"/>
      <c r="N58" s="79"/>
      <c r="O58" s="79"/>
      <c r="P58" s="572"/>
      <c r="Q58" s="587"/>
      <c r="R58" s="572"/>
      <c r="S58" s="587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572"/>
      <c r="AE58" s="587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572"/>
      <c r="AS58" s="587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572"/>
      <c r="BG58" s="587"/>
      <c r="BH58" s="79"/>
      <c r="BI58" s="79"/>
      <c r="BJ58" s="535">
        <f t="shared" si="6"/>
        <v>0</v>
      </c>
      <c r="BK58" s="545">
        <f t="shared" si="7"/>
        <v>0</v>
      </c>
    </row>
    <row r="59" spans="1:63" ht="15" customHeight="1" x14ac:dyDescent="0.35">
      <c r="A59" s="579"/>
      <c r="B59" s="546" t="s">
        <v>29</v>
      </c>
      <c r="C59" s="579" t="s">
        <v>59</v>
      </c>
      <c r="D59" s="653" t="s">
        <v>60</v>
      </c>
      <c r="E59" s="654"/>
      <c r="F59" s="618"/>
      <c r="G59" s="618"/>
      <c r="H59" s="618"/>
      <c r="I59" s="618"/>
      <c r="J59" s="618"/>
      <c r="K59" s="618"/>
      <c r="L59" s="618"/>
      <c r="M59" s="618"/>
      <c r="N59" s="79"/>
      <c r="O59" s="79"/>
      <c r="P59" s="572"/>
      <c r="Q59" s="587"/>
      <c r="R59" s="572"/>
      <c r="S59" s="587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572"/>
      <c r="AE59" s="587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572"/>
      <c r="AS59" s="587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572"/>
      <c r="BG59" s="587"/>
      <c r="BH59" s="79"/>
      <c r="BI59" s="79"/>
      <c r="BJ59" s="535">
        <f t="shared" si="6"/>
        <v>0</v>
      </c>
      <c r="BK59" s="545">
        <f t="shared" si="7"/>
        <v>0</v>
      </c>
    </row>
    <row r="60" spans="1:63" ht="15" customHeight="1" x14ac:dyDescent="0.35">
      <c r="A60" s="579"/>
      <c r="B60" s="546" t="s">
        <v>46</v>
      </c>
      <c r="C60" s="579" t="s">
        <v>61</v>
      </c>
      <c r="D60" s="653" t="s">
        <v>62</v>
      </c>
      <c r="E60" s="654"/>
      <c r="F60" s="618"/>
      <c r="G60" s="618"/>
      <c r="H60" s="618"/>
      <c r="I60" s="618"/>
      <c r="J60" s="618"/>
      <c r="K60" s="618"/>
      <c r="L60" s="618"/>
      <c r="M60" s="618"/>
      <c r="N60" s="79"/>
      <c r="O60" s="79"/>
      <c r="P60" s="572"/>
      <c r="Q60" s="587"/>
      <c r="R60" s="572"/>
      <c r="S60" s="587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572"/>
      <c r="AE60" s="587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572"/>
      <c r="AS60" s="587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572"/>
      <c r="BG60" s="587"/>
      <c r="BH60" s="79"/>
      <c r="BI60" s="79"/>
      <c r="BJ60" s="535">
        <f t="shared" si="6"/>
        <v>0</v>
      </c>
      <c r="BK60" s="545">
        <f t="shared" si="7"/>
        <v>0</v>
      </c>
    </row>
    <row r="61" spans="1:63" ht="15" customHeight="1" x14ac:dyDescent="0.35">
      <c r="A61" s="579"/>
      <c r="B61" s="546" t="s">
        <v>26</v>
      </c>
      <c r="C61" s="567" t="s">
        <v>63</v>
      </c>
      <c r="D61" s="653" t="s">
        <v>64</v>
      </c>
      <c r="E61" s="654"/>
      <c r="F61" s="618"/>
      <c r="G61" s="618"/>
      <c r="H61" s="618"/>
      <c r="I61" s="618"/>
      <c r="J61" s="618"/>
      <c r="K61" s="618"/>
      <c r="L61" s="618"/>
      <c r="M61" s="618"/>
      <c r="N61" s="79"/>
      <c r="O61" s="79"/>
      <c r="P61" s="572"/>
      <c r="Q61" s="587"/>
      <c r="R61" s="572"/>
      <c r="S61" s="587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572"/>
      <c r="AE61" s="587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572"/>
      <c r="AS61" s="587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572"/>
      <c r="BG61" s="587"/>
      <c r="BH61" s="79"/>
      <c r="BI61" s="79"/>
      <c r="BJ61" s="535">
        <f t="shared" si="6"/>
        <v>0</v>
      </c>
      <c r="BK61" s="545">
        <f t="shared" si="7"/>
        <v>0</v>
      </c>
    </row>
    <row r="62" spans="1:63" ht="15" customHeight="1" x14ac:dyDescent="0.35">
      <c r="A62" s="579"/>
      <c r="B62" s="546" t="s">
        <v>29</v>
      </c>
      <c r="C62" s="579" t="s">
        <v>65</v>
      </c>
      <c r="D62" s="653" t="s">
        <v>66</v>
      </c>
      <c r="E62" s="654"/>
      <c r="F62" s="618"/>
      <c r="G62" s="618"/>
      <c r="H62" s="618"/>
      <c r="I62" s="618"/>
      <c r="J62" s="618"/>
      <c r="K62" s="618"/>
      <c r="L62" s="618"/>
      <c r="M62" s="618"/>
      <c r="N62" s="79"/>
      <c r="O62" s="79"/>
      <c r="P62" s="572"/>
      <c r="Q62" s="587"/>
      <c r="R62" s="572"/>
      <c r="S62" s="587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572"/>
      <c r="AE62" s="587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572"/>
      <c r="AS62" s="587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572"/>
      <c r="BG62" s="587"/>
      <c r="BH62" s="79"/>
      <c r="BI62" s="79"/>
      <c r="BJ62" s="535">
        <f t="shared" si="6"/>
        <v>0</v>
      </c>
      <c r="BK62" s="545">
        <f t="shared" si="7"/>
        <v>0</v>
      </c>
    </row>
    <row r="63" spans="1:63" ht="15" customHeight="1" x14ac:dyDescent="0.35">
      <c r="A63" s="579"/>
      <c r="B63" s="546" t="s">
        <v>26</v>
      </c>
      <c r="C63" s="579" t="s">
        <v>67</v>
      </c>
      <c r="D63" s="653" t="s">
        <v>68</v>
      </c>
      <c r="E63" s="654"/>
      <c r="F63" s="618"/>
      <c r="G63" s="618"/>
      <c r="H63" s="618"/>
      <c r="I63" s="618"/>
      <c r="J63" s="618"/>
      <c r="K63" s="618"/>
      <c r="L63" s="618"/>
      <c r="M63" s="618"/>
      <c r="N63" s="79"/>
      <c r="O63" s="79"/>
      <c r="P63" s="572"/>
      <c r="Q63" s="587"/>
      <c r="R63" s="572"/>
      <c r="S63" s="587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572"/>
      <c r="AE63" s="587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572"/>
      <c r="AS63" s="587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572"/>
      <c r="BG63" s="587"/>
      <c r="BH63" s="79"/>
      <c r="BI63" s="79"/>
      <c r="BJ63" s="535">
        <f t="shared" si="6"/>
        <v>0</v>
      </c>
      <c r="BK63" s="545">
        <f t="shared" si="7"/>
        <v>0</v>
      </c>
    </row>
    <row r="64" spans="1:63" ht="15" customHeight="1" x14ac:dyDescent="0.35">
      <c r="A64" s="579"/>
      <c r="B64" s="546" t="s">
        <v>29</v>
      </c>
      <c r="C64" s="579" t="s">
        <v>69</v>
      </c>
      <c r="D64" s="653" t="s">
        <v>70</v>
      </c>
      <c r="E64" s="654"/>
      <c r="F64" s="618"/>
      <c r="G64" s="618"/>
      <c r="H64" s="618"/>
      <c r="I64" s="618"/>
      <c r="J64" s="618"/>
      <c r="K64" s="618"/>
      <c r="L64" s="618"/>
      <c r="M64" s="618"/>
      <c r="N64" s="79"/>
      <c r="O64" s="79"/>
      <c r="P64" s="572"/>
      <c r="Q64" s="587"/>
      <c r="R64" s="572"/>
      <c r="S64" s="587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572"/>
      <c r="AE64" s="587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572"/>
      <c r="AS64" s="587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572"/>
      <c r="BG64" s="587"/>
      <c r="BH64" s="79"/>
      <c r="BI64" s="79"/>
      <c r="BJ64" s="535">
        <f t="shared" si="6"/>
        <v>0</v>
      </c>
      <c r="BK64" s="545">
        <f t="shared" si="7"/>
        <v>0</v>
      </c>
    </row>
    <row r="65" spans="1:63" ht="15" customHeight="1" x14ac:dyDescent="0.35">
      <c r="A65" s="579"/>
      <c r="B65" s="546" t="s">
        <v>29</v>
      </c>
      <c r="C65" s="579" t="s">
        <v>71</v>
      </c>
      <c r="D65" s="653" t="s">
        <v>72</v>
      </c>
      <c r="E65" s="654"/>
      <c r="F65" s="618"/>
      <c r="G65" s="618"/>
      <c r="H65" s="618"/>
      <c r="I65" s="618"/>
      <c r="J65" s="618"/>
      <c r="K65" s="618"/>
      <c r="L65" s="618"/>
      <c r="M65" s="618"/>
      <c r="N65" s="79"/>
      <c r="O65" s="79"/>
      <c r="P65" s="572"/>
      <c r="Q65" s="587"/>
      <c r="R65" s="572"/>
      <c r="S65" s="587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572"/>
      <c r="AE65" s="587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572"/>
      <c r="AS65" s="587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572"/>
      <c r="BG65" s="587"/>
      <c r="BH65" s="79"/>
      <c r="BI65" s="79"/>
      <c r="BJ65" s="535">
        <f t="shared" si="6"/>
        <v>0</v>
      </c>
      <c r="BK65" s="545">
        <f t="shared" si="7"/>
        <v>0</v>
      </c>
    </row>
    <row r="66" spans="1:63" ht="15" customHeight="1" x14ac:dyDescent="0.35">
      <c r="A66" s="579"/>
      <c r="B66" s="546" t="s">
        <v>29</v>
      </c>
      <c r="C66" s="579" t="s">
        <v>73</v>
      </c>
      <c r="D66" s="653" t="s">
        <v>74</v>
      </c>
      <c r="E66" s="654"/>
      <c r="F66" s="618"/>
      <c r="G66" s="618"/>
      <c r="H66" s="618"/>
      <c r="I66" s="618"/>
      <c r="J66" s="618"/>
      <c r="K66" s="618"/>
      <c r="L66" s="618"/>
      <c r="M66" s="618"/>
      <c r="N66" s="79"/>
      <c r="O66" s="79"/>
      <c r="P66" s="572"/>
      <c r="Q66" s="587"/>
      <c r="R66" s="572"/>
      <c r="S66" s="587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572"/>
      <c r="AE66" s="587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572"/>
      <c r="AS66" s="587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572"/>
      <c r="BG66" s="587"/>
      <c r="BH66" s="79"/>
      <c r="BI66" s="79"/>
      <c r="BJ66" s="535">
        <f t="shared" si="6"/>
        <v>0</v>
      </c>
      <c r="BK66" s="545">
        <f t="shared" si="7"/>
        <v>0</v>
      </c>
    </row>
    <row r="67" spans="1:63" ht="15" customHeight="1" x14ac:dyDescent="0.35">
      <c r="A67" s="579"/>
      <c r="B67" s="546" t="s">
        <v>29</v>
      </c>
      <c r="C67" s="579" t="s">
        <v>75</v>
      </c>
      <c r="D67" s="653" t="s">
        <v>76</v>
      </c>
      <c r="E67" s="654"/>
      <c r="F67" s="618"/>
      <c r="G67" s="618"/>
      <c r="H67" s="618"/>
      <c r="I67" s="618"/>
      <c r="J67" s="618"/>
      <c r="K67" s="618"/>
      <c r="L67" s="618"/>
      <c r="M67" s="618"/>
      <c r="N67" s="79"/>
      <c r="O67" s="79"/>
      <c r="P67" s="572"/>
      <c r="Q67" s="587"/>
      <c r="R67" s="572"/>
      <c r="S67" s="587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572"/>
      <c r="AE67" s="587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572"/>
      <c r="AS67" s="587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572"/>
      <c r="BG67" s="587"/>
      <c r="BH67" s="79"/>
      <c r="BI67" s="79"/>
      <c r="BJ67" s="535">
        <f t="shared" si="6"/>
        <v>0</v>
      </c>
      <c r="BK67" s="545">
        <f t="shared" si="7"/>
        <v>0</v>
      </c>
    </row>
    <row r="68" spans="1:63" ht="15" customHeight="1" x14ac:dyDescent="0.35">
      <c r="A68" s="579"/>
      <c r="B68" s="546" t="s">
        <v>26</v>
      </c>
      <c r="C68" s="567" t="s">
        <v>77</v>
      </c>
      <c r="D68" s="653" t="s">
        <v>78</v>
      </c>
      <c r="E68" s="654"/>
      <c r="F68" s="618"/>
      <c r="G68" s="618"/>
      <c r="H68" s="618"/>
      <c r="I68" s="618"/>
      <c r="J68" s="618"/>
      <c r="K68" s="618"/>
      <c r="L68" s="618"/>
      <c r="M68" s="618"/>
      <c r="N68" s="79"/>
      <c r="O68" s="79"/>
      <c r="P68" s="572"/>
      <c r="Q68" s="587"/>
      <c r="R68" s="572"/>
      <c r="S68" s="587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572"/>
      <c r="AE68" s="587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572"/>
      <c r="AS68" s="587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572"/>
      <c r="BG68" s="587"/>
      <c r="BH68" s="79"/>
      <c r="BI68" s="79"/>
      <c r="BJ68" s="535">
        <f t="shared" si="6"/>
        <v>0</v>
      </c>
      <c r="BK68" s="545">
        <f t="shared" si="7"/>
        <v>0</v>
      </c>
    </row>
    <row r="69" spans="1:63" ht="15" customHeight="1" x14ac:dyDescent="0.35">
      <c r="A69" s="579"/>
      <c r="B69" s="546" t="s">
        <v>29</v>
      </c>
      <c r="C69" s="579" t="s">
        <v>79</v>
      </c>
      <c r="D69" s="653" t="s">
        <v>80</v>
      </c>
      <c r="E69" s="654"/>
      <c r="F69" s="618"/>
      <c r="G69" s="618"/>
      <c r="H69" s="618"/>
      <c r="I69" s="618"/>
      <c r="J69" s="618"/>
      <c r="K69" s="618"/>
      <c r="L69" s="618"/>
      <c r="M69" s="618"/>
      <c r="N69" s="79"/>
      <c r="O69" s="79"/>
      <c r="P69" s="572"/>
      <c r="Q69" s="587"/>
      <c r="R69" s="572"/>
      <c r="S69" s="587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572"/>
      <c r="AE69" s="587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572"/>
      <c r="AS69" s="587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572"/>
      <c r="BG69" s="587"/>
      <c r="BH69" s="79"/>
      <c r="BI69" s="79"/>
      <c r="BJ69" s="535">
        <f t="shared" ref="BJ69:BJ100" si="9">SUM(F69:BI69)</f>
        <v>0</v>
      </c>
      <c r="BK69" s="545">
        <f t="shared" ref="BK69:BK95" si="10">COUNT(F69:BI69)</f>
        <v>0</v>
      </c>
    </row>
    <row r="70" spans="1:63" ht="15" customHeight="1" x14ac:dyDescent="0.35">
      <c r="A70" s="579"/>
      <c r="B70" s="546" t="s">
        <v>46</v>
      </c>
      <c r="C70" s="579" t="s">
        <v>81</v>
      </c>
      <c r="D70" s="653" t="s">
        <v>82</v>
      </c>
      <c r="E70" s="654"/>
      <c r="F70" s="618"/>
      <c r="G70" s="618"/>
      <c r="H70" s="618"/>
      <c r="I70" s="618"/>
      <c r="J70" s="618"/>
      <c r="K70" s="618"/>
      <c r="L70" s="618"/>
      <c r="M70" s="618"/>
      <c r="N70" s="79"/>
      <c r="O70" s="79"/>
      <c r="P70" s="572"/>
      <c r="Q70" s="587"/>
      <c r="R70" s="572"/>
      <c r="S70" s="587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572"/>
      <c r="AE70" s="587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572"/>
      <c r="AS70" s="587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572"/>
      <c r="BG70" s="587"/>
      <c r="BH70" s="79"/>
      <c r="BI70" s="79"/>
      <c r="BJ70" s="535">
        <f t="shared" si="9"/>
        <v>0</v>
      </c>
      <c r="BK70" s="545">
        <f t="shared" si="10"/>
        <v>0</v>
      </c>
    </row>
    <row r="71" spans="1:63" ht="15" customHeight="1" x14ac:dyDescent="0.35">
      <c r="A71" s="579"/>
      <c r="B71" s="579"/>
      <c r="C71" s="579"/>
      <c r="D71" s="653" t="s">
        <v>1034</v>
      </c>
      <c r="E71" s="654"/>
      <c r="F71" s="618"/>
      <c r="G71" s="618"/>
      <c r="H71" s="618"/>
      <c r="I71" s="618"/>
      <c r="J71" s="618"/>
      <c r="K71" s="618"/>
      <c r="L71" s="618"/>
      <c r="M71" s="618"/>
      <c r="N71" s="79"/>
      <c r="O71" s="79"/>
      <c r="P71" s="572"/>
      <c r="Q71" s="587"/>
      <c r="R71" s="572"/>
      <c r="S71" s="587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572"/>
      <c r="AE71" s="587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572"/>
      <c r="AS71" s="587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572"/>
      <c r="BG71" s="587"/>
      <c r="BH71" s="79"/>
      <c r="BI71" s="79"/>
      <c r="BJ71" s="535">
        <f t="shared" si="9"/>
        <v>0</v>
      </c>
      <c r="BK71" s="545">
        <f t="shared" si="10"/>
        <v>0</v>
      </c>
    </row>
    <row r="72" spans="1:63" ht="16.5" customHeight="1" x14ac:dyDescent="0.35">
      <c r="A72" s="579"/>
      <c r="B72" s="579"/>
      <c r="C72" s="579">
        <f>SUM(BJ74:BJ98)</f>
        <v>16</v>
      </c>
      <c r="D72" s="647" t="s">
        <v>83</v>
      </c>
      <c r="E72" s="648"/>
      <c r="F72" s="618"/>
      <c r="G72" s="618"/>
      <c r="H72" s="618"/>
      <c r="I72" s="618"/>
      <c r="J72" s="618"/>
      <c r="K72" s="618"/>
      <c r="L72" s="618"/>
      <c r="M72" s="618"/>
      <c r="N72" s="79"/>
      <c r="O72" s="79"/>
      <c r="P72" s="572"/>
      <c r="Q72" s="587"/>
      <c r="R72" s="572"/>
      <c r="S72" s="587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572"/>
      <c r="AE72" s="587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572"/>
      <c r="AS72" s="587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572"/>
      <c r="BG72" s="587"/>
      <c r="BH72" s="79"/>
      <c r="BI72" s="79"/>
      <c r="BJ72" s="535">
        <f t="shared" si="9"/>
        <v>0</v>
      </c>
      <c r="BK72" s="545">
        <f t="shared" si="10"/>
        <v>0</v>
      </c>
    </row>
    <row r="73" spans="1:63" ht="15" customHeight="1" x14ac:dyDescent="0.35">
      <c r="A73" s="579"/>
      <c r="B73" s="546" t="s">
        <v>29</v>
      </c>
      <c r="C73" s="579" t="s">
        <v>84</v>
      </c>
      <c r="D73" s="653" t="s">
        <v>43</v>
      </c>
      <c r="E73" s="654"/>
      <c r="F73" s="618"/>
      <c r="G73" s="618"/>
      <c r="H73" s="618"/>
      <c r="I73" s="618"/>
      <c r="J73" s="618"/>
      <c r="K73" s="618"/>
      <c r="L73" s="618"/>
      <c r="M73" s="618"/>
      <c r="N73" s="79"/>
      <c r="O73" s="79"/>
      <c r="P73" s="572"/>
      <c r="Q73" s="587"/>
      <c r="R73" s="572"/>
      <c r="S73" s="587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572"/>
      <c r="AE73" s="587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572"/>
      <c r="AS73" s="587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572"/>
      <c r="BG73" s="587"/>
      <c r="BH73" s="79"/>
      <c r="BI73" s="79"/>
      <c r="BJ73" s="535">
        <f t="shared" si="9"/>
        <v>0</v>
      </c>
      <c r="BK73" s="545">
        <f t="shared" si="10"/>
        <v>0</v>
      </c>
    </row>
    <row r="74" spans="1:63" ht="15" customHeight="1" x14ac:dyDescent="0.35">
      <c r="A74" s="579"/>
      <c r="B74" s="546" t="s">
        <v>85</v>
      </c>
      <c r="C74" s="579" t="s">
        <v>86</v>
      </c>
      <c r="D74" s="653" t="s">
        <v>87</v>
      </c>
      <c r="E74" s="654"/>
      <c r="F74" s="618"/>
      <c r="G74" s="618"/>
      <c r="H74" s="618"/>
      <c r="I74" s="618"/>
      <c r="J74" s="618"/>
      <c r="K74" s="618"/>
      <c r="L74" s="618"/>
      <c r="M74" s="618"/>
      <c r="N74" s="79"/>
      <c r="O74" s="79"/>
      <c r="P74" s="572"/>
      <c r="Q74" s="587"/>
      <c r="R74" s="572"/>
      <c r="S74" s="587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572"/>
      <c r="AE74" s="587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572"/>
      <c r="AS74" s="587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572"/>
      <c r="BG74" s="587"/>
      <c r="BH74" s="79"/>
      <c r="BI74" s="79"/>
      <c r="BJ74" s="535">
        <f t="shared" si="9"/>
        <v>0</v>
      </c>
      <c r="BK74" s="545">
        <f t="shared" si="10"/>
        <v>0</v>
      </c>
    </row>
    <row r="75" spans="1:63" ht="15" customHeight="1" x14ac:dyDescent="0.35">
      <c r="A75" s="579"/>
      <c r="B75" s="546" t="s">
        <v>85</v>
      </c>
      <c r="C75" s="579" t="s">
        <v>88</v>
      </c>
      <c r="D75" s="653" t="s">
        <v>89</v>
      </c>
      <c r="E75" s="654"/>
      <c r="F75" s="618"/>
      <c r="G75" s="618"/>
      <c r="H75" s="618"/>
      <c r="I75" s="618"/>
      <c r="J75" s="618"/>
      <c r="K75" s="618"/>
      <c r="L75" s="618"/>
      <c r="M75" s="618"/>
      <c r="N75" s="79"/>
      <c r="O75" s="79"/>
      <c r="P75" s="572"/>
      <c r="Q75" s="587"/>
      <c r="R75" s="572"/>
      <c r="S75" s="587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572"/>
      <c r="AE75" s="587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572"/>
      <c r="AS75" s="587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572"/>
      <c r="BG75" s="587"/>
      <c r="BH75" s="79"/>
      <c r="BI75" s="79"/>
      <c r="BJ75" s="535">
        <f t="shared" si="9"/>
        <v>0</v>
      </c>
      <c r="BK75" s="545">
        <f t="shared" si="10"/>
        <v>0</v>
      </c>
    </row>
    <row r="76" spans="1:63" ht="15" customHeight="1" x14ac:dyDescent="0.35">
      <c r="A76" s="579"/>
      <c r="B76" s="546" t="s">
        <v>85</v>
      </c>
      <c r="C76" s="579" t="s">
        <v>90</v>
      </c>
      <c r="D76" s="653" t="s">
        <v>91</v>
      </c>
      <c r="E76" s="654"/>
      <c r="F76" s="618"/>
      <c r="G76" s="618"/>
      <c r="H76" s="618"/>
      <c r="I76" s="618"/>
      <c r="J76" s="618"/>
      <c r="K76" s="618"/>
      <c r="L76" s="618"/>
      <c r="M76" s="618"/>
      <c r="N76" s="79"/>
      <c r="O76" s="79"/>
      <c r="P76" s="572"/>
      <c r="Q76" s="587"/>
      <c r="R76" s="572"/>
      <c r="S76" s="587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572"/>
      <c r="AE76" s="587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572"/>
      <c r="AS76" s="587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572"/>
      <c r="BG76" s="587"/>
      <c r="BH76" s="79"/>
      <c r="BI76" s="79"/>
      <c r="BJ76" s="535">
        <f t="shared" si="9"/>
        <v>0</v>
      </c>
      <c r="BK76" s="545">
        <f t="shared" si="10"/>
        <v>0</v>
      </c>
    </row>
    <row r="77" spans="1:63" ht="15" customHeight="1" x14ac:dyDescent="0.35">
      <c r="A77" s="579"/>
      <c r="B77" s="546" t="s">
        <v>85</v>
      </c>
      <c r="C77" s="579" t="s">
        <v>92</v>
      </c>
      <c r="D77" s="653" t="s">
        <v>93</v>
      </c>
      <c r="E77" s="654"/>
      <c r="F77" s="618"/>
      <c r="G77" s="618"/>
      <c r="H77" s="618"/>
      <c r="I77" s="618"/>
      <c r="J77" s="618"/>
      <c r="K77" s="618"/>
      <c r="L77" s="618"/>
      <c r="M77" s="618"/>
      <c r="N77" s="79"/>
      <c r="O77" s="79"/>
      <c r="P77" s="572"/>
      <c r="Q77" s="587"/>
      <c r="R77" s="572"/>
      <c r="S77" s="587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572"/>
      <c r="AE77" s="587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572"/>
      <c r="AS77" s="587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572"/>
      <c r="BG77" s="587"/>
      <c r="BH77" s="79"/>
      <c r="BI77" s="79"/>
      <c r="BJ77" s="535">
        <f t="shared" si="9"/>
        <v>0</v>
      </c>
      <c r="BK77" s="545">
        <f t="shared" si="10"/>
        <v>0</v>
      </c>
    </row>
    <row r="78" spans="1:63" ht="15" customHeight="1" x14ac:dyDescent="0.35">
      <c r="A78" s="579"/>
      <c r="B78" s="546" t="s">
        <v>85</v>
      </c>
      <c r="C78" s="579" t="s">
        <v>94</v>
      </c>
      <c r="D78" s="653" t="s">
        <v>95</v>
      </c>
      <c r="E78" s="654"/>
      <c r="F78" s="618"/>
      <c r="G78" s="618"/>
      <c r="H78" s="618"/>
      <c r="I78" s="618"/>
      <c r="J78" s="618"/>
      <c r="K78" s="618"/>
      <c r="L78" s="618"/>
      <c r="M78" s="618"/>
      <c r="N78" s="79"/>
      <c r="O78" s="79"/>
      <c r="P78" s="572"/>
      <c r="Q78" s="587"/>
      <c r="R78" s="572"/>
      <c r="S78" s="587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572"/>
      <c r="AE78" s="587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572"/>
      <c r="AS78" s="587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572"/>
      <c r="BG78" s="587"/>
      <c r="BH78" s="79"/>
      <c r="BI78" s="79"/>
      <c r="BJ78" s="535">
        <f t="shared" si="9"/>
        <v>0</v>
      </c>
      <c r="BK78" s="545">
        <f t="shared" si="10"/>
        <v>0</v>
      </c>
    </row>
    <row r="79" spans="1:63" ht="15" customHeight="1" x14ac:dyDescent="0.35">
      <c r="A79" s="579"/>
      <c r="B79" s="546" t="s">
        <v>85</v>
      </c>
      <c r="C79" s="579" t="s">
        <v>96</v>
      </c>
      <c r="D79" s="653" t="s">
        <v>245</v>
      </c>
      <c r="E79" s="654"/>
      <c r="F79" s="618"/>
      <c r="G79" s="618"/>
      <c r="H79" s="618"/>
      <c r="I79" s="618"/>
      <c r="J79" s="618"/>
      <c r="K79" s="618"/>
      <c r="L79" s="618"/>
      <c r="M79" s="618"/>
      <c r="N79" s="79"/>
      <c r="O79" s="79"/>
      <c r="P79" s="572"/>
      <c r="Q79" s="587"/>
      <c r="R79" s="572"/>
      <c r="S79" s="587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572"/>
      <c r="AE79" s="587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572"/>
      <c r="AS79" s="587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572"/>
      <c r="BG79" s="587"/>
      <c r="BH79" s="79"/>
      <c r="BI79" s="79"/>
      <c r="BJ79" s="535">
        <f t="shared" si="9"/>
        <v>0</v>
      </c>
      <c r="BK79" s="545">
        <f t="shared" si="10"/>
        <v>0</v>
      </c>
    </row>
    <row r="80" spans="1:63" ht="15" customHeight="1" x14ac:dyDescent="0.35">
      <c r="A80" s="579"/>
      <c r="B80" s="546" t="s">
        <v>85</v>
      </c>
      <c r="C80" s="579" t="s">
        <v>98</v>
      </c>
      <c r="D80" s="653" t="s">
        <v>99</v>
      </c>
      <c r="E80" s="654"/>
      <c r="F80" s="618"/>
      <c r="G80" s="618"/>
      <c r="H80" s="618"/>
      <c r="I80" s="618"/>
      <c r="J80" s="618"/>
      <c r="K80" s="618"/>
      <c r="L80" s="618"/>
      <c r="M80" s="618"/>
      <c r="N80" s="79"/>
      <c r="O80" s="79"/>
      <c r="P80" s="572"/>
      <c r="Q80" s="587"/>
      <c r="R80" s="572"/>
      <c r="S80" s="587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572"/>
      <c r="AE80" s="587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572"/>
      <c r="AS80" s="587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572"/>
      <c r="BG80" s="587"/>
      <c r="BH80" s="79"/>
      <c r="BI80" s="79"/>
      <c r="BJ80" s="535">
        <f t="shared" si="9"/>
        <v>0</v>
      </c>
      <c r="BK80" s="545">
        <f t="shared" si="10"/>
        <v>0</v>
      </c>
    </row>
    <row r="81" spans="1:63" ht="15" customHeight="1" x14ac:dyDescent="0.35">
      <c r="A81" s="579"/>
      <c r="B81" s="546" t="s">
        <v>85</v>
      </c>
      <c r="C81" s="579" t="s">
        <v>100</v>
      </c>
      <c r="D81" s="653" t="s">
        <v>101</v>
      </c>
      <c r="E81" s="654"/>
      <c r="F81" s="618"/>
      <c r="G81" s="618"/>
      <c r="H81" s="618"/>
      <c r="I81" s="618"/>
      <c r="J81" s="618"/>
      <c r="K81" s="618"/>
      <c r="L81" s="618"/>
      <c r="M81" s="618"/>
      <c r="N81" s="79"/>
      <c r="O81" s="79"/>
      <c r="P81" s="572"/>
      <c r="Q81" s="587"/>
      <c r="R81" s="572"/>
      <c r="S81" s="587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572"/>
      <c r="AE81" s="587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572"/>
      <c r="AS81" s="587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572"/>
      <c r="BG81" s="587"/>
      <c r="BH81" s="79"/>
      <c r="BI81" s="79"/>
      <c r="BJ81" s="535">
        <f t="shared" si="9"/>
        <v>0</v>
      </c>
      <c r="BK81" s="545">
        <f t="shared" si="10"/>
        <v>0</v>
      </c>
    </row>
    <row r="82" spans="1:63" ht="15" customHeight="1" x14ac:dyDescent="0.35">
      <c r="A82" s="579"/>
      <c r="B82" s="546" t="s">
        <v>29</v>
      </c>
      <c r="C82" s="579" t="s">
        <v>102</v>
      </c>
      <c r="D82" s="653" t="s">
        <v>103</v>
      </c>
      <c r="E82" s="654"/>
      <c r="F82" s="618"/>
      <c r="G82" s="618"/>
      <c r="H82" s="618"/>
      <c r="I82" s="618"/>
      <c r="J82" s="618"/>
      <c r="K82" s="618"/>
      <c r="L82" s="618"/>
      <c r="M82" s="618"/>
      <c r="N82" s="79"/>
      <c r="O82" s="79"/>
      <c r="P82" s="572"/>
      <c r="Q82" s="587"/>
      <c r="R82" s="572"/>
      <c r="S82" s="587"/>
      <c r="T82" s="79"/>
      <c r="U82" s="79"/>
      <c r="V82" s="79">
        <v>16</v>
      </c>
      <c r="W82" s="79"/>
      <c r="X82" s="79"/>
      <c r="Y82" s="79"/>
      <c r="Z82" s="79"/>
      <c r="AA82" s="79"/>
      <c r="AB82" s="79"/>
      <c r="AC82" s="79"/>
      <c r="AD82" s="572"/>
      <c r="AE82" s="587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572"/>
      <c r="AS82" s="587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572"/>
      <c r="BG82" s="587"/>
      <c r="BH82" s="79"/>
      <c r="BI82" s="79"/>
      <c r="BJ82" s="535">
        <f t="shared" si="9"/>
        <v>16</v>
      </c>
      <c r="BK82" s="545">
        <f t="shared" si="10"/>
        <v>1</v>
      </c>
    </row>
    <row r="83" spans="1:63" ht="15" customHeight="1" x14ac:dyDescent="0.35">
      <c r="A83" s="579"/>
      <c r="B83" s="546" t="s">
        <v>104</v>
      </c>
      <c r="C83" s="579" t="s">
        <v>105</v>
      </c>
      <c r="D83" s="653" t="s">
        <v>106</v>
      </c>
      <c r="E83" s="654"/>
      <c r="F83" s="618"/>
      <c r="G83" s="618"/>
      <c r="H83" s="618"/>
      <c r="I83" s="618"/>
      <c r="J83" s="618"/>
      <c r="K83" s="618"/>
      <c r="L83" s="618"/>
      <c r="M83" s="618"/>
      <c r="N83" s="79"/>
      <c r="O83" s="79"/>
      <c r="P83" s="572"/>
      <c r="Q83" s="587"/>
      <c r="R83" s="572"/>
      <c r="S83" s="587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572"/>
      <c r="AE83" s="587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572"/>
      <c r="AS83" s="587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572"/>
      <c r="BG83" s="587"/>
      <c r="BH83" s="79"/>
      <c r="BI83" s="79"/>
      <c r="BJ83" s="535">
        <f t="shared" si="9"/>
        <v>0</v>
      </c>
      <c r="BK83" s="545">
        <f t="shared" si="10"/>
        <v>0</v>
      </c>
    </row>
    <row r="84" spans="1:63" ht="15" customHeight="1" x14ac:dyDescent="0.35">
      <c r="A84" s="579"/>
      <c r="B84" s="546" t="s">
        <v>85</v>
      </c>
      <c r="C84" s="579" t="s">
        <v>107</v>
      </c>
      <c r="D84" s="653" t="s">
        <v>108</v>
      </c>
      <c r="E84" s="654"/>
      <c r="F84" s="618"/>
      <c r="G84" s="618"/>
      <c r="H84" s="618"/>
      <c r="I84" s="618"/>
      <c r="J84" s="618"/>
      <c r="K84" s="618"/>
      <c r="L84" s="618"/>
      <c r="M84" s="618"/>
      <c r="N84" s="79"/>
      <c r="O84" s="79"/>
      <c r="P84" s="572"/>
      <c r="Q84" s="587"/>
      <c r="R84" s="572"/>
      <c r="S84" s="587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572"/>
      <c r="AE84" s="587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572"/>
      <c r="AS84" s="587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572"/>
      <c r="BG84" s="587"/>
      <c r="BH84" s="79"/>
      <c r="BI84" s="79"/>
      <c r="BJ84" s="535">
        <f t="shared" si="9"/>
        <v>0</v>
      </c>
      <c r="BK84" s="545">
        <f t="shared" si="10"/>
        <v>0</v>
      </c>
    </row>
    <row r="85" spans="1:63" ht="15" customHeight="1" x14ac:dyDescent="0.35">
      <c r="A85" s="579"/>
      <c r="B85" s="546" t="s">
        <v>109</v>
      </c>
      <c r="C85" s="579" t="s">
        <v>110</v>
      </c>
      <c r="D85" s="653" t="s">
        <v>111</v>
      </c>
      <c r="E85" s="654"/>
      <c r="F85" s="618"/>
      <c r="G85" s="618"/>
      <c r="H85" s="618"/>
      <c r="I85" s="618"/>
      <c r="J85" s="618"/>
      <c r="K85" s="618"/>
      <c r="L85" s="618"/>
      <c r="M85" s="618"/>
      <c r="N85" s="79"/>
      <c r="O85" s="79"/>
      <c r="P85" s="572"/>
      <c r="Q85" s="587"/>
      <c r="R85" s="572"/>
      <c r="S85" s="587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572"/>
      <c r="AE85" s="587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572"/>
      <c r="AS85" s="587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572"/>
      <c r="BG85" s="587"/>
      <c r="BH85" s="79"/>
      <c r="BI85" s="79"/>
      <c r="BJ85" s="535">
        <f t="shared" si="9"/>
        <v>0</v>
      </c>
      <c r="BK85" s="545">
        <f t="shared" si="10"/>
        <v>0</v>
      </c>
    </row>
    <row r="86" spans="1:63" ht="15" customHeight="1" x14ac:dyDescent="0.35">
      <c r="A86" s="579"/>
      <c r="B86" s="546" t="s">
        <v>26</v>
      </c>
      <c r="C86" s="579" t="s">
        <v>112</v>
      </c>
      <c r="D86" s="653" t="s">
        <v>54</v>
      </c>
      <c r="E86" s="654"/>
      <c r="F86" s="618"/>
      <c r="G86" s="618"/>
      <c r="H86" s="618"/>
      <c r="I86" s="618"/>
      <c r="J86" s="618"/>
      <c r="K86" s="618"/>
      <c r="L86" s="618"/>
      <c r="M86" s="618"/>
      <c r="N86" s="79"/>
      <c r="O86" s="79"/>
      <c r="P86" s="572"/>
      <c r="Q86" s="587"/>
      <c r="R86" s="572"/>
      <c r="S86" s="587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572"/>
      <c r="AE86" s="587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572"/>
      <c r="AS86" s="587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572"/>
      <c r="BG86" s="587"/>
      <c r="BH86" s="79"/>
      <c r="BI86" s="79"/>
      <c r="BJ86" s="535">
        <f t="shared" si="9"/>
        <v>0</v>
      </c>
      <c r="BK86" s="545">
        <f t="shared" si="10"/>
        <v>0</v>
      </c>
    </row>
    <row r="87" spans="1:63" ht="15" customHeight="1" x14ac:dyDescent="0.35">
      <c r="A87" s="579"/>
      <c r="B87" s="546" t="s">
        <v>29</v>
      </c>
      <c r="C87" s="579" t="s">
        <v>113</v>
      </c>
      <c r="D87" s="653" t="s">
        <v>70</v>
      </c>
      <c r="E87" s="654"/>
      <c r="F87" s="618"/>
      <c r="G87" s="618"/>
      <c r="H87" s="618"/>
      <c r="I87" s="618"/>
      <c r="J87" s="618"/>
      <c r="K87" s="618"/>
      <c r="L87" s="618"/>
      <c r="M87" s="618"/>
      <c r="N87" s="79"/>
      <c r="O87" s="79"/>
      <c r="P87" s="572"/>
      <c r="Q87" s="587"/>
      <c r="R87" s="572"/>
      <c r="S87" s="587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572"/>
      <c r="AE87" s="587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572"/>
      <c r="AS87" s="587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572"/>
      <c r="BG87" s="587"/>
      <c r="BH87" s="79"/>
      <c r="BI87" s="79"/>
      <c r="BJ87" s="535">
        <f t="shared" si="9"/>
        <v>0</v>
      </c>
      <c r="BK87" s="545">
        <f t="shared" si="10"/>
        <v>0</v>
      </c>
    </row>
    <row r="88" spans="1:63" ht="15" customHeight="1" x14ac:dyDescent="0.35">
      <c r="A88" s="579"/>
      <c r="B88" s="546" t="s">
        <v>29</v>
      </c>
      <c r="C88" s="579" t="s">
        <v>114</v>
      </c>
      <c r="D88" s="653" t="s">
        <v>72</v>
      </c>
      <c r="E88" s="654"/>
      <c r="F88" s="618"/>
      <c r="G88" s="618"/>
      <c r="H88" s="618"/>
      <c r="I88" s="618"/>
      <c r="J88" s="618"/>
      <c r="K88" s="618"/>
      <c r="L88" s="618"/>
      <c r="M88" s="618"/>
      <c r="N88" s="79"/>
      <c r="O88" s="79"/>
      <c r="P88" s="572"/>
      <c r="Q88" s="587"/>
      <c r="R88" s="572"/>
      <c r="S88" s="587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572"/>
      <c r="AE88" s="587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572"/>
      <c r="AS88" s="587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572"/>
      <c r="BG88" s="587"/>
      <c r="BH88" s="79"/>
      <c r="BI88" s="79"/>
      <c r="BJ88" s="535">
        <f t="shared" si="9"/>
        <v>0</v>
      </c>
      <c r="BK88" s="545">
        <f t="shared" si="10"/>
        <v>0</v>
      </c>
    </row>
    <row r="89" spans="1:63" ht="15" customHeight="1" x14ac:dyDescent="0.35">
      <c r="A89" s="579"/>
      <c r="B89" s="546" t="s">
        <v>44</v>
      </c>
      <c r="C89" s="579" t="s">
        <v>115</v>
      </c>
      <c r="D89" s="653" t="s">
        <v>72</v>
      </c>
      <c r="E89" s="654"/>
      <c r="F89" s="618"/>
      <c r="G89" s="618"/>
      <c r="H89" s="618"/>
      <c r="I89" s="618"/>
      <c r="J89" s="618"/>
      <c r="K89" s="618"/>
      <c r="L89" s="618"/>
      <c r="M89" s="618"/>
      <c r="N89" s="79"/>
      <c r="O89" s="79"/>
      <c r="P89" s="572"/>
      <c r="Q89" s="587"/>
      <c r="R89" s="572"/>
      <c r="S89" s="587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572"/>
      <c r="AE89" s="587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572"/>
      <c r="AS89" s="587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572"/>
      <c r="BG89" s="587"/>
      <c r="BH89" s="79"/>
      <c r="BI89" s="79"/>
      <c r="BJ89" s="535">
        <f t="shared" si="9"/>
        <v>0</v>
      </c>
      <c r="BK89" s="545">
        <f t="shared" si="10"/>
        <v>0</v>
      </c>
    </row>
    <row r="90" spans="1:63" ht="15" customHeight="1" x14ac:dyDescent="0.35">
      <c r="A90" s="579"/>
      <c r="B90" s="546" t="s">
        <v>29</v>
      </c>
      <c r="C90" s="579" t="s">
        <v>116</v>
      </c>
      <c r="D90" s="653" t="s">
        <v>74</v>
      </c>
      <c r="E90" s="654"/>
      <c r="F90" s="618"/>
      <c r="G90" s="618"/>
      <c r="H90" s="618"/>
      <c r="I90" s="618"/>
      <c r="J90" s="618"/>
      <c r="K90" s="618"/>
      <c r="L90" s="618"/>
      <c r="M90" s="618"/>
      <c r="N90" s="79"/>
      <c r="O90" s="79"/>
      <c r="P90" s="572"/>
      <c r="Q90" s="587"/>
      <c r="R90" s="572"/>
      <c r="S90" s="587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572"/>
      <c r="AE90" s="587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572"/>
      <c r="AS90" s="587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572"/>
      <c r="BG90" s="587"/>
      <c r="BH90" s="79"/>
      <c r="BI90" s="79"/>
      <c r="BJ90" s="535">
        <f t="shared" si="9"/>
        <v>0</v>
      </c>
      <c r="BK90" s="545">
        <f t="shared" si="10"/>
        <v>0</v>
      </c>
    </row>
    <row r="91" spans="1:63" ht="15" customHeight="1" x14ac:dyDescent="0.35">
      <c r="A91" s="579"/>
      <c r="B91" s="546" t="s">
        <v>29</v>
      </c>
      <c r="C91" s="579" t="s">
        <v>117</v>
      </c>
      <c r="D91" s="653" t="s">
        <v>76</v>
      </c>
      <c r="E91" s="654"/>
      <c r="F91" s="618"/>
      <c r="G91" s="618"/>
      <c r="H91" s="618"/>
      <c r="I91" s="618"/>
      <c r="J91" s="618"/>
      <c r="K91" s="618"/>
      <c r="L91" s="618"/>
      <c r="M91" s="618"/>
      <c r="N91" s="79"/>
      <c r="O91" s="79"/>
      <c r="P91" s="572"/>
      <c r="Q91" s="587"/>
      <c r="R91" s="572"/>
      <c r="S91" s="587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572"/>
      <c r="AE91" s="587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572"/>
      <c r="AS91" s="587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572"/>
      <c r="BG91" s="587"/>
      <c r="BH91" s="79"/>
      <c r="BI91" s="79"/>
      <c r="BJ91" s="535">
        <f t="shared" si="9"/>
        <v>0</v>
      </c>
      <c r="BK91" s="545">
        <f t="shared" si="10"/>
        <v>0</v>
      </c>
    </row>
    <row r="92" spans="1:63" ht="15" customHeight="1" x14ac:dyDescent="0.35">
      <c r="A92" s="579"/>
      <c r="B92" s="546" t="s">
        <v>44</v>
      </c>
      <c r="C92" s="579" t="s">
        <v>118</v>
      </c>
      <c r="D92" s="653" t="s">
        <v>76</v>
      </c>
      <c r="E92" s="654"/>
      <c r="F92" s="618"/>
      <c r="G92" s="618"/>
      <c r="H92" s="618"/>
      <c r="I92" s="618"/>
      <c r="J92" s="618"/>
      <c r="K92" s="618"/>
      <c r="L92" s="618"/>
      <c r="M92" s="618"/>
      <c r="N92" s="79"/>
      <c r="O92" s="79"/>
      <c r="P92" s="572"/>
      <c r="Q92" s="587"/>
      <c r="R92" s="572"/>
      <c r="S92" s="587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572"/>
      <c r="AE92" s="587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572"/>
      <c r="AS92" s="587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572"/>
      <c r="BG92" s="587"/>
      <c r="BH92" s="79"/>
      <c r="BI92" s="79"/>
      <c r="BJ92" s="535">
        <f t="shared" si="9"/>
        <v>0</v>
      </c>
      <c r="BK92" s="545">
        <f t="shared" si="10"/>
        <v>0</v>
      </c>
    </row>
    <row r="93" spans="1:63" ht="15" customHeight="1" x14ac:dyDescent="0.35">
      <c r="A93" s="579"/>
      <c r="B93" s="546" t="s">
        <v>109</v>
      </c>
      <c r="C93" s="579" t="s">
        <v>119</v>
      </c>
      <c r="D93" s="653" t="s">
        <v>120</v>
      </c>
      <c r="E93" s="654"/>
      <c r="F93" s="618"/>
      <c r="G93" s="618"/>
      <c r="H93" s="618"/>
      <c r="I93" s="618"/>
      <c r="J93" s="618"/>
      <c r="K93" s="618"/>
      <c r="L93" s="618"/>
      <c r="M93" s="618"/>
      <c r="N93" s="79"/>
      <c r="O93" s="79"/>
      <c r="P93" s="572"/>
      <c r="Q93" s="587"/>
      <c r="R93" s="572"/>
      <c r="S93" s="587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572"/>
      <c r="AE93" s="587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572"/>
      <c r="AS93" s="587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572"/>
      <c r="BG93" s="587"/>
      <c r="BH93" s="79"/>
      <c r="BI93" s="79"/>
      <c r="BJ93" s="535">
        <f t="shared" si="9"/>
        <v>0</v>
      </c>
      <c r="BK93" s="545">
        <f t="shared" si="10"/>
        <v>0</v>
      </c>
    </row>
    <row r="94" spans="1:63" ht="15" customHeight="1" x14ac:dyDescent="0.35">
      <c r="A94" s="579"/>
      <c r="B94" s="546" t="s">
        <v>29</v>
      </c>
      <c r="C94" s="579" t="s">
        <v>121</v>
      </c>
      <c r="D94" s="653" t="s">
        <v>122</v>
      </c>
      <c r="E94" s="654"/>
      <c r="F94" s="618"/>
      <c r="G94" s="618"/>
      <c r="H94" s="618"/>
      <c r="I94" s="618"/>
      <c r="J94" s="618"/>
      <c r="K94" s="618"/>
      <c r="L94" s="618"/>
      <c r="M94" s="618"/>
      <c r="N94" s="79"/>
      <c r="O94" s="79"/>
      <c r="P94" s="572"/>
      <c r="Q94" s="587"/>
      <c r="R94" s="572"/>
      <c r="S94" s="587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572"/>
      <c r="AE94" s="587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572"/>
      <c r="AS94" s="587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572"/>
      <c r="BG94" s="587"/>
      <c r="BH94" s="79"/>
      <c r="BI94" s="79"/>
      <c r="BJ94" s="535">
        <f t="shared" si="9"/>
        <v>0</v>
      </c>
      <c r="BK94" s="545">
        <f t="shared" si="10"/>
        <v>0</v>
      </c>
    </row>
    <row r="95" spans="1:63" ht="15" customHeight="1" x14ac:dyDescent="0.35">
      <c r="A95" s="579"/>
      <c r="B95" s="546" t="s">
        <v>109</v>
      </c>
      <c r="C95" s="579" t="s">
        <v>123</v>
      </c>
      <c r="D95" s="653" t="s">
        <v>124</v>
      </c>
      <c r="E95" s="654"/>
      <c r="F95" s="618"/>
      <c r="G95" s="618"/>
      <c r="H95" s="618"/>
      <c r="I95" s="618"/>
      <c r="J95" s="618"/>
      <c r="K95" s="618"/>
      <c r="L95" s="618"/>
      <c r="M95" s="618"/>
      <c r="N95" s="79"/>
      <c r="O95" s="79"/>
      <c r="P95" s="572"/>
      <c r="Q95" s="587"/>
      <c r="R95" s="572"/>
      <c r="S95" s="587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572"/>
      <c r="AE95" s="587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572"/>
      <c r="AS95" s="587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572"/>
      <c r="BG95" s="587"/>
      <c r="BH95" s="79"/>
      <c r="BI95" s="79"/>
      <c r="BJ95" s="535">
        <f t="shared" si="9"/>
        <v>0</v>
      </c>
      <c r="BK95" s="545">
        <f t="shared" si="10"/>
        <v>0</v>
      </c>
    </row>
    <row r="96" spans="1:63" ht="15" customHeight="1" x14ac:dyDescent="0.35">
      <c r="A96" s="579"/>
      <c r="B96" s="546" t="s">
        <v>109</v>
      </c>
      <c r="C96" s="579" t="s">
        <v>159</v>
      </c>
      <c r="D96" s="653" t="s">
        <v>160</v>
      </c>
      <c r="E96" s="654"/>
      <c r="F96" s="618"/>
      <c r="G96" s="618"/>
      <c r="H96" s="618"/>
      <c r="I96" s="618"/>
      <c r="J96" s="618"/>
      <c r="K96" s="618"/>
      <c r="L96" s="618"/>
      <c r="M96" s="618"/>
      <c r="N96" s="79"/>
      <c r="O96" s="79"/>
      <c r="P96" s="572"/>
      <c r="Q96" s="587"/>
      <c r="R96" s="572"/>
      <c r="S96" s="587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572"/>
      <c r="AE96" s="587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572"/>
      <c r="AS96" s="587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572"/>
      <c r="BG96" s="587"/>
      <c r="BH96" s="79"/>
      <c r="BI96" s="79"/>
      <c r="BJ96" s="535">
        <f t="shared" si="9"/>
        <v>0</v>
      </c>
      <c r="BK96" s="545"/>
    </row>
    <row r="97" spans="1:63" ht="15" customHeight="1" x14ac:dyDescent="0.35">
      <c r="A97" s="579"/>
      <c r="B97" s="546" t="s">
        <v>104</v>
      </c>
      <c r="C97" s="579" t="s">
        <v>125</v>
      </c>
      <c r="D97" s="653" t="s">
        <v>126</v>
      </c>
      <c r="E97" s="654"/>
      <c r="F97" s="618"/>
      <c r="G97" s="618"/>
      <c r="H97" s="618"/>
      <c r="I97" s="618"/>
      <c r="J97" s="618"/>
      <c r="K97" s="618"/>
      <c r="L97" s="618"/>
      <c r="M97" s="618"/>
      <c r="N97" s="79"/>
      <c r="O97" s="79"/>
      <c r="P97" s="572"/>
      <c r="Q97" s="587"/>
      <c r="R97" s="572"/>
      <c r="S97" s="587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572"/>
      <c r="AE97" s="587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572"/>
      <c r="AS97" s="587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572"/>
      <c r="BG97" s="587"/>
      <c r="BH97" s="79"/>
      <c r="BI97" s="79"/>
      <c r="BJ97" s="535">
        <f t="shared" si="9"/>
        <v>0</v>
      </c>
      <c r="BK97" s="545">
        <f t="shared" ref="BK97:BK120" si="11">COUNT(F97:BI97)</f>
        <v>0</v>
      </c>
    </row>
    <row r="98" spans="1:63" ht="15" customHeight="1" x14ac:dyDescent="0.35">
      <c r="A98" s="579"/>
      <c r="B98" s="546"/>
      <c r="C98" s="579"/>
      <c r="D98" s="653"/>
      <c r="E98" s="654"/>
      <c r="F98" s="618"/>
      <c r="G98" s="618"/>
      <c r="H98" s="618"/>
      <c r="I98" s="618"/>
      <c r="J98" s="618"/>
      <c r="K98" s="618"/>
      <c r="L98" s="618"/>
      <c r="M98" s="618"/>
      <c r="N98" s="79"/>
      <c r="O98" s="79"/>
      <c r="P98" s="572"/>
      <c r="Q98" s="587"/>
      <c r="R98" s="572"/>
      <c r="S98" s="587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572"/>
      <c r="AE98" s="587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572"/>
      <c r="AS98" s="587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572"/>
      <c r="BG98" s="587"/>
      <c r="BH98" s="79"/>
      <c r="BI98" s="79"/>
      <c r="BJ98" s="535">
        <f t="shared" si="9"/>
        <v>0</v>
      </c>
      <c r="BK98" s="545">
        <f t="shared" si="11"/>
        <v>0</v>
      </c>
    </row>
    <row r="99" spans="1:63" ht="15" customHeight="1" x14ac:dyDescent="0.35">
      <c r="A99" s="579"/>
      <c r="B99" s="546"/>
      <c r="C99" s="579">
        <f>SUM(BJ100:BJ102)</f>
        <v>0</v>
      </c>
      <c r="D99" s="647" t="s">
        <v>127</v>
      </c>
      <c r="E99" s="648"/>
      <c r="F99" s="618"/>
      <c r="G99" s="618"/>
      <c r="H99" s="618"/>
      <c r="I99" s="618"/>
      <c r="J99" s="618"/>
      <c r="K99" s="618"/>
      <c r="L99" s="618"/>
      <c r="M99" s="618"/>
      <c r="N99" s="79"/>
      <c r="O99" s="79"/>
      <c r="P99" s="572"/>
      <c r="Q99" s="587"/>
      <c r="R99" s="572"/>
      <c r="S99" s="587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572"/>
      <c r="AE99" s="587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572"/>
      <c r="AS99" s="587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572"/>
      <c r="BG99" s="587"/>
      <c r="BH99" s="79"/>
      <c r="BI99" s="79"/>
      <c r="BJ99" s="535">
        <f t="shared" si="9"/>
        <v>0</v>
      </c>
      <c r="BK99" s="545">
        <f t="shared" si="11"/>
        <v>0</v>
      </c>
    </row>
    <row r="100" spans="1:63" ht="15" customHeight="1" x14ac:dyDescent="0.35">
      <c r="A100" s="579"/>
      <c r="B100" s="546" t="s">
        <v>85</v>
      </c>
      <c r="C100" s="579" t="s">
        <v>128</v>
      </c>
      <c r="D100" s="653" t="s">
        <v>129</v>
      </c>
      <c r="E100" s="654"/>
      <c r="F100" s="618"/>
      <c r="G100" s="618"/>
      <c r="H100" s="618"/>
      <c r="I100" s="618"/>
      <c r="J100" s="618"/>
      <c r="K100" s="618"/>
      <c r="L100" s="618"/>
      <c r="M100" s="618"/>
      <c r="N100" s="79"/>
      <c r="O100" s="79"/>
      <c r="P100" s="572"/>
      <c r="Q100" s="587"/>
      <c r="R100" s="572"/>
      <c r="S100" s="587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572"/>
      <c r="AE100" s="587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572"/>
      <c r="AS100" s="587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572"/>
      <c r="BG100" s="587"/>
      <c r="BH100" s="79"/>
      <c r="BI100" s="79"/>
      <c r="BJ100" s="535">
        <f t="shared" si="9"/>
        <v>0</v>
      </c>
      <c r="BK100" s="545">
        <f t="shared" si="11"/>
        <v>0</v>
      </c>
    </row>
    <row r="101" spans="1:63" ht="15" customHeight="1" x14ac:dyDescent="0.35">
      <c r="A101" s="579"/>
      <c r="B101" s="546"/>
      <c r="C101" s="579"/>
      <c r="D101" s="653"/>
      <c r="E101" s="654"/>
      <c r="F101" s="618"/>
      <c r="G101" s="618"/>
      <c r="H101" s="618"/>
      <c r="I101" s="618"/>
      <c r="J101" s="618"/>
      <c r="K101" s="618"/>
      <c r="L101" s="618"/>
      <c r="M101" s="618"/>
      <c r="N101" s="79"/>
      <c r="O101" s="79"/>
      <c r="P101" s="572"/>
      <c r="Q101" s="587"/>
      <c r="R101" s="572"/>
      <c r="S101" s="587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572"/>
      <c r="AE101" s="587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572"/>
      <c r="AS101" s="587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572"/>
      <c r="BG101" s="587"/>
      <c r="BH101" s="79"/>
      <c r="BI101" s="79"/>
      <c r="BJ101" s="535">
        <f t="shared" ref="BJ101:BJ129" si="12">SUM(F101:BI101)</f>
        <v>0</v>
      </c>
      <c r="BK101" s="545">
        <f t="shared" si="11"/>
        <v>0</v>
      </c>
    </row>
    <row r="102" spans="1:63" ht="15" customHeight="1" x14ac:dyDescent="0.35">
      <c r="A102" s="579"/>
      <c r="B102" s="546"/>
      <c r="C102" s="579"/>
      <c r="D102" s="653"/>
      <c r="E102" s="654"/>
      <c r="F102" s="618"/>
      <c r="G102" s="618"/>
      <c r="H102" s="618"/>
      <c r="I102" s="618"/>
      <c r="J102" s="618"/>
      <c r="K102" s="618"/>
      <c r="L102" s="618"/>
      <c r="M102" s="618"/>
      <c r="N102" s="79"/>
      <c r="O102" s="79"/>
      <c r="P102" s="572"/>
      <c r="Q102" s="587"/>
      <c r="R102" s="572"/>
      <c r="S102" s="587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572"/>
      <c r="AE102" s="587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572"/>
      <c r="AS102" s="587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572"/>
      <c r="BG102" s="587"/>
      <c r="BH102" s="79"/>
      <c r="BI102" s="79"/>
      <c r="BJ102" s="535">
        <f t="shared" si="12"/>
        <v>0</v>
      </c>
      <c r="BK102" s="545">
        <f t="shared" si="11"/>
        <v>0</v>
      </c>
    </row>
    <row r="103" spans="1:63" ht="15" customHeight="1" x14ac:dyDescent="0.35">
      <c r="A103" s="579"/>
      <c r="B103" s="546"/>
      <c r="C103" s="579">
        <f>SUM(BJ104:BJ106)</f>
        <v>15</v>
      </c>
      <c r="D103" s="647" t="s">
        <v>130</v>
      </c>
      <c r="E103" s="648"/>
      <c r="F103" s="618"/>
      <c r="G103" s="618"/>
      <c r="H103" s="618"/>
      <c r="I103" s="618"/>
      <c r="J103" s="618"/>
      <c r="K103" s="618"/>
      <c r="L103" s="618"/>
      <c r="M103" s="618"/>
      <c r="N103" s="79"/>
      <c r="O103" s="79"/>
      <c r="P103" s="572"/>
      <c r="Q103" s="587"/>
      <c r="R103" s="572"/>
      <c r="S103" s="587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572"/>
      <c r="AE103" s="587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572"/>
      <c r="AS103" s="587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572"/>
      <c r="BG103" s="587"/>
      <c r="BH103" s="79"/>
      <c r="BI103" s="79"/>
      <c r="BJ103" s="535">
        <f t="shared" si="12"/>
        <v>0</v>
      </c>
      <c r="BK103" s="545">
        <f t="shared" si="11"/>
        <v>0</v>
      </c>
    </row>
    <row r="104" spans="1:63" ht="15" customHeight="1" x14ac:dyDescent="0.35">
      <c r="A104" s="579"/>
      <c r="B104" s="546" t="s">
        <v>85</v>
      </c>
      <c r="C104" s="579" t="s">
        <v>131</v>
      </c>
      <c r="D104" s="653" t="s">
        <v>132</v>
      </c>
      <c r="E104" s="654"/>
      <c r="F104" s="618"/>
      <c r="G104" s="618"/>
      <c r="H104" s="618"/>
      <c r="I104" s="618"/>
      <c r="J104" s="618"/>
      <c r="K104" s="618"/>
      <c r="L104" s="618"/>
      <c r="M104" s="618"/>
      <c r="N104" s="79"/>
      <c r="O104" s="79"/>
      <c r="P104" s="572"/>
      <c r="Q104" s="587"/>
      <c r="R104" s="572"/>
      <c r="S104" s="587"/>
      <c r="T104" s="79"/>
      <c r="U104" s="79"/>
      <c r="V104" s="79">
        <v>15</v>
      </c>
      <c r="W104" s="79"/>
      <c r="X104" s="79"/>
      <c r="Y104" s="79"/>
      <c r="Z104" s="79"/>
      <c r="AA104" s="79"/>
      <c r="AB104" s="79"/>
      <c r="AC104" s="79"/>
      <c r="AD104" s="572"/>
      <c r="AE104" s="587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572"/>
      <c r="AS104" s="587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572"/>
      <c r="BG104" s="587"/>
      <c r="BH104" s="79"/>
      <c r="BI104" s="79"/>
      <c r="BJ104" s="535">
        <f t="shared" si="12"/>
        <v>15</v>
      </c>
      <c r="BK104" s="545">
        <f t="shared" si="11"/>
        <v>1</v>
      </c>
    </row>
    <row r="105" spans="1:63" ht="15" customHeight="1" x14ac:dyDescent="0.35">
      <c r="A105" s="579"/>
      <c r="B105" s="546"/>
      <c r="C105" s="579"/>
      <c r="D105" s="653"/>
      <c r="E105" s="654"/>
      <c r="F105" s="618"/>
      <c r="G105" s="618"/>
      <c r="H105" s="618"/>
      <c r="I105" s="618"/>
      <c r="J105" s="618"/>
      <c r="K105" s="618"/>
      <c r="L105" s="618"/>
      <c r="M105" s="618"/>
      <c r="N105" s="79"/>
      <c r="O105" s="79"/>
      <c r="P105" s="572"/>
      <c r="Q105" s="587"/>
      <c r="R105" s="572"/>
      <c r="S105" s="587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572"/>
      <c r="AE105" s="587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572"/>
      <c r="AS105" s="587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572"/>
      <c r="BG105" s="587"/>
      <c r="BH105" s="79"/>
      <c r="BI105" s="79"/>
      <c r="BJ105" s="535">
        <f t="shared" si="12"/>
        <v>0</v>
      </c>
      <c r="BK105" s="545">
        <f t="shared" si="11"/>
        <v>0</v>
      </c>
    </row>
    <row r="106" spans="1:63" ht="15" customHeight="1" x14ac:dyDescent="0.35">
      <c r="A106" s="579"/>
      <c r="B106" s="546"/>
      <c r="C106" s="579"/>
      <c r="D106" s="653"/>
      <c r="E106" s="654"/>
      <c r="F106" s="618"/>
      <c r="G106" s="618"/>
      <c r="H106" s="618"/>
      <c r="I106" s="618"/>
      <c r="J106" s="618"/>
      <c r="K106" s="618"/>
      <c r="L106" s="618"/>
      <c r="M106" s="618"/>
      <c r="N106" s="79"/>
      <c r="O106" s="79"/>
      <c r="P106" s="572"/>
      <c r="Q106" s="587"/>
      <c r="R106" s="572"/>
      <c r="S106" s="587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572"/>
      <c r="AE106" s="587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572"/>
      <c r="AS106" s="587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572"/>
      <c r="BG106" s="587"/>
      <c r="BH106" s="79"/>
      <c r="BI106" s="79"/>
      <c r="BJ106" s="535">
        <f t="shared" si="12"/>
        <v>0</v>
      </c>
      <c r="BK106" s="545">
        <f t="shared" si="11"/>
        <v>0</v>
      </c>
    </row>
    <row r="107" spans="1:63" ht="15" customHeight="1" x14ac:dyDescent="0.35">
      <c r="A107" s="579"/>
      <c r="B107" s="546"/>
      <c r="C107" s="579">
        <f>SUM(BJ108:BJ114)</f>
        <v>0</v>
      </c>
      <c r="D107" s="647" t="s">
        <v>133</v>
      </c>
      <c r="E107" s="648"/>
      <c r="F107" s="618"/>
      <c r="G107" s="618"/>
      <c r="H107" s="618"/>
      <c r="I107" s="618"/>
      <c r="J107" s="618"/>
      <c r="K107" s="618"/>
      <c r="L107" s="618"/>
      <c r="M107" s="618"/>
      <c r="N107" s="79"/>
      <c r="O107" s="79"/>
      <c r="P107" s="572"/>
      <c r="Q107" s="587"/>
      <c r="R107" s="572"/>
      <c r="S107" s="587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572"/>
      <c r="AE107" s="587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572"/>
      <c r="AS107" s="587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572"/>
      <c r="BG107" s="587"/>
      <c r="BH107" s="79"/>
      <c r="BI107" s="79"/>
      <c r="BJ107" s="535">
        <f t="shared" si="12"/>
        <v>0</v>
      </c>
      <c r="BK107" s="545">
        <f t="shared" si="11"/>
        <v>0</v>
      </c>
    </row>
    <row r="108" spans="1:63" ht="15" customHeight="1" x14ac:dyDescent="0.35">
      <c r="A108" s="579"/>
      <c r="B108" s="546" t="s">
        <v>44</v>
      </c>
      <c r="C108" s="579" t="s">
        <v>134</v>
      </c>
      <c r="D108" s="653" t="s">
        <v>135</v>
      </c>
      <c r="E108" s="654"/>
      <c r="F108" s="618"/>
      <c r="G108" s="618"/>
      <c r="H108" s="618"/>
      <c r="I108" s="618"/>
      <c r="J108" s="618"/>
      <c r="K108" s="618"/>
      <c r="L108" s="618"/>
      <c r="M108" s="618"/>
      <c r="N108" s="79"/>
      <c r="O108" s="79"/>
      <c r="P108" s="572"/>
      <c r="Q108" s="587"/>
      <c r="R108" s="572"/>
      <c r="S108" s="587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572"/>
      <c r="AE108" s="587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572"/>
      <c r="AS108" s="587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572"/>
      <c r="BG108" s="587"/>
      <c r="BH108" s="79"/>
      <c r="BI108" s="79"/>
      <c r="BJ108" s="535">
        <f t="shared" si="12"/>
        <v>0</v>
      </c>
      <c r="BK108" s="545">
        <f t="shared" si="11"/>
        <v>0</v>
      </c>
    </row>
    <row r="109" spans="1:63" ht="15" customHeight="1" x14ac:dyDescent="0.35">
      <c r="A109" s="579"/>
      <c r="B109" s="546" t="s">
        <v>44</v>
      </c>
      <c r="C109" s="579" t="s">
        <v>136</v>
      </c>
      <c r="D109" s="653" t="s">
        <v>137</v>
      </c>
      <c r="E109" s="654"/>
      <c r="F109" s="618"/>
      <c r="G109" s="618"/>
      <c r="H109" s="618"/>
      <c r="I109" s="618"/>
      <c r="J109" s="618"/>
      <c r="K109" s="618"/>
      <c r="L109" s="618"/>
      <c r="M109" s="618"/>
      <c r="N109" s="79"/>
      <c r="O109" s="79"/>
      <c r="P109" s="572"/>
      <c r="Q109" s="587"/>
      <c r="R109" s="572"/>
      <c r="S109" s="587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572"/>
      <c r="AE109" s="587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572"/>
      <c r="AS109" s="587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572"/>
      <c r="BG109" s="587"/>
      <c r="BH109" s="79"/>
      <c r="BI109" s="79"/>
      <c r="BJ109" s="535">
        <f t="shared" si="12"/>
        <v>0</v>
      </c>
      <c r="BK109" s="545">
        <f t="shared" si="11"/>
        <v>0</v>
      </c>
    </row>
    <row r="110" spans="1:63" ht="15" customHeight="1" x14ac:dyDescent="0.35">
      <c r="A110" s="579"/>
      <c r="B110" s="546" t="s">
        <v>44</v>
      </c>
      <c r="C110" s="579" t="s">
        <v>138</v>
      </c>
      <c r="D110" s="653" t="s">
        <v>139</v>
      </c>
      <c r="E110" s="654"/>
      <c r="F110" s="618"/>
      <c r="G110" s="618"/>
      <c r="H110" s="618"/>
      <c r="I110" s="618"/>
      <c r="J110" s="618"/>
      <c r="K110" s="618"/>
      <c r="L110" s="618"/>
      <c r="M110" s="618"/>
      <c r="N110" s="79"/>
      <c r="O110" s="79"/>
      <c r="P110" s="572"/>
      <c r="Q110" s="587"/>
      <c r="R110" s="572"/>
      <c r="S110" s="587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572"/>
      <c r="AE110" s="587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572"/>
      <c r="AS110" s="587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572"/>
      <c r="BG110" s="587"/>
      <c r="BH110" s="79"/>
      <c r="BI110" s="79"/>
      <c r="BJ110" s="535">
        <f t="shared" si="12"/>
        <v>0</v>
      </c>
      <c r="BK110" s="545">
        <f t="shared" si="11"/>
        <v>0</v>
      </c>
    </row>
    <row r="111" spans="1:63" ht="15.75" customHeight="1" x14ac:dyDescent="0.35">
      <c r="A111" s="579"/>
      <c r="B111" s="546" t="s">
        <v>44</v>
      </c>
      <c r="C111" s="579" t="s">
        <v>140</v>
      </c>
      <c r="D111" s="653" t="s">
        <v>141</v>
      </c>
      <c r="E111" s="654"/>
      <c r="F111" s="618"/>
      <c r="G111" s="618"/>
      <c r="H111" s="618"/>
      <c r="I111" s="618"/>
      <c r="J111" s="618"/>
      <c r="K111" s="618"/>
      <c r="L111" s="618"/>
      <c r="M111" s="618"/>
      <c r="N111" s="79"/>
      <c r="O111" s="79"/>
      <c r="P111" s="572"/>
      <c r="Q111" s="587"/>
      <c r="R111" s="572"/>
      <c r="S111" s="587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572"/>
      <c r="AE111" s="587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572"/>
      <c r="AS111" s="587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572"/>
      <c r="BG111" s="587"/>
      <c r="BH111" s="79"/>
      <c r="BI111" s="79"/>
      <c r="BJ111" s="535">
        <f t="shared" si="12"/>
        <v>0</v>
      </c>
      <c r="BK111" s="545">
        <f t="shared" si="11"/>
        <v>0</v>
      </c>
    </row>
    <row r="112" spans="1:63" ht="15" customHeight="1" x14ac:dyDescent="0.35">
      <c r="A112" s="579"/>
      <c r="B112" s="546" t="s">
        <v>44</v>
      </c>
      <c r="C112" s="579" t="s">
        <v>142</v>
      </c>
      <c r="D112" s="653" t="s">
        <v>143</v>
      </c>
      <c r="E112" s="654"/>
      <c r="F112" s="618"/>
      <c r="G112" s="618"/>
      <c r="H112" s="618"/>
      <c r="I112" s="618"/>
      <c r="J112" s="618"/>
      <c r="K112" s="618"/>
      <c r="L112" s="618"/>
      <c r="M112" s="618"/>
      <c r="N112" s="79"/>
      <c r="O112" s="79"/>
      <c r="P112" s="572"/>
      <c r="Q112" s="587"/>
      <c r="R112" s="572"/>
      <c r="S112" s="587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572"/>
      <c r="AE112" s="587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572"/>
      <c r="AS112" s="587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572"/>
      <c r="BG112" s="587"/>
      <c r="BH112" s="79"/>
      <c r="BI112" s="79"/>
      <c r="BJ112" s="535">
        <f t="shared" si="12"/>
        <v>0</v>
      </c>
      <c r="BK112" s="545">
        <f t="shared" si="11"/>
        <v>0</v>
      </c>
    </row>
    <row r="113" spans="1:63" ht="15" customHeight="1" x14ac:dyDescent="0.35">
      <c r="A113" s="579"/>
      <c r="B113" s="546" t="s">
        <v>85</v>
      </c>
      <c r="C113" s="579" t="s">
        <v>144</v>
      </c>
      <c r="D113" s="653" t="s">
        <v>143</v>
      </c>
      <c r="E113" s="654"/>
      <c r="F113" s="618"/>
      <c r="G113" s="618"/>
      <c r="H113" s="618"/>
      <c r="I113" s="618"/>
      <c r="J113" s="618"/>
      <c r="K113" s="618"/>
      <c r="L113" s="618"/>
      <c r="M113" s="618"/>
      <c r="N113" s="79"/>
      <c r="O113" s="79"/>
      <c r="P113" s="572"/>
      <c r="Q113" s="587"/>
      <c r="R113" s="572"/>
      <c r="S113" s="587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572"/>
      <c r="AE113" s="587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572"/>
      <c r="AS113" s="587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572"/>
      <c r="BG113" s="587"/>
      <c r="BH113" s="79"/>
      <c r="BI113" s="79"/>
      <c r="BJ113" s="535">
        <f t="shared" si="12"/>
        <v>0</v>
      </c>
      <c r="BK113" s="545">
        <f t="shared" si="11"/>
        <v>0</v>
      </c>
    </row>
    <row r="114" spans="1:63" ht="15.75" customHeight="1" x14ac:dyDescent="0.35">
      <c r="A114" s="579"/>
      <c r="B114" s="546"/>
      <c r="C114" s="579"/>
      <c r="D114" s="653"/>
      <c r="E114" s="654"/>
      <c r="F114" s="618"/>
      <c r="G114" s="618"/>
      <c r="H114" s="618"/>
      <c r="I114" s="618"/>
      <c r="J114" s="618"/>
      <c r="K114" s="618"/>
      <c r="L114" s="618"/>
      <c r="M114" s="618"/>
      <c r="N114" s="79"/>
      <c r="O114" s="79"/>
      <c r="P114" s="572"/>
      <c r="Q114" s="587"/>
      <c r="R114" s="572"/>
      <c r="S114" s="587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572"/>
      <c r="AE114" s="587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572"/>
      <c r="AS114" s="587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572"/>
      <c r="BG114" s="587"/>
      <c r="BH114" s="79"/>
      <c r="BI114" s="79"/>
      <c r="BJ114" s="535">
        <f t="shared" si="12"/>
        <v>0</v>
      </c>
      <c r="BK114" s="545">
        <f t="shared" si="11"/>
        <v>0</v>
      </c>
    </row>
    <row r="115" spans="1:63" ht="15.75" customHeight="1" x14ac:dyDescent="0.35">
      <c r="A115" s="579"/>
      <c r="B115" s="546"/>
      <c r="C115" s="579">
        <f>SUM(BJ116:BJ120)</f>
        <v>0</v>
      </c>
      <c r="D115" s="647" t="s">
        <v>145</v>
      </c>
      <c r="E115" s="648"/>
      <c r="F115" s="618"/>
      <c r="G115" s="618"/>
      <c r="H115" s="618"/>
      <c r="I115" s="618"/>
      <c r="J115" s="618"/>
      <c r="K115" s="618"/>
      <c r="L115" s="618"/>
      <c r="M115" s="618"/>
      <c r="N115" s="79"/>
      <c r="O115" s="79"/>
      <c r="P115" s="572"/>
      <c r="Q115" s="587"/>
      <c r="R115" s="572"/>
      <c r="S115" s="587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572"/>
      <c r="AE115" s="587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572"/>
      <c r="AS115" s="587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572"/>
      <c r="BG115" s="587"/>
      <c r="BH115" s="79"/>
      <c r="BI115" s="79"/>
      <c r="BJ115" s="535">
        <f t="shared" si="12"/>
        <v>0</v>
      </c>
      <c r="BK115" s="545">
        <f t="shared" si="11"/>
        <v>0</v>
      </c>
    </row>
    <row r="116" spans="1:63" ht="15" customHeight="1" x14ac:dyDescent="0.35">
      <c r="A116" s="579"/>
      <c r="B116" s="546" t="s">
        <v>85</v>
      </c>
      <c r="C116" s="579" t="s">
        <v>146</v>
      </c>
      <c r="D116" s="653" t="s">
        <v>147</v>
      </c>
      <c r="E116" s="654"/>
      <c r="F116" s="618"/>
      <c r="G116" s="618"/>
      <c r="H116" s="618"/>
      <c r="I116" s="618"/>
      <c r="J116" s="618"/>
      <c r="K116" s="618"/>
      <c r="L116" s="618"/>
      <c r="M116" s="618"/>
      <c r="N116" s="79"/>
      <c r="O116" s="79"/>
      <c r="P116" s="588"/>
      <c r="Q116" s="586"/>
      <c r="R116" s="588"/>
      <c r="S116" s="586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588"/>
      <c r="AE116" s="586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588"/>
      <c r="AS116" s="586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588"/>
      <c r="BG116" s="586"/>
      <c r="BH116" s="79"/>
      <c r="BI116" s="79"/>
      <c r="BJ116" s="535">
        <f t="shared" si="12"/>
        <v>0</v>
      </c>
      <c r="BK116" s="545">
        <f t="shared" si="11"/>
        <v>0</v>
      </c>
    </row>
    <row r="117" spans="1:63" ht="15" customHeight="1" x14ac:dyDescent="0.35">
      <c r="A117" s="579"/>
      <c r="B117" s="546" t="s">
        <v>44</v>
      </c>
      <c r="C117" s="579" t="s">
        <v>148</v>
      </c>
      <c r="D117" s="653" t="s">
        <v>137</v>
      </c>
      <c r="E117" s="654"/>
      <c r="F117" s="618"/>
      <c r="G117" s="618"/>
      <c r="H117" s="618"/>
      <c r="I117" s="618"/>
      <c r="J117" s="618"/>
      <c r="K117" s="618"/>
      <c r="L117" s="618"/>
      <c r="M117" s="618"/>
      <c r="N117" s="79"/>
      <c r="O117" s="79"/>
      <c r="P117" s="572"/>
      <c r="Q117" s="587"/>
      <c r="R117" s="572"/>
      <c r="S117" s="587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572"/>
      <c r="AE117" s="587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572"/>
      <c r="AS117" s="587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572"/>
      <c r="BG117" s="587"/>
      <c r="BH117" s="79"/>
      <c r="BI117" s="79"/>
      <c r="BJ117" s="535">
        <f t="shared" si="12"/>
        <v>0</v>
      </c>
      <c r="BK117" s="545">
        <f t="shared" si="11"/>
        <v>0</v>
      </c>
    </row>
    <row r="118" spans="1:63" ht="15" customHeight="1" x14ac:dyDescent="0.35">
      <c r="A118" s="579"/>
      <c r="B118" s="546" t="s">
        <v>44</v>
      </c>
      <c r="C118" s="579" t="s">
        <v>149</v>
      </c>
      <c r="D118" s="653" t="s">
        <v>150</v>
      </c>
      <c r="E118" s="654"/>
      <c r="F118" s="618"/>
      <c r="G118" s="618"/>
      <c r="H118" s="618"/>
      <c r="I118" s="618"/>
      <c r="J118" s="618"/>
      <c r="K118" s="618"/>
      <c r="L118" s="618"/>
      <c r="M118" s="618"/>
      <c r="N118" s="79"/>
      <c r="O118" s="79"/>
      <c r="P118" s="572"/>
      <c r="Q118" s="587"/>
      <c r="R118" s="572"/>
      <c r="S118" s="587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572"/>
      <c r="AE118" s="587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572"/>
      <c r="AS118" s="587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572"/>
      <c r="BG118" s="587"/>
      <c r="BH118" s="79"/>
      <c r="BI118" s="79"/>
      <c r="BJ118" s="535">
        <f t="shared" si="12"/>
        <v>0</v>
      </c>
      <c r="BK118" s="545">
        <f t="shared" si="11"/>
        <v>0</v>
      </c>
    </row>
    <row r="119" spans="1:63" ht="15" customHeight="1" x14ac:dyDescent="0.35">
      <c r="A119" s="579"/>
      <c r="B119" s="579"/>
      <c r="C119" s="579"/>
      <c r="D119" s="653"/>
      <c r="E119" s="654"/>
      <c r="F119" s="618"/>
      <c r="G119" s="618"/>
      <c r="H119" s="618"/>
      <c r="I119" s="618"/>
      <c r="J119" s="618"/>
      <c r="K119" s="618"/>
      <c r="L119" s="618"/>
      <c r="M119" s="618"/>
      <c r="N119" s="79"/>
      <c r="O119" s="79"/>
      <c r="P119" s="572"/>
      <c r="Q119" s="587"/>
      <c r="R119" s="572"/>
      <c r="S119" s="587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572"/>
      <c r="AE119" s="587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572"/>
      <c r="AS119" s="587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572"/>
      <c r="BG119" s="587"/>
      <c r="BH119" s="79"/>
      <c r="BI119" s="79"/>
      <c r="BJ119" s="535">
        <f t="shared" si="12"/>
        <v>0</v>
      </c>
      <c r="BK119" s="545">
        <f t="shared" si="11"/>
        <v>0</v>
      </c>
    </row>
    <row r="120" spans="1:63" ht="15" customHeight="1" x14ac:dyDescent="0.35">
      <c r="A120" s="579"/>
      <c r="B120" s="579"/>
      <c r="C120" s="579"/>
      <c r="D120" s="653"/>
      <c r="E120" s="654"/>
      <c r="F120" s="618"/>
      <c r="G120" s="618"/>
      <c r="H120" s="618"/>
      <c r="I120" s="618"/>
      <c r="J120" s="618"/>
      <c r="K120" s="618"/>
      <c r="L120" s="618"/>
      <c r="M120" s="618"/>
      <c r="N120" s="79"/>
      <c r="O120" s="79"/>
      <c r="P120" s="572"/>
      <c r="Q120" s="587"/>
      <c r="R120" s="572"/>
      <c r="S120" s="587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572"/>
      <c r="AE120" s="587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572"/>
      <c r="AS120" s="587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572"/>
      <c r="BG120" s="587"/>
      <c r="BH120" s="79"/>
      <c r="BI120" s="79"/>
      <c r="BJ120" s="535">
        <f t="shared" si="12"/>
        <v>0</v>
      </c>
      <c r="BK120" s="545">
        <f t="shared" si="11"/>
        <v>0</v>
      </c>
    </row>
    <row r="121" spans="1:63" x14ac:dyDescent="0.35">
      <c r="A121" s="583"/>
      <c r="B121" s="583"/>
      <c r="C121" s="583"/>
      <c r="D121" s="661" t="s">
        <v>151</v>
      </c>
      <c r="E121" s="662"/>
      <c r="F121" s="536"/>
      <c r="G121" s="536"/>
      <c r="H121" s="536"/>
      <c r="I121" s="536"/>
      <c r="J121" s="536"/>
      <c r="K121" s="536"/>
      <c r="L121" s="536"/>
      <c r="M121" s="536"/>
      <c r="N121" s="536"/>
      <c r="O121" s="536"/>
      <c r="P121" s="572"/>
      <c r="Q121" s="587"/>
      <c r="R121" s="572"/>
      <c r="S121" s="587"/>
      <c r="T121" s="536"/>
      <c r="U121" s="536"/>
      <c r="V121" s="536"/>
      <c r="W121" s="536"/>
      <c r="X121" s="536"/>
      <c r="Y121" s="536"/>
      <c r="Z121" s="536"/>
      <c r="AA121" s="536"/>
      <c r="AB121" s="536"/>
      <c r="AC121" s="536"/>
      <c r="AD121" s="572"/>
      <c r="AE121" s="587"/>
      <c r="AF121" s="536"/>
      <c r="AG121" s="536"/>
      <c r="AH121" s="536"/>
      <c r="AI121" s="536"/>
      <c r="AJ121" s="536"/>
      <c r="AK121" s="536"/>
      <c r="AL121" s="536"/>
      <c r="AM121" s="536"/>
      <c r="AN121" s="536"/>
      <c r="AO121" s="536"/>
      <c r="AP121" s="536"/>
      <c r="AQ121" s="536"/>
      <c r="AR121" s="572"/>
      <c r="AS121" s="587"/>
      <c r="AT121" s="536"/>
      <c r="AU121" s="536"/>
      <c r="AV121" s="536"/>
      <c r="AW121" s="536"/>
      <c r="AX121" s="536"/>
      <c r="AY121" s="536"/>
      <c r="AZ121" s="536"/>
      <c r="BA121" s="536"/>
      <c r="BB121" s="536"/>
      <c r="BC121" s="536"/>
      <c r="BD121" s="536"/>
      <c r="BE121" s="536"/>
      <c r="BF121" s="572"/>
      <c r="BG121" s="587"/>
      <c r="BH121" s="536"/>
      <c r="BI121" s="536"/>
      <c r="BJ121" s="535">
        <f t="shared" si="12"/>
        <v>0</v>
      </c>
      <c r="BK121" s="545"/>
    </row>
    <row r="122" spans="1:63" x14ac:dyDescent="0.35">
      <c r="A122" s="583"/>
      <c r="B122" s="583"/>
      <c r="C122" s="583"/>
      <c r="D122" s="655" t="s">
        <v>152</v>
      </c>
      <c r="E122" s="656"/>
      <c r="F122" s="588"/>
      <c r="G122" s="588"/>
      <c r="H122" s="588"/>
      <c r="I122" s="588"/>
      <c r="J122" s="588"/>
      <c r="K122" s="588"/>
      <c r="L122" s="588"/>
      <c r="M122" s="588"/>
      <c r="N122" s="588"/>
      <c r="O122" s="588"/>
      <c r="P122" s="572"/>
      <c r="Q122" s="587"/>
      <c r="R122" s="572"/>
      <c r="S122" s="587"/>
      <c r="T122" s="588"/>
      <c r="U122" s="588"/>
      <c r="V122" s="588"/>
      <c r="W122" s="588"/>
      <c r="X122" s="588"/>
      <c r="Y122" s="588"/>
      <c r="Z122" s="588"/>
      <c r="AA122" s="588"/>
      <c r="AB122" s="588"/>
      <c r="AC122" s="588"/>
      <c r="AD122" s="572"/>
      <c r="AE122" s="587"/>
      <c r="AF122" s="588"/>
      <c r="AG122" s="588"/>
      <c r="AH122" s="588"/>
      <c r="AI122" s="588"/>
      <c r="AJ122" s="588"/>
      <c r="AK122" s="588"/>
      <c r="AL122" s="588"/>
      <c r="AM122" s="588"/>
      <c r="AN122" s="588"/>
      <c r="AO122" s="588"/>
      <c r="AP122" s="588"/>
      <c r="AQ122" s="588"/>
      <c r="AR122" s="572"/>
      <c r="AS122" s="587"/>
      <c r="AT122" s="588"/>
      <c r="AU122" s="588"/>
      <c r="AV122" s="588"/>
      <c r="AW122" s="588"/>
      <c r="AX122" s="588"/>
      <c r="AY122" s="588"/>
      <c r="AZ122" s="588"/>
      <c r="BA122" s="588"/>
      <c r="BB122" s="588"/>
      <c r="BC122" s="588"/>
      <c r="BD122" s="588"/>
      <c r="BE122" s="588"/>
      <c r="BF122" s="572"/>
      <c r="BG122" s="587"/>
      <c r="BH122" s="588"/>
      <c r="BI122" s="588"/>
      <c r="BJ122" s="535">
        <f t="shared" si="12"/>
        <v>0</v>
      </c>
      <c r="BK122" s="545"/>
    </row>
    <row r="123" spans="1:63" s="531" customFormat="1" x14ac:dyDescent="0.35">
      <c r="A123" s="551"/>
      <c r="B123" s="551"/>
      <c r="C123" s="551"/>
      <c r="D123" s="657" t="s">
        <v>1041</v>
      </c>
      <c r="E123" s="658"/>
      <c r="F123" s="600"/>
      <c r="G123" s="599"/>
      <c r="H123" s="600"/>
      <c r="I123" s="600"/>
      <c r="J123" s="600">
        <v>6</v>
      </c>
      <c r="K123" s="600"/>
      <c r="L123" s="600">
        <v>6</v>
      </c>
      <c r="M123" s="600"/>
      <c r="N123" s="600">
        <v>6</v>
      </c>
      <c r="O123" s="89"/>
      <c r="P123" s="572"/>
      <c r="Q123" s="587"/>
      <c r="R123" s="572"/>
      <c r="S123" s="587"/>
      <c r="T123" s="600">
        <v>6</v>
      </c>
      <c r="U123" s="600"/>
      <c r="V123" s="600">
        <v>6</v>
      </c>
      <c r="W123" s="600"/>
      <c r="X123" s="600">
        <v>6</v>
      </c>
      <c r="Y123" s="600"/>
      <c r="Z123" s="600">
        <v>6</v>
      </c>
      <c r="AA123" s="600"/>
      <c r="AB123" s="600">
        <v>6</v>
      </c>
      <c r="AC123" s="89"/>
      <c r="AD123" s="572"/>
      <c r="AE123" s="587"/>
      <c r="AF123" s="600">
        <v>6</v>
      </c>
      <c r="AG123" s="89"/>
      <c r="AH123" s="600"/>
      <c r="AI123" s="600"/>
      <c r="AJ123" s="600"/>
      <c r="AK123" s="600"/>
      <c r="AL123" s="600"/>
      <c r="AM123" s="600"/>
      <c r="AN123" s="600"/>
      <c r="AO123" s="600"/>
      <c r="AP123" s="600"/>
      <c r="AQ123" s="600"/>
      <c r="AR123" s="572"/>
      <c r="AS123" s="587"/>
      <c r="AT123" s="600"/>
      <c r="AU123" s="600"/>
      <c r="AV123" s="600"/>
      <c r="AW123" s="600"/>
      <c r="AX123" s="600"/>
      <c r="AY123" s="600"/>
      <c r="AZ123" s="600"/>
      <c r="BA123" s="600"/>
      <c r="BB123" s="600"/>
      <c r="BC123" s="600"/>
      <c r="BD123" s="600"/>
      <c r="BE123" s="600"/>
      <c r="BF123" s="572"/>
      <c r="BG123" s="587"/>
      <c r="BH123" s="600"/>
      <c r="BI123" s="600"/>
      <c r="BJ123" s="535">
        <f t="shared" si="12"/>
        <v>54</v>
      </c>
      <c r="BK123" s="591"/>
    </row>
    <row r="124" spans="1:63" s="531" customFormat="1" x14ac:dyDescent="0.35">
      <c r="A124" s="551"/>
      <c r="B124" s="551"/>
      <c r="C124" s="551"/>
      <c r="D124" s="657" t="s">
        <v>154</v>
      </c>
      <c r="E124" s="658"/>
      <c r="F124" s="530"/>
      <c r="G124" s="530"/>
      <c r="H124" s="530"/>
      <c r="I124" s="530"/>
      <c r="J124" s="530"/>
      <c r="K124" s="530"/>
      <c r="L124" s="530"/>
      <c r="M124" s="530"/>
      <c r="N124" s="530"/>
      <c r="O124" s="530"/>
      <c r="P124" s="572"/>
      <c r="Q124" s="587"/>
      <c r="R124" s="572"/>
      <c r="S124" s="587"/>
      <c r="T124" s="530">
        <v>20</v>
      </c>
      <c r="U124" s="530"/>
      <c r="V124" s="530"/>
      <c r="W124" s="530"/>
      <c r="X124" s="530"/>
      <c r="Y124" s="530"/>
      <c r="Z124" s="530"/>
      <c r="AA124" s="530"/>
      <c r="AB124" s="530"/>
      <c r="AC124" s="530"/>
      <c r="AD124" s="572"/>
      <c r="AE124" s="587"/>
      <c r="AF124" s="530"/>
      <c r="AG124" s="530"/>
      <c r="AH124" s="530"/>
      <c r="AI124" s="530"/>
      <c r="AJ124" s="530"/>
      <c r="AK124" s="530"/>
      <c r="AL124" s="530"/>
      <c r="AM124" s="530"/>
      <c r="AN124" s="530"/>
      <c r="AO124" s="530"/>
      <c r="AP124" s="530"/>
      <c r="AQ124" s="530"/>
      <c r="AR124" s="572"/>
      <c r="AS124" s="587"/>
      <c r="AT124" s="530"/>
      <c r="AU124" s="530"/>
      <c r="AV124" s="530"/>
      <c r="AW124" s="530"/>
      <c r="AX124" s="530"/>
      <c r="AY124" s="530"/>
      <c r="AZ124" s="530"/>
      <c r="BA124" s="530"/>
      <c r="BB124" s="530"/>
      <c r="BC124" s="530"/>
      <c r="BD124" s="530"/>
      <c r="BE124" s="530"/>
      <c r="BF124" s="572"/>
      <c r="BG124" s="587"/>
      <c r="BH124" s="530"/>
      <c r="BI124" s="530"/>
      <c r="BJ124" s="535">
        <f t="shared" si="12"/>
        <v>20</v>
      </c>
      <c r="BK124" s="591"/>
    </row>
    <row r="125" spans="1:63" s="531" customFormat="1" x14ac:dyDescent="0.35">
      <c r="A125" s="551"/>
      <c r="B125" s="551"/>
      <c r="C125" s="551"/>
      <c r="D125" s="657" t="s">
        <v>155</v>
      </c>
      <c r="E125" s="658"/>
      <c r="F125" s="530">
        <f t="shared" ref="F125:BI125" si="13">(F123*60)+F124</f>
        <v>0</v>
      </c>
      <c r="G125" s="530">
        <f t="shared" si="13"/>
        <v>0</v>
      </c>
      <c r="H125" s="530">
        <f t="shared" si="13"/>
        <v>0</v>
      </c>
      <c r="I125" s="530">
        <f t="shared" si="13"/>
        <v>0</v>
      </c>
      <c r="J125" s="530">
        <f t="shared" si="13"/>
        <v>360</v>
      </c>
      <c r="K125" s="530">
        <f t="shared" si="13"/>
        <v>0</v>
      </c>
      <c r="L125" s="530">
        <f t="shared" si="13"/>
        <v>360</v>
      </c>
      <c r="M125" s="530">
        <f t="shared" si="13"/>
        <v>0</v>
      </c>
      <c r="N125" s="530">
        <f t="shared" si="13"/>
        <v>360</v>
      </c>
      <c r="O125" s="530">
        <f t="shared" si="13"/>
        <v>0</v>
      </c>
      <c r="P125" s="572">
        <f t="shared" si="13"/>
        <v>0</v>
      </c>
      <c r="Q125" s="587">
        <f t="shared" si="13"/>
        <v>0</v>
      </c>
      <c r="R125" s="572">
        <f t="shared" si="13"/>
        <v>0</v>
      </c>
      <c r="S125" s="587">
        <f t="shared" si="13"/>
        <v>0</v>
      </c>
      <c r="T125" s="530">
        <f t="shared" si="13"/>
        <v>380</v>
      </c>
      <c r="U125" s="530">
        <f t="shared" si="13"/>
        <v>0</v>
      </c>
      <c r="V125" s="530">
        <f t="shared" si="13"/>
        <v>360</v>
      </c>
      <c r="W125" s="530">
        <f t="shared" si="13"/>
        <v>0</v>
      </c>
      <c r="X125" s="530">
        <f t="shared" si="13"/>
        <v>360</v>
      </c>
      <c r="Y125" s="530">
        <f t="shared" si="13"/>
        <v>0</v>
      </c>
      <c r="Z125" s="530">
        <f t="shared" si="13"/>
        <v>360</v>
      </c>
      <c r="AA125" s="530">
        <f t="shared" si="13"/>
        <v>0</v>
      </c>
      <c r="AB125" s="530">
        <f t="shared" si="13"/>
        <v>360</v>
      </c>
      <c r="AC125" s="530">
        <f t="shared" si="13"/>
        <v>0</v>
      </c>
      <c r="AD125" s="572">
        <f t="shared" si="13"/>
        <v>0</v>
      </c>
      <c r="AE125" s="587">
        <f t="shared" si="13"/>
        <v>0</v>
      </c>
      <c r="AF125" s="530">
        <f t="shared" si="13"/>
        <v>360</v>
      </c>
      <c r="AG125" s="530">
        <f t="shared" si="13"/>
        <v>0</v>
      </c>
      <c r="AH125" s="530">
        <f t="shared" si="13"/>
        <v>0</v>
      </c>
      <c r="AI125" s="530">
        <f t="shared" si="13"/>
        <v>0</v>
      </c>
      <c r="AJ125" s="530">
        <f t="shared" si="13"/>
        <v>0</v>
      </c>
      <c r="AK125" s="530">
        <f t="shared" si="13"/>
        <v>0</v>
      </c>
      <c r="AL125" s="530">
        <f t="shared" si="13"/>
        <v>0</v>
      </c>
      <c r="AM125" s="530">
        <f t="shared" si="13"/>
        <v>0</v>
      </c>
      <c r="AN125" s="530">
        <f t="shared" si="13"/>
        <v>0</v>
      </c>
      <c r="AO125" s="530">
        <f t="shared" si="13"/>
        <v>0</v>
      </c>
      <c r="AP125" s="530">
        <f t="shared" si="13"/>
        <v>0</v>
      </c>
      <c r="AQ125" s="530">
        <f t="shared" si="13"/>
        <v>0</v>
      </c>
      <c r="AR125" s="572">
        <f>(AR123*60)+AR124</f>
        <v>0</v>
      </c>
      <c r="AS125" s="587">
        <f>(AS123*60)+AS124</f>
        <v>0</v>
      </c>
      <c r="AT125" s="530">
        <f t="shared" si="13"/>
        <v>0</v>
      </c>
      <c r="AU125" s="530">
        <f t="shared" si="13"/>
        <v>0</v>
      </c>
      <c r="AV125" s="530">
        <f>(AV123*60)+AV124</f>
        <v>0</v>
      </c>
      <c r="AW125" s="530">
        <f t="shared" si="13"/>
        <v>0</v>
      </c>
      <c r="AX125" s="530">
        <f t="shared" si="13"/>
        <v>0</v>
      </c>
      <c r="AY125" s="530">
        <f t="shared" si="13"/>
        <v>0</v>
      </c>
      <c r="AZ125" s="530">
        <f t="shared" si="13"/>
        <v>0</v>
      </c>
      <c r="BA125" s="530">
        <f t="shared" si="13"/>
        <v>0</v>
      </c>
      <c r="BB125" s="530">
        <f t="shared" si="13"/>
        <v>0</v>
      </c>
      <c r="BC125" s="530">
        <f t="shared" si="13"/>
        <v>0</v>
      </c>
      <c r="BD125" s="530">
        <f t="shared" si="13"/>
        <v>0</v>
      </c>
      <c r="BE125" s="530">
        <f t="shared" si="13"/>
        <v>0</v>
      </c>
      <c r="BF125" s="572">
        <f>(BF123*60)+BF124</f>
        <v>0</v>
      </c>
      <c r="BG125" s="587">
        <f>(BG123*60)+BG124</f>
        <v>0</v>
      </c>
      <c r="BH125" s="530">
        <f t="shared" si="13"/>
        <v>0</v>
      </c>
      <c r="BI125" s="530">
        <f t="shared" si="13"/>
        <v>0</v>
      </c>
      <c r="BJ125" s="535">
        <f t="shared" si="12"/>
        <v>3260</v>
      </c>
      <c r="BK125" s="591"/>
    </row>
    <row r="126" spans="1:63" s="531" customFormat="1" x14ac:dyDescent="0.35">
      <c r="A126" s="551"/>
      <c r="B126" s="551"/>
      <c r="C126" s="551"/>
      <c r="D126" s="657" t="s">
        <v>156</v>
      </c>
      <c r="E126" s="658"/>
      <c r="F126" s="530">
        <f t="shared" ref="F126:BI126" si="14">F125-F127</f>
        <v>0</v>
      </c>
      <c r="G126" s="530">
        <f t="shared" si="14"/>
        <v>0</v>
      </c>
      <c r="H126" s="530">
        <f t="shared" si="14"/>
        <v>0</v>
      </c>
      <c r="I126" s="530">
        <f t="shared" si="14"/>
        <v>0</v>
      </c>
      <c r="J126" s="530">
        <f t="shared" si="14"/>
        <v>210</v>
      </c>
      <c r="K126" s="530">
        <f t="shared" si="14"/>
        <v>0</v>
      </c>
      <c r="L126" s="530">
        <f t="shared" si="14"/>
        <v>360</v>
      </c>
      <c r="M126" s="530">
        <f t="shared" si="14"/>
        <v>0</v>
      </c>
      <c r="N126" s="530">
        <f t="shared" si="14"/>
        <v>360</v>
      </c>
      <c r="O126" s="530">
        <f t="shared" si="14"/>
        <v>0</v>
      </c>
      <c r="P126" s="588">
        <f t="shared" si="14"/>
        <v>0</v>
      </c>
      <c r="Q126" s="586">
        <f t="shared" si="14"/>
        <v>0</v>
      </c>
      <c r="R126" s="588">
        <f t="shared" si="14"/>
        <v>0</v>
      </c>
      <c r="S126" s="586">
        <f t="shared" si="14"/>
        <v>0</v>
      </c>
      <c r="T126" s="530">
        <f t="shared" si="14"/>
        <v>380</v>
      </c>
      <c r="U126" s="530">
        <f t="shared" si="14"/>
        <v>0</v>
      </c>
      <c r="V126" s="530">
        <f t="shared" si="14"/>
        <v>360</v>
      </c>
      <c r="W126" s="530">
        <f t="shared" si="14"/>
        <v>0</v>
      </c>
      <c r="X126" s="530">
        <f t="shared" si="14"/>
        <v>360</v>
      </c>
      <c r="Y126" s="530">
        <f t="shared" si="14"/>
        <v>0</v>
      </c>
      <c r="Z126" s="530">
        <f t="shared" si="14"/>
        <v>360</v>
      </c>
      <c r="AA126" s="530">
        <f t="shared" si="14"/>
        <v>0</v>
      </c>
      <c r="AB126" s="530">
        <f t="shared" si="14"/>
        <v>360</v>
      </c>
      <c r="AC126" s="530">
        <f t="shared" si="14"/>
        <v>0</v>
      </c>
      <c r="AD126" s="588">
        <f t="shared" si="14"/>
        <v>0</v>
      </c>
      <c r="AE126" s="586">
        <f t="shared" si="14"/>
        <v>0</v>
      </c>
      <c r="AF126" s="530">
        <f t="shared" si="14"/>
        <v>360</v>
      </c>
      <c r="AG126" s="530">
        <f t="shared" si="14"/>
        <v>0</v>
      </c>
      <c r="AH126" s="530">
        <f t="shared" si="14"/>
        <v>0</v>
      </c>
      <c r="AI126" s="530">
        <f t="shared" si="14"/>
        <v>0</v>
      </c>
      <c r="AJ126" s="530">
        <f t="shared" si="14"/>
        <v>0</v>
      </c>
      <c r="AK126" s="530">
        <f t="shared" si="14"/>
        <v>0</v>
      </c>
      <c r="AL126" s="530">
        <f t="shared" si="14"/>
        <v>0</v>
      </c>
      <c r="AM126" s="530">
        <f t="shared" si="14"/>
        <v>0</v>
      </c>
      <c r="AN126" s="530">
        <f t="shared" si="14"/>
        <v>0</v>
      </c>
      <c r="AO126" s="530">
        <f t="shared" si="14"/>
        <v>0</v>
      </c>
      <c r="AP126" s="530">
        <f t="shared" si="14"/>
        <v>0</v>
      </c>
      <c r="AQ126" s="530">
        <f t="shared" si="14"/>
        <v>0</v>
      </c>
      <c r="AR126" s="588">
        <f>AR125-AR127</f>
        <v>0</v>
      </c>
      <c r="AS126" s="586">
        <f>AS125-AS127</f>
        <v>0</v>
      </c>
      <c r="AT126" s="530">
        <f t="shared" si="14"/>
        <v>0</v>
      </c>
      <c r="AU126" s="530">
        <f t="shared" si="14"/>
        <v>0</v>
      </c>
      <c r="AV126" s="530">
        <f>AV125-AV127</f>
        <v>0</v>
      </c>
      <c r="AW126" s="530">
        <f t="shared" si="14"/>
        <v>0</v>
      </c>
      <c r="AX126" s="530">
        <f t="shared" si="14"/>
        <v>0</v>
      </c>
      <c r="AY126" s="530">
        <f t="shared" si="14"/>
        <v>0</v>
      </c>
      <c r="AZ126" s="530">
        <f t="shared" si="14"/>
        <v>0</v>
      </c>
      <c r="BA126" s="530">
        <f t="shared" si="14"/>
        <v>0</v>
      </c>
      <c r="BB126" s="530">
        <f t="shared" si="14"/>
        <v>0</v>
      </c>
      <c r="BC126" s="530">
        <f t="shared" si="14"/>
        <v>0</v>
      </c>
      <c r="BD126" s="530">
        <f t="shared" si="14"/>
        <v>0</v>
      </c>
      <c r="BE126" s="530">
        <f t="shared" si="14"/>
        <v>0</v>
      </c>
      <c r="BF126" s="588">
        <f>BF125-BF127</f>
        <v>0</v>
      </c>
      <c r="BG126" s="586">
        <f>BG125-BG127</f>
        <v>0</v>
      </c>
      <c r="BH126" s="530">
        <f t="shared" si="14"/>
        <v>0</v>
      </c>
      <c r="BI126" s="530">
        <f t="shared" si="14"/>
        <v>0</v>
      </c>
      <c r="BJ126" s="535">
        <f t="shared" si="12"/>
        <v>3110</v>
      </c>
      <c r="BK126" s="591"/>
    </row>
    <row r="127" spans="1:63" s="531" customFormat="1" x14ac:dyDescent="0.35">
      <c r="A127" s="529"/>
      <c r="B127" s="529"/>
      <c r="C127" s="529"/>
      <c r="D127" s="659" t="s">
        <v>157</v>
      </c>
      <c r="E127" s="660"/>
      <c r="F127" s="553">
        <f t="shared" ref="F127:BI127" si="15">SUM(F128:F129)</f>
        <v>0</v>
      </c>
      <c r="G127" s="553">
        <f t="shared" si="15"/>
        <v>0</v>
      </c>
      <c r="H127" s="553">
        <f t="shared" si="15"/>
        <v>0</v>
      </c>
      <c r="I127" s="553">
        <f t="shared" si="15"/>
        <v>0</v>
      </c>
      <c r="J127" s="553">
        <f t="shared" si="15"/>
        <v>150</v>
      </c>
      <c r="K127" s="553">
        <f t="shared" si="15"/>
        <v>0</v>
      </c>
      <c r="L127" s="553">
        <f t="shared" si="15"/>
        <v>0</v>
      </c>
      <c r="M127" s="553">
        <f t="shared" si="15"/>
        <v>0</v>
      </c>
      <c r="N127" s="553">
        <f t="shared" si="15"/>
        <v>0</v>
      </c>
      <c r="O127" s="553">
        <f t="shared" si="15"/>
        <v>0</v>
      </c>
      <c r="P127" s="572">
        <f>SUM(P128:P129)</f>
        <v>0</v>
      </c>
      <c r="Q127" s="587">
        <f>SUM(Q128:Q129)</f>
        <v>0</v>
      </c>
      <c r="R127" s="572">
        <f t="shared" si="15"/>
        <v>0</v>
      </c>
      <c r="S127" s="587">
        <f t="shared" si="15"/>
        <v>0</v>
      </c>
      <c r="T127" s="553">
        <f t="shared" si="15"/>
        <v>0</v>
      </c>
      <c r="U127" s="553">
        <f t="shared" si="15"/>
        <v>0</v>
      </c>
      <c r="V127" s="553">
        <f t="shared" si="15"/>
        <v>0</v>
      </c>
      <c r="W127" s="553">
        <f t="shared" si="15"/>
        <v>0</v>
      </c>
      <c r="X127" s="553">
        <f t="shared" si="15"/>
        <v>0</v>
      </c>
      <c r="Y127" s="553">
        <f t="shared" si="15"/>
        <v>0</v>
      </c>
      <c r="Z127" s="553">
        <f t="shared" si="15"/>
        <v>0</v>
      </c>
      <c r="AA127" s="553">
        <f t="shared" si="15"/>
        <v>0</v>
      </c>
      <c r="AB127" s="553">
        <f t="shared" si="15"/>
        <v>0</v>
      </c>
      <c r="AC127" s="553">
        <f t="shared" si="15"/>
        <v>0</v>
      </c>
      <c r="AD127" s="572">
        <f>SUM(AD128:AD129)</f>
        <v>0</v>
      </c>
      <c r="AE127" s="587">
        <f>SUM(AE128:AE129)</f>
        <v>0</v>
      </c>
      <c r="AF127" s="553">
        <f t="shared" si="15"/>
        <v>0</v>
      </c>
      <c r="AG127" s="553">
        <f t="shared" si="15"/>
        <v>0</v>
      </c>
      <c r="AH127" s="553">
        <f t="shared" si="15"/>
        <v>0</v>
      </c>
      <c r="AI127" s="553">
        <f t="shared" si="15"/>
        <v>0</v>
      </c>
      <c r="AJ127" s="553">
        <f t="shared" si="15"/>
        <v>0</v>
      </c>
      <c r="AK127" s="553">
        <f t="shared" si="15"/>
        <v>0</v>
      </c>
      <c r="AL127" s="553">
        <f t="shared" si="15"/>
        <v>0</v>
      </c>
      <c r="AM127" s="553">
        <f t="shared" si="15"/>
        <v>0</v>
      </c>
      <c r="AN127" s="553">
        <f t="shared" si="15"/>
        <v>0</v>
      </c>
      <c r="AO127" s="553">
        <f t="shared" si="15"/>
        <v>0</v>
      </c>
      <c r="AP127" s="553">
        <f t="shared" si="15"/>
        <v>0</v>
      </c>
      <c r="AQ127" s="553">
        <f t="shared" si="15"/>
        <v>0</v>
      </c>
      <c r="AR127" s="572">
        <f>SUM(AR128:AR129)</f>
        <v>0</v>
      </c>
      <c r="AS127" s="587">
        <f>SUM(AS128:AS129)</f>
        <v>0</v>
      </c>
      <c r="AT127" s="553">
        <f t="shared" si="15"/>
        <v>0</v>
      </c>
      <c r="AU127" s="553">
        <f t="shared" si="15"/>
        <v>0</v>
      </c>
      <c r="AV127" s="553">
        <f t="shared" si="15"/>
        <v>0</v>
      </c>
      <c r="AW127" s="553">
        <f t="shared" si="15"/>
        <v>0</v>
      </c>
      <c r="AX127" s="553">
        <f t="shared" si="15"/>
        <v>0</v>
      </c>
      <c r="AY127" s="553">
        <f t="shared" si="15"/>
        <v>0</v>
      </c>
      <c r="AZ127" s="553">
        <f t="shared" si="15"/>
        <v>0</v>
      </c>
      <c r="BA127" s="553">
        <f t="shared" si="15"/>
        <v>0</v>
      </c>
      <c r="BB127" s="553">
        <f t="shared" si="15"/>
        <v>0</v>
      </c>
      <c r="BC127" s="553">
        <f t="shared" si="15"/>
        <v>0</v>
      </c>
      <c r="BD127" s="553">
        <f t="shared" si="15"/>
        <v>0</v>
      </c>
      <c r="BE127" s="553">
        <f t="shared" si="15"/>
        <v>0</v>
      </c>
      <c r="BF127" s="572">
        <f>SUM(BF128:BF129)</f>
        <v>0</v>
      </c>
      <c r="BG127" s="587">
        <f>SUM(BG128:BG129)</f>
        <v>0</v>
      </c>
      <c r="BH127" s="553">
        <f t="shared" si="15"/>
        <v>0</v>
      </c>
      <c r="BI127" s="553">
        <f t="shared" si="15"/>
        <v>0</v>
      </c>
      <c r="BJ127" s="535">
        <f t="shared" si="12"/>
        <v>150</v>
      </c>
      <c r="BK127" s="591"/>
    </row>
    <row r="128" spans="1:63" s="531" customFormat="1" ht="23.25" customHeight="1" x14ac:dyDescent="0.35">
      <c r="A128" s="579"/>
      <c r="B128" s="579"/>
      <c r="C128" s="579"/>
      <c r="D128" s="665" t="s">
        <v>158</v>
      </c>
      <c r="E128" s="666"/>
      <c r="F128" s="513"/>
      <c r="G128" s="513"/>
      <c r="H128" s="513"/>
      <c r="I128" s="513"/>
      <c r="J128" s="513">
        <v>150</v>
      </c>
      <c r="K128" s="513"/>
      <c r="L128" s="513"/>
      <c r="M128" s="513"/>
      <c r="N128" s="513"/>
      <c r="O128" s="513"/>
      <c r="P128" s="513"/>
      <c r="Q128" s="513"/>
      <c r="R128" s="513"/>
      <c r="S128" s="513"/>
      <c r="T128" s="513"/>
      <c r="U128" s="513"/>
      <c r="V128" s="513"/>
      <c r="W128" s="513"/>
      <c r="X128" s="513"/>
      <c r="Y128" s="513"/>
      <c r="Z128" s="513"/>
      <c r="AA128" s="513"/>
      <c r="AB128" s="513"/>
      <c r="AC128" s="513"/>
      <c r="AD128" s="572"/>
      <c r="AE128" s="587"/>
      <c r="AF128" s="513"/>
      <c r="AG128" s="513"/>
      <c r="AH128" s="513"/>
      <c r="AI128" s="513"/>
      <c r="AJ128" s="513"/>
      <c r="AK128" s="513"/>
      <c r="AL128" s="513"/>
      <c r="AM128" s="513"/>
      <c r="AN128" s="513"/>
      <c r="AO128" s="513"/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35">
        <f t="shared" si="12"/>
        <v>150</v>
      </c>
      <c r="BK128" s="591"/>
    </row>
    <row r="129" spans="1:63" s="531" customFormat="1" x14ac:dyDescent="0.35">
      <c r="A129" s="579"/>
      <c r="B129" s="579"/>
      <c r="C129" s="579"/>
      <c r="D129" s="665" t="s">
        <v>161</v>
      </c>
      <c r="E129" s="666"/>
      <c r="F129" s="513"/>
      <c r="G129" s="513"/>
      <c r="H129" s="513"/>
      <c r="I129" s="513"/>
      <c r="J129" s="513"/>
      <c r="K129" s="513"/>
      <c r="L129" s="513"/>
      <c r="M129" s="513"/>
      <c r="N129" s="513"/>
      <c r="O129" s="513"/>
      <c r="P129" s="513"/>
      <c r="Q129" s="513"/>
      <c r="R129" s="513"/>
      <c r="S129" s="513"/>
      <c r="T129" s="513"/>
      <c r="U129" s="513"/>
      <c r="V129" s="513"/>
      <c r="W129" s="513"/>
      <c r="X129" s="513"/>
      <c r="Y129" s="513"/>
      <c r="Z129" s="513"/>
      <c r="AA129" s="513"/>
      <c r="AB129" s="513"/>
      <c r="AC129" s="513"/>
      <c r="AD129" s="513"/>
      <c r="AE129" s="513"/>
      <c r="AF129" s="513"/>
      <c r="AG129" s="513"/>
      <c r="AH129" s="513"/>
      <c r="AI129" s="513"/>
      <c r="AJ129" s="513"/>
      <c r="AK129" s="513"/>
      <c r="AL129" s="513"/>
      <c r="AM129" s="513"/>
      <c r="AN129" s="513"/>
      <c r="AO129" s="513"/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35">
        <f t="shared" si="12"/>
        <v>0</v>
      </c>
      <c r="BK129" s="591"/>
    </row>
    <row r="130" spans="1:63" x14ac:dyDescent="0.35">
      <c r="A130" s="518"/>
      <c r="B130" s="518"/>
      <c r="C130" s="518"/>
      <c r="D130" s="667" t="s">
        <v>162</v>
      </c>
      <c r="E130" s="668"/>
      <c r="F130" s="536"/>
      <c r="G130" s="536"/>
      <c r="H130" s="536"/>
      <c r="I130" s="536"/>
      <c r="J130" s="536">
        <f>J125-J127-J42</f>
        <v>210</v>
      </c>
      <c r="K130" s="536"/>
      <c r="L130" s="536">
        <f>L125-L127-L42</f>
        <v>360</v>
      </c>
      <c r="M130" s="536"/>
      <c r="N130" s="536">
        <f>N125-N127-N42</f>
        <v>360</v>
      </c>
      <c r="O130" s="536"/>
      <c r="P130" s="536"/>
      <c r="Q130" s="536"/>
      <c r="R130" s="536"/>
      <c r="S130" s="536"/>
      <c r="T130" s="536">
        <f>T125-T127-T42</f>
        <v>380</v>
      </c>
      <c r="U130" s="536"/>
      <c r="V130" s="536">
        <f>V125-V127-V42</f>
        <v>329</v>
      </c>
      <c r="W130" s="536"/>
      <c r="X130" s="536">
        <f>X125-X127-X42</f>
        <v>360</v>
      </c>
      <c r="Y130" s="536"/>
      <c r="Z130" s="536">
        <f>Z125-Z127-Z42</f>
        <v>360</v>
      </c>
      <c r="AA130" s="536"/>
      <c r="AB130" s="536">
        <f>AB125-AB127-AB42</f>
        <v>360</v>
      </c>
      <c r="AC130" s="536"/>
      <c r="AD130" s="536"/>
      <c r="AE130" s="536"/>
      <c r="AF130" s="536">
        <f>AF125-AF127-AF42</f>
        <v>360</v>
      </c>
      <c r="AG130" s="536"/>
      <c r="AH130" s="536"/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536"/>
      <c r="AS130" s="536"/>
      <c r="AT130" s="536"/>
      <c r="AU130" s="536"/>
      <c r="AV130" s="536"/>
      <c r="AW130" s="536"/>
      <c r="AX130" s="536"/>
      <c r="AY130" s="536"/>
      <c r="AZ130" s="536"/>
      <c r="BA130" s="536"/>
      <c r="BB130" s="536"/>
      <c r="BC130" s="536"/>
      <c r="BD130" s="536"/>
      <c r="BE130" s="536"/>
      <c r="BF130" s="536"/>
      <c r="BG130" s="536"/>
      <c r="BH130" s="536"/>
      <c r="BI130" s="536"/>
      <c r="BJ130" s="509">
        <f>BJ125-BJ127-BJ42</f>
        <v>3079</v>
      </c>
      <c r="BK130" s="545"/>
    </row>
    <row r="131" spans="1:63" x14ac:dyDescent="0.35">
      <c r="A131" s="518"/>
      <c r="B131" s="518"/>
      <c r="C131" s="518"/>
      <c r="D131" s="667" t="s">
        <v>163</v>
      </c>
      <c r="E131" s="668"/>
      <c r="F131" s="547"/>
      <c r="G131" s="547"/>
      <c r="H131" s="547"/>
      <c r="I131" s="547"/>
      <c r="J131" s="547">
        <f>IFERROR(SUMPRODUCT(J5:J31/$E$5:$E$31),0)</f>
        <v>179.09090909090909</v>
      </c>
      <c r="K131" s="547"/>
      <c r="L131" s="547">
        <f>IFERROR(SUMPRODUCT(L5:L31/$E$5:$E$31),0)</f>
        <v>321.77272727272725</v>
      </c>
      <c r="M131" s="547"/>
      <c r="N131" s="547">
        <f>IFERROR(SUMPRODUCT(N5:N31/$E$5:$E$31),0)</f>
        <v>311.36363636363637</v>
      </c>
      <c r="O131" s="547"/>
      <c r="P131" s="547"/>
      <c r="Q131" s="547"/>
      <c r="R131" s="547"/>
      <c r="S131" s="547"/>
      <c r="T131" s="547">
        <f>IFERROR(SUMPRODUCT(T5:T31/$E$5:$E$31),0)</f>
        <v>327.27272727272725</v>
      </c>
      <c r="U131" s="547"/>
      <c r="V131" s="547">
        <f>IFERROR(SUMPRODUCT(V5:V31/$E$5:$E$31),0)</f>
        <v>296</v>
      </c>
      <c r="W131" s="547"/>
      <c r="X131" s="547">
        <f>IFERROR(SUMPRODUCT(X5:X31/$E$5:$E$31),0)</f>
        <v>322.72727272727275</v>
      </c>
      <c r="Y131" s="547"/>
      <c r="Z131" s="547">
        <f>IFERROR(SUMPRODUCT(Z5:Z31/$E$5:$E$31),0)</f>
        <v>346.36363636363637</v>
      </c>
      <c r="AA131" s="547"/>
      <c r="AB131" s="547">
        <f>IFERROR(SUMPRODUCT(AB5:AB31/$E$5:$E$31),0)</f>
        <v>341.59090909090907</v>
      </c>
      <c r="AC131" s="547"/>
      <c r="AD131" s="547"/>
      <c r="AE131" s="547"/>
      <c r="AF131" s="547">
        <f>IFERROR(SUMPRODUCT(AF5:AF31/$E$5:$E$31),0)</f>
        <v>354.54545454545456</v>
      </c>
      <c r="AG131" s="547"/>
      <c r="AH131" s="547"/>
      <c r="AI131" s="547"/>
      <c r="AJ131" s="547"/>
      <c r="AK131" s="547"/>
      <c r="AL131" s="547"/>
      <c r="AM131" s="547"/>
      <c r="AN131" s="547"/>
      <c r="AO131" s="547"/>
      <c r="AP131" s="547"/>
      <c r="AQ131" s="547"/>
      <c r="AR131" s="547"/>
      <c r="AS131" s="547"/>
      <c r="AT131" s="547"/>
      <c r="AU131" s="547"/>
      <c r="AV131" s="547"/>
      <c r="AW131" s="547"/>
      <c r="AX131" s="547"/>
      <c r="AY131" s="547"/>
      <c r="AZ131" s="547"/>
      <c r="BA131" s="547"/>
      <c r="BB131" s="547"/>
      <c r="BC131" s="547"/>
      <c r="BD131" s="547"/>
      <c r="BE131" s="547"/>
      <c r="BF131" s="547"/>
      <c r="BG131" s="547"/>
      <c r="BH131" s="547"/>
      <c r="BI131" s="547"/>
      <c r="BJ131" s="509">
        <f>IFERROR(SUMPRODUCT(BJ5:BJ31/$E$5:$E$31),0)</f>
        <v>2800.7272727272725</v>
      </c>
      <c r="BK131" s="545"/>
    </row>
    <row r="132" spans="1:63" x14ac:dyDescent="0.35">
      <c r="A132" s="518"/>
      <c r="B132" s="518"/>
      <c r="C132" s="518"/>
      <c r="D132" s="667" t="s">
        <v>164</v>
      </c>
      <c r="E132" s="668"/>
      <c r="F132" s="547"/>
      <c r="G132" s="547"/>
      <c r="H132" s="547"/>
      <c r="I132" s="547"/>
      <c r="J132" s="547">
        <f>J130-J131</f>
        <v>30.909090909090907</v>
      </c>
      <c r="K132" s="547"/>
      <c r="L132" s="547">
        <f>L130-L131</f>
        <v>38.227272727272748</v>
      </c>
      <c r="M132" s="547"/>
      <c r="N132" s="547">
        <f>N130-N131</f>
        <v>48.636363636363626</v>
      </c>
      <c r="O132" s="547"/>
      <c r="P132" s="547"/>
      <c r="Q132" s="547"/>
      <c r="R132" s="547"/>
      <c r="S132" s="547"/>
      <c r="T132" s="547">
        <f>T130-T131</f>
        <v>52.727272727272748</v>
      </c>
      <c r="U132" s="547"/>
      <c r="V132" s="547">
        <f>V130-V131</f>
        <v>33</v>
      </c>
      <c r="W132" s="547"/>
      <c r="X132" s="547">
        <f>X130-X131</f>
        <v>37.272727272727252</v>
      </c>
      <c r="Y132" s="547"/>
      <c r="Z132" s="547">
        <f>Z130-Z131</f>
        <v>13.636363636363626</v>
      </c>
      <c r="AA132" s="547"/>
      <c r="AB132" s="547">
        <f>AB130-AB131</f>
        <v>18.409090909090935</v>
      </c>
      <c r="AC132" s="547"/>
      <c r="AD132" s="547"/>
      <c r="AE132" s="547"/>
      <c r="AF132" s="547">
        <f>AF130-AF131</f>
        <v>5.454545454545439</v>
      </c>
      <c r="AG132" s="547"/>
      <c r="AH132" s="547"/>
      <c r="AI132" s="547"/>
      <c r="AJ132" s="547"/>
      <c r="AK132" s="547"/>
      <c r="AL132" s="547"/>
      <c r="AM132" s="547"/>
      <c r="AN132" s="547"/>
      <c r="AO132" s="547"/>
      <c r="AP132" s="547"/>
      <c r="AQ132" s="547"/>
      <c r="AR132" s="547"/>
      <c r="AS132" s="547"/>
      <c r="AT132" s="547"/>
      <c r="AU132" s="547"/>
      <c r="AV132" s="547"/>
      <c r="AW132" s="547"/>
      <c r="AX132" s="547"/>
      <c r="AY132" s="547"/>
      <c r="AZ132" s="547"/>
      <c r="BA132" s="547"/>
      <c r="BB132" s="547"/>
      <c r="BC132" s="547"/>
      <c r="BD132" s="547"/>
      <c r="BE132" s="547"/>
      <c r="BF132" s="547"/>
      <c r="BG132" s="547"/>
      <c r="BH132" s="547"/>
      <c r="BI132" s="547"/>
      <c r="BJ132" s="509">
        <f>BJ130-BJ131</f>
        <v>278.27272727272748</v>
      </c>
      <c r="BK132" s="545"/>
    </row>
    <row r="133" spans="1:63" x14ac:dyDescent="0.35">
      <c r="A133" s="518"/>
      <c r="B133" s="518"/>
      <c r="C133" s="518"/>
      <c r="D133" s="667" t="s">
        <v>165</v>
      </c>
      <c r="E133" s="668"/>
      <c r="F133" s="547"/>
      <c r="G133" s="547"/>
      <c r="H133" s="547"/>
      <c r="I133" s="547"/>
      <c r="J133" s="547">
        <f>SUM(J5:J32)/(J126-J42)</f>
        <v>19.138095238095239</v>
      </c>
      <c r="K133" s="547"/>
      <c r="L133" s="547">
        <f>SUM(L5:L32)/(L126-L42)</f>
        <v>20.347222222222221</v>
      </c>
      <c r="M133" s="547"/>
      <c r="N133" s="547">
        <f>SUM(N5:N32)/(N126-N42)</f>
        <v>19.491666666666667</v>
      </c>
      <c r="O133" s="547"/>
      <c r="P133" s="547"/>
      <c r="Q133" s="547"/>
      <c r="R133" s="547"/>
      <c r="S133" s="547"/>
      <c r="T133" s="547">
        <f>SUM(T5:T32)/(T126-T42)</f>
        <v>19.105263157894736</v>
      </c>
      <c r="U133" s="547"/>
      <c r="V133" s="547">
        <f>SUM(V5:V32)/(V126-V42)</f>
        <v>19.793313069908816</v>
      </c>
      <c r="W133" s="547"/>
      <c r="X133" s="547">
        <f>SUM(X5:X32)/(X126-X42)</f>
        <v>20.097222222222221</v>
      </c>
      <c r="Y133" s="547"/>
      <c r="Z133" s="547">
        <f>SUM(Z5:Z32)/(Z126-Z42)</f>
        <v>21.166666666666668</v>
      </c>
      <c r="AA133" s="547"/>
      <c r="AB133" s="547">
        <f>SUM(AB5:AB32)/(AB126-AB42)</f>
        <v>20.875</v>
      </c>
      <c r="AC133" s="547"/>
      <c r="AD133" s="547"/>
      <c r="AE133" s="547"/>
      <c r="AF133" s="547">
        <f>SUM(AF5:AF32)/(AF126-AF42)</f>
        <v>21.666666666666668</v>
      </c>
      <c r="AG133" s="547"/>
      <c r="AH133" s="547"/>
      <c r="AI133" s="547"/>
      <c r="AJ133" s="547"/>
      <c r="AK133" s="547"/>
      <c r="AL133" s="547"/>
      <c r="AM133" s="547"/>
      <c r="AN133" s="547"/>
      <c r="AO133" s="547"/>
      <c r="AP133" s="547"/>
      <c r="AQ133" s="547"/>
      <c r="AR133" s="547"/>
      <c r="AS133" s="547"/>
      <c r="AT133" s="547"/>
      <c r="AU133" s="547"/>
      <c r="AV133" s="547"/>
      <c r="AW133" s="547"/>
      <c r="AX133" s="547"/>
      <c r="AY133" s="547"/>
      <c r="AZ133" s="547"/>
      <c r="BA133" s="547"/>
      <c r="BB133" s="547"/>
      <c r="BC133" s="547"/>
      <c r="BD133" s="547"/>
      <c r="BE133" s="547"/>
      <c r="BF133" s="547"/>
      <c r="BG133" s="547"/>
      <c r="BH133" s="547"/>
      <c r="BI133" s="547"/>
      <c r="BJ133" s="582">
        <f>SUM(BJ5:BJ32)/(BJ126-BJ42)</f>
        <v>20.234816498863267</v>
      </c>
      <c r="BK133" s="545"/>
    </row>
    <row r="134" spans="1:63" x14ac:dyDescent="0.35">
      <c r="A134" s="581"/>
      <c r="B134" s="581"/>
      <c r="C134" s="581"/>
      <c r="D134" s="663" t="s">
        <v>166</v>
      </c>
      <c r="E134" s="664"/>
      <c r="F134" s="580"/>
      <c r="G134" s="580"/>
      <c r="H134" s="580"/>
      <c r="I134" s="580"/>
      <c r="J134" s="580">
        <f>(J126-J42)/J126</f>
        <v>1</v>
      </c>
      <c r="K134" s="580"/>
      <c r="L134" s="580">
        <f>(L126-L42)/L126</f>
        <v>1</v>
      </c>
      <c r="M134" s="580"/>
      <c r="N134" s="580">
        <f>(N126-N42)/N126</f>
        <v>1</v>
      </c>
      <c r="O134" s="580"/>
      <c r="P134" s="580"/>
      <c r="Q134" s="580"/>
      <c r="R134" s="580"/>
      <c r="S134" s="580"/>
      <c r="T134" s="580">
        <f>(T126-T42)/T126</f>
        <v>1</v>
      </c>
      <c r="U134" s="580"/>
      <c r="V134" s="580">
        <f>(V126-V42)/V126</f>
        <v>0.91388888888888886</v>
      </c>
      <c r="W134" s="580"/>
      <c r="X134" s="580">
        <f>(X126-X42)/X126</f>
        <v>1</v>
      </c>
      <c r="Y134" s="580"/>
      <c r="Z134" s="580">
        <f>(Z126-Z42)/Z126</f>
        <v>1</v>
      </c>
      <c r="AA134" s="580"/>
      <c r="AB134" s="580">
        <f>(AB126-AB42)/AB126</f>
        <v>1</v>
      </c>
      <c r="AC134" s="580"/>
      <c r="AD134" s="580"/>
      <c r="AE134" s="580"/>
      <c r="AF134" s="580">
        <f>(AF126-AF42)/AF126</f>
        <v>1</v>
      </c>
      <c r="AG134" s="580"/>
      <c r="AH134" s="580"/>
      <c r="AI134" s="580"/>
      <c r="AJ134" s="580"/>
      <c r="AK134" s="580"/>
      <c r="AL134" s="580"/>
      <c r="AM134" s="580"/>
      <c r="AN134" s="580"/>
      <c r="AO134" s="580"/>
      <c r="AP134" s="580"/>
      <c r="AQ134" s="580"/>
      <c r="AR134" s="580"/>
      <c r="AS134" s="580"/>
      <c r="AT134" s="580"/>
      <c r="AU134" s="580"/>
      <c r="AV134" s="580"/>
      <c r="AW134" s="580"/>
      <c r="AX134" s="580"/>
      <c r="AY134" s="580"/>
      <c r="AZ134" s="580"/>
      <c r="BA134" s="580"/>
      <c r="BB134" s="580"/>
      <c r="BC134" s="580"/>
      <c r="BD134" s="580"/>
      <c r="BE134" s="580"/>
      <c r="BF134" s="580"/>
      <c r="BG134" s="580"/>
      <c r="BH134" s="580"/>
      <c r="BI134" s="580"/>
      <c r="BJ134" s="593">
        <f>(BJ126-BJ42)/BJ126</f>
        <v>0.99003215434083602</v>
      </c>
      <c r="BK134" s="545"/>
    </row>
    <row r="135" spans="1:63" x14ac:dyDescent="0.35">
      <c r="A135" s="581"/>
      <c r="B135" s="581"/>
      <c r="C135" s="581"/>
      <c r="D135" s="663" t="s">
        <v>167</v>
      </c>
      <c r="E135" s="664"/>
      <c r="F135" s="580"/>
      <c r="G135" s="580"/>
      <c r="H135" s="580"/>
      <c r="I135" s="580"/>
      <c r="J135" s="580">
        <f>J131/J130</f>
        <v>0.8528138528138528</v>
      </c>
      <c r="K135" s="580"/>
      <c r="L135" s="580">
        <f>L131/L130</f>
        <v>0.89381313131313123</v>
      </c>
      <c r="M135" s="580"/>
      <c r="N135" s="580">
        <f>N131/N130</f>
        <v>0.86489898989898994</v>
      </c>
      <c r="O135" s="580"/>
      <c r="P135" s="580"/>
      <c r="Q135" s="580"/>
      <c r="R135" s="580"/>
      <c r="S135" s="580"/>
      <c r="T135" s="580">
        <f>T131/T130</f>
        <v>0.86124401913875592</v>
      </c>
      <c r="U135" s="580"/>
      <c r="V135" s="580">
        <f>V131/V130</f>
        <v>0.89969604863221886</v>
      </c>
      <c r="W135" s="580"/>
      <c r="X135" s="580">
        <f>X131/X130</f>
        <v>0.89646464646464652</v>
      </c>
      <c r="Y135" s="580"/>
      <c r="Z135" s="580">
        <f>Z131/Z130</f>
        <v>0.96212121212121215</v>
      </c>
      <c r="AA135" s="580"/>
      <c r="AB135" s="580">
        <f>AB131/AB130</f>
        <v>0.94886363636363624</v>
      </c>
      <c r="AC135" s="580"/>
      <c r="AD135" s="580"/>
      <c r="AE135" s="580"/>
      <c r="AF135" s="580">
        <f>AF131/AF130</f>
        <v>0.98484848484848486</v>
      </c>
      <c r="AG135" s="580"/>
      <c r="AH135" s="580"/>
      <c r="AI135" s="580"/>
      <c r="AJ135" s="580"/>
      <c r="AK135" s="580"/>
      <c r="AL135" s="580"/>
      <c r="AM135" s="580"/>
      <c r="AN135" s="580"/>
      <c r="AO135" s="580"/>
      <c r="AP135" s="580"/>
      <c r="AQ135" s="580"/>
      <c r="AR135" s="580"/>
      <c r="AS135" s="580"/>
      <c r="AT135" s="580"/>
      <c r="AU135" s="580"/>
      <c r="AV135" s="580"/>
      <c r="AW135" s="580"/>
      <c r="AX135" s="580"/>
      <c r="AY135" s="580"/>
      <c r="AZ135" s="580"/>
      <c r="BA135" s="580"/>
      <c r="BB135" s="580"/>
      <c r="BC135" s="580"/>
      <c r="BD135" s="580"/>
      <c r="BE135" s="580"/>
      <c r="BF135" s="580"/>
      <c r="BG135" s="580"/>
      <c r="BH135" s="580"/>
      <c r="BI135" s="580"/>
      <c r="BJ135" s="593">
        <f>BJ131/BJ130</f>
        <v>0.9096223685376007</v>
      </c>
      <c r="BK135" s="545"/>
    </row>
    <row r="136" spans="1:63" x14ac:dyDescent="0.35">
      <c r="A136" s="581"/>
      <c r="B136" s="581"/>
      <c r="C136" s="581"/>
      <c r="D136" s="663" t="s">
        <v>168</v>
      </c>
      <c r="E136" s="664"/>
      <c r="F136" s="580"/>
      <c r="G136" s="580"/>
      <c r="H136" s="580"/>
      <c r="I136" s="580"/>
      <c r="J136" s="580">
        <f>SUM(J5:J31)/(SUM(J5:J32))</f>
        <v>0.98034336899726304</v>
      </c>
      <c r="K136" s="580"/>
      <c r="L136" s="580">
        <f>SUM(L5:L31)/(SUM(L5:L32))</f>
        <v>0.96641638225255977</v>
      </c>
      <c r="M136" s="580"/>
      <c r="N136" s="580">
        <f>SUM(N5:N31)/(SUM(N5:N32))</f>
        <v>0.97620065555080515</v>
      </c>
      <c r="O136" s="580"/>
      <c r="P136" s="580"/>
      <c r="Q136" s="580"/>
      <c r="R136" s="580"/>
      <c r="S136" s="580"/>
      <c r="T136" s="580">
        <f>SUM(T5:T31)/(SUM(T5:T32))</f>
        <v>0.99173553719008267</v>
      </c>
      <c r="U136" s="580"/>
      <c r="V136" s="580">
        <f>SUM(V5:V31)/(SUM(V5:V32))</f>
        <v>1</v>
      </c>
      <c r="W136" s="580"/>
      <c r="X136" s="580">
        <f>SUM(X5:X31)/(SUM(X5:X32))</f>
        <v>0.98134070490670355</v>
      </c>
      <c r="Y136" s="580"/>
      <c r="Z136" s="580">
        <f>SUM(Z5:Z31)/(SUM(Z5:Z32))</f>
        <v>1</v>
      </c>
      <c r="AA136" s="580"/>
      <c r="AB136" s="580">
        <f>SUM(AB5:AB31)/(SUM(AB5:AB32))</f>
        <v>1</v>
      </c>
      <c r="AC136" s="580"/>
      <c r="AD136" s="580"/>
      <c r="AE136" s="580"/>
      <c r="AF136" s="580">
        <f>SUM(AF5:AF31)/(SUM(AF5:AF32))</f>
        <v>1</v>
      </c>
      <c r="AG136" s="580"/>
      <c r="AH136" s="580"/>
      <c r="AI136" s="580"/>
      <c r="AJ136" s="580"/>
      <c r="AK136" s="580"/>
      <c r="AL136" s="580"/>
      <c r="AM136" s="580"/>
      <c r="AN136" s="580"/>
      <c r="AO136" s="580"/>
      <c r="AP136" s="580"/>
      <c r="AQ136" s="580"/>
      <c r="AR136" s="580"/>
      <c r="AS136" s="580"/>
      <c r="AT136" s="580"/>
      <c r="AU136" s="580"/>
      <c r="AV136" s="580"/>
      <c r="AW136" s="580"/>
      <c r="AX136" s="580"/>
      <c r="AY136" s="580"/>
      <c r="AZ136" s="580"/>
      <c r="BA136" s="580"/>
      <c r="BB136" s="580"/>
      <c r="BC136" s="580"/>
      <c r="BD136" s="580"/>
      <c r="BE136" s="580"/>
      <c r="BF136" s="580"/>
      <c r="BG136" s="580"/>
      <c r="BH136" s="580"/>
      <c r="BI136" s="580"/>
      <c r="BJ136" s="593">
        <f>SUM(BJ5:BJ31)/(SUM(BJ5:BJ32))</f>
        <v>0.98897324366402906</v>
      </c>
      <c r="BK136" s="545"/>
    </row>
    <row r="137" spans="1:63" ht="24" thickBot="1" x14ac:dyDescent="0.4">
      <c r="A137" s="581"/>
      <c r="B137" s="581"/>
      <c r="C137" s="581"/>
      <c r="D137" s="663" t="s">
        <v>169</v>
      </c>
      <c r="E137" s="664"/>
      <c r="F137" s="541"/>
      <c r="G137" s="541"/>
      <c r="H137" s="541"/>
      <c r="I137" s="541"/>
      <c r="J137" s="541">
        <f>J136*J135*J134</f>
        <v>0.83605040559506849</v>
      </c>
      <c r="K137" s="541"/>
      <c r="L137" s="541">
        <f>L136*L135*L134</f>
        <v>0.86379565277346848</v>
      </c>
      <c r="M137" s="541"/>
      <c r="N137" s="541">
        <f>N136*N135*N134</f>
        <v>0.84431496092462321</v>
      </c>
      <c r="O137" s="541"/>
      <c r="P137" s="541"/>
      <c r="Q137" s="541"/>
      <c r="R137" s="541"/>
      <c r="S137" s="541"/>
      <c r="T137" s="541">
        <f>T136*T135*T134</f>
        <v>0.85412629997231992</v>
      </c>
      <c r="U137" s="541"/>
      <c r="V137" s="541">
        <f>V136*V135*V134</f>
        <v>0.82222222222222219</v>
      </c>
      <c r="W137" s="541"/>
      <c r="X137" s="541">
        <f>X136*X135*X134</f>
        <v>0.87973724808555498</v>
      </c>
      <c r="Y137" s="541"/>
      <c r="Z137" s="541">
        <f>Z136*Z135*Z134</f>
        <v>0.96212121212121215</v>
      </c>
      <c r="AA137" s="541"/>
      <c r="AB137" s="541">
        <f>AB136*AB135*AB134</f>
        <v>0.94886363636363624</v>
      </c>
      <c r="AC137" s="541"/>
      <c r="AD137" s="541"/>
      <c r="AE137" s="541"/>
      <c r="AF137" s="541">
        <f>AF136*AF135*AF134</f>
        <v>0.98484848484848486</v>
      </c>
      <c r="AG137" s="541"/>
      <c r="AH137" s="541"/>
      <c r="AI137" s="541"/>
      <c r="AJ137" s="541"/>
      <c r="AK137" s="541"/>
      <c r="AL137" s="541"/>
      <c r="AM137" s="541"/>
      <c r="AN137" s="541"/>
      <c r="AO137" s="541"/>
      <c r="AP137" s="541"/>
      <c r="AQ137" s="541"/>
      <c r="AR137" s="541"/>
      <c r="AS137" s="541"/>
      <c r="AT137" s="541"/>
      <c r="AU137" s="541"/>
      <c r="AV137" s="541"/>
      <c r="AW137" s="541"/>
      <c r="AX137" s="541"/>
      <c r="AY137" s="541"/>
      <c r="AZ137" s="541"/>
      <c r="BA137" s="541"/>
      <c r="BB137" s="541"/>
      <c r="BC137" s="541"/>
      <c r="BD137" s="541"/>
      <c r="BE137" s="541"/>
      <c r="BF137" s="541"/>
      <c r="BG137" s="541"/>
      <c r="BH137" s="541"/>
      <c r="BI137" s="541"/>
      <c r="BJ137" s="594">
        <f>BJ136*BJ135*BJ134</f>
        <v>0.89062518827247605</v>
      </c>
      <c r="BK137" s="545"/>
    </row>
    <row r="138" spans="1:63" ht="17.25" customHeight="1" x14ac:dyDescent="0.35"/>
    <row r="274" spans="8:8" x14ac:dyDescent="0.35">
      <c r="H274" s="505" t="s">
        <v>170</v>
      </c>
    </row>
    <row r="275" spans="8:8" x14ac:dyDescent="0.35">
      <c r="H275" s="505" t="s">
        <v>171</v>
      </c>
    </row>
    <row r="276" spans="8:8" x14ac:dyDescent="0.35">
      <c r="H276" s="505" t="s">
        <v>172</v>
      </c>
    </row>
    <row r="277" spans="8:8" x14ac:dyDescent="0.35">
      <c r="H277" s="505" t="s">
        <v>173</v>
      </c>
    </row>
    <row r="278" spans="8:8" x14ac:dyDescent="0.35">
      <c r="H278" s="505" t="s">
        <v>174</v>
      </c>
    </row>
    <row r="279" spans="8:8" x14ac:dyDescent="0.35">
      <c r="H279" s="505" t="s">
        <v>175</v>
      </c>
    </row>
    <row r="280" spans="8:8" x14ac:dyDescent="0.35">
      <c r="H280" s="505" t="s">
        <v>176</v>
      </c>
    </row>
    <row r="281" spans="8:8" x14ac:dyDescent="0.35">
      <c r="H281" s="505" t="s">
        <v>177</v>
      </c>
    </row>
    <row r="282" spans="8:8" x14ac:dyDescent="0.35">
      <c r="H282" s="505" t="s">
        <v>178</v>
      </c>
    </row>
    <row r="283" spans="8:8" x14ac:dyDescent="0.35">
      <c r="H283" s="505" t="s">
        <v>179</v>
      </c>
    </row>
    <row r="284" spans="8:8" x14ac:dyDescent="0.35">
      <c r="H284" s="505" t="s">
        <v>180</v>
      </c>
    </row>
    <row r="285" spans="8:8" x14ac:dyDescent="0.35">
      <c r="H285" s="505" t="s">
        <v>181</v>
      </c>
    </row>
    <row r="286" spans="8:8" x14ac:dyDescent="0.35">
      <c r="H286" s="505" t="s">
        <v>182</v>
      </c>
    </row>
    <row r="287" spans="8:8" x14ac:dyDescent="0.35">
      <c r="H287" s="505" t="s">
        <v>183</v>
      </c>
    </row>
    <row r="288" spans="8:8" x14ac:dyDescent="0.35">
      <c r="H288" s="505" t="s">
        <v>184</v>
      </c>
    </row>
    <row r="289" spans="8:8" x14ac:dyDescent="0.35">
      <c r="H289" s="505" t="s">
        <v>185</v>
      </c>
    </row>
    <row r="290" spans="8:8" x14ac:dyDescent="0.35">
      <c r="H290" s="505" t="s">
        <v>186</v>
      </c>
    </row>
    <row r="291" spans="8:8" x14ac:dyDescent="0.35">
      <c r="H291" s="505" t="s">
        <v>187</v>
      </c>
    </row>
    <row r="292" spans="8:8" x14ac:dyDescent="0.35">
      <c r="H292" s="505" t="s">
        <v>188</v>
      </c>
    </row>
    <row r="293" spans="8:8" x14ac:dyDescent="0.35">
      <c r="H293" s="505" t="s">
        <v>189</v>
      </c>
    </row>
    <row r="294" spans="8:8" x14ac:dyDescent="0.35">
      <c r="H294" s="505" t="s">
        <v>190</v>
      </c>
    </row>
    <row r="295" spans="8:8" x14ac:dyDescent="0.35">
      <c r="H295" s="505" t="s">
        <v>191</v>
      </c>
    </row>
    <row r="296" spans="8:8" x14ac:dyDescent="0.35">
      <c r="H296" s="505" t="s">
        <v>192</v>
      </c>
    </row>
    <row r="297" spans="8:8" x14ac:dyDescent="0.35">
      <c r="H297" s="505" t="s">
        <v>193</v>
      </c>
    </row>
    <row r="298" spans="8:8" x14ac:dyDescent="0.35">
      <c r="H298" s="505" t="s">
        <v>194</v>
      </c>
    </row>
    <row r="299" spans="8:8" x14ac:dyDescent="0.35">
      <c r="H299" s="505" t="s">
        <v>195</v>
      </c>
    </row>
    <row r="300" spans="8:8" x14ac:dyDescent="0.35">
      <c r="H300" s="505" t="s">
        <v>196</v>
      </c>
    </row>
    <row r="301" spans="8:8" x14ac:dyDescent="0.35">
      <c r="H301" s="505" t="s">
        <v>197</v>
      </c>
    </row>
    <row r="302" spans="8:8" x14ac:dyDescent="0.35">
      <c r="H302" s="505" t="s">
        <v>198</v>
      </c>
    </row>
    <row r="303" spans="8:8" x14ac:dyDescent="0.35">
      <c r="H303" s="505" t="s">
        <v>199</v>
      </c>
    </row>
    <row r="304" spans="8:8" x14ac:dyDescent="0.35">
      <c r="H304" s="505" t="s">
        <v>200</v>
      </c>
    </row>
    <row r="305" spans="8:8" x14ac:dyDescent="0.35">
      <c r="H305" s="505" t="s">
        <v>201</v>
      </c>
    </row>
    <row r="306" spans="8:8" x14ac:dyDescent="0.35">
      <c r="H306" s="505" t="s">
        <v>202</v>
      </c>
    </row>
    <row r="307" spans="8:8" x14ac:dyDescent="0.35">
      <c r="H307" s="505" t="s">
        <v>203</v>
      </c>
    </row>
    <row r="308" spans="8:8" x14ac:dyDescent="0.35">
      <c r="H308" s="505" t="s">
        <v>204</v>
      </c>
    </row>
    <row r="309" spans="8:8" x14ac:dyDescent="0.35">
      <c r="H309" s="505" t="s">
        <v>205</v>
      </c>
    </row>
    <row r="310" spans="8:8" x14ac:dyDescent="0.35">
      <c r="H310" s="505" t="s">
        <v>206</v>
      </c>
    </row>
    <row r="311" spans="8:8" x14ac:dyDescent="0.35">
      <c r="H311" s="505" t="s">
        <v>207</v>
      </c>
    </row>
    <row r="312" spans="8:8" x14ac:dyDescent="0.35">
      <c r="H312" s="505" t="s">
        <v>208</v>
      </c>
    </row>
    <row r="313" spans="8:8" x14ac:dyDescent="0.35">
      <c r="H313" s="505" t="s">
        <v>209</v>
      </c>
    </row>
    <row r="314" spans="8:8" x14ac:dyDescent="0.35">
      <c r="H314" s="505" t="s">
        <v>210</v>
      </c>
    </row>
    <row r="315" spans="8:8" x14ac:dyDescent="0.35">
      <c r="H315" s="505" t="s">
        <v>211</v>
      </c>
    </row>
    <row r="316" spans="8:8" x14ac:dyDescent="0.35">
      <c r="H316" s="505" t="s">
        <v>212</v>
      </c>
    </row>
    <row r="317" spans="8:8" x14ac:dyDescent="0.35">
      <c r="H317" s="505" t="s">
        <v>213</v>
      </c>
    </row>
    <row r="318" spans="8:8" x14ac:dyDescent="0.35">
      <c r="H318" s="505" t="s">
        <v>214</v>
      </c>
    </row>
    <row r="319" spans="8:8" x14ac:dyDescent="0.35">
      <c r="H319" s="505" t="s">
        <v>215</v>
      </c>
    </row>
    <row r="320" spans="8:8" x14ac:dyDescent="0.35">
      <c r="H320" s="505" t="s">
        <v>216</v>
      </c>
    </row>
    <row r="321" spans="8:8" x14ac:dyDescent="0.35">
      <c r="H321" s="505" t="s">
        <v>217</v>
      </c>
    </row>
    <row r="322" spans="8:8" x14ac:dyDescent="0.35">
      <c r="H322" s="505" t="s">
        <v>218</v>
      </c>
    </row>
    <row r="323" spans="8:8" x14ac:dyDescent="0.35">
      <c r="H323" s="505" t="s">
        <v>219</v>
      </c>
    </row>
    <row r="324" spans="8:8" x14ac:dyDescent="0.35">
      <c r="H324" s="505" t="s">
        <v>220</v>
      </c>
    </row>
    <row r="325" spans="8:8" x14ac:dyDescent="0.35">
      <c r="H325" s="505" t="s">
        <v>221</v>
      </c>
    </row>
    <row r="326" spans="8:8" x14ac:dyDescent="0.35">
      <c r="H326" s="505" t="s">
        <v>222</v>
      </c>
    </row>
    <row r="327" spans="8:8" x14ac:dyDescent="0.35">
      <c r="H327" s="505" t="s">
        <v>223</v>
      </c>
    </row>
    <row r="328" spans="8:8" x14ac:dyDescent="0.35">
      <c r="H328" s="505" t="s">
        <v>224</v>
      </c>
    </row>
    <row r="329" spans="8:8" x14ac:dyDescent="0.35">
      <c r="H329" s="505" t="s">
        <v>225</v>
      </c>
    </row>
  </sheetData>
  <autoFilter ref="A43:BK137" xr:uid="{00000000-0009-0000-0000-000018000000}"/>
  <mergeCells count="164">
    <mergeCell ref="D134:E134"/>
    <mergeCell ref="D135:E135"/>
    <mergeCell ref="D136:E136"/>
    <mergeCell ref="D137:E137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9:E39"/>
    <mergeCell ref="D40:E40"/>
    <mergeCell ref="D41:E41"/>
    <mergeCell ref="D42:E42"/>
    <mergeCell ref="D43:E43"/>
    <mergeCell ref="D32:E32"/>
    <mergeCell ref="D33:E33"/>
    <mergeCell ref="D34:E34"/>
    <mergeCell ref="D35:E35"/>
    <mergeCell ref="D36:E36"/>
    <mergeCell ref="D37:E37"/>
    <mergeCell ref="D38:E38"/>
    <mergeCell ref="BH4:BI4"/>
    <mergeCell ref="C3:E3"/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  <mergeCell ref="Z2:AA2"/>
    <mergeCell ref="BB2:BC2"/>
    <mergeCell ref="BD2:BE2"/>
    <mergeCell ref="BF2:BG2"/>
    <mergeCell ref="BH2:BI2"/>
    <mergeCell ref="C2:E2"/>
    <mergeCell ref="F2:G2"/>
    <mergeCell ref="H2:I2"/>
    <mergeCell ref="J2:K2"/>
    <mergeCell ref="L2:M2"/>
    <mergeCell ref="N2:O2"/>
    <mergeCell ref="AF2:AG2"/>
    <mergeCell ref="AH2:AI2"/>
    <mergeCell ref="AJ2:AK2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AP4:AQ4"/>
    <mergeCell ref="AR4:AS4"/>
    <mergeCell ref="AT4:AU4"/>
    <mergeCell ref="AV4:AW4"/>
    <mergeCell ref="BF4:BG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X4:AY4"/>
    <mergeCell ref="AZ4:BA4"/>
    <mergeCell ref="BB4:BC4"/>
    <mergeCell ref="BD4:BE4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963F-93FA-49F1-8FE1-CE8DBCE375B7}">
  <sheetPr>
    <tabColor rgb="FF00B050"/>
  </sheetPr>
  <dimension ref="A1:BK316"/>
  <sheetViews>
    <sheetView zoomScale="50" zoomScaleNormal="86" workbookViewId="0">
      <pane xSplit="5" ySplit="19" topLeftCell="Z98" activePane="bottomRight" state="frozen"/>
      <selection activeCell="I78" sqref="I78"/>
      <selection pane="topRight" activeCell="I78" sqref="I78"/>
      <selection pane="bottomLeft" activeCell="I78" sqref="I78"/>
      <selection pane="bottomRight" activeCell="AB124" sqref="AB124"/>
    </sheetView>
  </sheetViews>
  <sheetFormatPr defaultColWidth="9" defaultRowHeight="23.25" x14ac:dyDescent="0.35"/>
  <cols>
    <col min="1" max="1" width="11" style="505" customWidth="1"/>
    <col min="2" max="3" width="15.7109375" style="505" customWidth="1"/>
    <col min="4" max="4" width="77" style="505" bestFit="1" customWidth="1"/>
    <col min="5" max="5" width="7.85546875" style="576" customWidth="1"/>
    <col min="6" max="6" width="13.7109375" style="505" customWidth="1"/>
    <col min="7" max="7" width="14" style="505" customWidth="1"/>
    <col min="8" max="8" width="14.7109375" style="505" customWidth="1"/>
    <col min="9" max="9" width="12.7109375" style="505" customWidth="1"/>
    <col min="10" max="10" width="12.28515625" style="505" customWidth="1"/>
    <col min="11" max="11" width="12.85546875" style="505" customWidth="1"/>
    <col min="12" max="12" width="12.140625" style="505" customWidth="1"/>
    <col min="13" max="13" width="11.5703125" style="505" customWidth="1"/>
    <col min="14" max="14" width="16" style="505" customWidth="1"/>
    <col min="15" max="15" width="14.5703125" style="505" customWidth="1"/>
    <col min="16" max="16" width="14.28515625" style="505" customWidth="1"/>
    <col min="17" max="17" width="14.5703125" style="505" customWidth="1"/>
    <col min="18" max="18" width="14.28515625" style="505" customWidth="1"/>
    <col min="19" max="19" width="14.5703125" style="505" customWidth="1"/>
    <col min="20" max="20" width="13.42578125" style="505" customWidth="1"/>
    <col min="21" max="21" width="14.85546875" style="505" customWidth="1"/>
    <col min="22" max="22" width="12.7109375" style="505" customWidth="1"/>
    <col min="23" max="23" width="14" style="505" customWidth="1"/>
    <col min="24" max="24" width="12.85546875" style="505" customWidth="1"/>
    <col min="25" max="25" width="14.28515625" style="505" customWidth="1"/>
    <col min="26" max="26" width="16" style="505" customWidth="1"/>
    <col min="27" max="27" width="14.5703125" style="505" customWidth="1"/>
    <col min="28" max="28" width="16" style="505" customWidth="1"/>
    <col min="29" max="29" width="14.5703125" style="505" customWidth="1"/>
    <col min="30" max="30" width="14.28515625" style="505" customWidth="1"/>
    <col min="31" max="31" width="14.5703125" style="505" customWidth="1"/>
    <col min="32" max="32" width="13.7109375" style="505" customWidth="1"/>
    <col min="33" max="33" width="13.140625" style="505" customWidth="1"/>
    <col min="34" max="34" width="14.5703125" style="505" customWidth="1"/>
    <col min="35" max="35" width="16.28515625" style="505" customWidth="1"/>
    <col min="36" max="36" width="12.5703125" style="505" customWidth="1"/>
    <col min="37" max="37" width="15.42578125" style="505" customWidth="1"/>
    <col min="38" max="38" width="12.28515625" style="505" customWidth="1"/>
    <col min="39" max="39" width="12.85546875" style="505" customWidth="1"/>
    <col min="40" max="40" width="14.85546875" style="505" customWidth="1"/>
    <col min="41" max="41" width="15.7109375" style="505" customWidth="1"/>
    <col min="42" max="42" width="13.42578125" style="505" customWidth="1"/>
    <col min="43" max="43" width="13.7109375" style="505" customWidth="1"/>
    <col min="44" max="44" width="14.28515625" style="505" customWidth="1"/>
    <col min="45" max="45" width="14.5703125" style="505" customWidth="1"/>
    <col min="46" max="46" width="13.7109375" style="505" customWidth="1"/>
    <col min="47" max="47" width="14" style="505" customWidth="1"/>
    <col min="48" max="48" width="12" style="505" customWidth="1"/>
    <col min="49" max="49" width="14.28515625" style="505" customWidth="1"/>
    <col min="50" max="50" width="13.42578125" style="505" customWidth="1"/>
    <col min="51" max="51" width="14.5703125" style="505" customWidth="1"/>
    <col min="52" max="52" width="12.28515625" style="505" customWidth="1"/>
    <col min="53" max="53" width="12.85546875" style="505" customWidth="1"/>
    <col min="54" max="54" width="12.28515625" style="505" customWidth="1"/>
    <col min="55" max="57" width="13.42578125" style="505" customWidth="1"/>
    <col min="58" max="58" width="14.28515625" style="505" customWidth="1"/>
    <col min="59" max="59" width="14.5703125" style="505" customWidth="1"/>
    <col min="60" max="60" width="13.42578125" style="505" customWidth="1"/>
    <col min="61" max="61" width="15.140625" style="505" customWidth="1"/>
    <col min="62" max="62" width="12.140625" style="505" customWidth="1"/>
    <col min="63" max="64" width="9" style="505"/>
    <col min="65" max="65" width="9.7109375" style="505" customWidth="1"/>
    <col min="66" max="16384" width="9" style="505"/>
  </cols>
  <sheetData>
    <row r="1" spans="1:63" ht="24" thickBot="1" x14ac:dyDescent="0.4">
      <c r="F1" s="544">
        <f t="shared" ref="F1:AK1" si="0">SUM(F5:F19)</f>
        <v>1556</v>
      </c>
      <c r="G1" s="544">
        <f t="shared" si="0"/>
        <v>0</v>
      </c>
      <c r="H1" s="544">
        <f t="shared" si="0"/>
        <v>2711</v>
      </c>
      <c r="I1" s="544">
        <f t="shared" si="0"/>
        <v>0</v>
      </c>
      <c r="J1" s="544">
        <f t="shared" si="0"/>
        <v>4068</v>
      </c>
      <c r="K1" s="544">
        <f t="shared" si="0"/>
        <v>0</v>
      </c>
      <c r="L1" s="544">
        <f t="shared" si="0"/>
        <v>4733</v>
      </c>
      <c r="M1" s="544">
        <f t="shared" si="0"/>
        <v>0</v>
      </c>
      <c r="N1" s="544">
        <f t="shared" si="0"/>
        <v>2310</v>
      </c>
      <c r="O1" s="544">
        <f t="shared" si="0"/>
        <v>0</v>
      </c>
      <c r="P1" s="544">
        <f t="shared" si="0"/>
        <v>0</v>
      </c>
      <c r="Q1" s="544">
        <f t="shared" si="0"/>
        <v>0</v>
      </c>
      <c r="R1" s="544">
        <f t="shared" si="0"/>
        <v>0</v>
      </c>
      <c r="S1" s="544">
        <f t="shared" si="0"/>
        <v>0</v>
      </c>
      <c r="T1" s="544">
        <f t="shared" si="0"/>
        <v>2100</v>
      </c>
      <c r="U1" s="544">
        <f t="shared" si="0"/>
        <v>0</v>
      </c>
      <c r="V1" s="544">
        <f t="shared" si="0"/>
        <v>2460</v>
      </c>
      <c r="W1" s="544">
        <f t="shared" si="0"/>
        <v>0</v>
      </c>
      <c r="X1" s="544">
        <f t="shared" si="0"/>
        <v>0</v>
      </c>
      <c r="Y1" s="544">
        <f t="shared" si="0"/>
        <v>0</v>
      </c>
      <c r="Z1" s="544">
        <f t="shared" si="0"/>
        <v>1274</v>
      </c>
      <c r="AA1" s="544">
        <f t="shared" si="0"/>
        <v>0</v>
      </c>
      <c r="AB1" s="544">
        <f t="shared" si="0"/>
        <v>710</v>
      </c>
      <c r="AC1" s="544">
        <f t="shared" si="0"/>
        <v>0</v>
      </c>
      <c r="AD1" s="544">
        <f t="shared" si="0"/>
        <v>0</v>
      </c>
      <c r="AE1" s="544">
        <f t="shared" si="0"/>
        <v>0</v>
      </c>
      <c r="AF1" s="544">
        <f t="shared" si="0"/>
        <v>0</v>
      </c>
      <c r="AG1" s="544">
        <f t="shared" si="0"/>
        <v>0</v>
      </c>
      <c r="AH1" s="544">
        <f t="shared" si="0"/>
        <v>0</v>
      </c>
      <c r="AI1" s="544">
        <f t="shared" si="0"/>
        <v>0</v>
      </c>
      <c r="AJ1" s="544">
        <f t="shared" si="0"/>
        <v>0</v>
      </c>
      <c r="AK1" s="544">
        <f t="shared" si="0"/>
        <v>0</v>
      </c>
      <c r="AL1" s="544">
        <f t="shared" ref="AL1:BJ1" si="1">SUM(AL5:AL19)</f>
        <v>0</v>
      </c>
      <c r="AM1" s="544">
        <f t="shared" si="1"/>
        <v>0</v>
      </c>
      <c r="AN1" s="544">
        <f t="shared" si="1"/>
        <v>0</v>
      </c>
      <c r="AO1" s="544">
        <f t="shared" si="1"/>
        <v>0</v>
      </c>
      <c r="AP1" s="544">
        <f t="shared" si="1"/>
        <v>0</v>
      </c>
      <c r="AQ1" s="544">
        <f t="shared" si="1"/>
        <v>0</v>
      </c>
      <c r="AR1" s="544">
        <f t="shared" si="1"/>
        <v>0</v>
      </c>
      <c r="AS1" s="544">
        <f t="shared" si="1"/>
        <v>0</v>
      </c>
      <c r="AT1" s="544">
        <f t="shared" si="1"/>
        <v>0</v>
      </c>
      <c r="AU1" s="544">
        <f t="shared" si="1"/>
        <v>0</v>
      </c>
      <c r="AV1" s="544">
        <f t="shared" si="1"/>
        <v>0</v>
      </c>
      <c r="AW1" s="544">
        <f t="shared" si="1"/>
        <v>0</v>
      </c>
      <c r="AX1" s="544">
        <f t="shared" si="1"/>
        <v>0</v>
      </c>
      <c r="AY1" s="544">
        <f t="shared" si="1"/>
        <v>0</v>
      </c>
      <c r="AZ1" s="544">
        <f t="shared" si="1"/>
        <v>0</v>
      </c>
      <c r="BA1" s="544">
        <f t="shared" si="1"/>
        <v>0</v>
      </c>
      <c r="BB1" s="544">
        <f t="shared" si="1"/>
        <v>0</v>
      </c>
      <c r="BC1" s="544">
        <f t="shared" si="1"/>
        <v>0</v>
      </c>
      <c r="BD1" s="544">
        <f t="shared" si="1"/>
        <v>0</v>
      </c>
      <c r="BE1" s="544">
        <f t="shared" si="1"/>
        <v>0</v>
      </c>
      <c r="BF1" s="544">
        <f t="shared" si="1"/>
        <v>0</v>
      </c>
      <c r="BG1" s="544">
        <f t="shared" si="1"/>
        <v>0</v>
      </c>
      <c r="BH1" s="544">
        <f t="shared" si="1"/>
        <v>0</v>
      </c>
      <c r="BI1" s="544">
        <f t="shared" si="1"/>
        <v>0</v>
      </c>
      <c r="BJ1" s="544">
        <f t="shared" si="1"/>
        <v>15378</v>
      </c>
    </row>
    <row r="2" spans="1:63" ht="24" customHeight="1" x14ac:dyDescent="0.35">
      <c r="A2" s="538"/>
      <c r="B2" s="538"/>
      <c r="C2" s="641" t="s">
        <v>0</v>
      </c>
      <c r="D2" s="642"/>
      <c r="E2" s="642"/>
      <c r="F2" s="639">
        <v>46082</v>
      </c>
      <c r="G2" s="640"/>
      <c r="H2" s="639">
        <v>46083</v>
      </c>
      <c r="I2" s="640"/>
      <c r="J2" s="639">
        <v>46084</v>
      </c>
      <c r="K2" s="640"/>
      <c r="L2" s="639">
        <v>46085</v>
      </c>
      <c r="M2" s="640"/>
      <c r="N2" s="639">
        <v>46086</v>
      </c>
      <c r="O2" s="640"/>
      <c r="P2" s="639">
        <v>46087</v>
      </c>
      <c r="Q2" s="640"/>
      <c r="R2" s="639">
        <v>46088</v>
      </c>
      <c r="S2" s="640"/>
      <c r="T2" s="639">
        <v>46089</v>
      </c>
      <c r="U2" s="640"/>
      <c r="V2" s="639">
        <v>46090</v>
      </c>
      <c r="W2" s="640"/>
      <c r="X2" s="639">
        <v>46091</v>
      </c>
      <c r="Y2" s="640"/>
      <c r="Z2" s="639">
        <v>46092</v>
      </c>
      <c r="AA2" s="640"/>
      <c r="AB2" s="639">
        <v>46093</v>
      </c>
      <c r="AC2" s="640"/>
      <c r="AD2" s="639">
        <v>46094</v>
      </c>
      <c r="AE2" s="640"/>
      <c r="AF2" s="639">
        <v>46095</v>
      </c>
      <c r="AG2" s="640"/>
      <c r="AH2" s="639">
        <v>46096</v>
      </c>
      <c r="AI2" s="640"/>
      <c r="AJ2" s="639">
        <v>46097</v>
      </c>
      <c r="AK2" s="640"/>
      <c r="AL2" s="639">
        <v>46098</v>
      </c>
      <c r="AM2" s="640"/>
      <c r="AN2" s="639">
        <v>46099</v>
      </c>
      <c r="AO2" s="640"/>
      <c r="AP2" s="639">
        <v>46100</v>
      </c>
      <c r="AQ2" s="640"/>
      <c r="AR2" s="639">
        <v>46101</v>
      </c>
      <c r="AS2" s="640"/>
      <c r="AT2" s="639">
        <v>46102</v>
      </c>
      <c r="AU2" s="640"/>
      <c r="AV2" s="639">
        <v>46103</v>
      </c>
      <c r="AW2" s="640"/>
      <c r="AX2" s="639">
        <v>46104</v>
      </c>
      <c r="AY2" s="640"/>
      <c r="AZ2" s="639">
        <v>46105</v>
      </c>
      <c r="BA2" s="640"/>
      <c r="BB2" s="639">
        <v>46106</v>
      </c>
      <c r="BC2" s="640"/>
      <c r="BD2" s="639">
        <v>46107</v>
      </c>
      <c r="BE2" s="640"/>
      <c r="BF2" s="639">
        <v>46108</v>
      </c>
      <c r="BG2" s="640"/>
      <c r="BH2" s="639">
        <v>46109</v>
      </c>
      <c r="BI2" s="640"/>
      <c r="BJ2" s="527"/>
    </row>
    <row r="3" spans="1:63" ht="24" customHeight="1" x14ac:dyDescent="0.35">
      <c r="A3" s="538"/>
      <c r="B3" s="538"/>
      <c r="C3" s="641" t="s">
        <v>1</v>
      </c>
      <c r="D3" s="642"/>
      <c r="E3" s="642"/>
      <c r="F3" s="565" t="s">
        <v>2</v>
      </c>
      <c r="G3" s="577" t="s">
        <v>3</v>
      </c>
      <c r="H3" s="565" t="s">
        <v>2</v>
      </c>
      <c r="I3" s="577" t="s">
        <v>3</v>
      </c>
      <c r="J3" s="565" t="s">
        <v>2</v>
      </c>
      <c r="K3" s="577" t="s">
        <v>3</v>
      </c>
      <c r="L3" s="565" t="s">
        <v>2</v>
      </c>
      <c r="M3" s="577" t="s">
        <v>3</v>
      </c>
      <c r="N3" s="565" t="s">
        <v>2</v>
      </c>
      <c r="O3" s="577" t="s">
        <v>3</v>
      </c>
      <c r="P3" s="565" t="s">
        <v>2</v>
      </c>
      <c r="Q3" s="549" t="s">
        <v>3</v>
      </c>
      <c r="R3" s="565" t="s">
        <v>2</v>
      </c>
      <c r="S3" s="549" t="s">
        <v>3</v>
      </c>
      <c r="T3" s="565" t="s">
        <v>2</v>
      </c>
      <c r="U3" s="577" t="s">
        <v>3</v>
      </c>
      <c r="V3" s="565" t="s">
        <v>2</v>
      </c>
      <c r="W3" s="577" t="s">
        <v>3</v>
      </c>
      <c r="X3" s="565" t="s">
        <v>2</v>
      </c>
      <c r="Y3" s="577" t="s">
        <v>3</v>
      </c>
      <c r="Z3" s="565" t="s">
        <v>2</v>
      </c>
      <c r="AA3" s="577" t="s">
        <v>3</v>
      </c>
      <c r="AB3" s="565" t="s">
        <v>2</v>
      </c>
      <c r="AC3" s="577" t="s">
        <v>3</v>
      </c>
      <c r="AD3" s="565" t="s">
        <v>2</v>
      </c>
      <c r="AE3" s="549" t="s">
        <v>3</v>
      </c>
      <c r="AF3" s="565" t="s">
        <v>2</v>
      </c>
      <c r="AG3" s="577" t="s">
        <v>3</v>
      </c>
      <c r="AH3" s="565" t="s">
        <v>2</v>
      </c>
      <c r="AI3" s="577" t="s">
        <v>3</v>
      </c>
      <c r="AJ3" s="565" t="s">
        <v>2</v>
      </c>
      <c r="AK3" s="577" t="s">
        <v>3</v>
      </c>
      <c r="AL3" s="565" t="s">
        <v>2</v>
      </c>
      <c r="AM3" s="577" t="s">
        <v>3</v>
      </c>
      <c r="AN3" s="565" t="s">
        <v>2</v>
      </c>
      <c r="AO3" s="577" t="s">
        <v>3</v>
      </c>
      <c r="AP3" s="565" t="s">
        <v>2</v>
      </c>
      <c r="AQ3" s="577" t="s">
        <v>3</v>
      </c>
      <c r="AR3" s="565" t="s">
        <v>2</v>
      </c>
      <c r="AS3" s="549" t="s">
        <v>3</v>
      </c>
      <c r="AT3" s="565" t="s">
        <v>2</v>
      </c>
      <c r="AU3" s="577" t="s">
        <v>3</v>
      </c>
      <c r="AV3" s="565" t="s">
        <v>2</v>
      </c>
      <c r="AW3" s="577" t="s">
        <v>3</v>
      </c>
      <c r="AX3" s="565" t="s">
        <v>2</v>
      </c>
      <c r="AY3" s="577" t="s">
        <v>3</v>
      </c>
      <c r="AZ3" s="565" t="s">
        <v>2</v>
      </c>
      <c r="BA3" s="577" t="s">
        <v>3</v>
      </c>
      <c r="BB3" s="565" t="s">
        <v>2</v>
      </c>
      <c r="BC3" s="577" t="s">
        <v>3</v>
      </c>
      <c r="BD3" s="565" t="s">
        <v>2</v>
      </c>
      <c r="BE3" s="577" t="s">
        <v>3</v>
      </c>
      <c r="BF3" s="565" t="s">
        <v>2</v>
      </c>
      <c r="BG3" s="549" t="s">
        <v>3</v>
      </c>
      <c r="BH3" s="565" t="s">
        <v>2</v>
      </c>
      <c r="BI3" s="577" t="s">
        <v>3</v>
      </c>
      <c r="BJ3" s="527"/>
    </row>
    <row r="4" spans="1:63" ht="46.5" customHeight="1" x14ac:dyDescent="0.35">
      <c r="A4" s="561"/>
      <c r="B4" s="561"/>
      <c r="C4" s="561" t="s">
        <v>4</v>
      </c>
      <c r="D4" s="523" t="s">
        <v>5</v>
      </c>
      <c r="E4" s="571" t="s">
        <v>6</v>
      </c>
      <c r="F4" s="637" t="s">
        <v>12</v>
      </c>
      <c r="G4" s="638"/>
      <c r="H4" s="637" t="s">
        <v>13</v>
      </c>
      <c r="I4" s="638"/>
      <c r="J4" s="637" t="s">
        <v>7</v>
      </c>
      <c r="K4" s="638"/>
      <c r="L4" s="637" t="s">
        <v>8</v>
      </c>
      <c r="M4" s="638"/>
      <c r="N4" s="637" t="s">
        <v>9</v>
      </c>
      <c r="O4" s="638"/>
      <c r="P4" s="637" t="s">
        <v>10</v>
      </c>
      <c r="Q4" s="638"/>
      <c r="R4" s="637" t="s">
        <v>11</v>
      </c>
      <c r="S4" s="638"/>
      <c r="T4" s="637" t="s">
        <v>12</v>
      </c>
      <c r="U4" s="638"/>
      <c r="V4" s="637" t="s">
        <v>13</v>
      </c>
      <c r="W4" s="638"/>
      <c r="X4" s="637" t="s">
        <v>7</v>
      </c>
      <c r="Y4" s="638"/>
      <c r="Z4" s="637" t="s">
        <v>8</v>
      </c>
      <c r="AA4" s="638"/>
      <c r="AB4" s="637" t="s">
        <v>9</v>
      </c>
      <c r="AC4" s="638"/>
      <c r="AD4" s="637" t="s">
        <v>10</v>
      </c>
      <c r="AE4" s="638"/>
      <c r="AF4" s="637" t="s">
        <v>11</v>
      </c>
      <c r="AG4" s="638"/>
      <c r="AH4" s="637" t="s">
        <v>12</v>
      </c>
      <c r="AI4" s="638"/>
      <c r="AJ4" s="637" t="s">
        <v>13</v>
      </c>
      <c r="AK4" s="638"/>
      <c r="AL4" s="637" t="s">
        <v>7</v>
      </c>
      <c r="AM4" s="638"/>
      <c r="AN4" s="637" t="s">
        <v>8</v>
      </c>
      <c r="AO4" s="638"/>
      <c r="AP4" s="637" t="s">
        <v>9</v>
      </c>
      <c r="AQ4" s="638"/>
      <c r="AR4" s="637" t="s">
        <v>10</v>
      </c>
      <c r="AS4" s="638"/>
      <c r="AT4" s="637" t="s">
        <v>11</v>
      </c>
      <c r="AU4" s="638"/>
      <c r="AV4" s="637" t="s">
        <v>12</v>
      </c>
      <c r="AW4" s="638"/>
      <c r="AX4" s="637" t="s">
        <v>13</v>
      </c>
      <c r="AY4" s="638"/>
      <c r="AZ4" s="637" t="s">
        <v>7</v>
      </c>
      <c r="BA4" s="638"/>
      <c r="BB4" s="637" t="s">
        <v>8</v>
      </c>
      <c r="BC4" s="638"/>
      <c r="BD4" s="637" t="s">
        <v>9</v>
      </c>
      <c r="BE4" s="638"/>
      <c r="BF4" s="637" t="s">
        <v>10</v>
      </c>
      <c r="BG4" s="638"/>
      <c r="BH4" s="637" t="s">
        <v>11</v>
      </c>
      <c r="BI4" s="638"/>
    </row>
    <row r="5" spans="1:63" x14ac:dyDescent="0.35">
      <c r="A5" s="512"/>
      <c r="B5" s="512"/>
      <c r="C5" s="512">
        <f>VLOOKUP(D5,Products!B:D,2,FALSE)</f>
        <v>430000003</v>
      </c>
      <c r="D5" s="533" t="s">
        <v>387</v>
      </c>
      <c r="E5" s="519">
        <v>20</v>
      </c>
      <c r="F5" s="530">
        <v>1556</v>
      </c>
      <c r="G5" s="537"/>
      <c r="H5" s="530">
        <v>1181</v>
      </c>
      <c r="I5" s="537"/>
      <c r="J5" s="530"/>
      <c r="K5" s="537"/>
      <c r="L5" s="530"/>
      <c r="M5" s="537"/>
      <c r="N5" s="530"/>
      <c r="O5" s="537"/>
      <c r="P5" s="572"/>
      <c r="Q5" s="587"/>
      <c r="R5" s="572"/>
      <c r="S5" s="587"/>
      <c r="T5" s="530"/>
      <c r="U5" s="537"/>
      <c r="V5" s="530"/>
      <c r="W5" s="537"/>
      <c r="X5" s="530"/>
      <c r="Y5" s="537"/>
      <c r="Z5" s="530"/>
      <c r="AA5" s="537"/>
      <c r="AB5" s="530"/>
      <c r="AC5" s="537"/>
      <c r="AD5" s="572"/>
      <c r="AE5" s="587"/>
      <c r="AF5" s="530"/>
      <c r="AG5" s="537"/>
      <c r="AH5" s="530"/>
      <c r="AI5" s="537"/>
      <c r="AJ5" s="530"/>
      <c r="AK5" s="537"/>
      <c r="AL5" s="530"/>
      <c r="AM5" s="537"/>
      <c r="AN5" s="530"/>
      <c r="AO5" s="537"/>
      <c r="AP5" s="530"/>
      <c r="AQ5" s="537"/>
      <c r="AR5" s="572"/>
      <c r="AS5" s="587"/>
      <c r="AT5" s="530"/>
      <c r="AU5" s="537"/>
      <c r="AV5" s="530"/>
      <c r="AW5" s="537"/>
      <c r="AX5" s="530"/>
      <c r="AY5" s="537"/>
      <c r="AZ5" s="530"/>
      <c r="BA5" s="537"/>
      <c r="BB5" s="530"/>
      <c r="BC5" s="537"/>
      <c r="BD5" s="530"/>
      <c r="BE5" s="537"/>
      <c r="BF5" s="572"/>
      <c r="BG5" s="587"/>
      <c r="BH5" s="530"/>
      <c r="BI5" s="537"/>
      <c r="BJ5" s="535">
        <f t="shared" ref="BJ5:BJ33" si="2">SUM(F5:BI5)</f>
        <v>2737</v>
      </c>
      <c r="BK5" s="545">
        <f t="shared" ref="BK5:BK33" si="3">COUNT(F5:BI5)</f>
        <v>2</v>
      </c>
    </row>
    <row r="6" spans="1:63" x14ac:dyDescent="0.35">
      <c r="A6" s="512"/>
      <c r="B6" s="512"/>
      <c r="C6" s="512">
        <f>VLOOKUP(D6,Products!B:D,2,FALSE)</f>
        <v>430000002</v>
      </c>
      <c r="D6" s="632" t="s">
        <v>385</v>
      </c>
      <c r="E6" s="519">
        <v>20</v>
      </c>
      <c r="F6" s="530"/>
      <c r="G6" s="537"/>
      <c r="H6" s="530">
        <v>1530</v>
      </c>
      <c r="I6" s="537"/>
      <c r="J6" s="530">
        <f>1478+1702</f>
        <v>3180</v>
      </c>
      <c r="K6" s="537"/>
      <c r="L6" s="530"/>
      <c r="M6" s="537"/>
      <c r="N6" s="530"/>
      <c r="O6" s="537"/>
      <c r="P6" s="572"/>
      <c r="Q6" s="587"/>
      <c r="R6" s="572"/>
      <c r="S6" s="587"/>
      <c r="T6" s="530"/>
      <c r="U6" s="537"/>
      <c r="V6" s="530"/>
      <c r="W6" s="537"/>
      <c r="X6" s="530"/>
      <c r="Y6" s="537"/>
      <c r="Z6" s="530"/>
      <c r="AA6" s="537"/>
      <c r="AB6" s="530"/>
      <c r="AC6" s="537"/>
      <c r="AD6" s="572"/>
      <c r="AE6" s="587"/>
      <c r="AF6" s="530"/>
      <c r="AG6" s="537"/>
      <c r="AH6" s="530"/>
      <c r="AI6" s="537"/>
      <c r="AJ6" s="530"/>
      <c r="AK6" s="537"/>
      <c r="AL6" s="530"/>
      <c r="AM6" s="537"/>
      <c r="AN6" s="530"/>
      <c r="AO6" s="537"/>
      <c r="AP6" s="530"/>
      <c r="AQ6" s="537"/>
      <c r="AR6" s="572"/>
      <c r="AS6" s="587"/>
      <c r="AT6" s="530"/>
      <c r="AU6" s="537"/>
      <c r="AV6" s="530"/>
      <c r="AW6" s="537"/>
      <c r="AX6" s="530"/>
      <c r="AY6" s="537"/>
      <c r="AZ6" s="530"/>
      <c r="BA6" s="537"/>
      <c r="BB6" s="530"/>
      <c r="BC6" s="537"/>
      <c r="BD6" s="530"/>
      <c r="BE6" s="537"/>
      <c r="BF6" s="572"/>
      <c r="BG6" s="587"/>
      <c r="BH6" s="530"/>
      <c r="BI6" s="537"/>
      <c r="BJ6" s="535">
        <f t="shared" si="2"/>
        <v>4710</v>
      </c>
      <c r="BK6" s="545">
        <f t="shared" si="3"/>
        <v>2</v>
      </c>
    </row>
    <row r="7" spans="1:63" x14ac:dyDescent="0.35">
      <c r="A7" s="512"/>
      <c r="B7" s="512"/>
      <c r="C7" s="512">
        <f>VLOOKUP(D7,Products!B:D,2,FALSE)</f>
        <v>45700023</v>
      </c>
      <c r="D7" s="633" t="s">
        <v>887</v>
      </c>
      <c r="E7" s="519">
        <v>20</v>
      </c>
      <c r="F7" s="530"/>
      <c r="G7" s="537"/>
      <c r="H7" s="530"/>
      <c r="I7" s="537"/>
      <c r="J7" s="530">
        <v>888</v>
      </c>
      <c r="K7" s="537"/>
      <c r="L7" s="530"/>
      <c r="M7" s="537"/>
      <c r="N7" s="530"/>
      <c r="O7" s="537"/>
      <c r="P7" s="572"/>
      <c r="Q7" s="587"/>
      <c r="R7" s="572"/>
      <c r="S7" s="587"/>
      <c r="T7" s="530"/>
      <c r="U7" s="537"/>
      <c r="V7" s="530"/>
      <c r="W7" s="537"/>
      <c r="X7" s="530"/>
      <c r="Y7" s="537"/>
      <c r="Z7" s="530"/>
      <c r="AA7" s="537"/>
      <c r="AB7" s="530"/>
      <c r="AC7" s="537"/>
      <c r="AD7" s="572"/>
      <c r="AE7" s="587"/>
      <c r="AF7" s="530"/>
      <c r="AG7" s="537"/>
      <c r="AH7" s="530"/>
      <c r="AI7" s="537"/>
      <c r="AJ7" s="530"/>
      <c r="AK7" s="537"/>
      <c r="AL7" s="530"/>
      <c r="AM7" s="537"/>
      <c r="AN7" s="530"/>
      <c r="AO7" s="537"/>
      <c r="AP7" s="530"/>
      <c r="AQ7" s="537"/>
      <c r="AR7" s="572"/>
      <c r="AS7" s="587"/>
      <c r="AT7" s="530"/>
      <c r="AU7" s="537"/>
      <c r="AV7" s="530"/>
      <c r="AW7" s="537"/>
      <c r="AX7" s="530"/>
      <c r="AY7" s="537"/>
      <c r="AZ7" s="530"/>
      <c r="BA7" s="537"/>
      <c r="BB7" s="530"/>
      <c r="BC7" s="537"/>
      <c r="BD7" s="530"/>
      <c r="BE7" s="537"/>
      <c r="BF7" s="572"/>
      <c r="BG7" s="587"/>
      <c r="BH7" s="530"/>
      <c r="BI7" s="537"/>
      <c r="BJ7" s="535">
        <f t="shared" si="2"/>
        <v>888</v>
      </c>
      <c r="BK7" s="545">
        <f t="shared" si="3"/>
        <v>1</v>
      </c>
    </row>
    <row r="8" spans="1:63" x14ac:dyDescent="0.35">
      <c r="A8" s="512"/>
      <c r="B8" s="512"/>
      <c r="C8" s="512">
        <f>VLOOKUP(D8,Products!B:D,2,FALSE)</f>
        <v>43010001</v>
      </c>
      <c r="D8" s="633" t="s">
        <v>388</v>
      </c>
      <c r="E8" s="519">
        <v>20</v>
      </c>
      <c r="F8" s="530"/>
      <c r="G8" s="537"/>
      <c r="H8" s="530"/>
      <c r="I8" s="537"/>
      <c r="J8" s="530"/>
      <c r="K8" s="537"/>
      <c r="L8" s="530">
        <f>2503+2230</f>
        <v>4733</v>
      </c>
      <c r="M8" s="537"/>
      <c r="N8" s="530">
        <v>470</v>
      </c>
      <c r="O8" s="537"/>
      <c r="P8" s="572"/>
      <c r="Q8" s="587"/>
      <c r="R8" s="572"/>
      <c r="S8" s="587"/>
      <c r="T8" s="530"/>
      <c r="U8" s="537"/>
      <c r="V8" s="530"/>
      <c r="W8" s="537"/>
      <c r="X8" s="530"/>
      <c r="Y8" s="537"/>
      <c r="Z8" s="530"/>
      <c r="AA8" s="537"/>
      <c r="AB8" s="530"/>
      <c r="AC8" s="537"/>
      <c r="AD8" s="572"/>
      <c r="AE8" s="587"/>
      <c r="AF8" s="530"/>
      <c r="AG8" s="537"/>
      <c r="AH8" s="530"/>
      <c r="AI8" s="537"/>
      <c r="AJ8" s="530"/>
      <c r="AK8" s="537"/>
      <c r="AL8" s="530"/>
      <c r="AM8" s="537"/>
      <c r="AN8" s="530"/>
      <c r="AO8" s="537"/>
      <c r="AP8" s="530"/>
      <c r="AQ8" s="537"/>
      <c r="AR8" s="572"/>
      <c r="AS8" s="587"/>
      <c r="AT8" s="530"/>
      <c r="AU8" s="537"/>
      <c r="AV8" s="530"/>
      <c r="AW8" s="537"/>
      <c r="AX8" s="530"/>
      <c r="AY8" s="537"/>
      <c r="AZ8" s="530"/>
      <c r="BA8" s="537"/>
      <c r="BB8" s="530"/>
      <c r="BC8" s="537"/>
      <c r="BD8" s="530"/>
      <c r="BE8" s="537"/>
      <c r="BF8" s="572"/>
      <c r="BG8" s="587"/>
      <c r="BH8" s="530"/>
      <c r="BI8" s="537"/>
      <c r="BJ8" s="535">
        <f t="shared" si="2"/>
        <v>5203</v>
      </c>
      <c r="BK8" s="545">
        <f t="shared" si="3"/>
        <v>2</v>
      </c>
    </row>
    <row r="9" spans="1:63" x14ac:dyDescent="0.35">
      <c r="A9" s="512"/>
      <c r="B9" s="512"/>
      <c r="C9" s="512">
        <f>VLOOKUP(D9,Products!B:D,2,FALSE)</f>
        <v>43010003</v>
      </c>
      <c r="D9" s="633" t="s">
        <v>386</v>
      </c>
      <c r="E9" s="519">
        <v>20</v>
      </c>
      <c r="F9" s="530"/>
      <c r="G9" s="537"/>
      <c r="H9" s="530"/>
      <c r="I9" s="537"/>
      <c r="J9" s="530"/>
      <c r="K9" s="537"/>
      <c r="L9" s="530"/>
      <c r="M9" s="537"/>
      <c r="N9" s="530">
        <v>1840</v>
      </c>
      <c r="O9" s="537"/>
      <c r="P9" s="572"/>
      <c r="Q9" s="587"/>
      <c r="R9" s="572"/>
      <c r="S9" s="587"/>
      <c r="T9" s="530"/>
      <c r="U9" s="537"/>
      <c r="V9" s="530"/>
      <c r="W9" s="537"/>
      <c r="X9" s="530"/>
      <c r="Y9" s="537"/>
      <c r="Z9" s="530"/>
      <c r="AA9" s="537"/>
      <c r="AB9" s="530"/>
      <c r="AC9" s="537"/>
      <c r="AD9" s="572"/>
      <c r="AE9" s="587"/>
      <c r="AF9" s="530"/>
      <c r="AG9" s="537"/>
      <c r="AH9" s="530"/>
      <c r="AI9" s="537"/>
      <c r="AJ9" s="530"/>
      <c r="AK9" s="537"/>
      <c r="AL9" s="530"/>
      <c r="AM9" s="537"/>
      <c r="AN9" s="530"/>
      <c r="AO9" s="537"/>
      <c r="AP9" s="530"/>
      <c r="AQ9" s="537"/>
      <c r="AR9" s="572"/>
      <c r="AS9" s="587"/>
      <c r="AT9" s="530"/>
      <c r="AU9" s="537"/>
      <c r="AV9" s="530"/>
      <c r="AW9" s="537"/>
      <c r="AX9" s="530"/>
      <c r="AY9" s="537"/>
      <c r="AZ9" s="530"/>
      <c r="BA9" s="537"/>
      <c r="BB9" s="530"/>
      <c r="BC9" s="537"/>
      <c r="BD9" s="530"/>
      <c r="BE9" s="537"/>
      <c r="BF9" s="572"/>
      <c r="BG9" s="587"/>
      <c r="BH9" s="530"/>
      <c r="BI9" s="537"/>
      <c r="BJ9" s="535">
        <f t="shared" si="2"/>
        <v>1840</v>
      </c>
      <c r="BK9" s="545">
        <f t="shared" si="3"/>
        <v>1</v>
      </c>
    </row>
    <row r="10" spans="1:63" x14ac:dyDescent="0.35">
      <c r="A10" s="512"/>
      <c r="B10" s="512"/>
      <c r="C10" s="512">
        <f>VLOOKUP(D10,Products!B:D,2,FALSE)</f>
        <v>43020002</v>
      </c>
      <c r="D10" s="633" t="s">
        <v>908</v>
      </c>
      <c r="E10" s="519">
        <v>20</v>
      </c>
      <c r="F10" s="530"/>
      <c r="G10" s="537"/>
      <c r="H10" s="530"/>
      <c r="I10" s="537"/>
      <c r="J10" s="530"/>
      <c r="K10" s="537"/>
      <c r="L10" s="530"/>
      <c r="M10" s="537"/>
      <c r="N10" s="530"/>
      <c r="O10" s="537"/>
      <c r="P10" s="572"/>
      <c r="Q10" s="587"/>
      <c r="R10" s="572"/>
      <c r="S10" s="587"/>
      <c r="T10" s="530">
        <v>2100</v>
      </c>
      <c r="U10" s="537"/>
      <c r="V10" s="530"/>
      <c r="W10" s="537"/>
      <c r="X10" s="530"/>
      <c r="Y10" s="537"/>
      <c r="Z10" s="530"/>
      <c r="AA10" s="537"/>
      <c r="AB10" s="530"/>
      <c r="AC10" s="537"/>
      <c r="AD10" s="572"/>
      <c r="AE10" s="587"/>
      <c r="AF10" s="530"/>
      <c r="AG10" s="537"/>
      <c r="AH10" s="530"/>
      <c r="AI10" s="537"/>
      <c r="AJ10" s="530"/>
      <c r="AK10" s="537"/>
      <c r="AL10" s="530"/>
      <c r="AM10" s="537"/>
      <c r="AN10" s="530"/>
      <c r="AO10" s="537"/>
      <c r="AP10" s="530"/>
      <c r="AQ10" s="537"/>
      <c r="AR10" s="572"/>
      <c r="AS10" s="587"/>
      <c r="AT10" s="530"/>
      <c r="AU10" s="537"/>
      <c r="AV10" s="530"/>
      <c r="AW10" s="537"/>
      <c r="AX10" s="530"/>
      <c r="AY10" s="537"/>
      <c r="AZ10" s="530"/>
      <c r="BA10" s="537"/>
      <c r="BB10" s="530"/>
      <c r="BC10" s="537"/>
      <c r="BD10" s="530"/>
      <c r="BE10" s="537"/>
      <c r="BF10" s="572"/>
      <c r="BG10" s="587"/>
      <c r="BH10" s="530"/>
      <c r="BI10" s="537"/>
      <c r="BJ10" s="535"/>
      <c r="BK10" s="545"/>
    </row>
    <row r="11" spans="1:63" x14ac:dyDescent="0.35">
      <c r="A11" s="512"/>
      <c r="B11" s="512"/>
      <c r="C11" s="512">
        <f>VLOOKUP(D11,Products!B:D,2,FALSE)</f>
        <v>430000001</v>
      </c>
      <c r="D11" s="504" t="s">
        <v>906</v>
      </c>
      <c r="E11" s="519">
        <v>20</v>
      </c>
      <c r="F11" s="530"/>
      <c r="G11" s="537"/>
      <c r="H11" s="530"/>
      <c r="I11" s="537"/>
      <c r="J11" s="530"/>
      <c r="K11" s="537"/>
      <c r="L11" s="530"/>
      <c r="M11" s="537"/>
      <c r="N11" s="530"/>
      <c r="O11" s="537"/>
      <c r="P11" s="572"/>
      <c r="Q11" s="587"/>
      <c r="R11" s="572"/>
      <c r="S11" s="587"/>
      <c r="T11" s="530"/>
      <c r="U11" s="537"/>
      <c r="V11" s="530">
        <v>2460</v>
      </c>
      <c r="W11" s="537"/>
      <c r="X11" s="530"/>
      <c r="Y11" s="537"/>
      <c r="Z11" s="530"/>
      <c r="AA11" s="537"/>
      <c r="AB11" s="530"/>
      <c r="AC11" s="537"/>
      <c r="AD11" s="572"/>
      <c r="AE11" s="587"/>
      <c r="AF11" s="530"/>
      <c r="AG11" s="537"/>
      <c r="AH11" s="530"/>
      <c r="AI11" s="537"/>
      <c r="AJ11" s="530"/>
      <c r="AK11" s="537"/>
      <c r="AL11" s="530"/>
      <c r="AM11" s="537"/>
      <c r="AN11" s="530"/>
      <c r="AO11" s="537"/>
      <c r="AP11" s="530"/>
      <c r="AQ11" s="537"/>
      <c r="AR11" s="572"/>
      <c r="AS11" s="587"/>
      <c r="AT11" s="530"/>
      <c r="AU11" s="537"/>
      <c r="AV11" s="530"/>
      <c r="AW11" s="537"/>
      <c r="AX11" s="530"/>
      <c r="AY11" s="537"/>
      <c r="AZ11" s="530"/>
      <c r="BA11" s="537"/>
      <c r="BB11" s="530"/>
      <c r="BC11" s="537"/>
      <c r="BD11" s="530"/>
      <c r="BE11" s="537"/>
      <c r="BF11" s="572"/>
      <c r="BG11" s="587"/>
      <c r="BH11" s="530"/>
      <c r="BI11" s="537"/>
      <c r="BJ11" s="535"/>
      <c r="BK11" s="545"/>
    </row>
    <row r="12" spans="1:63" x14ac:dyDescent="0.35">
      <c r="A12" s="512"/>
      <c r="B12" s="512"/>
      <c r="C12" s="512">
        <f>VLOOKUP(D12,Products!B:D,2,FALSE)</f>
        <v>45700021</v>
      </c>
      <c r="D12" s="504" t="s">
        <v>884</v>
      </c>
      <c r="E12" s="519">
        <v>20</v>
      </c>
      <c r="F12" s="530"/>
      <c r="G12" s="537"/>
      <c r="H12" s="530"/>
      <c r="I12" s="537"/>
      <c r="J12" s="530"/>
      <c r="K12" s="537"/>
      <c r="L12" s="530"/>
      <c r="M12" s="537"/>
      <c r="N12" s="530"/>
      <c r="O12" s="537"/>
      <c r="P12" s="572"/>
      <c r="Q12" s="587"/>
      <c r="R12" s="572"/>
      <c r="S12" s="587"/>
      <c r="T12" s="530"/>
      <c r="U12" s="537"/>
      <c r="V12" s="530"/>
      <c r="W12" s="537"/>
      <c r="X12" s="530"/>
      <c r="Y12" s="537"/>
      <c r="Z12" s="530">
        <v>1274</v>
      </c>
      <c r="AA12" s="537"/>
      <c r="AB12" s="530">
        <v>710</v>
      </c>
      <c r="AC12" s="537"/>
      <c r="AD12" s="572"/>
      <c r="AE12" s="587"/>
      <c r="AF12" s="530"/>
      <c r="AG12" s="537"/>
      <c r="AH12" s="530"/>
      <c r="AI12" s="537"/>
      <c r="AJ12" s="530"/>
      <c r="AK12" s="537"/>
      <c r="AL12" s="530"/>
      <c r="AM12" s="537"/>
      <c r="AN12" s="530"/>
      <c r="AO12" s="537"/>
      <c r="AP12" s="530"/>
      <c r="AQ12" s="537"/>
      <c r="AR12" s="572"/>
      <c r="AS12" s="587"/>
      <c r="AT12" s="530"/>
      <c r="AU12" s="537"/>
      <c r="AV12" s="530"/>
      <c r="AW12" s="537"/>
      <c r="AX12" s="530"/>
      <c r="AY12" s="537"/>
      <c r="AZ12" s="530"/>
      <c r="BA12" s="537"/>
      <c r="BB12" s="530"/>
      <c r="BC12" s="537"/>
      <c r="BD12" s="530"/>
      <c r="BE12" s="537"/>
      <c r="BF12" s="572"/>
      <c r="BG12" s="587"/>
      <c r="BH12" s="530"/>
      <c r="BI12" s="537"/>
      <c r="BJ12" s="535"/>
      <c r="BK12" s="545"/>
    </row>
    <row r="13" spans="1:63" x14ac:dyDescent="0.35">
      <c r="A13" s="512"/>
      <c r="B13" s="512"/>
      <c r="C13" s="512" t="e">
        <f>VLOOKUP(D13,Products!B:D,2,FALSE)</f>
        <v>#N/A</v>
      </c>
      <c r="D13" s="504"/>
      <c r="E13" s="519">
        <v>1</v>
      </c>
      <c r="F13" s="530"/>
      <c r="G13" s="537"/>
      <c r="H13" s="530"/>
      <c r="I13" s="537"/>
      <c r="J13" s="530"/>
      <c r="K13" s="537"/>
      <c r="L13" s="530"/>
      <c r="M13" s="537"/>
      <c r="N13" s="530"/>
      <c r="O13" s="537"/>
      <c r="P13" s="572"/>
      <c r="Q13" s="587"/>
      <c r="R13" s="572"/>
      <c r="S13" s="587"/>
      <c r="T13" s="530"/>
      <c r="U13" s="537"/>
      <c r="V13" s="530"/>
      <c r="W13" s="537"/>
      <c r="X13" s="530"/>
      <c r="Y13" s="537"/>
      <c r="Z13" s="530"/>
      <c r="AA13" s="537"/>
      <c r="AB13" s="530"/>
      <c r="AC13" s="537"/>
      <c r="AD13" s="572"/>
      <c r="AE13" s="587"/>
      <c r="AF13" s="530"/>
      <c r="AG13" s="537"/>
      <c r="AH13" s="530"/>
      <c r="AI13" s="537"/>
      <c r="AJ13" s="530"/>
      <c r="AK13" s="537"/>
      <c r="AL13" s="530"/>
      <c r="AM13" s="537"/>
      <c r="AN13" s="530"/>
      <c r="AO13" s="537"/>
      <c r="AP13" s="530"/>
      <c r="AQ13" s="537"/>
      <c r="AR13" s="572"/>
      <c r="AS13" s="587"/>
      <c r="AT13" s="530"/>
      <c r="AU13" s="537"/>
      <c r="AV13" s="530"/>
      <c r="AW13" s="537"/>
      <c r="AX13" s="530"/>
      <c r="AY13" s="537"/>
      <c r="AZ13" s="530"/>
      <c r="BA13" s="537"/>
      <c r="BB13" s="530"/>
      <c r="BC13" s="537"/>
      <c r="BD13" s="530"/>
      <c r="BE13" s="537"/>
      <c r="BF13" s="572"/>
      <c r="BG13" s="587"/>
      <c r="BH13" s="530"/>
      <c r="BI13" s="537"/>
      <c r="BJ13" s="535"/>
      <c r="BK13" s="545"/>
    </row>
    <row r="14" spans="1:63" x14ac:dyDescent="0.35">
      <c r="A14" s="512"/>
      <c r="B14" s="512"/>
      <c r="C14" s="512" t="e">
        <f>VLOOKUP(D14,Products!B:D,2,FALSE)</f>
        <v>#N/A</v>
      </c>
      <c r="D14" s="504"/>
      <c r="E14" s="519">
        <v>1</v>
      </c>
      <c r="F14" s="530"/>
      <c r="G14" s="537"/>
      <c r="H14" s="530"/>
      <c r="I14" s="537"/>
      <c r="J14" s="530"/>
      <c r="K14" s="537"/>
      <c r="L14" s="530"/>
      <c r="M14" s="537"/>
      <c r="N14" s="530"/>
      <c r="O14" s="537"/>
      <c r="P14" s="572"/>
      <c r="Q14" s="587"/>
      <c r="R14" s="572"/>
      <c r="S14" s="587"/>
      <c r="T14" s="530"/>
      <c r="U14" s="537"/>
      <c r="V14" s="530"/>
      <c r="W14" s="537"/>
      <c r="X14" s="530"/>
      <c r="Y14" s="537"/>
      <c r="Z14" s="530"/>
      <c r="AA14" s="537"/>
      <c r="AB14" s="530"/>
      <c r="AC14" s="537"/>
      <c r="AD14" s="572"/>
      <c r="AE14" s="587"/>
      <c r="AF14" s="530"/>
      <c r="AG14" s="537"/>
      <c r="AH14" s="530"/>
      <c r="AI14" s="537"/>
      <c r="AJ14" s="530"/>
      <c r="AK14" s="537"/>
      <c r="AL14" s="530"/>
      <c r="AM14" s="537"/>
      <c r="AN14" s="530"/>
      <c r="AO14" s="537"/>
      <c r="AP14" s="530"/>
      <c r="AQ14" s="537"/>
      <c r="AR14" s="572"/>
      <c r="AS14" s="587"/>
      <c r="AT14" s="530"/>
      <c r="AU14" s="537"/>
      <c r="AV14" s="530"/>
      <c r="AW14" s="537"/>
      <c r="AX14" s="530"/>
      <c r="AY14" s="537"/>
      <c r="AZ14" s="530"/>
      <c r="BA14" s="537"/>
      <c r="BB14" s="530"/>
      <c r="BC14" s="537"/>
      <c r="BD14" s="530"/>
      <c r="BE14" s="537"/>
      <c r="BF14" s="572"/>
      <c r="BG14" s="587"/>
      <c r="BH14" s="530"/>
      <c r="BI14" s="537"/>
      <c r="BJ14" s="535"/>
      <c r="BK14" s="545"/>
    </row>
    <row r="15" spans="1:63" x14ac:dyDescent="0.35">
      <c r="A15" s="512"/>
      <c r="B15" s="512"/>
      <c r="C15" s="512" t="e">
        <f>VLOOKUP(D15,Products!B:D,2,FALSE)</f>
        <v>#N/A</v>
      </c>
      <c r="D15" s="504"/>
      <c r="E15" s="519">
        <v>1</v>
      </c>
      <c r="F15" s="530"/>
      <c r="G15" s="537"/>
      <c r="H15" s="530"/>
      <c r="I15" s="537"/>
      <c r="J15" s="530"/>
      <c r="K15" s="537"/>
      <c r="L15" s="530"/>
      <c r="M15" s="537"/>
      <c r="N15" s="530"/>
      <c r="O15" s="537"/>
      <c r="P15" s="572"/>
      <c r="Q15" s="587"/>
      <c r="R15" s="572"/>
      <c r="S15" s="587"/>
      <c r="T15" s="530"/>
      <c r="U15" s="537"/>
      <c r="V15" s="530"/>
      <c r="W15" s="537"/>
      <c r="X15" s="530"/>
      <c r="Y15" s="537"/>
      <c r="Z15" s="530"/>
      <c r="AA15" s="537"/>
      <c r="AB15" s="530"/>
      <c r="AC15" s="537"/>
      <c r="AD15" s="572"/>
      <c r="AE15" s="587"/>
      <c r="AF15" s="530"/>
      <c r="AG15" s="537"/>
      <c r="AH15" s="530"/>
      <c r="AI15" s="537"/>
      <c r="AJ15" s="530"/>
      <c r="AK15" s="537"/>
      <c r="AL15" s="530"/>
      <c r="AM15" s="537"/>
      <c r="AN15" s="530"/>
      <c r="AO15" s="537"/>
      <c r="AP15" s="530"/>
      <c r="AQ15" s="537"/>
      <c r="AR15" s="572"/>
      <c r="AS15" s="587"/>
      <c r="AT15" s="530"/>
      <c r="AU15" s="537"/>
      <c r="AV15" s="530"/>
      <c r="AW15" s="537"/>
      <c r="AX15" s="530"/>
      <c r="AY15" s="537"/>
      <c r="AZ15" s="530"/>
      <c r="BA15" s="537"/>
      <c r="BB15" s="530"/>
      <c r="BC15" s="537"/>
      <c r="BD15" s="530"/>
      <c r="BE15" s="537"/>
      <c r="BF15" s="572"/>
      <c r="BG15" s="587"/>
      <c r="BH15" s="530"/>
      <c r="BI15" s="537"/>
      <c r="BJ15" s="535"/>
      <c r="BK15" s="545"/>
    </row>
    <row r="16" spans="1:63" x14ac:dyDescent="0.35">
      <c r="A16" s="512"/>
      <c r="B16" s="512"/>
      <c r="C16" s="512" t="e">
        <f>VLOOKUP(D16,Products!B:D,2,FALSE)</f>
        <v>#N/A</v>
      </c>
      <c r="D16" s="504"/>
      <c r="E16" s="519">
        <v>1</v>
      </c>
      <c r="F16" s="530"/>
      <c r="G16" s="537"/>
      <c r="H16" s="530"/>
      <c r="I16" s="537"/>
      <c r="J16" s="530"/>
      <c r="K16" s="537"/>
      <c r="L16" s="530"/>
      <c r="M16" s="537"/>
      <c r="N16" s="530"/>
      <c r="O16" s="537"/>
      <c r="P16" s="572"/>
      <c r="Q16" s="587"/>
      <c r="R16" s="572"/>
      <c r="S16" s="587"/>
      <c r="T16" s="530"/>
      <c r="U16" s="537"/>
      <c r="V16" s="530"/>
      <c r="W16" s="537"/>
      <c r="X16" s="530"/>
      <c r="Y16" s="537"/>
      <c r="Z16" s="530"/>
      <c r="AA16" s="537"/>
      <c r="AB16" s="530"/>
      <c r="AC16" s="537"/>
      <c r="AD16" s="572"/>
      <c r="AE16" s="587"/>
      <c r="AF16" s="530"/>
      <c r="AG16" s="537"/>
      <c r="AH16" s="530"/>
      <c r="AI16" s="537"/>
      <c r="AJ16" s="530"/>
      <c r="AK16" s="537"/>
      <c r="AL16" s="530"/>
      <c r="AM16" s="537"/>
      <c r="AN16" s="530"/>
      <c r="AO16" s="537"/>
      <c r="AP16" s="530"/>
      <c r="AQ16" s="537"/>
      <c r="AR16" s="572"/>
      <c r="AS16" s="587"/>
      <c r="AT16" s="530"/>
      <c r="AU16" s="537"/>
      <c r="AV16" s="530"/>
      <c r="AW16" s="537"/>
      <c r="AX16" s="530"/>
      <c r="AY16" s="537"/>
      <c r="AZ16" s="530"/>
      <c r="BA16" s="537"/>
      <c r="BB16" s="530"/>
      <c r="BC16" s="537"/>
      <c r="BD16" s="530"/>
      <c r="BE16" s="537"/>
      <c r="BF16" s="572"/>
      <c r="BG16" s="587"/>
      <c r="BH16" s="530"/>
      <c r="BI16" s="537"/>
      <c r="BJ16" s="535"/>
      <c r="BK16" s="545"/>
    </row>
    <row r="17" spans="1:63" x14ac:dyDescent="0.35">
      <c r="A17" s="512"/>
      <c r="B17" s="512"/>
      <c r="C17" s="512" t="e">
        <f>VLOOKUP(D17,Products!B:D,2,FALSE)</f>
        <v>#N/A</v>
      </c>
      <c r="D17" s="504"/>
      <c r="E17" s="519">
        <v>1</v>
      </c>
      <c r="F17" s="530"/>
      <c r="G17" s="537"/>
      <c r="H17" s="530"/>
      <c r="I17" s="537"/>
      <c r="J17" s="530"/>
      <c r="K17" s="537"/>
      <c r="L17" s="530"/>
      <c r="M17" s="537"/>
      <c r="N17" s="530"/>
      <c r="O17" s="537"/>
      <c r="P17" s="572"/>
      <c r="Q17" s="587"/>
      <c r="R17" s="572"/>
      <c r="S17" s="587"/>
      <c r="T17" s="530"/>
      <c r="U17" s="537"/>
      <c r="V17" s="530"/>
      <c r="W17" s="537"/>
      <c r="X17" s="530"/>
      <c r="Y17" s="537"/>
      <c r="Z17" s="530"/>
      <c r="AA17" s="537"/>
      <c r="AB17" s="530"/>
      <c r="AC17" s="537"/>
      <c r="AD17" s="572"/>
      <c r="AE17" s="587"/>
      <c r="AF17" s="530"/>
      <c r="AG17" s="537"/>
      <c r="AH17" s="530"/>
      <c r="AI17" s="537"/>
      <c r="AJ17" s="530"/>
      <c r="AK17" s="537"/>
      <c r="AL17" s="530"/>
      <c r="AM17" s="537"/>
      <c r="AN17" s="530"/>
      <c r="AO17" s="537"/>
      <c r="AP17" s="530"/>
      <c r="AQ17" s="537"/>
      <c r="AR17" s="572"/>
      <c r="AS17" s="587"/>
      <c r="AT17" s="530"/>
      <c r="AU17" s="537"/>
      <c r="AV17" s="530"/>
      <c r="AW17" s="537"/>
      <c r="AX17" s="530"/>
      <c r="AY17" s="537"/>
      <c r="AZ17" s="530"/>
      <c r="BA17" s="537"/>
      <c r="BB17" s="530"/>
      <c r="BC17" s="537"/>
      <c r="BD17" s="530"/>
      <c r="BE17" s="537"/>
      <c r="BF17" s="572"/>
      <c r="BG17" s="587"/>
      <c r="BH17" s="530"/>
      <c r="BI17" s="537"/>
      <c r="BJ17" s="535"/>
      <c r="BK17" s="545"/>
    </row>
    <row r="18" spans="1:63" x14ac:dyDescent="0.35">
      <c r="A18" s="512"/>
      <c r="B18" s="512"/>
      <c r="C18" s="512" t="e">
        <f>VLOOKUP(D18,Products!B:D,2,FALSE)</f>
        <v>#N/A</v>
      </c>
      <c r="D18" s="504"/>
      <c r="E18" s="519">
        <v>1</v>
      </c>
      <c r="F18" s="530"/>
      <c r="G18" s="537"/>
      <c r="H18" s="530"/>
      <c r="I18" s="537"/>
      <c r="J18" s="530"/>
      <c r="K18" s="537"/>
      <c r="L18" s="530"/>
      <c r="M18" s="537"/>
      <c r="N18" s="530"/>
      <c r="O18" s="537"/>
      <c r="P18" s="572"/>
      <c r="Q18" s="587"/>
      <c r="R18" s="572"/>
      <c r="S18" s="587"/>
      <c r="T18" s="530"/>
      <c r="U18" s="537"/>
      <c r="V18" s="530"/>
      <c r="W18" s="537"/>
      <c r="X18" s="530"/>
      <c r="Y18" s="537"/>
      <c r="Z18" s="530"/>
      <c r="AA18" s="537"/>
      <c r="AB18" s="530"/>
      <c r="AC18" s="537"/>
      <c r="AD18" s="572"/>
      <c r="AE18" s="587"/>
      <c r="AF18" s="530"/>
      <c r="AG18" s="537"/>
      <c r="AH18" s="530"/>
      <c r="AI18" s="537"/>
      <c r="AJ18" s="530"/>
      <c r="AK18" s="537"/>
      <c r="AL18" s="530"/>
      <c r="AM18" s="537"/>
      <c r="AN18" s="530"/>
      <c r="AO18" s="537"/>
      <c r="AP18" s="530"/>
      <c r="AQ18" s="537"/>
      <c r="AR18" s="572"/>
      <c r="AS18" s="587"/>
      <c r="AT18" s="530"/>
      <c r="AU18" s="537"/>
      <c r="AV18" s="530"/>
      <c r="AW18" s="537"/>
      <c r="AX18" s="530"/>
      <c r="AY18" s="537"/>
      <c r="AZ18" s="530"/>
      <c r="BA18" s="537"/>
      <c r="BB18" s="530"/>
      <c r="BC18" s="537"/>
      <c r="BD18" s="530"/>
      <c r="BE18" s="537"/>
      <c r="BF18" s="572"/>
      <c r="BG18" s="587"/>
      <c r="BH18" s="530"/>
      <c r="BI18" s="537"/>
      <c r="BJ18" s="535"/>
      <c r="BK18" s="545"/>
    </row>
    <row r="19" spans="1:63" x14ac:dyDescent="0.35">
      <c r="A19" s="512"/>
      <c r="B19" s="512"/>
      <c r="C19" s="512" t="e">
        <f>VLOOKUP(D19,Products!B:D,2,FALSE)</f>
        <v>#N/A</v>
      </c>
      <c r="D19" s="504"/>
      <c r="E19" s="519">
        <v>1</v>
      </c>
      <c r="F19" s="530"/>
      <c r="G19" s="537"/>
      <c r="H19" s="530"/>
      <c r="I19" s="537"/>
      <c r="J19" s="530"/>
      <c r="K19" s="537"/>
      <c r="L19" s="530"/>
      <c r="M19" s="537"/>
      <c r="N19" s="530"/>
      <c r="O19" s="537"/>
      <c r="P19" s="572"/>
      <c r="Q19" s="587"/>
      <c r="R19" s="572"/>
      <c r="S19" s="587"/>
      <c r="T19" s="530"/>
      <c r="U19" s="537"/>
      <c r="V19" s="530"/>
      <c r="W19" s="537"/>
      <c r="X19" s="530"/>
      <c r="Y19" s="537"/>
      <c r="Z19" s="530"/>
      <c r="AA19" s="537"/>
      <c r="AB19" s="530"/>
      <c r="AC19" s="537"/>
      <c r="AD19" s="572"/>
      <c r="AE19" s="587"/>
      <c r="AF19" s="530"/>
      <c r="AG19" s="537"/>
      <c r="AH19" s="530"/>
      <c r="AI19" s="537"/>
      <c r="AJ19" s="530"/>
      <c r="AK19" s="537"/>
      <c r="AL19" s="530"/>
      <c r="AM19" s="537"/>
      <c r="AN19" s="530"/>
      <c r="AO19" s="537"/>
      <c r="AP19" s="530"/>
      <c r="AQ19" s="537"/>
      <c r="AR19" s="572"/>
      <c r="AS19" s="587"/>
      <c r="AT19" s="530"/>
      <c r="AU19" s="537"/>
      <c r="AV19" s="530"/>
      <c r="AW19" s="537"/>
      <c r="AX19" s="530"/>
      <c r="AY19" s="537"/>
      <c r="AZ19" s="530"/>
      <c r="BA19" s="537"/>
      <c r="BB19" s="530"/>
      <c r="BC19" s="537"/>
      <c r="BD19" s="530"/>
      <c r="BE19" s="537"/>
      <c r="BF19" s="572"/>
      <c r="BG19" s="587"/>
      <c r="BH19" s="530"/>
      <c r="BI19" s="537"/>
      <c r="BJ19" s="535">
        <f t="shared" si="2"/>
        <v>0</v>
      </c>
      <c r="BK19" s="545">
        <f t="shared" si="3"/>
        <v>0</v>
      </c>
    </row>
    <row r="20" spans="1:63" ht="30" customHeight="1" x14ac:dyDescent="0.35">
      <c r="A20" s="512"/>
      <c r="B20" s="512"/>
      <c r="C20" s="512"/>
      <c r="D20" s="649" t="s">
        <v>18</v>
      </c>
      <c r="E20" s="775"/>
      <c r="F20" s="542">
        <f t="shared" ref="F20:AK20" si="4">SUM(F21:F28)</f>
        <v>0</v>
      </c>
      <c r="G20" s="515">
        <f t="shared" si="4"/>
        <v>0</v>
      </c>
      <c r="H20" s="542">
        <f t="shared" si="4"/>
        <v>0</v>
      </c>
      <c r="I20" s="515">
        <f t="shared" si="4"/>
        <v>0</v>
      </c>
      <c r="J20" s="542">
        <f t="shared" si="4"/>
        <v>0</v>
      </c>
      <c r="K20" s="515">
        <f t="shared" si="4"/>
        <v>0</v>
      </c>
      <c r="L20" s="542">
        <f t="shared" si="4"/>
        <v>0</v>
      </c>
      <c r="M20" s="515">
        <f t="shared" si="4"/>
        <v>0</v>
      </c>
      <c r="N20" s="542">
        <f t="shared" si="4"/>
        <v>0</v>
      </c>
      <c r="O20" s="515">
        <f t="shared" si="4"/>
        <v>0</v>
      </c>
      <c r="P20" s="542">
        <f t="shared" si="4"/>
        <v>0</v>
      </c>
      <c r="Q20" s="575">
        <f t="shared" si="4"/>
        <v>0</v>
      </c>
      <c r="R20" s="542">
        <f t="shared" si="4"/>
        <v>0</v>
      </c>
      <c r="S20" s="575">
        <f t="shared" si="4"/>
        <v>0</v>
      </c>
      <c r="T20" s="542">
        <f t="shared" si="4"/>
        <v>0</v>
      </c>
      <c r="U20" s="515">
        <f t="shared" si="4"/>
        <v>0</v>
      </c>
      <c r="V20" s="542">
        <f t="shared" si="4"/>
        <v>0</v>
      </c>
      <c r="W20" s="515">
        <f t="shared" si="4"/>
        <v>0</v>
      </c>
      <c r="X20" s="542">
        <f>SUM(X21:X28)</f>
        <v>0</v>
      </c>
      <c r="Y20" s="515">
        <f>SUM(Y21:Y28)</f>
        <v>0</v>
      </c>
      <c r="Z20" s="542">
        <f t="shared" si="4"/>
        <v>0</v>
      </c>
      <c r="AA20" s="515">
        <f t="shared" si="4"/>
        <v>0</v>
      </c>
      <c r="AB20" s="542">
        <f>SUM(AB21:AB28)</f>
        <v>0</v>
      </c>
      <c r="AC20" s="515">
        <f>SUM(AC21:AC28)</f>
        <v>0</v>
      </c>
      <c r="AD20" s="542">
        <f>SUM(AD21:AD28)</f>
        <v>0</v>
      </c>
      <c r="AE20" s="575">
        <f>SUM(AE21:AE28)</f>
        <v>0</v>
      </c>
      <c r="AF20" s="542">
        <f t="shared" si="4"/>
        <v>0</v>
      </c>
      <c r="AG20" s="515">
        <f t="shared" si="4"/>
        <v>0</v>
      </c>
      <c r="AH20" s="542">
        <f t="shared" si="4"/>
        <v>0</v>
      </c>
      <c r="AI20" s="515">
        <f t="shared" si="4"/>
        <v>0</v>
      </c>
      <c r="AJ20" s="542">
        <f t="shared" si="4"/>
        <v>0</v>
      </c>
      <c r="AK20" s="515">
        <f t="shared" si="4"/>
        <v>0</v>
      </c>
      <c r="AL20" s="542">
        <f>SUM(AL21:AL28)</f>
        <v>0</v>
      </c>
      <c r="AM20" s="515">
        <f>SUM(AM21:AM28)</f>
        <v>0</v>
      </c>
      <c r="AN20" s="542">
        <f t="shared" ref="AN20:BI20" si="5">SUM(AN21:AN28)</f>
        <v>0</v>
      </c>
      <c r="AO20" s="515">
        <f t="shared" si="5"/>
        <v>0</v>
      </c>
      <c r="AP20" s="542">
        <f>SUM(AP21:AP28)</f>
        <v>0</v>
      </c>
      <c r="AQ20" s="515">
        <f>SUM(AQ21:AQ28)</f>
        <v>0</v>
      </c>
      <c r="AR20" s="542">
        <f>SUM(AR21:AR28)</f>
        <v>0</v>
      </c>
      <c r="AS20" s="575">
        <f>SUM(AS21:AS28)</f>
        <v>0</v>
      </c>
      <c r="AT20" s="542">
        <f t="shared" si="5"/>
        <v>0</v>
      </c>
      <c r="AU20" s="515">
        <f t="shared" si="5"/>
        <v>0</v>
      </c>
      <c r="AV20" s="542">
        <f t="shared" si="5"/>
        <v>0</v>
      </c>
      <c r="AW20" s="515">
        <f t="shared" si="5"/>
        <v>0</v>
      </c>
      <c r="AX20" s="542">
        <f t="shared" si="5"/>
        <v>0</v>
      </c>
      <c r="AY20" s="515">
        <f t="shared" si="5"/>
        <v>0</v>
      </c>
      <c r="AZ20" s="542">
        <f>SUM(AZ21:AZ28)</f>
        <v>0</v>
      </c>
      <c r="BA20" s="515">
        <f>SUM(BA21:BA28)</f>
        <v>0</v>
      </c>
      <c r="BB20" s="542">
        <f t="shared" si="5"/>
        <v>0</v>
      </c>
      <c r="BC20" s="515">
        <f t="shared" si="5"/>
        <v>0</v>
      </c>
      <c r="BD20" s="542">
        <f>SUM(BD21:BD28)</f>
        <v>0</v>
      </c>
      <c r="BE20" s="515">
        <f>SUM(BE21:BE28)</f>
        <v>0</v>
      </c>
      <c r="BF20" s="542">
        <f>SUM(BF21:BF28)</f>
        <v>0</v>
      </c>
      <c r="BG20" s="575">
        <f>SUM(BG21:BG28)</f>
        <v>0</v>
      </c>
      <c r="BH20" s="542">
        <f t="shared" si="5"/>
        <v>0</v>
      </c>
      <c r="BI20" s="515">
        <f t="shared" si="5"/>
        <v>0</v>
      </c>
      <c r="BJ20" s="535">
        <f t="shared" si="2"/>
        <v>0</v>
      </c>
      <c r="BK20" s="545">
        <f t="shared" si="3"/>
        <v>56</v>
      </c>
    </row>
    <row r="21" spans="1:63" x14ac:dyDescent="0.35">
      <c r="A21" s="524"/>
      <c r="B21" s="524"/>
      <c r="C21" s="524"/>
      <c r="D21" s="651" t="s">
        <v>19</v>
      </c>
      <c r="E21" s="652"/>
      <c r="F21" s="530"/>
      <c r="G21" s="537"/>
      <c r="H21" s="530"/>
      <c r="I21" s="537"/>
      <c r="J21" s="530"/>
      <c r="K21" s="537"/>
      <c r="L21" s="530"/>
      <c r="M21" s="537"/>
      <c r="N21" s="530"/>
      <c r="O21" s="537"/>
      <c r="P21" s="572"/>
      <c r="Q21" s="587"/>
      <c r="R21" s="572"/>
      <c r="S21" s="587"/>
      <c r="T21" s="530"/>
      <c r="U21" s="537"/>
      <c r="V21" s="530"/>
      <c r="W21" s="537"/>
      <c r="X21" s="530"/>
      <c r="Y21" s="537"/>
      <c r="Z21" s="530"/>
      <c r="AA21" s="537"/>
      <c r="AB21" s="530"/>
      <c r="AC21" s="537"/>
      <c r="AD21" s="572"/>
      <c r="AE21" s="587"/>
      <c r="AF21" s="530"/>
      <c r="AG21" s="537"/>
      <c r="AH21" s="530"/>
      <c r="AI21" s="537"/>
      <c r="AJ21" s="530"/>
      <c r="AK21" s="537"/>
      <c r="AL21" s="530"/>
      <c r="AM21" s="537"/>
      <c r="AN21" s="530"/>
      <c r="AO21" s="537"/>
      <c r="AP21" s="530"/>
      <c r="AQ21" s="537"/>
      <c r="AR21" s="572"/>
      <c r="AS21" s="587"/>
      <c r="AT21" s="530"/>
      <c r="AU21" s="537"/>
      <c r="AV21" s="530"/>
      <c r="AW21" s="537"/>
      <c r="AX21" s="530"/>
      <c r="AY21" s="537"/>
      <c r="AZ21" s="530"/>
      <c r="BA21" s="537"/>
      <c r="BB21" s="530"/>
      <c r="BC21" s="537"/>
      <c r="BD21" s="530"/>
      <c r="BE21" s="537"/>
      <c r="BF21" s="572"/>
      <c r="BG21" s="587"/>
      <c r="BH21" s="530"/>
      <c r="BI21" s="537"/>
      <c r="BJ21" s="535">
        <f t="shared" si="2"/>
        <v>0</v>
      </c>
      <c r="BK21" s="545">
        <f t="shared" si="3"/>
        <v>0</v>
      </c>
    </row>
    <row r="22" spans="1:63" x14ac:dyDescent="0.35">
      <c r="A22" s="524"/>
      <c r="B22" s="524"/>
      <c r="C22" s="524"/>
      <c r="D22" s="643" t="s">
        <v>20</v>
      </c>
      <c r="E22" s="644"/>
      <c r="F22" s="530"/>
      <c r="G22" s="537"/>
      <c r="H22" s="530"/>
      <c r="I22" s="537"/>
      <c r="J22" s="530"/>
      <c r="K22" s="537"/>
      <c r="L22" s="530"/>
      <c r="M22" s="537"/>
      <c r="N22" s="530"/>
      <c r="O22" s="537"/>
      <c r="P22" s="572"/>
      <c r="Q22" s="587"/>
      <c r="R22" s="572"/>
      <c r="S22" s="587"/>
      <c r="T22" s="530"/>
      <c r="U22" s="537"/>
      <c r="V22" s="530"/>
      <c r="W22" s="537"/>
      <c r="X22" s="530"/>
      <c r="Y22" s="537"/>
      <c r="Z22" s="530"/>
      <c r="AA22" s="537"/>
      <c r="AB22" s="530"/>
      <c r="AC22" s="537"/>
      <c r="AD22" s="572"/>
      <c r="AE22" s="587"/>
      <c r="AF22" s="530"/>
      <c r="AG22" s="537"/>
      <c r="AH22" s="530"/>
      <c r="AI22" s="537"/>
      <c r="AJ22" s="530"/>
      <c r="AK22" s="537"/>
      <c r="AL22" s="530"/>
      <c r="AM22" s="537"/>
      <c r="AN22" s="530"/>
      <c r="AO22" s="537"/>
      <c r="AP22" s="530"/>
      <c r="AQ22" s="537"/>
      <c r="AR22" s="572"/>
      <c r="AS22" s="587"/>
      <c r="AT22" s="530"/>
      <c r="AU22" s="537"/>
      <c r="AV22" s="530"/>
      <c r="AW22" s="537"/>
      <c r="AX22" s="530"/>
      <c r="AY22" s="537"/>
      <c r="AZ22" s="530"/>
      <c r="BA22" s="537"/>
      <c r="BB22" s="530"/>
      <c r="BC22" s="537"/>
      <c r="BD22" s="530"/>
      <c r="BE22" s="537"/>
      <c r="BF22" s="572"/>
      <c r="BG22" s="587"/>
      <c r="BH22" s="530"/>
      <c r="BI22" s="537"/>
      <c r="BJ22" s="535">
        <f t="shared" si="2"/>
        <v>0</v>
      </c>
      <c r="BK22" s="545">
        <f t="shared" si="3"/>
        <v>0</v>
      </c>
    </row>
    <row r="23" spans="1:63" x14ac:dyDescent="0.35">
      <c r="A23" s="524"/>
      <c r="B23" s="524"/>
      <c r="C23" s="524"/>
      <c r="D23" s="643" t="s">
        <v>21</v>
      </c>
      <c r="E23" s="644"/>
      <c r="F23" s="530"/>
      <c r="G23" s="537"/>
      <c r="H23" s="530"/>
      <c r="I23" s="537"/>
      <c r="J23" s="530"/>
      <c r="K23" s="537"/>
      <c r="L23" s="530"/>
      <c r="M23" s="537"/>
      <c r="N23" s="530"/>
      <c r="O23" s="537"/>
      <c r="P23" s="572"/>
      <c r="Q23" s="587"/>
      <c r="R23" s="572"/>
      <c r="S23" s="587"/>
      <c r="T23" s="530"/>
      <c r="U23" s="537"/>
      <c r="V23" s="530"/>
      <c r="W23" s="537"/>
      <c r="X23" s="530"/>
      <c r="Y23" s="537"/>
      <c r="Z23" s="530"/>
      <c r="AA23" s="537"/>
      <c r="AB23" s="530"/>
      <c r="AC23" s="537"/>
      <c r="AD23" s="572"/>
      <c r="AE23" s="587"/>
      <c r="AF23" s="530"/>
      <c r="AG23" s="537"/>
      <c r="AH23" s="530"/>
      <c r="AI23" s="537"/>
      <c r="AJ23" s="530"/>
      <c r="AK23" s="537"/>
      <c r="AL23" s="530"/>
      <c r="AM23" s="537"/>
      <c r="AN23" s="530"/>
      <c r="AO23" s="537"/>
      <c r="AP23" s="530"/>
      <c r="AQ23" s="537"/>
      <c r="AR23" s="572"/>
      <c r="AS23" s="587"/>
      <c r="AT23" s="530"/>
      <c r="AU23" s="537"/>
      <c r="AV23" s="530"/>
      <c r="AW23" s="537"/>
      <c r="AX23" s="530"/>
      <c r="AY23" s="537"/>
      <c r="AZ23" s="530"/>
      <c r="BA23" s="537"/>
      <c r="BB23" s="530"/>
      <c r="BC23" s="537"/>
      <c r="BD23" s="530"/>
      <c r="BE23" s="537"/>
      <c r="BF23" s="572"/>
      <c r="BG23" s="587"/>
      <c r="BH23" s="530"/>
      <c r="BI23" s="537"/>
      <c r="BJ23" s="535">
        <f t="shared" si="2"/>
        <v>0</v>
      </c>
      <c r="BK23" s="545">
        <f t="shared" si="3"/>
        <v>0</v>
      </c>
    </row>
    <row r="24" spans="1:63" x14ac:dyDescent="0.35">
      <c r="A24" s="524"/>
      <c r="B24" s="524"/>
      <c r="C24" s="524"/>
      <c r="D24" s="643"/>
      <c r="E24" s="644"/>
      <c r="F24" s="530"/>
      <c r="G24" s="537"/>
      <c r="H24" s="530"/>
      <c r="I24" s="537"/>
      <c r="J24" s="530"/>
      <c r="K24" s="537"/>
      <c r="L24" s="530"/>
      <c r="M24" s="537"/>
      <c r="N24" s="530"/>
      <c r="O24" s="537"/>
      <c r="P24" s="572"/>
      <c r="Q24" s="587"/>
      <c r="R24" s="572"/>
      <c r="S24" s="587"/>
      <c r="T24" s="530"/>
      <c r="U24" s="537"/>
      <c r="V24" s="530"/>
      <c r="W24" s="537"/>
      <c r="X24" s="530"/>
      <c r="Y24" s="537"/>
      <c r="Z24" s="530"/>
      <c r="AA24" s="537"/>
      <c r="AB24" s="530"/>
      <c r="AC24" s="537"/>
      <c r="AD24" s="572"/>
      <c r="AE24" s="587"/>
      <c r="AF24" s="530"/>
      <c r="AG24" s="537"/>
      <c r="AH24" s="530"/>
      <c r="AI24" s="537"/>
      <c r="AJ24" s="530"/>
      <c r="AK24" s="537"/>
      <c r="AL24" s="530"/>
      <c r="AM24" s="537"/>
      <c r="AN24" s="530"/>
      <c r="AO24" s="537"/>
      <c r="AP24" s="530"/>
      <c r="AQ24" s="537"/>
      <c r="AR24" s="572"/>
      <c r="AS24" s="587"/>
      <c r="AT24" s="530"/>
      <c r="AU24" s="537"/>
      <c r="AV24" s="530"/>
      <c r="AW24" s="537"/>
      <c r="AX24" s="530"/>
      <c r="AY24" s="537"/>
      <c r="AZ24" s="530"/>
      <c r="BA24" s="537"/>
      <c r="BB24" s="530"/>
      <c r="BC24" s="537"/>
      <c r="BD24" s="530"/>
      <c r="BE24" s="537"/>
      <c r="BF24" s="572"/>
      <c r="BG24" s="587"/>
      <c r="BH24" s="530"/>
      <c r="BI24" s="537"/>
      <c r="BJ24" s="535">
        <f t="shared" si="2"/>
        <v>0</v>
      </c>
      <c r="BK24" s="545">
        <f t="shared" si="3"/>
        <v>0</v>
      </c>
    </row>
    <row r="25" spans="1:63" x14ac:dyDescent="0.35">
      <c r="A25" s="524"/>
      <c r="B25" s="524"/>
      <c r="C25" s="524"/>
      <c r="D25" s="651" t="s">
        <v>22</v>
      </c>
      <c r="E25" s="652"/>
      <c r="F25" s="530"/>
      <c r="G25" s="537"/>
      <c r="H25" s="530"/>
      <c r="I25" s="537"/>
      <c r="J25" s="530"/>
      <c r="K25" s="537"/>
      <c r="L25" s="530"/>
      <c r="M25" s="537"/>
      <c r="N25" s="530"/>
      <c r="O25" s="537"/>
      <c r="P25" s="572"/>
      <c r="Q25" s="587"/>
      <c r="R25" s="572"/>
      <c r="S25" s="587"/>
      <c r="T25" s="530"/>
      <c r="U25" s="537"/>
      <c r="V25" s="530"/>
      <c r="W25" s="537"/>
      <c r="X25" s="530"/>
      <c r="Y25" s="537"/>
      <c r="Z25" s="530"/>
      <c r="AA25" s="537"/>
      <c r="AB25" s="530"/>
      <c r="AC25" s="537"/>
      <c r="AD25" s="572"/>
      <c r="AE25" s="587"/>
      <c r="AF25" s="530"/>
      <c r="AG25" s="537"/>
      <c r="AH25" s="530"/>
      <c r="AI25" s="537"/>
      <c r="AJ25" s="530"/>
      <c r="AK25" s="537"/>
      <c r="AL25" s="530"/>
      <c r="AM25" s="537"/>
      <c r="AN25" s="530"/>
      <c r="AO25" s="537"/>
      <c r="AP25" s="530"/>
      <c r="AQ25" s="537"/>
      <c r="AR25" s="572"/>
      <c r="AS25" s="587"/>
      <c r="AT25" s="530"/>
      <c r="AU25" s="537"/>
      <c r="AV25" s="530"/>
      <c r="AW25" s="537"/>
      <c r="AX25" s="530"/>
      <c r="AY25" s="537"/>
      <c r="AZ25" s="530"/>
      <c r="BA25" s="537"/>
      <c r="BB25" s="530"/>
      <c r="BC25" s="537"/>
      <c r="BD25" s="530"/>
      <c r="BE25" s="537"/>
      <c r="BF25" s="572"/>
      <c r="BG25" s="587"/>
      <c r="BH25" s="530"/>
      <c r="BI25" s="537"/>
      <c r="BJ25" s="535">
        <f t="shared" si="2"/>
        <v>0</v>
      </c>
      <c r="BK25" s="545">
        <f t="shared" si="3"/>
        <v>0</v>
      </c>
    </row>
    <row r="26" spans="1:63" x14ac:dyDescent="0.35">
      <c r="A26" s="524"/>
      <c r="B26" s="524"/>
      <c r="C26" s="524"/>
      <c r="D26" s="643" t="s">
        <v>20</v>
      </c>
      <c r="E26" s="644"/>
      <c r="F26" s="530"/>
      <c r="G26" s="537"/>
      <c r="H26" s="530"/>
      <c r="I26" s="537"/>
      <c r="J26" s="530"/>
      <c r="K26" s="537"/>
      <c r="L26" s="530"/>
      <c r="M26" s="537"/>
      <c r="N26" s="530"/>
      <c r="O26" s="537"/>
      <c r="P26" s="572"/>
      <c r="Q26" s="587"/>
      <c r="R26" s="572"/>
      <c r="S26" s="587"/>
      <c r="T26" s="530"/>
      <c r="U26" s="537"/>
      <c r="V26" s="530"/>
      <c r="W26" s="537"/>
      <c r="X26" s="530"/>
      <c r="Y26" s="537"/>
      <c r="Z26" s="530"/>
      <c r="AA26" s="537"/>
      <c r="AB26" s="530"/>
      <c r="AC26" s="537"/>
      <c r="AD26" s="572"/>
      <c r="AE26" s="587"/>
      <c r="AF26" s="530"/>
      <c r="AG26" s="537"/>
      <c r="AH26" s="530"/>
      <c r="AI26" s="537"/>
      <c r="AJ26" s="530"/>
      <c r="AK26" s="537"/>
      <c r="AL26" s="530"/>
      <c r="AM26" s="537"/>
      <c r="AN26" s="530"/>
      <c r="AO26" s="537"/>
      <c r="AP26" s="530"/>
      <c r="AQ26" s="537"/>
      <c r="AR26" s="572"/>
      <c r="AS26" s="587"/>
      <c r="AT26" s="530"/>
      <c r="AU26" s="537"/>
      <c r="AV26" s="530"/>
      <c r="AW26" s="537"/>
      <c r="AX26" s="530"/>
      <c r="AY26" s="537"/>
      <c r="AZ26" s="530"/>
      <c r="BA26" s="537"/>
      <c r="BB26" s="530"/>
      <c r="BC26" s="537"/>
      <c r="BD26" s="530"/>
      <c r="BE26" s="537"/>
      <c r="BF26" s="572"/>
      <c r="BG26" s="587"/>
      <c r="BH26" s="530"/>
      <c r="BI26" s="537"/>
      <c r="BJ26" s="535">
        <f t="shared" si="2"/>
        <v>0</v>
      </c>
      <c r="BK26" s="545">
        <f t="shared" si="3"/>
        <v>0</v>
      </c>
    </row>
    <row r="27" spans="1:63" x14ac:dyDescent="0.35">
      <c r="A27" s="524"/>
      <c r="B27" s="524"/>
      <c r="C27" s="524"/>
      <c r="D27" s="643" t="s">
        <v>21</v>
      </c>
      <c r="E27" s="644"/>
      <c r="F27" s="530"/>
      <c r="G27" s="537"/>
      <c r="H27" s="530"/>
      <c r="I27" s="537"/>
      <c r="J27" s="530"/>
      <c r="K27" s="537"/>
      <c r="L27" s="530"/>
      <c r="M27" s="537"/>
      <c r="N27" s="530"/>
      <c r="O27" s="537"/>
      <c r="P27" s="572"/>
      <c r="Q27" s="587"/>
      <c r="R27" s="572"/>
      <c r="S27" s="587"/>
      <c r="T27" s="530"/>
      <c r="U27" s="537"/>
      <c r="V27" s="530"/>
      <c r="W27" s="537"/>
      <c r="X27" s="530"/>
      <c r="Y27" s="537"/>
      <c r="Z27" s="530"/>
      <c r="AA27" s="537"/>
      <c r="AB27" s="530"/>
      <c r="AC27" s="537"/>
      <c r="AD27" s="572"/>
      <c r="AE27" s="587"/>
      <c r="AF27" s="530"/>
      <c r="AG27" s="537"/>
      <c r="AH27" s="530"/>
      <c r="AI27" s="537"/>
      <c r="AJ27" s="530"/>
      <c r="AK27" s="537"/>
      <c r="AL27" s="530"/>
      <c r="AM27" s="537"/>
      <c r="AN27" s="530"/>
      <c r="AO27" s="537"/>
      <c r="AP27" s="530"/>
      <c r="AQ27" s="537"/>
      <c r="AR27" s="572"/>
      <c r="AS27" s="587"/>
      <c r="AT27" s="530"/>
      <c r="AU27" s="537"/>
      <c r="AV27" s="530"/>
      <c r="AW27" s="537"/>
      <c r="AX27" s="530"/>
      <c r="AY27" s="537"/>
      <c r="AZ27" s="530"/>
      <c r="BA27" s="537"/>
      <c r="BB27" s="530"/>
      <c r="BC27" s="537"/>
      <c r="BD27" s="530"/>
      <c r="BE27" s="537"/>
      <c r="BF27" s="572"/>
      <c r="BG27" s="587"/>
      <c r="BH27" s="530"/>
      <c r="BI27" s="537"/>
      <c r="BJ27" s="535">
        <f t="shared" si="2"/>
        <v>0</v>
      </c>
      <c r="BK27" s="545">
        <f t="shared" si="3"/>
        <v>0</v>
      </c>
    </row>
    <row r="28" spans="1:63" x14ac:dyDescent="0.35">
      <c r="A28" s="524"/>
      <c r="B28" s="524"/>
      <c r="C28" s="524"/>
      <c r="D28" s="643" t="s">
        <v>23</v>
      </c>
      <c r="E28" s="644"/>
      <c r="F28" s="530"/>
      <c r="G28" s="537"/>
      <c r="H28" s="530"/>
      <c r="I28" s="537"/>
      <c r="J28" s="530"/>
      <c r="K28" s="537"/>
      <c r="L28" s="530"/>
      <c r="M28" s="537"/>
      <c r="N28" s="530"/>
      <c r="O28" s="537"/>
      <c r="P28" s="572"/>
      <c r="Q28" s="587"/>
      <c r="R28" s="572"/>
      <c r="S28" s="587"/>
      <c r="T28" s="530"/>
      <c r="U28" s="537"/>
      <c r="V28" s="530"/>
      <c r="W28" s="537"/>
      <c r="X28" s="530"/>
      <c r="Y28" s="537"/>
      <c r="Z28" s="530"/>
      <c r="AA28" s="537"/>
      <c r="AB28" s="530"/>
      <c r="AC28" s="537"/>
      <c r="AD28" s="572"/>
      <c r="AE28" s="587"/>
      <c r="AF28" s="530"/>
      <c r="AG28" s="537"/>
      <c r="AH28" s="530"/>
      <c r="AI28" s="537"/>
      <c r="AJ28" s="530"/>
      <c r="AK28" s="537"/>
      <c r="AL28" s="530"/>
      <c r="AM28" s="537"/>
      <c r="AN28" s="530"/>
      <c r="AO28" s="537"/>
      <c r="AP28" s="530"/>
      <c r="AQ28" s="537"/>
      <c r="AR28" s="572"/>
      <c r="AS28" s="587"/>
      <c r="AT28" s="530"/>
      <c r="AU28" s="537"/>
      <c r="AV28" s="530"/>
      <c r="AW28" s="537"/>
      <c r="AX28" s="530"/>
      <c r="AY28" s="537"/>
      <c r="AZ28" s="530"/>
      <c r="BA28" s="537"/>
      <c r="BB28" s="530"/>
      <c r="BC28" s="537"/>
      <c r="BD28" s="530"/>
      <c r="BE28" s="537"/>
      <c r="BF28" s="572"/>
      <c r="BG28" s="587"/>
      <c r="BH28" s="530"/>
      <c r="BI28" s="537"/>
      <c r="BJ28" s="535">
        <f t="shared" si="2"/>
        <v>0</v>
      </c>
      <c r="BK28" s="545">
        <f t="shared" si="3"/>
        <v>0</v>
      </c>
    </row>
    <row r="29" spans="1:63" ht="30.75" customHeight="1" x14ac:dyDescent="0.35">
      <c r="A29" s="524"/>
      <c r="B29" s="524"/>
      <c r="C29" s="524"/>
      <c r="D29" s="645" t="s">
        <v>24</v>
      </c>
      <c r="E29" s="646"/>
      <c r="F29" s="572">
        <f>SUM(F30:F107)</f>
        <v>0</v>
      </c>
      <c r="G29" s="514">
        <f>SUM(G30:G107)</f>
        <v>0</v>
      </c>
      <c r="H29" s="572">
        <f t="shared" ref="H29:BI29" si="6">SUM(H30:H107)</f>
        <v>20</v>
      </c>
      <c r="I29" s="514">
        <f t="shared" si="6"/>
        <v>0</v>
      </c>
      <c r="J29" s="572">
        <f>SUM(J30:J107)</f>
        <v>64</v>
      </c>
      <c r="K29" s="514">
        <f t="shared" si="6"/>
        <v>0</v>
      </c>
      <c r="L29" s="572">
        <f t="shared" si="6"/>
        <v>85</v>
      </c>
      <c r="M29" s="514">
        <f t="shared" si="6"/>
        <v>0</v>
      </c>
      <c r="N29" s="572">
        <f t="shared" si="6"/>
        <v>40</v>
      </c>
      <c r="O29" s="514">
        <f t="shared" si="6"/>
        <v>0</v>
      </c>
      <c r="P29" s="572">
        <f t="shared" si="6"/>
        <v>0</v>
      </c>
      <c r="Q29" s="587">
        <f t="shared" si="6"/>
        <v>0</v>
      </c>
      <c r="R29" s="572">
        <f>SUM(R30:R107)</f>
        <v>0</v>
      </c>
      <c r="S29" s="587">
        <f t="shared" si="6"/>
        <v>0</v>
      </c>
      <c r="T29" s="572">
        <f t="shared" si="6"/>
        <v>0</v>
      </c>
      <c r="U29" s="514">
        <f t="shared" si="6"/>
        <v>0</v>
      </c>
      <c r="V29" s="572">
        <f t="shared" si="6"/>
        <v>0</v>
      </c>
      <c r="W29" s="514">
        <f t="shared" si="6"/>
        <v>0</v>
      </c>
      <c r="X29" s="572">
        <f>SUM(X30:X107)</f>
        <v>0</v>
      </c>
      <c r="Y29" s="514">
        <f>SUM(Y30:Y107)</f>
        <v>0</v>
      </c>
      <c r="Z29" s="572">
        <f t="shared" si="6"/>
        <v>0</v>
      </c>
      <c r="AA29" s="514">
        <f t="shared" si="6"/>
        <v>0</v>
      </c>
      <c r="AB29" s="572">
        <f>SUM(AB30:AB107)</f>
        <v>0</v>
      </c>
      <c r="AC29" s="514">
        <f>SUM(AC30:AC107)</f>
        <v>0</v>
      </c>
      <c r="AD29" s="572">
        <f>SUM(AD30:AD107)</f>
        <v>0</v>
      </c>
      <c r="AE29" s="587">
        <f>SUM(AE30:AE107)</f>
        <v>0</v>
      </c>
      <c r="AF29" s="572">
        <f t="shared" si="6"/>
        <v>0</v>
      </c>
      <c r="AG29" s="514">
        <f t="shared" si="6"/>
        <v>0</v>
      </c>
      <c r="AH29" s="572">
        <f t="shared" si="6"/>
        <v>0</v>
      </c>
      <c r="AI29" s="514">
        <f t="shared" si="6"/>
        <v>0</v>
      </c>
      <c r="AJ29" s="572">
        <f t="shared" si="6"/>
        <v>0</v>
      </c>
      <c r="AK29" s="514">
        <f t="shared" si="6"/>
        <v>0</v>
      </c>
      <c r="AL29" s="572">
        <f>SUM(AL30:AL107)</f>
        <v>0</v>
      </c>
      <c r="AM29" s="514">
        <f>SUM(AM30:AM107)</f>
        <v>0</v>
      </c>
      <c r="AN29" s="572">
        <f t="shared" si="6"/>
        <v>0</v>
      </c>
      <c r="AO29" s="514">
        <f t="shared" si="6"/>
        <v>0</v>
      </c>
      <c r="AP29" s="572">
        <f>SUM(AP30:AP107)</f>
        <v>0</v>
      </c>
      <c r="AQ29" s="514">
        <f>SUM(AQ30:AQ107)</f>
        <v>0</v>
      </c>
      <c r="AR29" s="572">
        <f>SUM(AR30:AR107)</f>
        <v>0</v>
      </c>
      <c r="AS29" s="587">
        <f>SUM(AS30:AS107)</f>
        <v>0</v>
      </c>
      <c r="AT29" s="572">
        <f t="shared" si="6"/>
        <v>0</v>
      </c>
      <c r="AU29" s="514">
        <f t="shared" si="6"/>
        <v>0</v>
      </c>
      <c r="AV29" s="572">
        <f t="shared" si="6"/>
        <v>0</v>
      </c>
      <c r="AW29" s="514">
        <f t="shared" si="6"/>
        <v>0</v>
      </c>
      <c r="AX29" s="572">
        <f t="shared" si="6"/>
        <v>0</v>
      </c>
      <c r="AY29" s="514">
        <f t="shared" si="6"/>
        <v>0</v>
      </c>
      <c r="AZ29" s="572">
        <f>SUM(AZ30:AZ107)</f>
        <v>0</v>
      </c>
      <c r="BA29" s="514">
        <f>SUM(BA30:BA107)</f>
        <v>0</v>
      </c>
      <c r="BB29" s="572">
        <f t="shared" si="6"/>
        <v>0</v>
      </c>
      <c r="BC29" s="514">
        <f t="shared" si="6"/>
        <v>0</v>
      </c>
      <c r="BD29" s="572">
        <f>SUM(BD30:BD107)</f>
        <v>0</v>
      </c>
      <c r="BE29" s="514">
        <f>SUM(BE30:BE107)</f>
        <v>0</v>
      </c>
      <c r="BF29" s="572">
        <f>SUM(BF30:BF107)</f>
        <v>0</v>
      </c>
      <c r="BG29" s="587">
        <f>SUM(BG30:BG107)</f>
        <v>0</v>
      </c>
      <c r="BH29" s="572">
        <f t="shared" si="6"/>
        <v>0</v>
      </c>
      <c r="BI29" s="514">
        <f t="shared" si="6"/>
        <v>0</v>
      </c>
      <c r="BJ29" s="535">
        <f t="shared" si="2"/>
        <v>209</v>
      </c>
      <c r="BK29" s="545">
        <f t="shared" si="3"/>
        <v>56</v>
      </c>
    </row>
    <row r="30" spans="1:63" ht="16.5" customHeight="1" x14ac:dyDescent="0.35">
      <c r="A30" s="567"/>
      <c r="B30" s="567"/>
      <c r="C30" s="556">
        <f>SUM(BJ31:BJ50)</f>
        <v>0</v>
      </c>
      <c r="D30" s="647" t="s">
        <v>25</v>
      </c>
      <c r="E30" s="648"/>
      <c r="F30" s="590"/>
      <c r="G30" s="562"/>
      <c r="H30" s="590"/>
      <c r="I30" s="562"/>
      <c r="J30" s="590"/>
      <c r="K30" s="562"/>
      <c r="L30" s="590"/>
      <c r="M30" s="562"/>
      <c r="N30" s="590"/>
      <c r="O30" s="562"/>
      <c r="P30" s="572"/>
      <c r="Q30" s="587"/>
      <c r="R30" s="572"/>
      <c r="S30" s="587"/>
      <c r="T30" s="590"/>
      <c r="U30" s="562"/>
      <c r="V30" s="590"/>
      <c r="W30" s="562"/>
      <c r="X30" s="590"/>
      <c r="Y30" s="562"/>
      <c r="Z30" s="590"/>
      <c r="AA30" s="562"/>
      <c r="AB30" s="590"/>
      <c r="AC30" s="562"/>
      <c r="AD30" s="572"/>
      <c r="AE30" s="587"/>
      <c r="AF30" s="590"/>
      <c r="AG30" s="562"/>
      <c r="AH30" s="590"/>
      <c r="AI30" s="562"/>
      <c r="AJ30" s="590"/>
      <c r="AK30" s="562"/>
      <c r="AL30" s="590"/>
      <c r="AM30" s="562"/>
      <c r="AN30" s="590"/>
      <c r="AO30" s="562"/>
      <c r="AP30" s="590"/>
      <c r="AQ30" s="562"/>
      <c r="AR30" s="572"/>
      <c r="AS30" s="587"/>
      <c r="AT30" s="590"/>
      <c r="AU30" s="562"/>
      <c r="AV30" s="590"/>
      <c r="AW30" s="562"/>
      <c r="AX30" s="590"/>
      <c r="AY30" s="562"/>
      <c r="AZ30" s="590"/>
      <c r="BA30" s="562"/>
      <c r="BB30" s="590"/>
      <c r="BC30" s="562"/>
      <c r="BD30" s="590"/>
      <c r="BE30" s="562"/>
      <c r="BF30" s="572"/>
      <c r="BG30" s="587"/>
      <c r="BH30" s="590"/>
      <c r="BI30" s="562"/>
      <c r="BJ30" s="535">
        <f t="shared" si="2"/>
        <v>0</v>
      </c>
      <c r="BK30" s="545">
        <f t="shared" si="3"/>
        <v>0</v>
      </c>
    </row>
    <row r="31" spans="1:63" ht="16.5" customHeight="1" x14ac:dyDescent="0.35">
      <c r="A31" s="567"/>
      <c r="B31" s="546" t="s">
        <v>26</v>
      </c>
      <c r="C31" s="567" t="s">
        <v>27</v>
      </c>
      <c r="D31" s="653" t="s">
        <v>28</v>
      </c>
      <c r="E31" s="654"/>
      <c r="F31" s="590"/>
      <c r="G31" s="562"/>
      <c r="H31" s="590"/>
      <c r="I31" s="562"/>
      <c r="J31" s="590"/>
      <c r="K31" s="562"/>
      <c r="L31" s="590"/>
      <c r="M31" s="562"/>
      <c r="N31" s="590"/>
      <c r="O31" s="562"/>
      <c r="P31" s="572"/>
      <c r="Q31" s="587"/>
      <c r="R31" s="572"/>
      <c r="S31" s="587"/>
      <c r="T31" s="590"/>
      <c r="U31" s="562"/>
      <c r="V31" s="590"/>
      <c r="W31" s="562"/>
      <c r="X31" s="590"/>
      <c r="Y31" s="562"/>
      <c r="Z31" s="590"/>
      <c r="AA31" s="562"/>
      <c r="AB31" s="590"/>
      <c r="AC31" s="562"/>
      <c r="AD31" s="572"/>
      <c r="AE31" s="587"/>
      <c r="AF31" s="590"/>
      <c r="AG31" s="562"/>
      <c r="AH31" s="590"/>
      <c r="AI31" s="562"/>
      <c r="AJ31" s="590"/>
      <c r="AK31" s="562"/>
      <c r="AL31" s="590"/>
      <c r="AM31" s="562"/>
      <c r="AN31" s="590"/>
      <c r="AO31" s="562"/>
      <c r="AP31" s="590"/>
      <c r="AQ31" s="562"/>
      <c r="AR31" s="572"/>
      <c r="AS31" s="587"/>
      <c r="AT31" s="590"/>
      <c r="AU31" s="562"/>
      <c r="AV31" s="590"/>
      <c r="AW31" s="562"/>
      <c r="AX31" s="590"/>
      <c r="AY31" s="562"/>
      <c r="AZ31" s="590"/>
      <c r="BA31" s="562"/>
      <c r="BB31" s="590"/>
      <c r="BC31" s="562"/>
      <c r="BD31" s="590"/>
      <c r="BE31" s="562"/>
      <c r="BF31" s="572"/>
      <c r="BG31" s="587"/>
      <c r="BH31" s="590"/>
      <c r="BI31" s="562"/>
      <c r="BJ31" s="535">
        <f t="shared" si="2"/>
        <v>0</v>
      </c>
      <c r="BK31" s="545">
        <f t="shared" si="3"/>
        <v>0</v>
      </c>
    </row>
    <row r="32" spans="1:63" ht="15" customHeight="1" x14ac:dyDescent="0.35">
      <c r="A32" s="579"/>
      <c r="B32" s="546" t="s">
        <v>29</v>
      </c>
      <c r="C32" s="579" t="s">
        <v>30</v>
      </c>
      <c r="D32" s="653" t="s">
        <v>31</v>
      </c>
      <c r="E32" s="654"/>
      <c r="F32" s="590"/>
      <c r="G32" s="562"/>
      <c r="H32" s="590"/>
      <c r="I32" s="562"/>
      <c r="J32" s="590"/>
      <c r="K32" s="562"/>
      <c r="L32" s="590"/>
      <c r="M32" s="562"/>
      <c r="N32" s="590"/>
      <c r="O32" s="562"/>
      <c r="P32" s="572"/>
      <c r="Q32" s="587"/>
      <c r="R32" s="572"/>
      <c r="S32" s="587"/>
      <c r="T32" s="590"/>
      <c r="U32" s="562"/>
      <c r="V32" s="590"/>
      <c r="W32" s="562"/>
      <c r="X32" s="590"/>
      <c r="Y32" s="562"/>
      <c r="Z32" s="590"/>
      <c r="AA32" s="562"/>
      <c r="AB32" s="590"/>
      <c r="AC32" s="562"/>
      <c r="AD32" s="572"/>
      <c r="AE32" s="587"/>
      <c r="AF32" s="590"/>
      <c r="AG32" s="562"/>
      <c r="AH32" s="590"/>
      <c r="AI32" s="562"/>
      <c r="AJ32" s="590"/>
      <c r="AK32" s="562"/>
      <c r="AL32" s="590"/>
      <c r="AM32" s="562"/>
      <c r="AN32" s="590"/>
      <c r="AO32" s="562"/>
      <c r="AP32" s="590"/>
      <c r="AQ32" s="562"/>
      <c r="AR32" s="572"/>
      <c r="AS32" s="587"/>
      <c r="AT32" s="590"/>
      <c r="AU32" s="562"/>
      <c r="AV32" s="590"/>
      <c r="AW32" s="562"/>
      <c r="AX32" s="590"/>
      <c r="AY32" s="562"/>
      <c r="AZ32" s="590"/>
      <c r="BA32" s="562"/>
      <c r="BB32" s="590"/>
      <c r="BC32" s="562"/>
      <c r="BD32" s="590"/>
      <c r="BE32" s="562"/>
      <c r="BF32" s="572"/>
      <c r="BG32" s="587"/>
      <c r="BH32" s="590"/>
      <c r="BI32" s="562"/>
      <c r="BJ32" s="535">
        <f t="shared" si="2"/>
        <v>0</v>
      </c>
      <c r="BK32" s="545">
        <f t="shared" si="3"/>
        <v>0</v>
      </c>
    </row>
    <row r="33" spans="1:63" ht="15" customHeight="1" x14ac:dyDescent="0.35">
      <c r="A33" s="579"/>
      <c r="B33" s="546" t="s">
        <v>26</v>
      </c>
      <c r="C33" s="579" t="s">
        <v>32</v>
      </c>
      <c r="D33" s="653" t="s">
        <v>33</v>
      </c>
      <c r="E33" s="654"/>
      <c r="F33" s="590"/>
      <c r="G33" s="562"/>
      <c r="H33" s="590"/>
      <c r="I33" s="562"/>
      <c r="J33" s="590"/>
      <c r="K33" s="562"/>
      <c r="L33" s="590"/>
      <c r="M33" s="562"/>
      <c r="N33" s="590"/>
      <c r="O33" s="562"/>
      <c r="P33" s="572"/>
      <c r="Q33" s="587"/>
      <c r="R33" s="572"/>
      <c r="S33" s="587"/>
      <c r="T33" s="590"/>
      <c r="U33" s="562"/>
      <c r="V33" s="590"/>
      <c r="W33" s="562"/>
      <c r="X33" s="590"/>
      <c r="Y33" s="562"/>
      <c r="Z33" s="590"/>
      <c r="AA33" s="562"/>
      <c r="AB33" s="590"/>
      <c r="AC33" s="562"/>
      <c r="AD33" s="572"/>
      <c r="AE33" s="587"/>
      <c r="AF33" s="590"/>
      <c r="AG33" s="562"/>
      <c r="AH33" s="590"/>
      <c r="AI33" s="562"/>
      <c r="AJ33" s="590"/>
      <c r="AK33" s="562"/>
      <c r="AL33" s="590"/>
      <c r="AM33" s="562"/>
      <c r="AN33" s="590"/>
      <c r="AO33" s="562"/>
      <c r="AP33" s="590"/>
      <c r="AQ33" s="562"/>
      <c r="AR33" s="572"/>
      <c r="AS33" s="587"/>
      <c r="AT33" s="590"/>
      <c r="AU33" s="562"/>
      <c r="AV33" s="590"/>
      <c r="AW33" s="562"/>
      <c r="AX33" s="590"/>
      <c r="AY33" s="562"/>
      <c r="AZ33" s="590"/>
      <c r="BA33" s="562"/>
      <c r="BB33" s="590"/>
      <c r="BC33" s="562"/>
      <c r="BD33" s="590"/>
      <c r="BE33" s="562"/>
      <c r="BF33" s="572"/>
      <c r="BG33" s="587"/>
      <c r="BH33" s="590"/>
      <c r="BI33" s="562"/>
      <c r="BJ33" s="535">
        <f t="shared" si="2"/>
        <v>0</v>
      </c>
      <c r="BK33" s="545">
        <f t="shared" si="3"/>
        <v>0</v>
      </c>
    </row>
    <row r="34" spans="1:63" ht="15" customHeight="1" x14ac:dyDescent="0.35">
      <c r="A34" s="579"/>
      <c r="B34" s="546" t="s">
        <v>26</v>
      </c>
      <c r="C34" s="579" t="s">
        <v>34</v>
      </c>
      <c r="D34" s="653" t="s">
        <v>35</v>
      </c>
      <c r="E34" s="654"/>
      <c r="F34" s="590"/>
      <c r="G34" s="562"/>
      <c r="H34" s="590"/>
      <c r="I34" s="562"/>
      <c r="J34" s="590"/>
      <c r="K34" s="562"/>
      <c r="L34" s="590"/>
      <c r="M34" s="562"/>
      <c r="N34" s="590"/>
      <c r="O34" s="562"/>
      <c r="P34" s="572"/>
      <c r="Q34" s="587"/>
      <c r="R34" s="572"/>
      <c r="S34" s="587"/>
      <c r="T34" s="590"/>
      <c r="U34" s="562"/>
      <c r="V34" s="590"/>
      <c r="W34" s="562"/>
      <c r="X34" s="590"/>
      <c r="Y34" s="562"/>
      <c r="Z34" s="590"/>
      <c r="AA34" s="562"/>
      <c r="AB34" s="590"/>
      <c r="AC34" s="562"/>
      <c r="AD34" s="572"/>
      <c r="AE34" s="587"/>
      <c r="AF34" s="590"/>
      <c r="AG34" s="562"/>
      <c r="AH34" s="590"/>
      <c r="AI34" s="562"/>
      <c r="AJ34" s="590"/>
      <c r="AK34" s="562"/>
      <c r="AL34" s="590"/>
      <c r="AM34" s="562"/>
      <c r="AN34" s="590"/>
      <c r="AO34" s="562"/>
      <c r="AP34" s="590"/>
      <c r="AQ34" s="562"/>
      <c r="AR34" s="572"/>
      <c r="AS34" s="587"/>
      <c r="AT34" s="590"/>
      <c r="AU34" s="562"/>
      <c r="AV34" s="590"/>
      <c r="AW34" s="562"/>
      <c r="AX34" s="590"/>
      <c r="AY34" s="562"/>
      <c r="AZ34" s="590"/>
      <c r="BA34" s="562"/>
      <c r="BB34" s="590"/>
      <c r="BC34" s="562"/>
      <c r="BD34" s="590"/>
      <c r="BE34" s="562"/>
      <c r="BF34" s="572"/>
      <c r="BG34" s="587"/>
      <c r="BH34" s="590"/>
      <c r="BI34" s="562"/>
      <c r="BJ34" s="535">
        <f t="shared" ref="BJ34:BJ65" si="7">SUM(F34:BI34)</f>
        <v>0</v>
      </c>
      <c r="BK34" s="545">
        <f t="shared" ref="BK34:BK65" si="8">COUNT(F34:BI34)</f>
        <v>0</v>
      </c>
    </row>
    <row r="35" spans="1:63" ht="15" customHeight="1" x14ac:dyDescent="0.35">
      <c r="A35" s="579"/>
      <c r="B35" s="546" t="s">
        <v>26</v>
      </c>
      <c r="C35" s="579" t="s">
        <v>36</v>
      </c>
      <c r="D35" s="653" t="s">
        <v>37</v>
      </c>
      <c r="E35" s="654"/>
      <c r="F35" s="590"/>
      <c r="G35" s="562"/>
      <c r="H35" s="590"/>
      <c r="I35" s="562"/>
      <c r="J35" s="590"/>
      <c r="K35" s="562"/>
      <c r="L35" s="590"/>
      <c r="M35" s="562"/>
      <c r="N35" s="590"/>
      <c r="O35" s="562"/>
      <c r="P35" s="572"/>
      <c r="Q35" s="587"/>
      <c r="R35" s="572"/>
      <c r="S35" s="587"/>
      <c r="T35" s="590"/>
      <c r="U35" s="562"/>
      <c r="V35" s="590"/>
      <c r="W35" s="562"/>
      <c r="X35" s="590"/>
      <c r="Y35" s="562"/>
      <c r="Z35" s="590"/>
      <c r="AA35" s="562"/>
      <c r="AB35" s="590"/>
      <c r="AC35" s="562"/>
      <c r="AD35" s="572"/>
      <c r="AE35" s="587"/>
      <c r="AF35" s="590"/>
      <c r="AG35" s="562"/>
      <c r="AH35" s="590"/>
      <c r="AI35" s="562"/>
      <c r="AJ35" s="590"/>
      <c r="AK35" s="562"/>
      <c r="AL35" s="590"/>
      <c r="AM35" s="562"/>
      <c r="AN35" s="590"/>
      <c r="AO35" s="562"/>
      <c r="AP35" s="590"/>
      <c r="AQ35" s="562"/>
      <c r="AR35" s="572"/>
      <c r="AS35" s="587"/>
      <c r="AT35" s="590"/>
      <c r="AU35" s="562"/>
      <c r="AV35" s="590"/>
      <c r="AW35" s="562"/>
      <c r="AX35" s="590"/>
      <c r="AY35" s="562"/>
      <c r="AZ35" s="590"/>
      <c r="BA35" s="562"/>
      <c r="BB35" s="590"/>
      <c r="BC35" s="562"/>
      <c r="BD35" s="590"/>
      <c r="BE35" s="562"/>
      <c r="BF35" s="572"/>
      <c r="BG35" s="587"/>
      <c r="BH35" s="590"/>
      <c r="BI35" s="562"/>
      <c r="BJ35" s="535">
        <f t="shared" si="7"/>
        <v>0</v>
      </c>
      <c r="BK35" s="545">
        <f t="shared" si="8"/>
        <v>0</v>
      </c>
    </row>
    <row r="36" spans="1:63" ht="15" customHeight="1" x14ac:dyDescent="0.35">
      <c r="A36" s="579"/>
      <c r="B36" s="546" t="s">
        <v>26</v>
      </c>
      <c r="C36" s="567" t="s">
        <v>38</v>
      </c>
      <c r="D36" s="653" t="s">
        <v>39</v>
      </c>
      <c r="E36" s="654"/>
      <c r="F36" s="590"/>
      <c r="G36" s="562"/>
      <c r="H36" s="590"/>
      <c r="I36" s="562"/>
      <c r="J36" s="590"/>
      <c r="K36" s="562"/>
      <c r="L36" s="590"/>
      <c r="M36" s="562"/>
      <c r="N36" s="590"/>
      <c r="O36" s="562"/>
      <c r="P36" s="572"/>
      <c r="Q36" s="587"/>
      <c r="R36" s="572"/>
      <c r="S36" s="587"/>
      <c r="T36" s="590"/>
      <c r="U36" s="562"/>
      <c r="V36" s="590"/>
      <c r="W36" s="562"/>
      <c r="X36" s="590"/>
      <c r="Y36" s="562"/>
      <c r="Z36" s="590"/>
      <c r="AA36" s="562"/>
      <c r="AB36" s="590"/>
      <c r="AC36" s="562"/>
      <c r="AD36" s="572"/>
      <c r="AE36" s="587"/>
      <c r="AF36" s="590"/>
      <c r="AG36" s="562"/>
      <c r="AH36" s="590"/>
      <c r="AI36" s="562"/>
      <c r="AJ36" s="590"/>
      <c r="AK36" s="562"/>
      <c r="AL36" s="590"/>
      <c r="AM36" s="562"/>
      <c r="AN36" s="590"/>
      <c r="AO36" s="562"/>
      <c r="AP36" s="590"/>
      <c r="AQ36" s="562"/>
      <c r="AR36" s="572"/>
      <c r="AS36" s="587"/>
      <c r="AT36" s="590"/>
      <c r="AU36" s="562"/>
      <c r="AV36" s="590"/>
      <c r="AW36" s="562"/>
      <c r="AX36" s="590"/>
      <c r="AY36" s="562"/>
      <c r="AZ36" s="590"/>
      <c r="BA36" s="562"/>
      <c r="BB36" s="590"/>
      <c r="BC36" s="562"/>
      <c r="BD36" s="590"/>
      <c r="BE36" s="562"/>
      <c r="BF36" s="572"/>
      <c r="BG36" s="587"/>
      <c r="BH36" s="590"/>
      <c r="BI36" s="562"/>
      <c r="BJ36" s="535">
        <f t="shared" si="7"/>
        <v>0</v>
      </c>
      <c r="BK36" s="545">
        <f t="shared" si="8"/>
        <v>0</v>
      </c>
    </row>
    <row r="37" spans="1:63" ht="15" customHeight="1" x14ac:dyDescent="0.35">
      <c r="A37" s="579"/>
      <c r="B37" s="546" t="s">
        <v>26</v>
      </c>
      <c r="C37" s="579" t="s">
        <v>40</v>
      </c>
      <c r="D37" s="653" t="s">
        <v>41</v>
      </c>
      <c r="E37" s="654"/>
      <c r="F37" s="590"/>
      <c r="G37" s="562"/>
      <c r="H37" s="590"/>
      <c r="I37" s="562"/>
      <c r="J37" s="590"/>
      <c r="K37" s="562"/>
      <c r="L37" s="590"/>
      <c r="M37" s="562"/>
      <c r="N37" s="590"/>
      <c r="O37" s="562"/>
      <c r="P37" s="572"/>
      <c r="Q37" s="587"/>
      <c r="R37" s="572"/>
      <c r="S37" s="587"/>
      <c r="T37" s="590"/>
      <c r="U37" s="562"/>
      <c r="V37" s="590"/>
      <c r="W37" s="562"/>
      <c r="X37" s="590"/>
      <c r="Y37" s="562"/>
      <c r="Z37" s="590"/>
      <c r="AA37" s="562"/>
      <c r="AB37" s="590"/>
      <c r="AC37" s="562"/>
      <c r="AD37" s="572"/>
      <c r="AE37" s="587"/>
      <c r="AF37" s="590"/>
      <c r="AG37" s="562"/>
      <c r="AH37" s="590"/>
      <c r="AI37" s="562"/>
      <c r="AJ37" s="590"/>
      <c r="AK37" s="562"/>
      <c r="AL37" s="590"/>
      <c r="AM37" s="562"/>
      <c r="AN37" s="590"/>
      <c r="AO37" s="562"/>
      <c r="AP37" s="590"/>
      <c r="AQ37" s="562"/>
      <c r="AR37" s="572"/>
      <c r="AS37" s="587"/>
      <c r="AT37" s="590"/>
      <c r="AU37" s="562"/>
      <c r="AV37" s="590"/>
      <c r="AW37" s="562"/>
      <c r="AX37" s="590"/>
      <c r="AY37" s="562"/>
      <c r="AZ37" s="590"/>
      <c r="BA37" s="562"/>
      <c r="BB37" s="590"/>
      <c r="BC37" s="562"/>
      <c r="BD37" s="590"/>
      <c r="BE37" s="562"/>
      <c r="BF37" s="572"/>
      <c r="BG37" s="587"/>
      <c r="BH37" s="590"/>
      <c r="BI37" s="562"/>
      <c r="BJ37" s="535">
        <f t="shared" si="7"/>
        <v>0</v>
      </c>
      <c r="BK37" s="545">
        <f t="shared" si="8"/>
        <v>0</v>
      </c>
    </row>
    <row r="38" spans="1:63" ht="15" customHeight="1" x14ac:dyDescent="0.35">
      <c r="A38" s="579"/>
      <c r="B38" s="546" t="s">
        <v>26</v>
      </c>
      <c r="C38" s="567" t="s">
        <v>42</v>
      </c>
      <c r="D38" s="653" t="s">
        <v>43</v>
      </c>
      <c r="E38" s="654"/>
      <c r="F38" s="590"/>
      <c r="G38" s="562"/>
      <c r="H38" s="590"/>
      <c r="I38" s="562"/>
      <c r="J38" s="590"/>
      <c r="K38" s="562"/>
      <c r="L38" s="590"/>
      <c r="M38" s="562"/>
      <c r="N38" s="590"/>
      <c r="O38" s="562"/>
      <c r="P38" s="572"/>
      <c r="Q38" s="587"/>
      <c r="R38" s="572"/>
      <c r="S38" s="587"/>
      <c r="T38" s="590"/>
      <c r="U38" s="562"/>
      <c r="V38" s="590"/>
      <c r="W38" s="562"/>
      <c r="X38" s="590"/>
      <c r="Y38" s="562"/>
      <c r="Z38" s="590"/>
      <c r="AA38" s="562"/>
      <c r="AB38" s="590"/>
      <c r="AC38" s="562"/>
      <c r="AD38" s="572"/>
      <c r="AE38" s="587"/>
      <c r="AF38" s="590"/>
      <c r="AG38" s="562"/>
      <c r="AH38" s="590"/>
      <c r="AI38" s="562"/>
      <c r="AJ38" s="590"/>
      <c r="AK38" s="562"/>
      <c r="AL38" s="590"/>
      <c r="AM38" s="562"/>
      <c r="AN38" s="590"/>
      <c r="AO38" s="562"/>
      <c r="AP38" s="590"/>
      <c r="AQ38" s="562"/>
      <c r="AR38" s="572"/>
      <c r="AS38" s="587"/>
      <c r="AT38" s="590"/>
      <c r="AU38" s="562"/>
      <c r="AV38" s="590"/>
      <c r="AW38" s="562"/>
      <c r="AX38" s="590"/>
      <c r="AY38" s="562"/>
      <c r="AZ38" s="590"/>
      <c r="BA38" s="562"/>
      <c r="BB38" s="590"/>
      <c r="BC38" s="562"/>
      <c r="BD38" s="590"/>
      <c r="BE38" s="562"/>
      <c r="BF38" s="572"/>
      <c r="BG38" s="587"/>
      <c r="BH38" s="590"/>
      <c r="BI38" s="562"/>
      <c r="BJ38" s="535">
        <f t="shared" si="7"/>
        <v>0</v>
      </c>
      <c r="BK38" s="545">
        <f t="shared" si="8"/>
        <v>0</v>
      </c>
    </row>
    <row r="39" spans="1:63" ht="15" customHeight="1" x14ac:dyDescent="0.35">
      <c r="A39" s="579"/>
      <c r="B39" s="546" t="s">
        <v>44</v>
      </c>
      <c r="C39" s="579" t="s">
        <v>45</v>
      </c>
      <c r="D39" s="653" t="s">
        <v>43</v>
      </c>
      <c r="E39" s="654"/>
      <c r="F39" s="590"/>
      <c r="G39" s="562"/>
      <c r="H39" s="590"/>
      <c r="I39" s="562"/>
      <c r="J39" s="590"/>
      <c r="K39" s="562"/>
      <c r="L39" s="590"/>
      <c r="M39" s="562"/>
      <c r="N39" s="590"/>
      <c r="O39" s="562"/>
      <c r="P39" s="572"/>
      <c r="Q39" s="587"/>
      <c r="R39" s="572"/>
      <c r="S39" s="587"/>
      <c r="T39" s="590"/>
      <c r="U39" s="562"/>
      <c r="V39" s="590"/>
      <c r="W39" s="562"/>
      <c r="X39" s="590"/>
      <c r="Y39" s="562"/>
      <c r="Z39" s="590"/>
      <c r="AA39" s="562"/>
      <c r="AB39" s="590"/>
      <c r="AC39" s="562"/>
      <c r="AD39" s="572"/>
      <c r="AE39" s="587"/>
      <c r="AF39" s="590"/>
      <c r="AG39" s="562"/>
      <c r="AH39" s="590"/>
      <c r="AI39" s="562"/>
      <c r="AJ39" s="590"/>
      <c r="AK39" s="562"/>
      <c r="AL39" s="590"/>
      <c r="AM39" s="562"/>
      <c r="AN39" s="590"/>
      <c r="AO39" s="562"/>
      <c r="AP39" s="590"/>
      <c r="AQ39" s="562"/>
      <c r="AR39" s="572"/>
      <c r="AS39" s="587"/>
      <c r="AT39" s="590"/>
      <c r="AU39" s="562"/>
      <c r="AV39" s="590"/>
      <c r="AW39" s="562"/>
      <c r="AX39" s="590"/>
      <c r="AY39" s="562"/>
      <c r="AZ39" s="590"/>
      <c r="BA39" s="562"/>
      <c r="BB39" s="590"/>
      <c r="BC39" s="562"/>
      <c r="BD39" s="590"/>
      <c r="BE39" s="562"/>
      <c r="BF39" s="572"/>
      <c r="BG39" s="587"/>
      <c r="BH39" s="590"/>
      <c r="BI39" s="562"/>
      <c r="BJ39" s="535">
        <f t="shared" si="7"/>
        <v>0</v>
      </c>
      <c r="BK39" s="545">
        <f t="shared" si="8"/>
        <v>0</v>
      </c>
    </row>
    <row r="40" spans="1:63" ht="15" customHeight="1" x14ac:dyDescent="0.35">
      <c r="A40" s="579"/>
      <c r="B40" s="546" t="s">
        <v>46</v>
      </c>
      <c r="C40" s="579" t="s">
        <v>47</v>
      </c>
      <c r="D40" s="653" t="s">
        <v>48</v>
      </c>
      <c r="E40" s="654"/>
      <c r="F40" s="590"/>
      <c r="G40" s="562"/>
      <c r="H40" s="590"/>
      <c r="I40" s="562"/>
      <c r="J40" s="590"/>
      <c r="K40" s="562"/>
      <c r="L40" s="590"/>
      <c r="M40" s="562"/>
      <c r="N40" s="590"/>
      <c r="O40" s="562"/>
      <c r="P40" s="572"/>
      <c r="Q40" s="587"/>
      <c r="R40" s="572"/>
      <c r="S40" s="587"/>
      <c r="T40" s="590"/>
      <c r="U40" s="562"/>
      <c r="V40" s="590"/>
      <c r="W40" s="562"/>
      <c r="X40" s="590"/>
      <c r="Y40" s="562"/>
      <c r="Z40" s="590"/>
      <c r="AA40" s="562"/>
      <c r="AB40" s="590"/>
      <c r="AC40" s="562"/>
      <c r="AD40" s="572"/>
      <c r="AE40" s="587"/>
      <c r="AF40" s="590"/>
      <c r="AG40" s="562"/>
      <c r="AH40" s="590"/>
      <c r="AI40" s="562"/>
      <c r="AJ40" s="590"/>
      <c r="AK40" s="562"/>
      <c r="AL40" s="590"/>
      <c r="AM40" s="562"/>
      <c r="AN40" s="590"/>
      <c r="AO40" s="562"/>
      <c r="AP40" s="590"/>
      <c r="AQ40" s="562"/>
      <c r="AR40" s="572"/>
      <c r="AS40" s="587"/>
      <c r="AT40" s="590"/>
      <c r="AU40" s="562"/>
      <c r="AV40" s="590"/>
      <c r="AW40" s="562"/>
      <c r="AX40" s="590"/>
      <c r="AY40" s="562"/>
      <c r="AZ40" s="590"/>
      <c r="BA40" s="562"/>
      <c r="BB40" s="590"/>
      <c r="BC40" s="562"/>
      <c r="BD40" s="590"/>
      <c r="BE40" s="562"/>
      <c r="BF40" s="572"/>
      <c r="BG40" s="587"/>
      <c r="BH40" s="590"/>
      <c r="BI40" s="562"/>
      <c r="BJ40" s="535">
        <f t="shared" si="7"/>
        <v>0</v>
      </c>
      <c r="BK40" s="545">
        <f t="shared" si="8"/>
        <v>0</v>
      </c>
    </row>
    <row r="41" spans="1:63" ht="15" customHeight="1" x14ac:dyDescent="0.35">
      <c r="A41" s="579"/>
      <c r="B41" s="546" t="s">
        <v>26</v>
      </c>
      <c r="C41" s="579" t="s">
        <v>49</v>
      </c>
      <c r="D41" s="653" t="s">
        <v>50</v>
      </c>
      <c r="E41" s="654"/>
      <c r="F41" s="590"/>
      <c r="G41" s="562"/>
      <c r="H41" s="590"/>
      <c r="I41" s="562"/>
      <c r="J41" s="590"/>
      <c r="K41" s="562"/>
      <c r="L41" s="590"/>
      <c r="M41" s="562"/>
      <c r="N41" s="590"/>
      <c r="O41" s="562"/>
      <c r="P41" s="572"/>
      <c r="Q41" s="587"/>
      <c r="R41" s="572"/>
      <c r="S41" s="587"/>
      <c r="T41" s="590"/>
      <c r="U41" s="562"/>
      <c r="V41" s="590"/>
      <c r="W41" s="562"/>
      <c r="X41" s="590"/>
      <c r="Y41" s="562"/>
      <c r="Z41" s="590"/>
      <c r="AA41" s="562"/>
      <c r="AB41" s="590"/>
      <c r="AC41" s="562"/>
      <c r="AD41" s="572"/>
      <c r="AE41" s="587"/>
      <c r="AF41" s="590"/>
      <c r="AG41" s="562"/>
      <c r="AH41" s="590"/>
      <c r="AI41" s="562"/>
      <c r="AJ41" s="590"/>
      <c r="AK41" s="562"/>
      <c r="AL41" s="590"/>
      <c r="AM41" s="562"/>
      <c r="AN41" s="590"/>
      <c r="AO41" s="562"/>
      <c r="AP41" s="590"/>
      <c r="AQ41" s="562"/>
      <c r="AR41" s="572"/>
      <c r="AS41" s="587"/>
      <c r="AT41" s="590"/>
      <c r="AU41" s="562"/>
      <c r="AV41" s="590"/>
      <c r="AW41" s="562"/>
      <c r="AX41" s="590"/>
      <c r="AY41" s="562"/>
      <c r="AZ41" s="590"/>
      <c r="BA41" s="562"/>
      <c r="BB41" s="590"/>
      <c r="BC41" s="562"/>
      <c r="BD41" s="590"/>
      <c r="BE41" s="562"/>
      <c r="BF41" s="572"/>
      <c r="BG41" s="587"/>
      <c r="BH41" s="590"/>
      <c r="BI41" s="562"/>
      <c r="BJ41" s="535">
        <f t="shared" si="7"/>
        <v>0</v>
      </c>
      <c r="BK41" s="545">
        <f t="shared" si="8"/>
        <v>0</v>
      </c>
    </row>
    <row r="42" spans="1:63" ht="15" customHeight="1" x14ac:dyDescent="0.35">
      <c r="A42" s="579"/>
      <c r="B42" s="546" t="s">
        <v>26</v>
      </c>
      <c r="C42" s="567" t="s">
        <v>51</v>
      </c>
      <c r="D42" s="653" t="s">
        <v>52</v>
      </c>
      <c r="E42" s="654"/>
      <c r="F42" s="590"/>
      <c r="G42" s="562"/>
      <c r="H42" s="590"/>
      <c r="I42" s="562"/>
      <c r="J42" s="590"/>
      <c r="K42" s="562"/>
      <c r="L42" s="590"/>
      <c r="M42" s="562"/>
      <c r="N42" s="590"/>
      <c r="O42" s="562"/>
      <c r="P42" s="572"/>
      <c r="Q42" s="587"/>
      <c r="R42" s="572"/>
      <c r="S42" s="587"/>
      <c r="T42" s="590"/>
      <c r="U42" s="562"/>
      <c r="V42" s="590"/>
      <c r="W42" s="562"/>
      <c r="X42" s="590"/>
      <c r="Y42" s="562"/>
      <c r="Z42" s="590"/>
      <c r="AA42" s="562"/>
      <c r="AB42" s="590"/>
      <c r="AC42" s="562"/>
      <c r="AD42" s="572"/>
      <c r="AE42" s="587"/>
      <c r="AF42" s="590"/>
      <c r="AG42" s="562"/>
      <c r="AH42" s="590"/>
      <c r="AI42" s="562"/>
      <c r="AJ42" s="590"/>
      <c r="AK42" s="562"/>
      <c r="AL42" s="590"/>
      <c r="AM42" s="562"/>
      <c r="AN42" s="590"/>
      <c r="AO42" s="562"/>
      <c r="AP42" s="590"/>
      <c r="AQ42" s="562"/>
      <c r="AR42" s="572"/>
      <c r="AS42" s="587"/>
      <c r="AT42" s="590"/>
      <c r="AU42" s="562"/>
      <c r="AV42" s="590"/>
      <c r="AW42" s="562"/>
      <c r="AX42" s="590"/>
      <c r="AY42" s="562"/>
      <c r="AZ42" s="590"/>
      <c r="BA42" s="562"/>
      <c r="BB42" s="590"/>
      <c r="BC42" s="562"/>
      <c r="BD42" s="590"/>
      <c r="BE42" s="562"/>
      <c r="BF42" s="572"/>
      <c r="BG42" s="587"/>
      <c r="BH42" s="590"/>
      <c r="BI42" s="562"/>
      <c r="BJ42" s="535">
        <f t="shared" si="7"/>
        <v>0</v>
      </c>
      <c r="BK42" s="545">
        <f t="shared" si="8"/>
        <v>0</v>
      </c>
    </row>
    <row r="43" spans="1:63" ht="15" customHeight="1" x14ac:dyDescent="0.35">
      <c r="A43" s="579"/>
      <c r="B43" s="546" t="s">
        <v>26</v>
      </c>
      <c r="C43" s="579" t="s">
        <v>53</v>
      </c>
      <c r="D43" s="653" t="s">
        <v>54</v>
      </c>
      <c r="E43" s="654"/>
      <c r="F43" s="590"/>
      <c r="G43" s="562"/>
      <c r="H43" s="590"/>
      <c r="I43" s="562"/>
      <c r="J43" s="590"/>
      <c r="K43" s="562"/>
      <c r="L43" s="590"/>
      <c r="M43" s="562"/>
      <c r="N43" s="590"/>
      <c r="O43" s="562"/>
      <c r="P43" s="572"/>
      <c r="Q43" s="587"/>
      <c r="R43" s="572"/>
      <c r="S43" s="587"/>
      <c r="T43" s="590"/>
      <c r="U43" s="562"/>
      <c r="V43" s="590"/>
      <c r="W43" s="562"/>
      <c r="X43" s="590"/>
      <c r="Y43" s="562"/>
      <c r="Z43" s="590"/>
      <c r="AA43" s="562"/>
      <c r="AB43" s="590"/>
      <c r="AC43" s="562"/>
      <c r="AD43" s="572"/>
      <c r="AE43" s="587"/>
      <c r="AF43" s="590"/>
      <c r="AG43" s="562"/>
      <c r="AH43" s="590"/>
      <c r="AI43" s="562"/>
      <c r="AJ43" s="590"/>
      <c r="AK43" s="562"/>
      <c r="AL43" s="590"/>
      <c r="AM43" s="562"/>
      <c r="AN43" s="590"/>
      <c r="AO43" s="562"/>
      <c r="AP43" s="590"/>
      <c r="AQ43" s="562"/>
      <c r="AR43" s="572"/>
      <c r="AS43" s="587"/>
      <c r="AT43" s="590"/>
      <c r="AU43" s="562"/>
      <c r="AV43" s="590"/>
      <c r="AW43" s="562"/>
      <c r="AX43" s="590"/>
      <c r="AY43" s="562"/>
      <c r="AZ43" s="590"/>
      <c r="BA43" s="562"/>
      <c r="BB43" s="590"/>
      <c r="BC43" s="562"/>
      <c r="BD43" s="590"/>
      <c r="BE43" s="562"/>
      <c r="BF43" s="572"/>
      <c r="BG43" s="587"/>
      <c r="BH43" s="590"/>
      <c r="BI43" s="562"/>
      <c r="BJ43" s="535">
        <f t="shared" si="7"/>
        <v>0</v>
      </c>
      <c r="BK43" s="545">
        <f t="shared" si="8"/>
        <v>0</v>
      </c>
    </row>
    <row r="44" spans="1:63" ht="15" customHeight="1" x14ac:dyDescent="0.35">
      <c r="A44" s="579"/>
      <c r="B44" s="546" t="s">
        <v>26</v>
      </c>
      <c r="C44" s="567" t="s">
        <v>55</v>
      </c>
      <c r="D44" s="653" t="s">
        <v>56</v>
      </c>
      <c r="E44" s="654"/>
      <c r="F44" s="590"/>
      <c r="G44" s="562"/>
      <c r="H44" s="590"/>
      <c r="I44" s="562"/>
      <c r="J44" s="590"/>
      <c r="K44" s="562"/>
      <c r="L44" s="590"/>
      <c r="M44" s="562"/>
      <c r="N44" s="590"/>
      <c r="O44" s="562"/>
      <c r="P44" s="572"/>
      <c r="Q44" s="587"/>
      <c r="R44" s="572"/>
      <c r="S44" s="587"/>
      <c r="T44" s="590"/>
      <c r="U44" s="562"/>
      <c r="V44" s="590"/>
      <c r="W44" s="562"/>
      <c r="X44" s="590"/>
      <c r="Y44" s="562"/>
      <c r="Z44" s="590"/>
      <c r="AA44" s="562"/>
      <c r="AB44" s="590"/>
      <c r="AC44" s="562"/>
      <c r="AD44" s="572"/>
      <c r="AE44" s="587"/>
      <c r="AF44" s="590"/>
      <c r="AG44" s="562"/>
      <c r="AH44" s="590"/>
      <c r="AI44" s="562"/>
      <c r="AJ44" s="590"/>
      <c r="AK44" s="562"/>
      <c r="AL44" s="590"/>
      <c r="AM44" s="562"/>
      <c r="AN44" s="590"/>
      <c r="AO44" s="562"/>
      <c r="AP44" s="590"/>
      <c r="AQ44" s="562"/>
      <c r="AR44" s="572"/>
      <c r="AS44" s="587"/>
      <c r="AT44" s="590"/>
      <c r="AU44" s="562"/>
      <c r="AV44" s="590"/>
      <c r="AW44" s="562"/>
      <c r="AX44" s="590"/>
      <c r="AY44" s="562"/>
      <c r="AZ44" s="590"/>
      <c r="BA44" s="562"/>
      <c r="BB44" s="590"/>
      <c r="BC44" s="562"/>
      <c r="BD44" s="590"/>
      <c r="BE44" s="562"/>
      <c r="BF44" s="572"/>
      <c r="BG44" s="587"/>
      <c r="BH44" s="590"/>
      <c r="BI44" s="562"/>
      <c r="BJ44" s="535">
        <f t="shared" si="7"/>
        <v>0</v>
      </c>
      <c r="BK44" s="545">
        <f t="shared" si="8"/>
        <v>0</v>
      </c>
    </row>
    <row r="45" spans="1:63" ht="15" customHeight="1" x14ac:dyDescent="0.35">
      <c r="A45" s="579"/>
      <c r="B45" s="546" t="s">
        <v>26</v>
      </c>
      <c r="C45" s="579" t="s">
        <v>57</v>
      </c>
      <c r="D45" s="653" t="s">
        <v>58</v>
      </c>
      <c r="E45" s="654"/>
      <c r="F45" s="590"/>
      <c r="G45" s="562"/>
      <c r="H45" s="590"/>
      <c r="I45" s="562"/>
      <c r="J45" s="590"/>
      <c r="K45" s="562"/>
      <c r="L45" s="590"/>
      <c r="M45" s="562"/>
      <c r="N45" s="590"/>
      <c r="O45" s="562"/>
      <c r="P45" s="572"/>
      <c r="Q45" s="587"/>
      <c r="R45" s="572"/>
      <c r="S45" s="587"/>
      <c r="T45" s="590"/>
      <c r="U45" s="562"/>
      <c r="V45" s="590"/>
      <c r="W45" s="562"/>
      <c r="X45" s="590"/>
      <c r="Y45" s="562"/>
      <c r="Z45" s="590"/>
      <c r="AA45" s="562"/>
      <c r="AB45" s="590"/>
      <c r="AC45" s="562"/>
      <c r="AD45" s="572"/>
      <c r="AE45" s="587"/>
      <c r="AF45" s="590"/>
      <c r="AG45" s="562"/>
      <c r="AH45" s="590"/>
      <c r="AI45" s="562"/>
      <c r="AJ45" s="590"/>
      <c r="AK45" s="562"/>
      <c r="AL45" s="590"/>
      <c r="AM45" s="562"/>
      <c r="AN45" s="590"/>
      <c r="AO45" s="562"/>
      <c r="AP45" s="590"/>
      <c r="AQ45" s="562"/>
      <c r="AR45" s="572"/>
      <c r="AS45" s="587"/>
      <c r="AT45" s="590"/>
      <c r="AU45" s="562"/>
      <c r="AV45" s="590"/>
      <c r="AW45" s="562"/>
      <c r="AX45" s="590"/>
      <c r="AY45" s="562"/>
      <c r="AZ45" s="590"/>
      <c r="BA45" s="562"/>
      <c r="BB45" s="590"/>
      <c r="BC45" s="562"/>
      <c r="BD45" s="590"/>
      <c r="BE45" s="562"/>
      <c r="BF45" s="572"/>
      <c r="BG45" s="587"/>
      <c r="BH45" s="590"/>
      <c r="BI45" s="562"/>
      <c r="BJ45" s="535">
        <f t="shared" si="7"/>
        <v>0</v>
      </c>
      <c r="BK45" s="545">
        <f t="shared" si="8"/>
        <v>0</v>
      </c>
    </row>
    <row r="46" spans="1:63" ht="15" customHeight="1" x14ac:dyDescent="0.35">
      <c r="A46" s="579"/>
      <c r="B46" s="546" t="s">
        <v>29</v>
      </c>
      <c r="C46" s="579" t="s">
        <v>59</v>
      </c>
      <c r="D46" s="653" t="s">
        <v>60</v>
      </c>
      <c r="E46" s="654"/>
      <c r="F46" s="590"/>
      <c r="G46" s="562"/>
      <c r="H46" s="590"/>
      <c r="I46" s="562"/>
      <c r="J46" s="590"/>
      <c r="K46" s="562"/>
      <c r="L46" s="590"/>
      <c r="M46" s="562"/>
      <c r="N46" s="590"/>
      <c r="O46" s="562"/>
      <c r="P46" s="572"/>
      <c r="Q46" s="587"/>
      <c r="R46" s="572"/>
      <c r="S46" s="587"/>
      <c r="T46" s="590"/>
      <c r="U46" s="562"/>
      <c r="V46" s="590"/>
      <c r="W46" s="562"/>
      <c r="X46" s="590"/>
      <c r="Y46" s="562"/>
      <c r="Z46" s="590"/>
      <c r="AA46" s="562"/>
      <c r="AB46" s="590"/>
      <c r="AC46" s="562"/>
      <c r="AD46" s="572"/>
      <c r="AE46" s="587"/>
      <c r="AF46" s="590"/>
      <c r="AG46" s="562"/>
      <c r="AH46" s="590"/>
      <c r="AI46" s="562"/>
      <c r="AJ46" s="590"/>
      <c r="AK46" s="562"/>
      <c r="AL46" s="590"/>
      <c r="AM46" s="562"/>
      <c r="AN46" s="590"/>
      <c r="AO46" s="562"/>
      <c r="AP46" s="590"/>
      <c r="AQ46" s="562"/>
      <c r="AR46" s="572"/>
      <c r="AS46" s="587"/>
      <c r="AT46" s="590"/>
      <c r="AU46" s="562"/>
      <c r="AV46" s="590"/>
      <c r="AW46" s="562"/>
      <c r="AX46" s="590"/>
      <c r="AY46" s="562"/>
      <c r="AZ46" s="590"/>
      <c r="BA46" s="562"/>
      <c r="BB46" s="590"/>
      <c r="BC46" s="562"/>
      <c r="BD46" s="590"/>
      <c r="BE46" s="562"/>
      <c r="BF46" s="572"/>
      <c r="BG46" s="587"/>
      <c r="BH46" s="590"/>
      <c r="BI46" s="562"/>
      <c r="BJ46" s="535">
        <f t="shared" si="7"/>
        <v>0</v>
      </c>
      <c r="BK46" s="545">
        <f t="shared" si="8"/>
        <v>0</v>
      </c>
    </row>
    <row r="47" spans="1:63" ht="15" customHeight="1" x14ac:dyDescent="0.35">
      <c r="A47" s="579"/>
      <c r="B47" s="546" t="s">
        <v>46</v>
      </c>
      <c r="C47" s="579" t="s">
        <v>61</v>
      </c>
      <c r="D47" s="653" t="s">
        <v>62</v>
      </c>
      <c r="E47" s="654"/>
      <c r="F47" s="590"/>
      <c r="G47" s="562"/>
      <c r="H47" s="590"/>
      <c r="I47" s="562"/>
      <c r="J47" s="590"/>
      <c r="K47" s="562"/>
      <c r="L47" s="590"/>
      <c r="M47" s="562"/>
      <c r="N47" s="590"/>
      <c r="O47" s="562"/>
      <c r="P47" s="572"/>
      <c r="Q47" s="587"/>
      <c r="R47" s="572"/>
      <c r="S47" s="587"/>
      <c r="T47" s="590"/>
      <c r="U47" s="562"/>
      <c r="V47" s="590"/>
      <c r="W47" s="562"/>
      <c r="X47" s="590"/>
      <c r="Y47" s="562"/>
      <c r="Z47" s="590"/>
      <c r="AA47" s="562"/>
      <c r="AB47" s="590"/>
      <c r="AC47" s="562"/>
      <c r="AD47" s="572"/>
      <c r="AE47" s="587"/>
      <c r="AF47" s="590"/>
      <c r="AG47" s="562"/>
      <c r="AH47" s="590"/>
      <c r="AI47" s="562"/>
      <c r="AJ47" s="590"/>
      <c r="AK47" s="562"/>
      <c r="AL47" s="590"/>
      <c r="AM47" s="562"/>
      <c r="AN47" s="590"/>
      <c r="AO47" s="562"/>
      <c r="AP47" s="590"/>
      <c r="AQ47" s="562"/>
      <c r="AR47" s="572"/>
      <c r="AS47" s="587"/>
      <c r="AT47" s="590"/>
      <c r="AU47" s="562"/>
      <c r="AV47" s="590"/>
      <c r="AW47" s="562"/>
      <c r="AX47" s="590"/>
      <c r="AY47" s="562"/>
      <c r="AZ47" s="590"/>
      <c r="BA47" s="562"/>
      <c r="BB47" s="590"/>
      <c r="BC47" s="562"/>
      <c r="BD47" s="590"/>
      <c r="BE47" s="562"/>
      <c r="BF47" s="572"/>
      <c r="BG47" s="587"/>
      <c r="BH47" s="590"/>
      <c r="BI47" s="562"/>
      <c r="BJ47" s="535">
        <f t="shared" si="7"/>
        <v>0</v>
      </c>
      <c r="BK47" s="545">
        <f t="shared" si="8"/>
        <v>0</v>
      </c>
    </row>
    <row r="48" spans="1:63" ht="15" customHeight="1" x14ac:dyDescent="0.35">
      <c r="A48" s="579"/>
      <c r="B48" s="546" t="s">
        <v>26</v>
      </c>
      <c r="C48" s="567" t="s">
        <v>63</v>
      </c>
      <c r="D48" s="653" t="s">
        <v>64</v>
      </c>
      <c r="E48" s="654"/>
      <c r="F48" s="590"/>
      <c r="G48" s="562"/>
      <c r="H48" s="590"/>
      <c r="I48" s="562"/>
      <c r="J48" s="590"/>
      <c r="K48" s="562"/>
      <c r="L48" s="590"/>
      <c r="M48" s="562"/>
      <c r="N48" s="590"/>
      <c r="O48" s="562"/>
      <c r="P48" s="572"/>
      <c r="Q48" s="587"/>
      <c r="R48" s="572"/>
      <c r="S48" s="587"/>
      <c r="T48" s="590"/>
      <c r="U48" s="562"/>
      <c r="V48" s="590"/>
      <c r="W48" s="562"/>
      <c r="X48" s="590"/>
      <c r="Y48" s="562"/>
      <c r="Z48" s="590"/>
      <c r="AA48" s="562"/>
      <c r="AB48" s="590"/>
      <c r="AC48" s="562"/>
      <c r="AD48" s="572"/>
      <c r="AE48" s="587"/>
      <c r="AF48" s="590"/>
      <c r="AG48" s="562"/>
      <c r="AH48" s="590"/>
      <c r="AI48" s="562"/>
      <c r="AJ48" s="590"/>
      <c r="AK48" s="562"/>
      <c r="AL48" s="590"/>
      <c r="AM48" s="562"/>
      <c r="AN48" s="590"/>
      <c r="AO48" s="562"/>
      <c r="AP48" s="590"/>
      <c r="AQ48" s="562"/>
      <c r="AR48" s="572"/>
      <c r="AS48" s="587"/>
      <c r="AT48" s="590"/>
      <c r="AU48" s="562"/>
      <c r="AV48" s="590"/>
      <c r="AW48" s="562"/>
      <c r="AX48" s="590"/>
      <c r="AY48" s="562"/>
      <c r="AZ48" s="590"/>
      <c r="BA48" s="562"/>
      <c r="BB48" s="590"/>
      <c r="BC48" s="562"/>
      <c r="BD48" s="590"/>
      <c r="BE48" s="562"/>
      <c r="BF48" s="572"/>
      <c r="BG48" s="587"/>
      <c r="BH48" s="590"/>
      <c r="BI48" s="562"/>
      <c r="BJ48" s="535">
        <f t="shared" si="7"/>
        <v>0</v>
      </c>
      <c r="BK48" s="545">
        <f t="shared" si="8"/>
        <v>0</v>
      </c>
    </row>
    <row r="49" spans="1:63" ht="15" customHeight="1" x14ac:dyDescent="0.35">
      <c r="A49" s="579"/>
      <c r="B49" s="546" t="s">
        <v>29</v>
      </c>
      <c r="C49" s="579" t="s">
        <v>65</v>
      </c>
      <c r="D49" s="653" t="s">
        <v>66</v>
      </c>
      <c r="E49" s="654"/>
      <c r="F49" s="590"/>
      <c r="G49" s="562"/>
      <c r="H49" s="590"/>
      <c r="I49" s="562"/>
      <c r="J49" s="590"/>
      <c r="K49" s="562"/>
      <c r="L49" s="590"/>
      <c r="M49" s="562"/>
      <c r="N49" s="590"/>
      <c r="O49" s="562"/>
      <c r="P49" s="572"/>
      <c r="Q49" s="587"/>
      <c r="R49" s="572"/>
      <c r="S49" s="587"/>
      <c r="T49" s="590"/>
      <c r="U49" s="562"/>
      <c r="V49" s="590"/>
      <c r="W49" s="562"/>
      <c r="X49" s="590"/>
      <c r="Y49" s="562"/>
      <c r="Z49" s="590"/>
      <c r="AA49" s="562"/>
      <c r="AB49" s="590"/>
      <c r="AC49" s="562"/>
      <c r="AD49" s="572"/>
      <c r="AE49" s="587"/>
      <c r="AF49" s="590"/>
      <c r="AG49" s="562"/>
      <c r="AH49" s="590"/>
      <c r="AI49" s="562"/>
      <c r="AJ49" s="590"/>
      <c r="AK49" s="562"/>
      <c r="AL49" s="590"/>
      <c r="AM49" s="562"/>
      <c r="AN49" s="590"/>
      <c r="AO49" s="562"/>
      <c r="AP49" s="590"/>
      <c r="AQ49" s="562"/>
      <c r="AR49" s="572"/>
      <c r="AS49" s="587"/>
      <c r="AT49" s="590"/>
      <c r="AU49" s="562"/>
      <c r="AV49" s="590"/>
      <c r="AW49" s="562"/>
      <c r="AX49" s="590"/>
      <c r="AY49" s="562"/>
      <c r="AZ49" s="590"/>
      <c r="BA49" s="562"/>
      <c r="BB49" s="590"/>
      <c r="BC49" s="562"/>
      <c r="BD49" s="590"/>
      <c r="BE49" s="562"/>
      <c r="BF49" s="572"/>
      <c r="BG49" s="587"/>
      <c r="BH49" s="590"/>
      <c r="BI49" s="562"/>
      <c r="BJ49" s="535">
        <f t="shared" si="7"/>
        <v>0</v>
      </c>
      <c r="BK49" s="545">
        <f t="shared" si="8"/>
        <v>0</v>
      </c>
    </row>
    <row r="50" spans="1:63" ht="15" customHeight="1" x14ac:dyDescent="0.35">
      <c r="A50" s="579"/>
      <c r="B50" s="546" t="s">
        <v>26</v>
      </c>
      <c r="C50" s="579" t="s">
        <v>67</v>
      </c>
      <c r="D50" s="653" t="s">
        <v>68</v>
      </c>
      <c r="E50" s="654"/>
      <c r="F50" s="590"/>
      <c r="G50" s="562"/>
      <c r="H50" s="590"/>
      <c r="I50" s="562"/>
      <c r="J50" s="590"/>
      <c r="K50" s="562"/>
      <c r="L50" s="590"/>
      <c r="M50" s="562"/>
      <c r="N50" s="590"/>
      <c r="O50" s="562"/>
      <c r="P50" s="572"/>
      <c r="Q50" s="587"/>
      <c r="R50" s="572"/>
      <c r="S50" s="587"/>
      <c r="T50" s="590"/>
      <c r="U50" s="562"/>
      <c r="V50" s="590"/>
      <c r="W50" s="562"/>
      <c r="X50" s="590"/>
      <c r="Y50" s="562"/>
      <c r="Z50" s="590"/>
      <c r="AA50" s="562"/>
      <c r="AB50" s="590"/>
      <c r="AC50" s="562"/>
      <c r="AD50" s="572"/>
      <c r="AE50" s="587"/>
      <c r="AF50" s="590"/>
      <c r="AG50" s="562"/>
      <c r="AH50" s="590"/>
      <c r="AI50" s="562"/>
      <c r="AJ50" s="590"/>
      <c r="AK50" s="562"/>
      <c r="AL50" s="590"/>
      <c r="AM50" s="562"/>
      <c r="AN50" s="590"/>
      <c r="AO50" s="562"/>
      <c r="AP50" s="590"/>
      <c r="AQ50" s="562"/>
      <c r="AR50" s="572"/>
      <c r="AS50" s="587"/>
      <c r="AT50" s="590"/>
      <c r="AU50" s="562"/>
      <c r="AV50" s="590"/>
      <c r="AW50" s="562"/>
      <c r="AX50" s="590"/>
      <c r="AY50" s="562"/>
      <c r="AZ50" s="590"/>
      <c r="BA50" s="562"/>
      <c r="BB50" s="590"/>
      <c r="BC50" s="562"/>
      <c r="BD50" s="590"/>
      <c r="BE50" s="562"/>
      <c r="BF50" s="572"/>
      <c r="BG50" s="587"/>
      <c r="BH50" s="590"/>
      <c r="BI50" s="562"/>
      <c r="BJ50" s="535">
        <f t="shared" si="7"/>
        <v>0</v>
      </c>
      <c r="BK50" s="545">
        <f t="shared" si="8"/>
        <v>0</v>
      </c>
    </row>
    <row r="51" spans="1:63" ht="15" customHeight="1" x14ac:dyDescent="0.35">
      <c r="A51" s="579"/>
      <c r="B51" s="546" t="s">
        <v>29</v>
      </c>
      <c r="C51" s="579" t="s">
        <v>69</v>
      </c>
      <c r="D51" s="653" t="s">
        <v>70</v>
      </c>
      <c r="E51" s="654"/>
      <c r="F51" s="590"/>
      <c r="G51" s="562"/>
      <c r="H51" s="590"/>
      <c r="I51" s="562"/>
      <c r="J51" s="590"/>
      <c r="K51" s="562"/>
      <c r="L51" s="590"/>
      <c r="M51" s="562"/>
      <c r="N51" s="590"/>
      <c r="O51" s="562"/>
      <c r="P51" s="572"/>
      <c r="Q51" s="587"/>
      <c r="R51" s="572"/>
      <c r="S51" s="587"/>
      <c r="T51" s="590"/>
      <c r="U51" s="562"/>
      <c r="V51" s="590"/>
      <c r="W51" s="562"/>
      <c r="X51" s="590"/>
      <c r="Y51" s="562"/>
      <c r="Z51" s="590"/>
      <c r="AA51" s="562"/>
      <c r="AB51" s="590"/>
      <c r="AC51" s="562"/>
      <c r="AD51" s="572"/>
      <c r="AE51" s="587"/>
      <c r="AF51" s="590"/>
      <c r="AG51" s="562"/>
      <c r="AH51" s="590"/>
      <c r="AI51" s="562"/>
      <c r="AJ51" s="590"/>
      <c r="AK51" s="562"/>
      <c r="AL51" s="590"/>
      <c r="AM51" s="562"/>
      <c r="AN51" s="590"/>
      <c r="AO51" s="562"/>
      <c r="AP51" s="590"/>
      <c r="AQ51" s="562"/>
      <c r="AR51" s="572"/>
      <c r="AS51" s="587"/>
      <c r="AT51" s="590"/>
      <c r="AU51" s="562"/>
      <c r="AV51" s="590"/>
      <c r="AW51" s="562"/>
      <c r="AX51" s="590"/>
      <c r="AY51" s="562"/>
      <c r="AZ51" s="590"/>
      <c r="BA51" s="562"/>
      <c r="BB51" s="590"/>
      <c r="BC51" s="562"/>
      <c r="BD51" s="590"/>
      <c r="BE51" s="562"/>
      <c r="BF51" s="572"/>
      <c r="BG51" s="587"/>
      <c r="BH51" s="590"/>
      <c r="BI51" s="562"/>
      <c r="BJ51" s="535">
        <f t="shared" si="7"/>
        <v>0</v>
      </c>
      <c r="BK51" s="545">
        <f t="shared" si="8"/>
        <v>0</v>
      </c>
    </row>
    <row r="52" spans="1:63" ht="15" customHeight="1" x14ac:dyDescent="0.35">
      <c r="A52" s="579"/>
      <c r="B52" s="546" t="s">
        <v>29</v>
      </c>
      <c r="C52" s="579" t="s">
        <v>71</v>
      </c>
      <c r="D52" s="653" t="s">
        <v>72</v>
      </c>
      <c r="E52" s="654"/>
      <c r="F52" s="590"/>
      <c r="G52" s="562"/>
      <c r="H52" s="590"/>
      <c r="I52" s="562"/>
      <c r="J52" s="590"/>
      <c r="K52" s="562"/>
      <c r="L52" s="590"/>
      <c r="M52" s="562"/>
      <c r="N52" s="590"/>
      <c r="O52" s="562"/>
      <c r="P52" s="572"/>
      <c r="Q52" s="587"/>
      <c r="R52" s="572"/>
      <c r="S52" s="587"/>
      <c r="T52" s="590"/>
      <c r="U52" s="562"/>
      <c r="V52" s="590"/>
      <c r="W52" s="562"/>
      <c r="X52" s="590"/>
      <c r="Y52" s="562"/>
      <c r="Z52" s="590"/>
      <c r="AA52" s="562"/>
      <c r="AB52" s="590"/>
      <c r="AC52" s="562"/>
      <c r="AD52" s="572"/>
      <c r="AE52" s="587"/>
      <c r="AF52" s="590"/>
      <c r="AG52" s="562"/>
      <c r="AH52" s="590"/>
      <c r="AI52" s="562"/>
      <c r="AJ52" s="590"/>
      <c r="AK52" s="562"/>
      <c r="AL52" s="590"/>
      <c r="AM52" s="562"/>
      <c r="AN52" s="590"/>
      <c r="AO52" s="562"/>
      <c r="AP52" s="590"/>
      <c r="AQ52" s="562"/>
      <c r="AR52" s="572"/>
      <c r="AS52" s="587"/>
      <c r="AT52" s="590"/>
      <c r="AU52" s="562"/>
      <c r="AV52" s="590"/>
      <c r="AW52" s="562"/>
      <c r="AX52" s="590"/>
      <c r="AY52" s="562"/>
      <c r="AZ52" s="590"/>
      <c r="BA52" s="562"/>
      <c r="BB52" s="590"/>
      <c r="BC52" s="562"/>
      <c r="BD52" s="590"/>
      <c r="BE52" s="562"/>
      <c r="BF52" s="572"/>
      <c r="BG52" s="587"/>
      <c r="BH52" s="590"/>
      <c r="BI52" s="562"/>
      <c r="BJ52" s="535">
        <f t="shared" si="7"/>
        <v>0</v>
      </c>
      <c r="BK52" s="545">
        <f t="shared" si="8"/>
        <v>0</v>
      </c>
    </row>
    <row r="53" spans="1:63" ht="15" customHeight="1" x14ac:dyDescent="0.35">
      <c r="A53" s="579"/>
      <c r="B53" s="546" t="s">
        <v>29</v>
      </c>
      <c r="C53" s="579" t="s">
        <v>73</v>
      </c>
      <c r="D53" s="653" t="s">
        <v>74</v>
      </c>
      <c r="E53" s="654"/>
      <c r="F53" s="590"/>
      <c r="G53" s="562"/>
      <c r="H53" s="590"/>
      <c r="I53" s="562"/>
      <c r="J53" s="590"/>
      <c r="K53" s="562"/>
      <c r="L53" s="590"/>
      <c r="M53" s="562"/>
      <c r="N53" s="590"/>
      <c r="O53" s="562"/>
      <c r="P53" s="572"/>
      <c r="Q53" s="587"/>
      <c r="R53" s="572"/>
      <c r="S53" s="587"/>
      <c r="T53" s="590"/>
      <c r="U53" s="562"/>
      <c r="V53" s="590"/>
      <c r="W53" s="562"/>
      <c r="X53" s="590"/>
      <c r="Y53" s="562"/>
      <c r="Z53" s="590"/>
      <c r="AA53" s="562"/>
      <c r="AB53" s="590"/>
      <c r="AC53" s="562"/>
      <c r="AD53" s="572"/>
      <c r="AE53" s="587"/>
      <c r="AF53" s="590"/>
      <c r="AG53" s="562"/>
      <c r="AH53" s="590"/>
      <c r="AI53" s="562"/>
      <c r="AJ53" s="590"/>
      <c r="AK53" s="562"/>
      <c r="AL53" s="590"/>
      <c r="AM53" s="562"/>
      <c r="AN53" s="590"/>
      <c r="AO53" s="562"/>
      <c r="AP53" s="590"/>
      <c r="AQ53" s="562"/>
      <c r="AR53" s="572"/>
      <c r="AS53" s="587"/>
      <c r="AT53" s="590"/>
      <c r="AU53" s="562"/>
      <c r="AV53" s="590"/>
      <c r="AW53" s="562"/>
      <c r="AX53" s="590"/>
      <c r="AY53" s="562"/>
      <c r="AZ53" s="590"/>
      <c r="BA53" s="562"/>
      <c r="BB53" s="590"/>
      <c r="BC53" s="562"/>
      <c r="BD53" s="590"/>
      <c r="BE53" s="562"/>
      <c r="BF53" s="572"/>
      <c r="BG53" s="587"/>
      <c r="BH53" s="590"/>
      <c r="BI53" s="562"/>
      <c r="BJ53" s="535">
        <f t="shared" si="7"/>
        <v>0</v>
      </c>
      <c r="BK53" s="545">
        <f t="shared" si="8"/>
        <v>0</v>
      </c>
    </row>
    <row r="54" spans="1:63" ht="15" customHeight="1" x14ac:dyDescent="0.35">
      <c r="A54" s="579"/>
      <c r="B54" s="546" t="s">
        <v>29</v>
      </c>
      <c r="C54" s="579" t="s">
        <v>75</v>
      </c>
      <c r="D54" s="653" t="s">
        <v>76</v>
      </c>
      <c r="E54" s="654"/>
      <c r="F54" s="590"/>
      <c r="G54" s="562"/>
      <c r="H54" s="590"/>
      <c r="I54" s="562"/>
      <c r="J54" s="590"/>
      <c r="K54" s="562"/>
      <c r="L54" s="590"/>
      <c r="M54" s="562"/>
      <c r="N54" s="590"/>
      <c r="O54" s="562"/>
      <c r="P54" s="572"/>
      <c r="Q54" s="587"/>
      <c r="R54" s="572"/>
      <c r="S54" s="587"/>
      <c r="T54" s="590"/>
      <c r="U54" s="562"/>
      <c r="V54" s="590"/>
      <c r="W54" s="562"/>
      <c r="X54" s="590"/>
      <c r="Y54" s="562"/>
      <c r="Z54" s="590"/>
      <c r="AA54" s="562"/>
      <c r="AB54" s="590"/>
      <c r="AC54" s="562"/>
      <c r="AD54" s="572"/>
      <c r="AE54" s="587"/>
      <c r="AF54" s="590"/>
      <c r="AG54" s="562"/>
      <c r="AH54" s="590"/>
      <c r="AI54" s="562"/>
      <c r="AJ54" s="590"/>
      <c r="AK54" s="562"/>
      <c r="AL54" s="590"/>
      <c r="AM54" s="562"/>
      <c r="AN54" s="590"/>
      <c r="AO54" s="562"/>
      <c r="AP54" s="590"/>
      <c r="AQ54" s="562"/>
      <c r="AR54" s="572"/>
      <c r="AS54" s="587"/>
      <c r="AT54" s="590"/>
      <c r="AU54" s="562"/>
      <c r="AV54" s="590"/>
      <c r="AW54" s="562"/>
      <c r="AX54" s="590"/>
      <c r="AY54" s="562"/>
      <c r="AZ54" s="590"/>
      <c r="BA54" s="562"/>
      <c r="BB54" s="590"/>
      <c r="BC54" s="562"/>
      <c r="BD54" s="590"/>
      <c r="BE54" s="562"/>
      <c r="BF54" s="572"/>
      <c r="BG54" s="587"/>
      <c r="BH54" s="590"/>
      <c r="BI54" s="562"/>
      <c r="BJ54" s="535">
        <f t="shared" si="7"/>
        <v>0</v>
      </c>
      <c r="BK54" s="545">
        <f t="shared" si="8"/>
        <v>0</v>
      </c>
    </row>
    <row r="55" spans="1:63" ht="15" customHeight="1" x14ac:dyDescent="0.35">
      <c r="A55" s="579"/>
      <c r="B55" s="546" t="s">
        <v>26</v>
      </c>
      <c r="C55" s="567" t="s">
        <v>77</v>
      </c>
      <c r="D55" s="653" t="s">
        <v>78</v>
      </c>
      <c r="E55" s="654"/>
      <c r="F55" s="590"/>
      <c r="G55" s="562"/>
      <c r="H55" s="590"/>
      <c r="I55" s="562"/>
      <c r="J55" s="590"/>
      <c r="K55" s="562"/>
      <c r="L55" s="590"/>
      <c r="M55" s="562"/>
      <c r="N55" s="590"/>
      <c r="O55" s="562"/>
      <c r="P55" s="572"/>
      <c r="Q55" s="587"/>
      <c r="R55" s="572"/>
      <c r="S55" s="587"/>
      <c r="T55" s="590"/>
      <c r="U55" s="562"/>
      <c r="V55" s="590"/>
      <c r="W55" s="562"/>
      <c r="X55" s="590"/>
      <c r="Y55" s="562"/>
      <c r="Z55" s="590"/>
      <c r="AA55" s="562"/>
      <c r="AB55" s="590"/>
      <c r="AC55" s="562"/>
      <c r="AD55" s="572"/>
      <c r="AE55" s="587"/>
      <c r="AF55" s="590"/>
      <c r="AG55" s="562"/>
      <c r="AH55" s="590"/>
      <c r="AI55" s="562"/>
      <c r="AJ55" s="590"/>
      <c r="AK55" s="562"/>
      <c r="AL55" s="590"/>
      <c r="AM55" s="562"/>
      <c r="AN55" s="590"/>
      <c r="AO55" s="562"/>
      <c r="AP55" s="590"/>
      <c r="AQ55" s="562"/>
      <c r="AR55" s="572"/>
      <c r="AS55" s="587"/>
      <c r="AT55" s="590"/>
      <c r="AU55" s="562"/>
      <c r="AV55" s="590"/>
      <c r="AW55" s="562"/>
      <c r="AX55" s="590"/>
      <c r="AY55" s="562"/>
      <c r="AZ55" s="590"/>
      <c r="BA55" s="562"/>
      <c r="BB55" s="590"/>
      <c r="BC55" s="562"/>
      <c r="BD55" s="590"/>
      <c r="BE55" s="562"/>
      <c r="BF55" s="572"/>
      <c r="BG55" s="587"/>
      <c r="BH55" s="590"/>
      <c r="BI55" s="562"/>
      <c r="BJ55" s="535">
        <f t="shared" si="7"/>
        <v>0</v>
      </c>
      <c r="BK55" s="545">
        <f t="shared" si="8"/>
        <v>0</v>
      </c>
    </row>
    <row r="56" spans="1:63" ht="15" customHeight="1" x14ac:dyDescent="0.35">
      <c r="A56" s="579"/>
      <c r="B56" s="546" t="s">
        <v>29</v>
      </c>
      <c r="C56" s="579" t="s">
        <v>79</v>
      </c>
      <c r="D56" s="653" t="s">
        <v>80</v>
      </c>
      <c r="E56" s="654"/>
      <c r="F56" s="590"/>
      <c r="G56" s="562"/>
      <c r="H56" s="590"/>
      <c r="I56" s="562"/>
      <c r="J56" s="590"/>
      <c r="K56" s="562"/>
      <c r="L56" s="590"/>
      <c r="M56" s="562"/>
      <c r="N56" s="590"/>
      <c r="O56" s="562"/>
      <c r="P56" s="572"/>
      <c r="Q56" s="587"/>
      <c r="R56" s="572"/>
      <c r="S56" s="587"/>
      <c r="T56" s="590"/>
      <c r="U56" s="562"/>
      <c r="V56" s="590"/>
      <c r="W56" s="562"/>
      <c r="X56" s="590"/>
      <c r="Y56" s="562"/>
      <c r="Z56" s="590"/>
      <c r="AA56" s="562"/>
      <c r="AB56" s="590"/>
      <c r="AC56" s="562"/>
      <c r="AD56" s="572"/>
      <c r="AE56" s="587"/>
      <c r="AF56" s="590"/>
      <c r="AG56" s="562"/>
      <c r="AH56" s="590"/>
      <c r="AI56" s="562"/>
      <c r="AJ56" s="590"/>
      <c r="AK56" s="562"/>
      <c r="AL56" s="590"/>
      <c r="AM56" s="562"/>
      <c r="AN56" s="590"/>
      <c r="AO56" s="562"/>
      <c r="AP56" s="590"/>
      <c r="AQ56" s="562"/>
      <c r="AR56" s="572"/>
      <c r="AS56" s="587"/>
      <c r="AT56" s="590"/>
      <c r="AU56" s="562"/>
      <c r="AV56" s="590"/>
      <c r="AW56" s="562"/>
      <c r="AX56" s="590"/>
      <c r="AY56" s="562"/>
      <c r="AZ56" s="590"/>
      <c r="BA56" s="562"/>
      <c r="BB56" s="590"/>
      <c r="BC56" s="562"/>
      <c r="BD56" s="590"/>
      <c r="BE56" s="562"/>
      <c r="BF56" s="572"/>
      <c r="BG56" s="587"/>
      <c r="BH56" s="590"/>
      <c r="BI56" s="562"/>
      <c r="BJ56" s="535">
        <f t="shared" si="7"/>
        <v>0</v>
      </c>
      <c r="BK56" s="545">
        <f t="shared" si="8"/>
        <v>0</v>
      </c>
    </row>
    <row r="57" spans="1:63" ht="15" customHeight="1" x14ac:dyDescent="0.35">
      <c r="A57" s="579"/>
      <c r="B57" s="546" t="s">
        <v>46</v>
      </c>
      <c r="C57" s="579" t="s">
        <v>81</v>
      </c>
      <c r="D57" s="653" t="s">
        <v>82</v>
      </c>
      <c r="E57" s="654"/>
      <c r="F57" s="590"/>
      <c r="G57" s="562"/>
      <c r="H57" s="590"/>
      <c r="I57" s="562"/>
      <c r="J57" s="590"/>
      <c r="K57" s="562"/>
      <c r="L57" s="590"/>
      <c r="M57" s="562"/>
      <c r="N57" s="590"/>
      <c r="O57" s="562"/>
      <c r="P57" s="572"/>
      <c r="Q57" s="587"/>
      <c r="R57" s="572"/>
      <c r="S57" s="587"/>
      <c r="T57" s="590"/>
      <c r="U57" s="562"/>
      <c r="V57" s="590"/>
      <c r="W57" s="562"/>
      <c r="X57" s="590"/>
      <c r="Y57" s="562"/>
      <c r="Z57" s="590"/>
      <c r="AA57" s="562"/>
      <c r="AB57" s="590"/>
      <c r="AC57" s="562"/>
      <c r="AD57" s="572"/>
      <c r="AE57" s="587"/>
      <c r="AF57" s="590"/>
      <c r="AG57" s="562"/>
      <c r="AH57" s="590"/>
      <c r="AI57" s="562"/>
      <c r="AJ57" s="590"/>
      <c r="AK57" s="562"/>
      <c r="AL57" s="590"/>
      <c r="AM57" s="562"/>
      <c r="AN57" s="590"/>
      <c r="AO57" s="562"/>
      <c r="AP57" s="590"/>
      <c r="AQ57" s="562"/>
      <c r="AR57" s="572"/>
      <c r="AS57" s="587"/>
      <c r="AT57" s="590"/>
      <c r="AU57" s="562"/>
      <c r="AV57" s="590"/>
      <c r="AW57" s="562"/>
      <c r="AX57" s="590"/>
      <c r="AY57" s="562"/>
      <c r="AZ57" s="590"/>
      <c r="BA57" s="562"/>
      <c r="BB57" s="590"/>
      <c r="BC57" s="562"/>
      <c r="BD57" s="590"/>
      <c r="BE57" s="562"/>
      <c r="BF57" s="572"/>
      <c r="BG57" s="587"/>
      <c r="BH57" s="590"/>
      <c r="BI57" s="562"/>
      <c r="BJ57" s="535">
        <f t="shared" si="7"/>
        <v>0</v>
      </c>
      <c r="BK57" s="545">
        <f t="shared" si="8"/>
        <v>0</v>
      </c>
    </row>
    <row r="58" spans="1:63" ht="15" customHeight="1" x14ac:dyDescent="0.35">
      <c r="A58" s="579"/>
      <c r="B58" s="579"/>
      <c r="C58" s="579"/>
      <c r="D58" s="653"/>
      <c r="E58" s="654"/>
      <c r="F58" s="590"/>
      <c r="G58" s="562"/>
      <c r="H58" s="590"/>
      <c r="I58" s="562"/>
      <c r="J58" s="590"/>
      <c r="K58" s="562"/>
      <c r="L58" s="590"/>
      <c r="M58" s="562"/>
      <c r="N58" s="590"/>
      <c r="O58" s="562"/>
      <c r="P58" s="572"/>
      <c r="Q58" s="587"/>
      <c r="R58" s="572"/>
      <c r="S58" s="587"/>
      <c r="T58" s="590"/>
      <c r="U58" s="562"/>
      <c r="V58" s="590"/>
      <c r="W58" s="562"/>
      <c r="X58" s="590"/>
      <c r="Y58" s="562"/>
      <c r="Z58" s="590"/>
      <c r="AA58" s="562"/>
      <c r="AB58" s="590"/>
      <c r="AC58" s="562"/>
      <c r="AD58" s="572"/>
      <c r="AE58" s="587"/>
      <c r="AF58" s="590"/>
      <c r="AG58" s="562"/>
      <c r="AH58" s="590"/>
      <c r="AI58" s="562"/>
      <c r="AJ58" s="590"/>
      <c r="AK58" s="562"/>
      <c r="AL58" s="590"/>
      <c r="AM58" s="562"/>
      <c r="AN58" s="590"/>
      <c r="AO58" s="562"/>
      <c r="AP58" s="590"/>
      <c r="AQ58" s="562"/>
      <c r="AR58" s="572"/>
      <c r="AS58" s="587"/>
      <c r="AT58" s="590"/>
      <c r="AU58" s="562"/>
      <c r="AV58" s="590"/>
      <c r="AW58" s="562"/>
      <c r="AX58" s="590"/>
      <c r="AY58" s="562"/>
      <c r="AZ58" s="590"/>
      <c r="BA58" s="562"/>
      <c r="BB58" s="590"/>
      <c r="BC58" s="562"/>
      <c r="BD58" s="590"/>
      <c r="BE58" s="562"/>
      <c r="BF58" s="572"/>
      <c r="BG58" s="587"/>
      <c r="BH58" s="590"/>
      <c r="BI58" s="562"/>
      <c r="BJ58" s="535">
        <f t="shared" si="7"/>
        <v>0</v>
      </c>
      <c r="BK58" s="545">
        <f t="shared" si="8"/>
        <v>0</v>
      </c>
    </row>
    <row r="59" spans="1:63" ht="16.5" customHeight="1" x14ac:dyDescent="0.35">
      <c r="A59" s="579"/>
      <c r="B59" s="579"/>
      <c r="C59" s="579">
        <f>SUM(BJ61:BJ85)</f>
        <v>124</v>
      </c>
      <c r="D59" s="647" t="s">
        <v>83</v>
      </c>
      <c r="E59" s="648"/>
      <c r="F59" s="590"/>
      <c r="G59" s="562"/>
      <c r="H59" s="590"/>
      <c r="I59" s="562"/>
      <c r="J59" s="590"/>
      <c r="K59" s="562"/>
      <c r="L59" s="590"/>
      <c r="M59" s="562"/>
      <c r="N59" s="590"/>
      <c r="O59" s="562"/>
      <c r="P59" s="572"/>
      <c r="Q59" s="587"/>
      <c r="R59" s="572"/>
      <c r="S59" s="587"/>
      <c r="T59" s="590"/>
      <c r="U59" s="562"/>
      <c r="V59" s="590"/>
      <c r="W59" s="562"/>
      <c r="X59" s="590"/>
      <c r="Y59" s="562"/>
      <c r="Z59" s="590"/>
      <c r="AA59" s="562"/>
      <c r="AB59" s="590"/>
      <c r="AC59" s="562"/>
      <c r="AD59" s="572"/>
      <c r="AE59" s="587"/>
      <c r="AF59" s="590"/>
      <c r="AG59" s="562"/>
      <c r="AH59" s="590"/>
      <c r="AI59" s="562"/>
      <c r="AJ59" s="590"/>
      <c r="AK59" s="562"/>
      <c r="AL59" s="590"/>
      <c r="AM59" s="562"/>
      <c r="AN59" s="590"/>
      <c r="AO59" s="562"/>
      <c r="AP59" s="590"/>
      <c r="AQ59" s="562"/>
      <c r="AR59" s="572"/>
      <c r="AS59" s="587"/>
      <c r="AT59" s="590"/>
      <c r="AU59" s="562"/>
      <c r="AV59" s="590"/>
      <c r="AW59" s="562"/>
      <c r="AX59" s="590"/>
      <c r="AY59" s="562"/>
      <c r="AZ59" s="590"/>
      <c r="BA59" s="562"/>
      <c r="BB59" s="590"/>
      <c r="BC59" s="562"/>
      <c r="BD59" s="590"/>
      <c r="BE59" s="562"/>
      <c r="BF59" s="572"/>
      <c r="BG59" s="587"/>
      <c r="BH59" s="590"/>
      <c r="BI59" s="562"/>
      <c r="BJ59" s="535">
        <f t="shared" si="7"/>
        <v>0</v>
      </c>
      <c r="BK59" s="545">
        <f t="shared" si="8"/>
        <v>0</v>
      </c>
    </row>
    <row r="60" spans="1:63" ht="15" customHeight="1" x14ac:dyDescent="0.35">
      <c r="A60" s="579"/>
      <c r="B60" s="546" t="s">
        <v>29</v>
      </c>
      <c r="C60" s="579" t="s">
        <v>84</v>
      </c>
      <c r="D60" s="653" t="s">
        <v>43</v>
      </c>
      <c r="E60" s="654"/>
      <c r="F60" s="590"/>
      <c r="G60" s="562"/>
      <c r="H60" s="590"/>
      <c r="I60" s="562"/>
      <c r="J60" s="590"/>
      <c r="K60" s="562"/>
      <c r="L60" s="590"/>
      <c r="M60" s="562"/>
      <c r="N60" s="590"/>
      <c r="O60" s="562"/>
      <c r="P60" s="572"/>
      <c r="Q60" s="587"/>
      <c r="R60" s="572"/>
      <c r="S60" s="587"/>
      <c r="T60" s="590"/>
      <c r="U60" s="562"/>
      <c r="V60" s="590"/>
      <c r="W60" s="562"/>
      <c r="X60" s="590"/>
      <c r="Y60" s="562"/>
      <c r="Z60" s="590"/>
      <c r="AA60" s="562"/>
      <c r="AB60" s="590"/>
      <c r="AC60" s="562"/>
      <c r="AD60" s="572"/>
      <c r="AE60" s="587"/>
      <c r="AF60" s="590"/>
      <c r="AG60" s="562"/>
      <c r="AH60" s="590"/>
      <c r="AI60" s="562"/>
      <c r="AJ60" s="590"/>
      <c r="AK60" s="562"/>
      <c r="AL60" s="590"/>
      <c r="AM60" s="562"/>
      <c r="AN60" s="590"/>
      <c r="AO60" s="562"/>
      <c r="AP60" s="590"/>
      <c r="AQ60" s="562"/>
      <c r="AR60" s="572"/>
      <c r="AS60" s="587"/>
      <c r="AT60" s="590"/>
      <c r="AU60" s="562"/>
      <c r="AV60" s="590"/>
      <c r="AW60" s="562"/>
      <c r="AX60" s="590"/>
      <c r="AY60" s="562"/>
      <c r="AZ60" s="590"/>
      <c r="BA60" s="562"/>
      <c r="BB60" s="590"/>
      <c r="BC60" s="562"/>
      <c r="BD60" s="590"/>
      <c r="BE60" s="562"/>
      <c r="BF60" s="572"/>
      <c r="BG60" s="587"/>
      <c r="BH60" s="590"/>
      <c r="BI60" s="562"/>
      <c r="BJ60" s="535">
        <f t="shared" si="7"/>
        <v>0</v>
      </c>
      <c r="BK60" s="545">
        <f t="shared" si="8"/>
        <v>0</v>
      </c>
    </row>
    <row r="61" spans="1:63" ht="15" customHeight="1" x14ac:dyDescent="0.35">
      <c r="A61" s="579"/>
      <c r="B61" s="546" t="s">
        <v>85</v>
      </c>
      <c r="C61" s="579" t="s">
        <v>86</v>
      </c>
      <c r="D61" s="653" t="s">
        <v>87</v>
      </c>
      <c r="E61" s="654"/>
      <c r="F61" s="590"/>
      <c r="G61" s="562"/>
      <c r="H61" s="590"/>
      <c r="I61" s="562"/>
      <c r="J61" s="590"/>
      <c r="K61" s="562"/>
      <c r="L61" s="590"/>
      <c r="M61" s="562"/>
      <c r="N61" s="590"/>
      <c r="O61" s="562"/>
      <c r="P61" s="572"/>
      <c r="Q61" s="587"/>
      <c r="R61" s="572"/>
      <c r="S61" s="587"/>
      <c r="T61" s="590"/>
      <c r="U61" s="562"/>
      <c r="V61" s="590"/>
      <c r="W61" s="562"/>
      <c r="X61" s="590"/>
      <c r="Y61" s="562"/>
      <c r="Z61" s="590"/>
      <c r="AA61" s="562"/>
      <c r="AB61" s="590"/>
      <c r="AC61" s="562"/>
      <c r="AD61" s="572"/>
      <c r="AE61" s="587"/>
      <c r="AF61" s="590"/>
      <c r="AG61" s="562"/>
      <c r="AH61" s="590"/>
      <c r="AI61" s="562"/>
      <c r="AJ61" s="590"/>
      <c r="AK61" s="562"/>
      <c r="AL61" s="590"/>
      <c r="AM61" s="562"/>
      <c r="AN61" s="590"/>
      <c r="AO61" s="562"/>
      <c r="AP61" s="590"/>
      <c r="AQ61" s="562"/>
      <c r="AR61" s="572"/>
      <c r="AS61" s="587"/>
      <c r="AT61" s="590"/>
      <c r="AU61" s="562"/>
      <c r="AV61" s="590"/>
      <c r="AW61" s="562"/>
      <c r="AX61" s="590"/>
      <c r="AY61" s="562"/>
      <c r="AZ61" s="590"/>
      <c r="BA61" s="562"/>
      <c r="BB61" s="590"/>
      <c r="BC61" s="562"/>
      <c r="BD61" s="590"/>
      <c r="BE61" s="562"/>
      <c r="BF61" s="572"/>
      <c r="BG61" s="587"/>
      <c r="BH61" s="590"/>
      <c r="BI61" s="562"/>
      <c r="BJ61" s="535">
        <f t="shared" si="7"/>
        <v>0</v>
      </c>
      <c r="BK61" s="545">
        <f t="shared" si="8"/>
        <v>0</v>
      </c>
    </row>
    <row r="62" spans="1:63" ht="15" customHeight="1" x14ac:dyDescent="0.35">
      <c r="A62" s="579"/>
      <c r="B62" s="546" t="s">
        <v>85</v>
      </c>
      <c r="C62" s="579" t="s">
        <v>88</v>
      </c>
      <c r="D62" s="653" t="s">
        <v>89</v>
      </c>
      <c r="E62" s="654"/>
      <c r="F62" s="590"/>
      <c r="G62" s="562"/>
      <c r="H62" s="590"/>
      <c r="I62" s="562"/>
      <c r="J62" s="590"/>
      <c r="K62" s="562"/>
      <c r="L62" s="590"/>
      <c r="M62" s="562"/>
      <c r="N62" s="590"/>
      <c r="O62" s="562"/>
      <c r="P62" s="572"/>
      <c r="Q62" s="587"/>
      <c r="R62" s="572"/>
      <c r="S62" s="587"/>
      <c r="T62" s="590"/>
      <c r="U62" s="562"/>
      <c r="V62" s="590"/>
      <c r="W62" s="562"/>
      <c r="X62" s="590"/>
      <c r="Y62" s="562"/>
      <c r="Z62" s="590"/>
      <c r="AA62" s="562"/>
      <c r="AB62" s="590"/>
      <c r="AC62" s="562"/>
      <c r="AD62" s="572"/>
      <c r="AE62" s="587"/>
      <c r="AF62" s="590"/>
      <c r="AG62" s="562"/>
      <c r="AH62" s="590"/>
      <c r="AI62" s="562"/>
      <c r="AJ62" s="590"/>
      <c r="AK62" s="562"/>
      <c r="AL62" s="590"/>
      <c r="AM62" s="562"/>
      <c r="AN62" s="590"/>
      <c r="AO62" s="562"/>
      <c r="AP62" s="590"/>
      <c r="AQ62" s="562"/>
      <c r="AR62" s="572"/>
      <c r="AS62" s="587"/>
      <c r="AT62" s="590"/>
      <c r="AU62" s="562"/>
      <c r="AV62" s="590"/>
      <c r="AW62" s="562"/>
      <c r="AX62" s="590"/>
      <c r="AY62" s="562"/>
      <c r="AZ62" s="590"/>
      <c r="BA62" s="562"/>
      <c r="BB62" s="590"/>
      <c r="BC62" s="562"/>
      <c r="BD62" s="590"/>
      <c r="BE62" s="562"/>
      <c r="BF62" s="572"/>
      <c r="BG62" s="587"/>
      <c r="BH62" s="590"/>
      <c r="BI62" s="562"/>
      <c r="BJ62" s="535">
        <f t="shared" si="7"/>
        <v>0</v>
      </c>
      <c r="BK62" s="545">
        <f t="shared" si="8"/>
        <v>0</v>
      </c>
    </row>
    <row r="63" spans="1:63" ht="15" customHeight="1" x14ac:dyDescent="0.35">
      <c r="A63" s="579"/>
      <c r="B63" s="546" t="s">
        <v>85</v>
      </c>
      <c r="C63" s="579" t="s">
        <v>90</v>
      </c>
      <c r="D63" s="653" t="s">
        <v>91</v>
      </c>
      <c r="E63" s="654"/>
      <c r="F63" s="590"/>
      <c r="G63" s="562"/>
      <c r="H63" s="590"/>
      <c r="I63" s="562"/>
      <c r="J63" s="590"/>
      <c r="K63" s="562"/>
      <c r="L63" s="590"/>
      <c r="M63" s="562"/>
      <c r="N63" s="590"/>
      <c r="O63" s="562"/>
      <c r="P63" s="572"/>
      <c r="Q63" s="587"/>
      <c r="R63" s="572"/>
      <c r="S63" s="587"/>
      <c r="T63" s="590"/>
      <c r="U63" s="562"/>
      <c r="V63" s="590"/>
      <c r="W63" s="562"/>
      <c r="X63" s="590"/>
      <c r="Y63" s="562"/>
      <c r="Z63" s="590"/>
      <c r="AA63" s="562"/>
      <c r="AB63" s="590"/>
      <c r="AC63" s="562"/>
      <c r="AD63" s="572"/>
      <c r="AE63" s="587"/>
      <c r="AF63" s="590"/>
      <c r="AG63" s="562"/>
      <c r="AH63" s="590"/>
      <c r="AI63" s="562"/>
      <c r="AJ63" s="590"/>
      <c r="AK63" s="562"/>
      <c r="AL63" s="590"/>
      <c r="AM63" s="562"/>
      <c r="AN63" s="590"/>
      <c r="AO63" s="562"/>
      <c r="AP63" s="590"/>
      <c r="AQ63" s="562"/>
      <c r="AR63" s="572"/>
      <c r="AS63" s="587"/>
      <c r="AT63" s="590"/>
      <c r="AU63" s="562"/>
      <c r="AV63" s="590"/>
      <c r="AW63" s="562"/>
      <c r="AX63" s="590"/>
      <c r="AY63" s="562"/>
      <c r="AZ63" s="590"/>
      <c r="BA63" s="562"/>
      <c r="BB63" s="590"/>
      <c r="BC63" s="562"/>
      <c r="BD63" s="590"/>
      <c r="BE63" s="562"/>
      <c r="BF63" s="572"/>
      <c r="BG63" s="587"/>
      <c r="BH63" s="590"/>
      <c r="BI63" s="562"/>
      <c r="BJ63" s="535">
        <f t="shared" si="7"/>
        <v>0</v>
      </c>
      <c r="BK63" s="545">
        <f t="shared" si="8"/>
        <v>0</v>
      </c>
    </row>
    <row r="64" spans="1:63" ht="15" customHeight="1" x14ac:dyDescent="0.35">
      <c r="A64" s="579"/>
      <c r="B64" s="546" t="s">
        <v>85</v>
      </c>
      <c r="C64" s="579" t="s">
        <v>92</v>
      </c>
      <c r="D64" s="653" t="s">
        <v>93</v>
      </c>
      <c r="E64" s="654"/>
      <c r="F64" s="590"/>
      <c r="G64" s="562"/>
      <c r="H64" s="590"/>
      <c r="I64" s="562"/>
      <c r="J64" s="590"/>
      <c r="K64" s="562"/>
      <c r="L64" s="590"/>
      <c r="M64" s="562"/>
      <c r="N64" s="590"/>
      <c r="O64" s="562"/>
      <c r="P64" s="572"/>
      <c r="Q64" s="587"/>
      <c r="R64" s="572"/>
      <c r="S64" s="587"/>
      <c r="T64" s="590"/>
      <c r="U64" s="562"/>
      <c r="V64" s="590"/>
      <c r="W64" s="562"/>
      <c r="X64" s="590"/>
      <c r="Y64" s="562"/>
      <c r="Z64" s="590"/>
      <c r="AA64" s="562"/>
      <c r="AB64" s="590"/>
      <c r="AC64" s="562"/>
      <c r="AD64" s="572"/>
      <c r="AE64" s="587"/>
      <c r="AF64" s="590"/>
      <c r="AG64" s="562"/>
      <c r="AH64" s="590"/>
      <c r="AI64" s="562"/>
      <c r="AJ64" s="590"/>
      <c r="AK64" s="562"/>
      <c r="AL64" s="590"/>
      <c r="AM64" s="562"/>
      <c r="AN64" s="590"/>
      <c r="AO64" s="562"/>
      <c r="AP64" s="590"/>
      <c r="AQ64" s="562"/>
      <c r="AR64" s="572"/>
      <c r="AS64" s="587"/>
      <c r="AT64" s="590"/>
      <c r="AU64" s="562"/>
      <c r="AV64" s="590"/>
      <c r="AW64" s="562"/>
      <c r="AX64" s="590"/>
      <c r="AY64" s="562"/>
      <c r="AZ64" s="590"/>
      <c r="BA64" s="562"/>
      <c r="BB64" s="590"/>
      <c r="BC64" s="562"/>
      <c r="BD64" s="590"/>
      <c r="BE64" s="562"/>
      <c r="BF64" s="572"/>
      <c r="BG64" s="587"/>
      <c r="BH64" s="590"/>
      <c r="BI64" s="562"/>
      <c r="BJ64" s="535">
        <f t="shared" si="7"/>
        <v>0</v>
      </c>
      <c r="BK64" s="545">
        <f t="shared" si="8"/>
        <v>0</v>
      </c>
    </row>
    <row r="65" spans="1:63" ht="15" customHeight="1" x14ac:dyDescent="0.35">
      <c r="A65" s="579"/>
      <c r="B65" s="546" t="s">
        <v>85</v>
      </c>
      <c r="C65" s="579" t="s">
        <v>94</v>
      </c>
      <c r="D65" s="653" t="s">
        <v>95</v>
      </c>
      <c r="E65" s="654"/>
      <c r="F65" s="590"/>
      <c r="G65" s="562"/>
      <c r="H65" s="590"/>
      <c r="I65" s="562"/>
      <c r="J65" s="590"/>
      <c r="K65" s="562"/>
      <c r="L65" s="590"/>
      <c r="M65" s="562"/>
      <c r="N65" s="590"/>
      <c r="O65" s="562"/>
      <c r="P65" s="572"/>
      <c r="Q65" s="587"/>
      <c r="R65" s="572"/>
      <c r="S65" s="587"/>
      <c r="T65" s="590"/>
      <c r="U65" s="562"/>
      <c r="V65" s="590"/>
      <c r="W65" s="562"/>
      <c r="X65" s="590"/>
      <c r="Y65" s="562"/>
      <c r="Z65" s="590"/>
      <c r="AA65" s="562"/>
      <c r="AB65" s="590"/>
      <c r="AC65" s="562"/>
      <c r="AD65" s="572"/>
      <c r="AE65" s="587"/>
      <c r="AF65" s="590"/>
      <c r="AG65" s="562"/>
      <c r="AH65" s="590"/>
      <c r="AI65" s="562"/>
      <c r="AJ65" s="590"/>
      <c r="AK65" s="562"/>
      <c r="AL65" s="590"/>
      <c r="AM65" s="562"/>
      <c r="AN65" s="590"/>
      <c r="AO65" s="562"/>
      <c r="AP65" s="590"/>
      <c r="AQ65" s="562"/>
      <c r="AR65" s="572"/>
      <c r="AS65" s="587"/>
      <c r="AT65" s="590"/>
      <c r="AU65" s="562"/>
      <c r="AV65" s="590"/>
      <c r="AW65" s="562"/>
      <c r="AX65" s="590"/>
      <c r="AY65" s="562"/>
      <c r="AZ65" s="590"/>
      <c r="BA65" s="562"/>
      <c r="BB65" s="590"/>
      <c r="BC65" s="562"/>
      <c r="BD65" s="590"/>
      <c r="BE65" s="562"/>
      <c r="BF65" s="572"/>
      <c r="BG65" s="587"/>
      <c r="BH65" s="590"/>
      <c r="BI65" s="562"/>
      <c r="BJ65" s="535">
        <f t="shared" si="7"/>
        <v>0</v>
      </c>
      <c r="BK65" s="545">
        <f t="shared" si="8"/>
        <v>0</v>
      </c>
    </row>
    <row r="66" spans="1:63" ht="15" customHeight="1" x14ac:dyDescent="0.35">
      <c r="A66" s="579"/>
      <c r="B66" s="546" t="s">
        <v>85</v>
      </c>
      <c r="C66" s="579" t="s">
        <v>96</v>
      </c>
      <c r="D66" s="653" t="s">
        <v>1029</v>
      </c>
      <c r="E66" s="654"/>
      <c r="F66" s="590"/>
      <c r="G66" s="562"/>
      <c r="H66" s="590"/>
      <c r="I66" s="562"/>
      <c r="J66" s="590"/>
      <c r="K66" s="562"/>
      <c r="L66" s="590"/>
      <c r="M66" s="562"/>
      <c r="N66" s="590"/>
      <c r="O66" s="562"/>
      <c r="P66" s="572"/>
      <c r="Q66" s="587"/>
      <c r="R66" s="572"/>
      <c r="S66" s="587"/>
      <c r="T66" s="590"/>
      <c r="U66" s="562"/>
      <c r="V66" s="590"/>
      <c r="W66" s="562"/>
      <c r="X66" s="590"/>
      <c r="Y66" s="562"/>
      <c r="Z66" s="590"/>
      <c r="AA66" s="562"/>
      <c r="AB66" s="590"/>
      <c r="AC66" s="562"/>
      <c r="AD66" s="572"/>
      <c r="AE66" s="587"/>
      <c r="AF66" s="590"/>
      <c r="AG66" s="562"/>
      <c r="AH66" s="590"/>
      <c r="AI66" s="562"/>
      <c r="AJ66" s="590"/>
      <c r="AK66" s="562"/>
      <c r="AL66" s="590"/>
      <c r="AM66" s="562"/>
      <c r="AN66" s="590"/>
      <c r="AO66" s="562"/>
      <c r="AP66" s="590"/>
      <c r="AQ66" s="562"/>
      <c r="AR66" s="572"/>
      <c r="AS66" s="587"/>
      <c r="AT66" s="590"/>
      <c r="AU66" s="562"/>
      <c r="AV66" s="590"/>
      <c r="AW66" s="562"/>
      <c r="AX66" s="590"/>
      <c r="AY66" s="562"/>
      <c r="AZ66" s="590"/>
      <c r="BA66" s="562"/>
      <c r="BB66" s="590"/>
      <c r="BC66" s="562"/>
      <c r="BD66" s="590"/>
      <c r="BE66" s="562"/>
      <c r="BF66" s="572"/>
      <c r="BG66" s="587"/>
      <c r="BH66" s="590"/>
      <c r="BI66" s="562"/>
      <c r="BJ66" s="535">
        <f t="shared" ref="BJ66:BJ97" si="9">SUM(F66:BI66)</f>
        <v>0</v>
      </c>
      <c r="BK66" s="545">
        <f t="shared" ref="BK66:BK82" si="10">COUNT(F66:BI66)</f>
        <v>0</v>
      </c>
    </row>
    <row r="67" spans="1:63" ht="15" customHeight="1" x14ac:dyDescent="0.35">
      <c r="A67" s="579"/>
      <c r="B67" s="546" t="s">
        <v>85</v>
      </c>
      <c r="C67" s="579" t="s">
        <v>98</v>
      </c>
      <c r="D67" s="653" t="s">
        <v>99</v>
      </c>
      <c r="E67" s="654"/>
      <c r="F67" s="590"/>
      <c r="G67" s="562"/>
      <c r="H67" s="590"/>
      <c r="I67" s="562"/>
      <c r="J67" s="590"/>
      <c r="K67" s="562"/>
      <c r="L67" s="590"/>
      <c r="M67" s="562"/>
      <c r="N67" s="590"/>
      <c r="O67" s="562"/>
      <c r="P67" s="572"/>
      <c r="Q67" s="587"/>
      <c r="R67" s="572"/>
      <c r="S67" s="587"/>
      <c r="T67" s="590"/>
      <c r="U67" s="562"/>
      <c r="V67" s="590"/>
      <c r="W67" s="562"/>
      <c r="X67" s="590"/>
      <c r="Y67" s="562"/>
      <c r="Z67" s="590"/>
      <c r="AA67" s="562"/>
      <c r="AB67" s="590"/>
      <c r="AC67" s="562"/>
      <c r="AD67" s="572"/>
      <c r="AE67" s="587"/>
      <c r="AF67" s="590"/>
      <c r="AG67" s="562"/>
      <c r="AH67" s="590"/>
      <c r="AI67" s="562"/>
      <c r="AJ67" s="590"/>
      <c r="AK67" s="562"/>
      <c r="AL67" s="590"/>
      <c r="AM67" s="562"/>
      <c r="AN67" s="590"/>
      <c r="AO67" s="562"/>
      <c r="AP67" s="590"/>
      <c r="AQ67" s="562"/>
      <c r="AR67" s="572"/>
      <c r="AS67" s="587"/>
      <c r="AT67" s="590"/>
      <c r="AU67" s="562"/>
      <c r="AV67" s="590"/>
      <c r="AW67" s="562"/>
      <c r="AX67" s="590"/>
      <c r="AY67" s="562"/>
      <c r="AZ67" s="590"/>
      <c r="BA67" s="562"/>
      <c r="BB67" s="590"/>
      <c r="BC67" s="562"/>
      <c r="BD67" s="590"/>
      <c r="BE67" s="562"/>
      <c r="BF67" s="572"/>
      <c r="BG67" s="587"/>
      <c r="BH67" s="590"/>
      <c r="BI67" s="562"/>
      <c r="BJ67" s="535">
        <f t="shared" si="9"/>
        <v>0</v>
      </c>
      <c r="BK67" s="545">
        <f t="shared" si="10"/>
        <v>0</v>
      </c>
    </row>
    <row r="68" spans="1:63" ht="15" customHeight="1" x14ac:dyDescent="0.35">
      <c r="A68" s="579"/>
      <c r="B68" s="546" t="s">
        <v>85</v>
      </c>
      <c r="C68" s="579" t="s">
        <v>100</v>
      </c>
      <c r="D68" s="653" t="s">
        <v>101</v>
      </c>
      <c r="E68" s="654"/>
      <c r="F68" s="590"/>
      <c r="G68" s="562"/>
      <c r="H68" s="590"/>
      <c r="I68" s="562"/>
      <c r="J68" s="590"/>
      <c r="K68" s="562"/>
      <c r="L68" s="590"/>
      <c r="M68" s="562"/>
      <c r="N68" s="590"/>
      <c r="O68" s="562"/>
      <c r="P68" s="572"/>
      <c r="Q68" s="587"/>
      <c r="R68" s="572"/>
      <c r="S68" s="587"/>
      <c r="T68" s="590"/>
      <c r="U68" s="562"/>
      <c r="V68" s="590"/>
      <c r="W68" s="562"/>
      <c r="X68" s="590"/>
      <c r="Y68" s="562"/>
      <c r="Z68" s="590"/>
      <c r="AA68" s="562"/>
      <c r="AB68" s="590"/>
      <c r="AC68" s="562"/>
      <c r="AD68" s="572"/>
      <c r="AE68" s="587"/>
      <c r="AF68" s="590"/>
      <c r="AG68" s="562"/>
      <c r="AH68" s="590"/>
      <c r="AI68" s="562"/>
      <c r="AJ68" s="590"/>
      <c r="AK68" s="562"/>
      <c r="AL68" s="590"/>
      <c r="AM68" s="562"/>
      <c r="AN68" s="590"/>
      <c r="AO68" s="562"/>
      <c r="AP68" s="590"/>
      <c r="AQ68" s="562"/>
      <c r="AR68" s="572"/>
      <c r="AS68" s="587"/>
      <c r="AT68" s="590"/>
      <c r="AU68" s="562"/>
      <c r="AV68" s="590"/>
      <c r="AW68" s="562"/>
      <c r="AX68" s="590"/>
      <c r="AY68" s="562"/>
      <c r="AZ68" s="590"/>
      <c r="BA68" s="562"/>
      <c r="BB68" s="590"/>
      <c r="BC68" s="562"/>
      <c r="BD68" s="590"/>
      <c r="BE68" s="562"/>
      <c r="BF68" s="572"/>
      <c r="BG68" s="587"/>
      <c r="BH68" s="590"/>
      <c r="BI68" s="562"/>
      <c r="BJ68" s="535">
        <f t="shared" si="9"/>
        <v>0</v>
      </c>
      <c r="BK68" s="545">
        <f t="shared" si="10"/>
        <v>0</v>
      </c>
    </row>
    <row r="69" spans="1:63" ht="15" customHeight="1" x14ac:dyDescent="0.35">
      <c r="A69" s="579"/>
      <c r="B69" s="546" t="s">
        <v>29</v>
      </c>
      <c r="C69" s="579" t="s">
        <v>102</v>
      </c>
      <c r="D69" s="653" t="s">
        <v>103</v>
      </c>
      <c r="E69" s="654"/>
      <c r="F69" s="590"/>
      <c r="G69" s="562"/>
      <c r="H69" s="590"/>
      <c r="I69" s="562"/>
      <c r="J69" s="590"/>
      <c r="K69" s="562"/>
      <c r="L69" s="590"/>
      <c r="M69" s="562"/>
      <c r="N69" s="590"/>
      <c r="O69" s="562"/>
      <c r="P69" s="572"/>
      <c r="Q69" s="587"/>
      <c r="R69" s="572"/>
      <c r="S69" s="587"/>
      <c r="T69" s="590"/>
      <c r="U69" s="562"/>
      <c r="V69" s="590"/>
      <c r="W69" s="562"/>
      <c r="X69" s="590"/>
      <c r="Y69" s="562"/>
      <c r="Z69" s="590"/>
      <c r="AA69" s="562"/>
      <c r="AB69" s="590"/>
      <c r="AC69" s="562"/>
      <c r="AD69" s="572"/>
      <c r="AE69" s="587"/>
      <c r="AF69" s="590"/>
      <c r="AG69" s="562"/>
      <c r="AH69" s="590"/>
      <c r="AI69" s="562"/>
      <c r="AJ69" s="590"/>
      <c r="AK69" s="562"/>
      <c r="AL69" s="590"/>
      <c r="AM69" s="562"/>
      <c r="AN69" s="590"/>
      <c r="AO69" s="562"/>
      <c r="AP69" s="590"/>
      <c r="AQ69" s="562"/>
      <c r="AR69" s="572"/>
      <c r="AS69" s="587"/>
      <c r="AT69" s="590"/>
      <c r="AU69" s="562"/>
      <c r="AV69" s="590"/>
      <c r="AW69" s="562"/>
      <c r="AX69" s="590"/>
      <c r="AY69" s="562"/>
      <c r="AZ69" s="590"/>
      <c r="BA69" s="562"/>
      <c r="BB69" s="590"/>
      <c r="BC69" s="562"/>
      <c r="BD69" s="590"/>
      <c r="BE69" s="562"/>
      <c r="BF69" s="572"/>
      <c r="BG69" s="587"/>
      <c r="BH69" s="590"/>
      <c r="BI69" s="562"/>
      <c r="BJ69" s="535">
        <f t="shared" si="9"/>
        <v>0</v>
      </c>
      <c r="BK69" s="545">
        <f t="shared" si="10"/>
        <v>0</v>
      </c>
    </row>
    <row r="70" spans="1:63" ht="15" customHeight="1" x14ac:dyDescent="0.35">
      <c r="A70" s="579"/>
      <c r="B70" s="546" t="s">
        <v>104</v>
      </c>
      <c r="C70" s="579" t="s">
        <v>105</v>
      </c>
      <c r="D70" s="653" t="s">
        <v>1032</v>
      </c>
      <c r="E70" s="654"/>
      <c r="F70" s="590"/>
      <c r="G70" s="562"/>
      <c r="H70" s="590"/>
      <c r="I70" s="562"/>
      <c r="J70" s="590"/>
      <c r="K70" s="562"/>
      <c r="L70" s="590"/>
      <c r="M70" s="562"/>
      <c r="N70" s="590"/>
      <c r="O70" s="562"/>
      <c r="P70" s="572"/>
      <c r="Q70" s="587"/>
      <c r="R70" s="572"/>
      <c r="S70" s="587"/>
      <c r="T70" s="590"/>
      <c r="U70" s="562"/>
      <c r="V70" s="590"/>
      <c r="W70" s="562"/>
      <c r="X70" s="590"/>
      <c r="Y70" s="562"/>
      <c r="Z70" s="590"/>
      <c r="AA70" s="562"/>
      <c r="AB70" s="590"/>
      <c r="AC70" s="562"/>
      <c r="AD70" s="572"/>
      <c r="AE70" s="587"/>
      <c r="AF70" s="590"/>
      <c r="AG70" s="562"/>
      <c r="AH70" s="590"/>
      <c r="AI70" s="562"/>
      <c r="AJ70" s="590"/>
      <c r="AK70" s="562"/>
      <c r="AL70" s="590"/>
      <c r="AM70" s="562"/>
      <c r="AN70" s="590"/>
      <c r="AO70" s="562"/>
      <c r="AP70" s="590"/>
      <c r="AQ70" s="562"/>
      <c r="AR70" s="572"/>
      <c r="AS70" s="587"/>
      <c r="AT70" s="590"/>
      <c r="AU70" s="562"/>
      <c r="AV70" s="590"/>
      <c r="AW70" s="562"/>
      <c r="AX70" s="590"/>
      <c r="AY70" s="562"/>
      <c r="AZ70" s="590"/>
      <c r="BA70" s="562"/>
      <c r="BB70" s="590"/>
      <c r="BC70" s="562"/>
      <c r="BD70" s="590"/>
      <c r="BE70" s="562"/>
      <c r="BF70" s="572"/>
      <c r="BG70" s="587"/>
      <c r="BH70" s="590"/>
      <c r="BI70" s="562"/>
      <c r="BJ70" s="535">
        <f t="shared" si="9"/>
        <v>0</v>
      </c>
      <c r="BK70" s="545">
        <f t="shared" si="10"/>
        <v>0</v>
      </c>
    </row>
    <row r="71" spans="1:63" ht="15" customHeight="1" x14ac:dyDescent="0.35">
      <c r="A71" s="579"/>
      <c r="B71" s="546" t="s">
        <v>85</v>
      </c>
      <c r="C71" s="579" t="s">
        <v>107</v>
      </c>
      <c r="D71" s="653" t="s">
        <v>108</v>
      </c>
      <c r="E71" s="654"/>
      <c r="F71" s="590"/>
      <c r="G71" s="562"/>
      <c r="H71" s="590"/>
      <c r="I71" s="562"/>
      <c r="J71" s="590"/>
      <c r="K71" s="562"/>
      <c r="L71" s="590"/>
      <c r="M71" s="562"/>
      <c r="N71" s="590"/>
      <c r="O71" s="562"/>
      <c r="P71" s="572"/>
      <c r="Q71" s="587"/>
      <c r="R71" s="572"/>
      <c r="S71" s="587"/>
      <c r="T71" s="590"/>
      <c r="U71" s="562"/>
      <c r="V71" s="590"/>
      <c r="W71" s="562"/>
      <c r="X71" s="590"/>
      <c r="Y71" s="562"/>
      <c r="Z71" s="590"/>
      <c r="AA71" s="562"/>
      <c r="AB71" s="590"/>
      <c r="AC71" s="562"/>
      <c r="AD71" s="572"/>
      <c r="AE71" s="587"/>
      <c r="AF71" s="590"/>
      <c r="AG71" s="562"/>
      <c r="AH71" s="590"/>
      <c r="AI71" s="562"/>
      <c r="AJ71" s="590"/>
      <c r="AK71" s="562"/>
      <c r="AL71" s="590"/>
      <c r="AM71" s="562"/>
      <c r="AN71" s="590"/>
      <c r="AO71" s="562"/>
      <c r="AP71" s="590"/>
      <c r="AQ71" s="562"/>
      <c r="AR71" s="572"/>
      <c r="AS71" s="587"/>
      <c r="AT71" s="590"/>
      <c r="AU71" s="562"/>
      <c r="AV71" s="590"/>
      <c r="AW71" s="562"/>
      <c r="AX71" s="590"/>
      <c r="AY71" s="562"/>
      <c r="AZ71" s="590"/>
      <c r="BA71" s="562"/>
      <c r="BB71" s="590"/>
      <c r="BC71" s="562"/>
      <c r="BD71" s="590"/>
      <c r="BE71" s="562"/>
      <c r="BF71" s="572"/>
      <c r="BG71" s="587"/>
      <c r="BH71" s="590"/>
      <c r="BI71" s="562"/>
      <c r="BJ71" s="535">
        <f t="shared" si="9"/>
        <v>0</v>
      </c>
      <c r="BK71" s="545">
        <f t="shared" si="10"/>
        <v>0</v>
      </c>
    </row>
    <row r="72" spans="1:63" ht="15" customHeight="1" x14ac:dyDescent="0.35">
      <c r="A72" s="579"/>
      <c r="B72" s="546" t="s">
        <v>109</v>
      </c>
      <c r="C72" s="579" t="s">
        <v>110</v>
      </c>
      <c r="D72" s="653" t="s">
        <v>111</v>
      </c>
      <c r="E72" s="654"/>
      <c r="F72" s="590"/>
      <c r="G72" s="562"/>
      <c r="H72" s="590"/>
      <c r="I72" s="562"/>
      <c r="J72" s="590"/>
      <c r="K72" s="562"/>
      <c r="L72" s="590"/>
      <c r="M72" s="562"/>
      <c r="N72" s="590"/>
      <c r="O72" s="562"/>
      <c r="P72" s="572"/>
      <c r="Q72" s="587"/>
      <c r="R72" s="572"/>
      <c r="S72" s="587"/>
      <c r="T72" s="590"/>
      <c r="U72" s="562"/>
      <c r="V72" s="590"/>
      <c r="W72" s="562"/>
      <c r="X72" s="590"/>
      <c r="Y72" s="562"/>
      <c r="Z72" s="590"/>
      <c r="AA72" s="562"/>
      <c r="AB72" s="590"/>
      <c r="AC72" s="562"/>
      <c r="AD72" s="572"/>
      <c r="AE72" s="587"/>
      <c r="AF72" s="590"/>
      <c r="AG72" s="562"/>
      <c r="AH72" s="590"/>
      <c r="AI72" s="562"/>
      <c r="AJ72" s="590"/>
      <c r="AK72" s="562"/>
      <c r="AL72" s="590"/>
      <c r="AM72" s="562"/>
      <c r="AN72" s="590"/>
      <c r="AO72" s="562"/>
      <c r="AP72" s="590"/>
      <c r="AQ72" s="562"/>
      <c r="AR72" s="572"/>
      <c r="AS72" s="587"/>
      <c r="AT72" s="590"/>
      <c r="AU72" s="562"/>
      <c r="AV72" s="590"/>
      <c r="AW72" s="562"/>
      <c r="AX72" s="590"/>
      <c r="AY72" s="562"/>
      <c r="AZ72" s="590"/>
      <c r="BA72" s="562"/>
      <c r="BB72" s="590"/>
      <c r="BC72" s="562"/>
      <c r="BD72" s="590"/>
      <c r="BE72" s="562"/>
      <c r="BF72" s="572"/>
      <c r="BG72" s="587"/>
      <c r="BH72" s="590"/>
      <c r="BI72" s="562"/>
      <c r="BJ72" s="535">
        <f t="shared" si="9"/>
        <v>0</v>
      </c>
      <c r="BK72" s="545">
        <f t="shared" si="10"/>
        <v>0</v>
      </c>
    </row>
    <row r="73" spans="1:63" ht="15" customHeight="1" x14ac:dyDescent="0.35">
      <c r="A73" s="579"/>
      <c r="B73" s="546" t="s">
        <v>26</v>
      </c>
      <c r="C73" s="579" t="s">
        <v>112</v>
      </c>
      <c r="D73" s="653" t="s">
        <v>54</v>
      </c>
      <c r="E73" s="654"/>
      <c r="F73" s="590"/>
      <c r="G73" s="562"/>
      <c r="H73" s="590"/>
      <c r="I73" s="562"/>
      <c r="J73" s="590"/>
      <c r="K73" s="562"/>
      <c r="L73" s="590"/>
      <c r="M73" s="562"/>
      <c r="N73" s="590"/>
      <c r="O73" s="562"/>
      <c r="P73" s="572"/>
      <c r="Q73" s="587"/>
      <c r="R73" s="572"/>
      <c r="S73" s="587"/>
      <c r="T73" s="590"/>
      <c r="U73" s="562"/>
      <c r="V73" s="590"/>
      <c r="W73" s="562"/>
      <c r="X73" s="590"/>
      <c r="Y73" s="562"/>
      <c r="Z73" s="590"/>
      <c r="AA73" s="562"/>
      <c r="AB73" s="590"/>
      <c r="AC73" s="562"/>
      <c r="AD73" s="572"/>
      <c r="AE73" s="587"/>
      <c r="AF73" s="590"/>
      <c r="AG73" s="562"/>
      <c r="AH73" s="590"/>
      <c r="AI73" s="562"/>
      <c r="AJ73" s="590"/>
      <c r="AK73" s="562"/>
      <c r="AL73" s="590"/>
      <c r="AM73" s="562"/>
      <c r="AN73" s="590"/>
      <c r="AO73" s="562"/>
      <c r="AP73" s="590"/>
      <c r="AQ73" s="562"/>
      <c r="AR73" s="572"/>
      <c r="AS73" s="587"/>
      <c r="AT73" s="590"/>
      <c r="AU73" s="562"/>
      <c r="AV73" s="590"/>
      <c r="AW73" s="562"/>
      <c r="AX73" s="590"/>
      <c r="AY73" s="562"/>
      <c r="AZ73" s="590"/>
      <c r="BA73" s="562"/>
      <c r="BB73" s="590"/>
      <c r="BC73" s="562"/>
      <c r="BD73" s="590"/>
      <c r="BE73" s="562"/>
      <c r="BF73" s="572"/>
      <c r="BG73" s="587"/>
      <c r="BH73" s="590"/>
      <c r="BI73" s="562"/>
      <c r="BJ73" s="535">
        <f t="shared" si="9"/>
        <v>0</v>
      </c>
      <c r="BK73" s="545">
        <f t="shared" si="10"/>
        <v>0</v>
      </c>
    </row>
    <row r="74" spans="1:63" ht="15" customHeight="1" x14ac:dyDescent="0.35">
      <c r="A74" s="579"/>
      <c r="B74" s="546" t="s">
        <v>29</v>
      </c>
      <c r="C74" s="579" t="s">
        <v>113</v>
      </c>
      <c r="D74" s="653" t="s">
        <v>70</v>
      </c>
      <c r="E74" s="654"/>
      <c r="F74" s="590"/>
      <c r="G74" s="562"/>
      <c r="H74" s="590"/>
      <c r="I74" s="562"/>
      <c r="J74" s="590"/>
      <c r="K74" s="562"/>
      <c r="L74" s="590"/>
      <c r="M74" s="562"/>
      <c r="N74" s="590"/>
      <c r="O74" s="562"/>
      <c r="P74" s="572"/>
      <c r="Q74" s="587"/>
      <c r="R74" s="572"/>
      <c r="S74" s="587"/>
      <c r="T74" s="590"/>
      <c r="U74" s="562"/>
      <c r="V74" s="590"/>
      <c r="W74" s="562"/>
      <c r="X74" s="590"/>
      <c r="Y74" s="562"/>
      <c r="Z74" s="590"/>
      <c r="AA74" s="562"/>
      <c r="AB74" s="590"/>
      <c r="AC74" s="562"/>
      <c r="AD74" s="572"/>
      <c r="AE74" s="587"/>
      <c r="AF74" s="590"/>
      <c r="AG74" s="562"/>
      <c r="AH74" s="590"/>
      <c r="AI74" s="562"/>
      <c r="AJ74" s="590"/>
      <c r="AK74" s="562"/>
      <c r="AL74" s="590"/>
      <c r="AM74" s="562"/>
      <c r="AN74" s="590"/>
      <c r="AO74" s="562"/>
      <c r="AP74" s="590"/>
      <c r="AQ74" s="562"/>
      <c r="AR74" s="572"/>
      <c r="AS74" s="587"/>
      <c r="AT74" s="590"/>
      <c r="AU74" s="562"/>
      <c r="AV74" s="590"/>
      <c r="AW74" s="562"/>
      <c r="AX74" s="590"/>
      <c r="AY74" s="562"/>
      <c r="AZ74" s="590"/>
      <c r="BA74" s="562"/>
      <c r="BB74" s="590"/>
      <c r="BC74" s="562"/>
      <c r="BD74" s="590"/>
      <c r="BE74" s="562"/>
      <c r="BF74" s="572"/>
      <c r="BG74" s="587"/>
      <c r="BH74" s="590"/>
      <c r="BI74" s="562"/>
      <c r="BJ74" s="535">
        <f t="shared" si="9"/>
        <v>0</v>
      </c>
      <c r="BK74" s="545">
        <f t="shared" si="10"/>
        <v>0</v>
      </c>
    </row>
    <row r="75" spans="1:63" ht="15" customHeight="1" x14ac:dyDescent="0.35">
      <c r="A75" s="579"/>
      <c r="B75" s="546" t="s">
        <v>29</v>
      </c>
      <c r="C75" s="579" t="s">
        <v>114</v>
      </c>
      <c r="D75" s="653" t="s">
        <v>72</v>
      </c>
      <c r="E75" s="654"/>
      <c r="F75" s="590"/>
      <c r="G75" s="562"/>
      <c r="H75" s="590"/>
      <c r="I75" s="562"/>
      <c r="J75" s="590"/>
      <c r="K75" s="562"/>
      <c r="L75" s="590"/>
      <c r="M75" s="562"/>
      <c r="N75" s="590"/>
      <c r="O75" s="562"/>
      <c r="P75" s="572"/>
      <c r="Q75" s="587"/>
      <c r="R75" s="572"/>
      <c r="S75" s="587"/>
      <c r="T75" s="590"/>
      <c r="U75" s="562"/>
      <c r="V75" s="590"/>
      <c r="W75" s="562"/>
      <c r="X75" s="590"/>
      <c r="Y75" s="562"/>
      <c r="Z75" s="590"/>
      <c r="AA75" s="562"/>
      <c r="AB75" s="590"/>
      <c r="AC75" s="562"/>
      <c r="AD75" s="572"/>
      <c r="AE75" s="587"/>
      <c r="AF75" s="590"/>
      <c r="AG75" s="562"/>
      <c r="AH75" s="590"/>
      <c r="AI75" s="562"/>
      <c r="AJ75" s="590"/>
      <c r="AK75" s="562"/>
      <c r="AL75" s="590"/>
      <c r="AM75" s="562"/>
      <c r="AN75" s="590"/>
      <c r="AO75" s="562"/>
      <c r="AP75" s="590"/>
      <c r="AQ75" s="562"/>
      <c r="AR75" s="572"/>
      <c r="AS75" s="587"/>
      <c r="AT75" s="590"/>
      <c r="AU75" s="562"/>
      <c r="AV75" s="590"/>
      <c r="AW75" s="562"/>
      <c r="AX75" s="590"/>
      <c r="AY75" s="562"/>
      <c r="AZ75" s="590"/>
      <c r="BA75" s="562"/>
      <c r="BB75" s="590"/>
      <c r="BC75" s="562"/>
      <c r="BD75" s="590"/>
      <c r="BE75" s="562"/>
      <c r="BF75" s="572"/>
      <c r="BG75" s="587"/>
      <c r="BH75" s="590"/>
      <c r="BI75" s="562"/>
      <c r="BJ75" s="535">
        <f t="shared" si="9"/>
        <v>0</v>
      </c>
      <c r="BK75" s="545">
        <f t="shared" si="10"/>
        <v>0</v>
      </c>
    </row>
    <row r="76" spans="1:63" ht="15" customHeight="1" x14ac:dyDescent="0.35">
      <c r="A76" s="579"/>
      <c r="B76" s="546" t="s">
        <v>44</v>
      </c>
      <c r="C76" s="579" t="s">
        <v>115</v>
      </c>
      <c r="D76" s="653" t="s">
        <v>72</v>
      </c>
      <c r="E76" s="654"/>
      <c r="F76" s="590"/>
      <c r="G76" s="562"/>
      <c r="H76" s="590"/>
      <c r="I76" s="562"/>
      <c r="J76" s="590"/>
      <c r="K76" s="562"/>
      <c r="L76" s="590"/>
      <c r="M76" s="562"/>
      <c r="N76" s="590"/>
      <c r="O76" s="562"/>
      <c r="P76" s="572"/>
      <c r="Q76" s="587"/>
      <c r="R76" s="572"/>
      <c r="S76" s="587"/>
      <c r="T76" s="590"/>
      <c r="U76" s="562"/>
      <c r="V76" s="590"/>
      <c r="W76" s="562"/>
      <c r="X76" s="590"/>
      <c r="Y76" s="562"/>
      <c r="Z76" s="590"/>
      <c r="AA76" s="562"/>
      <c r="AB76" s="590"/>
      <c r="AC76" s="562"/>
      <c r="AD76" s="572"/>
      <c r="AE76" s="587"/>
      <c r="AF76" s="590"/>
      <c r="AG76" s="562"/>
      <c r="AH76" s="590"/>
      <c r="AI76" s="562"/>
      <c r="AJ76" s="590"/>
      <c r="AK76" s="562"/>
      <c r="AL76" s="590"/>
      <c r="AM76" s="562"/>
      <c r="AN76" s="590"/>
      <c r="AO76" s="562"/>
      <c r="AP76" s="590"/>
      <c r="AQ76" s="562"/>
      <c r="AR76" s="572"/>
      <c r="AS76" s="587"/>
      <c r="AT76" s="590"/>
      <c r="AU76" s="562"/>
      <c r="AV76" s="590"/>
      <c r="AW76" s="562"/>
      <c r="AX76" s="590"/>
      <c r="AY76" s="562"/>
      <c r="AZ76" s="590"/>
      <c r="BA76" s="562"/>
      <c r="BB76" s="590"/>
      <c r="BC76" s="562"/>
      <c r="BD76" s="590"/>
      <c r="BE76" s="562"/>
      <c r="BF76" s="572"/>
      <c r="BG76" s="587"/>
      <c r="BH76" s="590"/>
      <c r="BI76" s="562"/>
      <c r="BJ76" s="535">
        <f t="shared" si="9"/>
        <v>0</v>
      </c>
      <c r="BK76" s="545">
        <f t="shared" si="10"/>
        <v>0</v>
      </c>
    </row>
    <row r="77" spans="1:63" ht="15" customHeight="1" x14ac:dyDescent="0.35">
      <c r="A77" s="579"/>
      <c r="B77" s="546" t="s">
        <v>29</v>
      </c>
      <c r="C77" s="579" t="s">
        <v>116</v>
      </c>
      <c r="D77" s="653" t="s">
        <v>74</v>
      </c>
      <c r="E77" s="654"/>
      <c r="F77" s="590"/>
      <c r="G77" s="562"/>
      <c r="H77" s="590"/>
      <c r="I77" s="562"/>
      <c r="J77" s="590"/>
      <c r="K77" s="562"/>
      <c r="L77" s="590"/>
      <c r="M77" s="562"/>
      <c r="N77" s="590"/>
      <c r="O77" s="562"/>
      <c r="P77" s="572"/>
      <c r="Q77" s="587"/>
      <c r="R77" s="572"/>
      <c r="S77" s="587"/>
      <c r="T77" s="590"/>
      <c r="U77" s="562"/>
      <c r="V77" s="590"/>
      <c r="W77" s="562"/>
      <c r="X77" s="590"/>
      <c r="Y77" s="562"/>
      <c r="Z77" s="590"/>
      <c r="AA77" s="562"/>
      <c r="AB77" s="590"/>
      <c r="AC77" s="562"/>
      <c r="AD77" s="572"/>
      <c r="AE77" s="587"/>
      <c r="AF77" s="590"/>
      <c r="AG77" s="562"/>
      <c r="AH77" s="590"/>
      <c r="AI77" s="562"/>
      <c r="AJ77" s="590"/>
      <c r="AK77" s="562"/>
      <c r="AL77" s="590"/>
      <c r="AM77" s="562"/>
      <c r="AN77" s="590"/>
      <c r="AO77" s="562"/>
      <c r="AP77" s="590"/>
      <c r="AQ77" s="562"/>
      <c r="AR77" s="572"/>
      <c r="AS77" s="587"/>
      <c r="AT77" s="590"/>
      <c r="AU77" s="562"/>
      <c r="AV77" s="590"/>
      <c r="AW77" s="562"/>
      <c r="AX77" s="590"/>
      <c r="AY77" s="562"/>
      <c r="AZ77" s="590"/>
      <c r="BA77" s="562"/>
      <c r="BB77" s="590"/>
      <c r="BC77" s="562"/>
      <c r="BD77" s="590"/>
      <c r="BE77" s="562"/>
      <c r="BF77" s="572"/>
      <c r="BG77" s="587"/>
      <c r="BH77" s="590"/>
      <c r="BI77" s="562"/>
      <c r="BJ77" s="535">
        <f t="shared" si="9"/>
        <v>0</v>
      </c>
      <c r="BK77" s="545">
        <f t="shared" si="10"/>
        <v>0</v>
      </c>
    </row>
    <row r="78" spans="1:63" ht="15" customHeight="1" x14ac:dyDescent="0.35">
      <c r="A78" s="579"/>
      <c r="B78" s="546" t="s">
        <v>29</v>
      </c>
      <c r="C78" s="579" t="s">
        <v>117</v>
      </c>
      <c r="D78" s="653" t="s">
        <v>76</v>
      </c>
      <c r="E78" s="654"/>
      <c r="F78" s="590"/>
      <c r="G78" s="562"/>
      <c r="H78" s="590"/>
      <c r="I78" s="562"/>
      <c r="J78" s="590"/>
      <c r="K78" s="562"/>
      <c r="L78" s="590"/>
      <c r="M78" s="562"/>
      <c r="N78" s="590"/>
      <c r="O78" s="562"/>
      <c r="P78" s="572"/>
      <c r="Q78" s="587"/>
      <c r="R78" s="572"/>
      <c r="S78" s="587"/>
      <c r="T78" s="590"/>
      <c r="U78" s="562"/>
      <c r="V78" s="590"/>
      <c r="W78" s="562"/>
      <c r="X78" s="590"/>
      <c r="Y78" s="562"/>
      <c r="Z78" s="590"/>
      <c r="AA78" s="562"/>
      <c r="AB78" s="590"/>
      <c r="AC78" s="562"/>
      <c r="AD78" s="572"/>
      <c r="AE78" s="587"/>
      <c r="AF78" s="590"/>
      <c r="AG78" s="562"/>
      <c r="AH78" s="590"/>
      <c r="AI78" s="562"/>
      <c r="AJ78" s="590"/>
      <c r="AK78" s="562"/>
      <c r="AL78" s="590"/>
      <c r="AM78" s="562"/>
      <c r="AN78" s="590"/>
      <c r="AO78" s="562"/>
      <c r="AP78" s="590"/>
      <c r="AQ78" s="562"/>
      <c r="AR78" s="572"/>
      <c r="AS78" s="587"/>
      <c r="AT78" s="590"/>
      <c r="AU78" s="562"/>
      <c r="AV78" s="590"/>
      <c r="AW78" s="562"/>
      <c r="AX78" s="590"/>
      <c r="AY78" s="562"/>
      <c r="AZ78" s="590"/>
      <c r="BA78" s="562"/>
      <c r="BB78" s="590"/>
      <c r="BC78" s="562"/>
      <c r="BD78" s="590"/>
      <c r="BE78" s="562"/>
      <c r="BF78" s="572"/>
      <c r="BG78" s="587"/>
      <c r="BH78" s="590"/>
      <c r="BI78" s="562"/>
      <c r="BJ78" s="535">
        <f t="shared" si="9"/>
        <v>0</v>
      </c>
      <c r="BK78" s="545">
        <f t="shared" si="10"/>
        <v>0</v>
      </c>
    </row>
    <row r="79" spans="1:63" ht="15" customHeight="1" x14ac:dyDescent="0.35">
      <c r="A79" s="579"/>
      <c r="B79" s="546" t="s">
        <v>44</v>
      </c>
      <c r="C79" s="579" t="s">
        <v>118</v>
      </c>
      <c r="D79" s="653" t="s">
        <v>76</v>
      </c>
      <c r="E79" s="654"/>
      <c r="F79" s="590"/>
      <c r="G79" s="562"/>
      <c r="H79" s="590"/>
      <c r="I79" s="562"/>
      <c r="J79" s="590"/>
      <c r="K79" s="562"/>
      <c r="L79" s="590"/>
      <c r="M79" s="562"/>
      <c r="N79" s="590"/>
      <c r="O79" s="562"/>
      <c r="P79" s="572"/>
      <c r="Q79" s="587"/>
      <c r="R79" s="572"/>
      <c r="S79" s="587"/>
      <c r="T79" s="590"/>
      <c r="U79" s="562"/>
      <c r="V79" s="590"/>
      <c r="W79" s="562"/>
      <c r="X79" s="590"/>
      <c r="Y79" s="562"/>
      <c r="Z79" s="590"/>
      <c r="AA79" s="562"/>
      <c r="AB79" s="590"/>
      <c r="AC79" s="562"/>
      <c r="AD79" s="572"/>
      <c r="AE79" s="587"/>
      <c r="AF79" s="590"/>
      <c r="AG79" s="562"/>
      <c r="AH79" s="590"/>
      <c r="AI79" s="562"/>
      <c r="AJ79" s="590"/>
      <c r="AK79" s="562"/>
      <c r="AL79" s="590"/>
      <c r="AM79" s="562"/>
      <c r="AN79" s="590"/>
      <c r="AO79" s="562"/>
      <c r="AP79" s="590"/>
      <c r="AQ79" s="562"/>
      <c r="AR79" s="572"/>
      <c r="AS79" s="587"/>
      <c r="AT79" s="590"/>
      <c r="AU79" s="562"/>
      <c r="AV79" s="590"/>
      <c r="AW79" s="562"/>
      <c r="AX79" s="590"/>
      <c r="AY79" s="562"/>
      <c r="AZ79" s="590"/>
      <c r="BA79" s="562"/>
      <c r="BB79" s="590"/>
      <c r="BC79" s="562"/>
      <c r="BD79" s="590"/>
      <c r="BE79" s="562"/>
      <c r="BF79" s="572"/>
      <c r="BG79" s="587"/>
      <c r="BH79" s="590"/>
      <c r="BI79" s="562"/>
      <c r="BJ79" s="535">
        <f t="shared" si="9"/>
        <v>0</v>
      </c>
      <c r="BK79" s="545">
        <f t="shared" si="10"/>
        <v>0</v>
      </c>
    </row>
    <row r="80" spans="1:63" ht="15" customHeight="1" x14ac:dyDescent="0.35">
      <c r="A80" s="579"/>
      <c r="B80" s="546" t="s">
        <v>109</v>
      </c>
      <c r="C80" s="579" t="s">
        <v>119</v>
      </c>
      <c r="D80" s="653" t="s">
        <v>120</v>
      </c>
      <c r="E80" s="654"/>
      <c r="F80" s="590"/>
      <c r="G80" s="562"/>
      <c r="H80" s="590"/>
      <c r="I80" s="562"/>
      <c r="J80" s="590"/>
      <c r="K80" s="562"/>
      <c r="L80" s="590"/>
      <c r="M80" s="562"/>
      <c r="N80" s="590"/>
      <c r="O80" s="562"/>
      <c r="P80" s="572"/>
      <c r="Q80" s="587"/>
      <c r="R80" s="572"/>
      <c r="S80" s="587"/>
      <c r="T80" s="590"/>
      <c r="U80" s="562"/>
      <c r="V80" s="590"/>
      <c r="W80" s="562"/>
      <c r="X80" s="590"/>
      <c r="Y80" s="562"/>
      <c r="Z80" s="590"/>
      <c r="AA80" s="562"/>
      <c r="AB80" s="590"/>
      <c r="AC80" s="562"/>
      <c r="AD80" s="572"/>
      <c r="AE80" s="587"/>
      <c r="AF80" s="590"/>
      <c r="AG80" s="562"/>
      <c r="AH80" s="590"/>
      <c r="AI80" s="562"/>
      <c r="AJ80" s="590"/>
      <c r="AK80" s="562"/>
      <c r="AL80" s="590"/>
      <c r="AM80" s="562"/>
      <c r="AN80" s="590"/>
      <c r="AO80" s="562"/>
      <c r="AP80" s="590"/>
      <c r="AQ80" s="562"/>
      <c r="AR80" s="572"/>
      <c r="AS80" s="587"/>
      <c r="AT80" s="590"/>
      <c r="AU80" s="562"/>
      <c r="AV80" s="590"/>
      <c r="AW80" s="562"/>
      <c r="AX80" s="590"/>
      <c r="AY80" s="562"/>
      <c r="AZ80" s="590"/>
      <c r="BA80" s="562"/>
      <c r="BB80" s="590"/>
      <c r="BC80" s="562"/>
      <c r="BD80" s="590"/>
      <c r="BE80" s="562"/>
      <c r="BF80" s="572"/>
      <c r="BG80" s="587"/>
      <c r="BH80" s="590"/>
      <c r="BI80" s="562"/>
      <c r="BJ80" s="535">
        <f t="shared" si="9"/>
        <v>0</v>
      </c>
      <c r="BK80" s="545">
        <f t="shared" si="10"/>
        <v>0</v>
      </c>
    </row>
    <row r="81" spans="1:63" ht="15" customHeight="1" x14ac:dyDescent="0.35">
      <c r="A81" s="579"/>
      <c r="B81" s="546" t="s">
        <v>29</v>
      </c>
      <c r="C81" s="579" t="s">
        <v>121</v>
      </c>
      <c r="D81" s="653" t="s">
        <v>122</v>
      </c>
      <c r="E81" s="654"/>
      <c r="F81" s="590"/>
      <c r="G81" s="562"/>
      <c r="H81" s="590"/>
      <c r="I81" s="562"/>
      <c r="J81" s="590"/>
      <c r="K81" s="562"/>
      <c r="L81" s="590"/>
      <c r="M81" s="562"/>
      <c r="N81" s="590"/>
      <c r="O81" s="562"/>
      <c r="P81" s="572"/>
      <c r="Q81" s="587"/>
      <c r="R81" s="572"/>
      <c r="S81" s="587"/>
      <c r="T81" s="590"/>
      <c r="U81" s="562"/>
      <c r="V81" s="590"/>
      <c r="W81" s="562"/>
      <c r="X81" s="590"/>
      <c r="Y81" s="562"/>
      <c r="Z81" s="590"/>
      <c r="AA81" s="562"/>
      <c r="AB81" s="590"/>
      <c r="AC81" s="562"/>
      <c r="AD81" s="572"/>
      <c r="AE81" s="587"/>
      <c r="AF81" s="590"/>
      <c r="AG81" s="562"/>
      <c r="AH81" s="590"/>
      <c r="AI81" s="562"/>
      <c r="AJ81" s="590"/>
      <c r="AK81" s="562"/>
      <c r="AL81" s="590"/>
      <c r="AM81" s="562"/>
      <c r="AN81" s="590"/>
      <c r="AO81" s="562"/>
      <c r="AP81" s="590"/>
      <c r="AQ81" s="562"/>
      <c r="AR81" s="572"/>
      <c r="AS81" s="587"/>
      <c r="AT81" s="590"/>
      <c r="AU81" s="562"/>
      <c r="AV81" s="590"/>
      <c r="AW81" s="562"/>
      <c r="AX81" s="590"/>
      <c r="AY81" s="562"/>
      <c r="AZ81" s="590"/>
      <c r="BA81" s="562"/>
      <c r="BB81" s="590"/>
      <c r="BC81" s="562"/>
      <c r="BD81" s="590"/>
      <c r="BE81" s="562"/>
      <c r="BF81" s="572"/>
      <c r="BG81" s="587"/>
      <c r="BH81" s="590"/>
      <c r="BI81" s="562"/>
      <c r="BJ81" s="535">
        <f t="shared" si="9"/>
        <v>0</v>
      </c>
      <c r="BK81" s="545">
        <f t="shared" si="10"/>
        <v>0</v>
      </c>
    </row>
    <row r="82" spans="1:63" ht="15" customHeight="1" x14ac:dyDescent="0.35">
      <c r="A82" s="579"/>
      <c r="B82" s="546" t="s">
        <v>109</v>
      </c>
      <c r="C82" s="579" t="s">
        <v>123</v>
      </c>
      <c r="D82" s="653" t="s">
        <v>124</v>
      </c>
      <c r="E82" s="654"/>
      <c r="F82" s="590"/>
      <c r="G82" s="562"/>
      <c r="H82" s="590"/>
      <c r="I82" s="562"/>
      <c r="J82" s="590"/>
      <c r="K82" s="562"/>
      <c r="L82" s="590"/>
      <c r="M82" s="562"/>
      <c r="N82" s="590"/>
      <c r="O82" s="562"/>
      <c r="P82" s="572"/>
      <c r="Q82" s="587"/>
      <c r="R82" s="572"/>
      <c r="S82" s="587"/>
      <c r="T82" s="590"/>
      <c r="U82" s="562"/>
      <c r="V82" s="590"/>
      <c r="W82" s="562"/>
      <c r="X82" s="590"/>
      <c r="Y82" s="562"/>
      <c r="Z82" s="590"/>
      <c r="AA82" s="562"/>
      <c r="AB82" s="590"/>
      <c r="AC82" s="562"/>
      <c r="AD82" s="572"/>
      <c r="AE82" s="587"/>
      <c r="AF82" s="590"/>
      <c r="AG82" s="562"/>
      <c r="AH82" s="590"/>
      <c r="AI82" s="562"/>
      <c r="AJ82" s="590"/>
      <c r="AK82" s="562"/>
      <c r="AL82" s="590"/>
      <c r="AM82" s="562"/>
      <c r="AN82" s="590"/>
      <c r="AO82" s="562"/>
      <c r="AP82" s="590"/>
      <c r="AQ82" s="562"/>
      <c r="AR82" s="572"/>
      <c r="AS82" s="587"/>
      <c r="AT82" s="590"/>
      <c r="AU82" s="562"/>
      <c r="AV82" s="590"/>
      <c r="AW82" s="562"/>
      <c r="AX82" s="590"/>
      <c r="AY82" s="562"/>
      <c r="AZ82" s="590"/>
      <c r="BA82" s="562"/>
      <c r="BB82" s="590"/>
      <c r="BC82" s="562"/>
      <c r="BD82" s="590"/>
      <c r="BE82" s="562"/>
      <c r="BF82" s="572"/>
      <c r="BG82" s="587"/>
      <c r="BH82" s="590"/>
      <c r="BI82" s="562"/>
      <c r="BJ82" s="535">
        <f t="shared" si="9"/>
        <v>0</v>
      </c>
      <c r="BK82" s="545">
        <f t="shared" si="10"/>
        <v>0</v>
      </c>
    </row>
    <row r="83" spans="1:63" ht="22.5" customHeight="1" x14ac:dyDescent="0.35">
      <c r="A83" s="579"/>
      <c r="B83" s="546" t="s">
        <v>109</v>
      </c>
      <c r="C83" s="579" t="s">
        <v>159</v>
      </c>
      <c r="D83" s="653" t="s">
        <v>160</v>
      </c>
      <c r="E83" s="654"/>
      <c r="F83" s="590"/>
      <c r="G83" s="562"/>
      <c r="H83" s="590">
        <v>20</v>
      </c>
      <c r="I83" s="562"/>
      <c r="J83" s="590">
        <v>34</v>
      </c>
      <c r="K83" s="562"/>
      <c r="L83" s="590">
        <v>30</v>
      </c>
      <c r="M83" s="562"/>
      <c r="N83" s="590">
        <v>40</v>
      </c>
      <c r="O83" s="562"/>
      <c r="P83" s="572"/>
      <c r="Q83" s="587"/>
      <c r="R83" s="572"/>
      <c r="S83" s="587"/>
      <c r="T83" s="590"/>
      <c r="U83" s="562"/>
      <c r="V83" s="590"/>
      <c r="W83" s="562"/>
      <c r="X83" s="590"/>
      <c r="Y83" s="562"/>
      <c r="Z83" s="590"/>
      <c r="AA83" s="562"/>
      <c r="AB83" s="590"/>
      <c r="AC83" s="562"/>
      <c r="AD83" s="572"/>
      <c r="AE83" s="587"/>
      <c r="AF83" s="590"/>
      <c r="AG83" s="562"/>
      <c r="AH83" s="590"/>
      <c r="AI83" s="562"/>
      <c r="AJ83" s="590"/>
      <c r="AK83" s="562"/>
      <c r="AL83" s="590"/>
      <c r="AM83" s="562"/>
      <c r="AN83" s="590"/>
      <c r="AO83" s="562"/>
      <c r="AP83" s="590"/>
      <c r="AQ83" s="562"/>
      <c r="AR83" s="572"/>
      <c r="AS83" s="587"/>
      <c r="AT83" s="590"/>
      <c r="AU83" s="562"/>
      <c r="AV83" s="590"/>
      <c r="AW83" s="562"/>
      <c r="AX83" s="590"/>
      <c r="AY83" s="562"/>
      <c r="AZ83" s="590"/>
      <c r="BA83" s="562"/>
      <c r="BB83" s="590"/>
      <c r="BC83" s="562"/>
      <c r="BD83" s="590"/>
      <c r="BE83" s="562"/>
      <c r="BF83" s="572"/>
      <c r="BG83" s="587"/>
      <c r="BH83" s="590"/>
      <c r="BI83" s="562"/>
      <c r="BJ83" s="535">
        <f t="shared" si="9"/>
        <v>124</v>
      </c>
      <c r="BK83" s="545"/>
    </row>
    <row r="84" spans="1:63" ht="21" customHeight="1" x14ac:dyDescent="0.35">
      <c r="A84" s="579"/>
      <c r="B84" s="546" t="s">
        <v>104</v>
      </c>
      <c r="C84" s="579" t="s">
        <v>125</v>
      </c>
      <c r="D84" s="653" t="s">
        <v>126</v>
      </c>
      <c r="E84" s="654"/>
      <c r="F84" s="590"/>
      <c r="G84" s="562"/>
      <c r="H84" s="590"/>
      <c r="I84" s="562"/>
      <c r="J84" s="590"/>
      <c r="K84" s="562"/>
      <c r="L84" s="590"/>
      <c r="M84" s="562"/>
      <c r="N84" s="590"/>
      <c r="O84" s="562"/>
      <c r="P84" s="572"/>
      <c r="Q84" s="587"/>
      <c r="R84" s="572"/>
      <c r="S84" s="587"/>
      <c r="T84" s="590"/>
      <c r="U84" s="562"/>
      <c r="V84" s="590"/>
      <c r="W84" s="562"/>
      <c r="X84" s="590"/>
      <c r="Y84" s="562"/>
      <c r="Z84" s="590"/>
      <c r="AA84" s="562"/>
      <c r="AB84" s="590"/>
      <c r="AC84" s="562"/>
      <c r="AD84" s="572"/>
      <c r="AE84" s="587"/>
      <c r="AF84" s="590"/>
      <c r="AG84" s="562"/>
      <c r="AH84" s="590"/>
      <c r="AI84" s="562"/>
      <c r="AJ84" s="590"/>
      <c r="AK84" s="562"/>
      <c r="AL84" s="590"/>
      <c r="AM84" s="562"/>
      <c r="AN84" s="590"/>
      <c r="AO84" s="562"/>
      <c r="AP84" s="590"/>
      <c r="AQ84" s="562"/>
      <c r="AR84" s="572"/>
      <c r="AS84" s="587"/>
      <c r="AT84" s="590"/>
      <c r="AU84" s="562"/>
      <c r="AV84" s="590"/>
      <c r="AW84" s="562"/>
      <c r="AX84" s="590"/>
      <c r="AY84" s="562"/>
      <c r="AZ84" s="590"/>
      <c r="BA84" s="562"/>
      <c r="BB84" s="590"/>
      <c r="BC84" s="562"/>
      <c r="BD84" s="590"/>
      <c r="BE84" s="562"/>
      <c r="BF84" s="572"/>
      <c r="BG84" s="587"/>
      <c r="BH84" s="590"/>
      <c r="BI84" s="562"/>
      <c r="BJ84" s="535">
        <f t="shared" si="9"/>
        <v>0</v>
      </c>
      <c r="BK84" s="545">
        <f t="shared" ref="BK84:BK107" si="11">COUNT(F84:BI84)</f>
        <v>0</v>
      </c>
    </row>
    <row r="85" spans="1:63" ht="15" customHeight="1" x14ac:dyDescent="0.35">
      <c r="A85" s="579"/>
      <c r="B85" s="546"/>
      <c r="C85" s="579"/>
      <c r="D85" s="653"/>
      <c r="E85" s="654"/>
      <c r="F85" s="590"/>
      <c r="G85" s="562"/>
      <c r="H85" s="590"/>
      <c r="I85" s="562"/>
      <c r="J85" s="590"/>
      <c r="K85" s="562"/>
      <c r="L85" s="590"/>
      <c r="M85" s="562"/>
      <c r="N85" s="590"/>
      <c r="O85" s="562"/>
      <c r="P85" s="572"/>
      <c r="Q85" s="587"/>
      <c r="R85" s="572"/>
      <c r="S85" s="587"/>
      <c r="T85" s="590"/>
      <c r="U85" s="562"/>
      <c r="V85" s="590"/>
      <c r="W85" s="562"/>
      <c r="X85" s="590"/>
      <c r="Y85" s="562"/>
      <c r="Z85" s="590"/>
      <c r="AA85" s="562"/>
      <c r="AB85" s="590"/>
      <c r="AC85" s="562"/>
      <c r="AD85" s="572"/>
      <c r="AE85" s="587"/>
      <c r="AF85" s="590"/>
      <c r="AG85" s="562"/>
      <c r="AH85" s="590"/>
      <c r="AI85" s="562"/>
      <c r="AJ85" s="590"/>
      <c r="AK85" s="562"/>
      <c r="AL85" s="590"/>
      <c r="AM85" s="562"/>
      <c r="AN85" s="590"/>
      <c r="AO85" s="562"/>
      <c r="AP85" s="590"/>
      <c r="AQ85" s="562"/>
      <c r="AR85" s="572"/>
      <c r="AS85" s="587"/>
      <c r="AT85" s="590"/>
      <c r="AU85" s="562"/>
      <c r="AV85" s="590"/>
      <c r="AW85" s="562"/>
      <c r="AX85" s="590"/>
      <c r="AY85" s="562"/>
      <c r="AZ85" s="590"/>
      <c r="BA85" s="562"/>
      <c r="BB85" s="590"/>
      <c r="BC85" s="562"/>
      <c r="BD85" s="590"/>
      <c r="BE85" s="562"/>
      <c r="BF85" s="572"/>
      <c r="BG85" s="587"/>
      <c r="BH85" s="590"/>
      <c r="BI85" s="562"/>
      <c r="BJ85" s="535">
        <f t="shared" si="9"/>
        <v>0</v>
      </c>
      <c r="BK85" s="545">
        <f t="shared" si="11"/>
        <v>0</v>
      </c>
    </row>
    <row r="86" spans="1:63" ht="15" customHeight="1" x14ac:dyDescent="0.35">
      <c r="A86" s="579"/>
      <c r="B86" s="546"/>
      <c r="C86" s="579">
        <f>SUM(BJ87:BJ89)</f>
        <v>0</v>
      </c>
      <c r="D86" s="647" t="s">
        <v>127</v>
      </c>
      <c r="E86" s="648"/>
      <c r="F86" s="590"/>
      <c r="G86" s="562"/>
      <c r="H86" s="590"/>
      <c r="I86" s="562"/>
      <c r="J86" s="590"/>
      <c r="K86" s="562"/>
      <c r="L86" s="590"/>
      <c r="M86" s="562"/>
      <c r="N86" s="590"/>
      <c r="O86" s="562"/>
      <c r="P86" s="572"/>
      <c r="Q86" s="587"/>
      <c r="R86" s="572"/>
      <c r="S86" s="587"/>
      <c r="T86" s="590"/>
      <c r="U86" s="562"/>
      <c r="V86" s="590"/>
      <c r="W86" s="562"/>
      <c r="X86" s="590"/>
      <c r="Y86" s="562"/>
      <c r="Z86" s="590"/>
      <c r="AA86" s="562"/>
      <c r="AB86" s="590"/>
      <c r="AC86" s="562"/>
      <c r="AD86" s="572"/>
      <c r="AE86" s="587"/>
      <c r="AF86" s="590"/>
      <c r="AG86" s="562"/>
      <c r="AH86" s="590"/>
      <c r="AI86" s="562"/>
      <c r="AJ86" s="590"/>
      <c r="AK86" s="562"/>
      <c r="AL86" s="590"/>
      <c r="AM86" s="562"/>
      <c r="AN86" s="590"/>
      <c r="AO86" s="562"/>
      <c r="AP86" s="590"/>
      <c r="AQ86" s="562"/>
      <c r="AR86" s="572"/>
      <c r="AS86" s="587"/>
      <c r="AT86" s="590"/>
      <c r="AU86" s="562"/>
      <c r="AV86" s="590"/>
      <c r="AW86" s="562"/>
      <c r="AX86" s="590"/>
      <c r="AY86" s="562"/>
      <c r="AZ86" s="590"/>
      <c r="BA86" s="562"/>
      <c r="BB86" s="590"/>
      <c r="BC86" s="562"/>
      <c r="BD86" s="590"/>
      <c r="BE86" s="562"/>
      <c r="BF86" s="572"/>
      <c r="BG86" s="587"/>
      <c r="BH86" s="590"/>
      <c r="BI86" s="562"/>
      <c r="BJ86" s="535">
        <f t="shared" si="9"/>
        <v>0</v>
      </c>
      <c r="BK86" s="545">
        <f t="shared" si="11"/>
        <v>0</v>
      </c>
    </row>
    <row r="87" spans="1:63" ht="15" customHeight="1" x14ac:dyDescent="0.35">
      <c r="A87" s="579"/>
      <c r="B87" s="546" t="s">
        <v>85</v>
      </c>
      <c r="C87" s="579" t="s">
        <v>128</v>
      </c>
      <c r="D87" s="653" t="s">
        <v>129</v>
      </c>
      <c r="E87" s="654"/>
      <c r="F87" s="590"/>
      <c r="G87" s="562"/>
      <c r="H87" s="590"/>
      <c r="I87" s="562"/>
      <c r="J87" s="590"/>
      <c r="K87" s="562"/>
      <c r="L87" s="590"/>
      <c r="M87" s="562"/>
      <c r="N87" s="590"/>
      <c r="O87" s="562"/>
      <c r="P87" s="572"/>
      <c r="Q87" s="587"/>
      <c r="R87" s="572"/>
      <c r="S87" s="587"/>
      <c r="T87" s="590"/>
      <c r="U87" s="562"/>
      <c r="V87" s="590"/>
      <c r="W87" s="562"/>
      <c r="X87" s="590"/>
      <c r="Y87" s="562"/>
      <c r="Z87" s="590"/>
      <c r="AA87" s="562"/>
      <c r="AB87" s="590"/>
      <c r="AC87" s="562"/>
      <c r="AD87" s="572"/>
      <c r="AE87" s="587"/>
      <c r="AF87" s="590"/>
      <c r="AG87" s="562"/>
      <c r="AH87" s="590"/>
      <c r="AI87" s="562"/>
      <c r="AJ87" s="590"/>
      <c r="AK87" s="562"/>
      <c r="AL87" s="590"/>
      <c r="AM87" s="562"/>
      <c r="AN87" s="590"/>
      <c r="AO87" s="562"/>
      <c r="AP87" s="590"/>
      <c r="AQ87" s="562"/>
      <c r="AR87" s="572"/>
      <c r="AS87" s="587"/>
      <c r="AT87" s="590"/>
      <c r="AU87" s="562"/>
      <c r="AV87" s="590"/>
      <c r="AW87" s="562"/>
      <c r="AX87" s="590"/>
      <c r="AY87" s="562"/>
      <c r="AZ87" s="590"/>
      <c r="BA87" s="562"/>
      <c r="BB87" s="590"/>
      <c r="BC87" s="562"/>
      <c r="BD87" s="590"/>
      <c r="BE87" s="562"/>
      <c r="BF87" s="572"/>
      <c r="BG87" s="587"/>
      <c r="BH87" s="590"/>
      <c r="BI87" s="562"/>
      <c r="BJ87" s="535">
        <f t="shared" si="9"/>
        <v>0</v>
      </c>
      <c r="BK87" s="545">
        <f t="shared" si="11"/>
        <v>0</v>
      </c>
    </row>
    <row r="88" spans="1:63" ht="15" customHeight="1" x14ac:dyDescent="0.35">
      <c r="A88" s="579"/>
      <c r="B88" s="546"/>
      <c r="C88" s="579"/>
      <c r="D88" s="653"/>
      <c r="E88" s="654"/>
      <c r="F88" s="590"/>
      <c r="G88" s="562"/>
      <c r="H88" s="590"/>
      <c r="I88" s="562"/>
      <c r="J88" s="590"/>
      <c r="K88" s="562"/>
      <c r="L88" s="590"/>
      <c r="M88" s="562"/>
      <c r="N88" s="590"/>
      <c r="O88" s="562"/>
      <c r="P88" s="572"/>
      <c r="Q88" s="587"/>
      <c r="R88" s="572"/>
      <c r="S88" s="587"/>
      <c r="T88" s="590"/>
      <c r="U88" s="562"/>
      <c r="V88" s="590"/>
      <c r="W88" s="562"/>
      <c r="X88" s="590"/>
      <c r="Y88" s="562"/>
      <c r="Z88" s="590"/>
      <c r="AA88" s="562"/>
      <c r="AB88" s="590"/>
      <c r="AC88" s="562"/>
      <c r="AD88" s="572"/>
      <c r="AE88" s="587"/>
      <c r="AF88" s="590"/>
      <c r="AG88" s="562"/>
      <c r="AH88" s="590"/>
      <c r="AI88" s="562"/>
      <c r="AJ88" s="590"/>
      <c r="AK88" s="562"/>
      <c r="AL88" s="590"/>
      <c r="AM88" s="562"/>
      <c r="AN88" s="590"/>
      <c r="AO88" s="562"/>
      <c r="AP88" s="590"/>
      <c r="AQ88" s="562"/>
      <c r="AR88" s="572"/>
      <c r="AS88" s="587"/>
      <c r="AT88" s="590"/>
      <c r="AU88" s="562"/>
      <c r="AV88" s="590"/>
      <c r="AW88" s="562"/>
      <c r="AX88" s="590"/>
      <c r="AY88" s="562"/>
      <c r="AZ88" s="590"/>
      <c r="BA88" s="562"/>
      <c r="BB88" s="590"/>
      <c r="BC88" s="562"/>
      <c r="BD88" s="590"/>
      <c r="BE88" s="562"/>
      <c r="BF88" s="572"/>
      <c r="BG88" s="587"/>
      <c r="BH88" s="590"/>
      <c r="BI88" s="562"/>
      <c r="BJ88" s="535">
        <f t="shared" si="9"/>
        <v>0</v>
      </c>
      <c r="BK88" s="545">
        <f t="shared" si="11"/>
        <v>0</v>
      </c>
    </row>
    <row r="89" spans="1:63" ht="15" customHeight="1" x14ac:dyDescent="0.35">
      <c r="A89" s="579"/>
      <c r="B89" s="546"/>
      <c r="C89" s="579"/>
      <c r="D89" s="653"/>
      <c r="E89" s="654"/>
      <c r="F89" s="590"/>
      <c r="G89" s="562"/>
      <c r="H89" s="590"/>
      <c r="I89" s="562"/>
      <c r="J89" s="590"/>
      <c r="K89" s="562"/>
      <c r="L89" s="590"/>
      <c r="M89" s="562"/>
      <c r="N89" s="590"/>
      <c r="O89" s="562"/>
      <c r="P89" s="572"/>
      <c r="Q89" s="587"/>
      <c r="R89" s="572"/>
      <c r="S89" s="587"/>
      <c r="T89" s="590"/>
      <c r="U89" s="562"/>
      <c r="V89" s="590"/>
      <c r="W89" s="562"/>
      <c r="X89" s="590"/>
      <c r="Y89" s="562"/>
      <c r="Z89" s="590"/>
      <c r="AA89" s="562"/>
      <c r="AB89" s="590"/>
      <c r="AC89" s="562"/>
      <c r="AD89" s="572"/>
      <c r="AE89" s="587"/>
      <c r="AF89" s="590"/>
      <c r="AG89" s="562"/>
      <c r="AH89" s="590"/>
      <c r="AI89" s="562"/>
      <c r="AJ89" s="590"/>
      <c r="AK89" s="562"/>
      <c r="AL89" s="590"/>
      <c r="AM89" s="562"/>
      <c r="AN89" s="590"/>
      <c r="AO89" s="562"/>
      <c r="AP89" s="590"/>
      <c r="AQ89" s="562"/>
      <c r="AR89" s="572"/>
      <c r="AS89" s="587"/>
      <c r="AT89" s="590"/>
      <c r="AU89" s="562"/>
      <c r="AV89" s="590"/>
      <c r="AW89" s="562"/>
      <c r="AX89" s="590"/>
      <c r="AY89" s="562"/>
      <c r="AZ89" s="590"/>
      <c r="BA89" s="562"/>
      <c r="BB89" s="590"/>
      <c r="BC89" s="562"/>
      <c r="BD89" s="590"/>
      <c r="BE89" s="562"/>
      <c r="BF89" s="572"/>
      <c r="BG89" s="587"/>
      <c r="BH89" s="590"/>
      <c r="BI89" s="562"/>
      <c r="BJ89" s="535">
        <f t="shared" si="9"/>
        <v>0</v>
      </c>
      <c r="BK89" s="545">
        <f t="shared" si="11"/>
        <v>0</v>
      </c>
    </row>
    <row r="90" spans="1:63" ht="15" customHeight="1" x14ac:dyDescent="0.35">
      <c r="A90" s="579"/>
      <c r="B90" s="546"/>
      <c r="C90" s="579">
        <f>SUM(BJ91:BJ93)</f>
        <v>85</v>
      </c>
      <c r="D90" s="647" t="s">
        <v>130</v>
      </c>
      <c r="E90" s="648"/>
      <c r="F90" s="590"/>
      <c r="G90" s="562"/>
      <c r="H90" s="590"/>
      <c r="I90" s="562"/>
      <c r="J90" s="590"/>
      <c r="K90" s="562"/>
      <c r="L90" s="590"/>
      <c r="M90" s="562"/>
      <c r="N90" s="590"/>
      <c r="O90" s="562"/>
      <c r="P90" s="572"/>
      <c r="Q90" s="587"/>
      <c r="R90" s="572"/>
      <c r="S90" s="587"/>
      <c r="T90" s="590"/>
      <c r="U90" s="562"/>
      <c r="V90" s="590"/>
      <c r="W90" s="562"/>
      <c r="X90" s="590"/>
      <c r="Y90" s="562"/>
      <c r="Z90" s="590"/>
      <c r="AA90" s="562"/>
      <c r="AB90" s="590"/>
      <c r="AC90" s="562"/>
      <c r="AD90" s="572"/>
      <c r="AE90" s="587"/>
      <c r="AF90" s="590"/>
      <c r="AG90" s="562"/>
      <c r="AH90" s="590"/>
      <c r="AI90" s="562"/>
      <c r="AJ90" s="590"/>
      <c r="AK90" s="562"/>
      <c r="AL90" s="590"/>
      <c r="AM90" s="562"/>
      <c r="AN90" s="590"/>
      <c r="AO90" s="562"/>
      <c r="AP90" s="590"/>
      <c r="AQ90" s="562"/>
      <c r="AR90" s="572"/>
      <c r="AS90" s="587"/>
      <c r="AT90" s="590"/>
      <c r="AU90" s="562"/>
      <c r="AV90" s="590"/>
      <c r="AW90" s="562"/>
      <c r="AX90" s="590"/>
      <c r="AY90" s="562"/>
      <c r="AZ90" s="590"/>
      <c r="BA90" s="562"/>
      <c r="BB90" s="590"/>
      <c r="BC90" s="562"/>
      <c r="BD90" s="590"/>
      <c r="BE90" s="562"/>
      <c r="BF90" s="572"/>
      <c r="BG90" s="587"/>
      <c r="BH90" s="590"/>
      <c r="BI90" s="562"/>
      <c r="BJ90" s="535">
        <f t="shared" si="9"/>
        <v>0</v>
      </c>
      <c r="BK90" s="545">
        <f t="shared" si="11"/>
        <v>0</v>
      </c>
    </row>
    <row r="91" spans="1:63" ht="15" customHeight="1" x14ac:dyDescent="0.35">
      <c r="A91" s="579"/>
      <c r="B91" s="546" t="s">
        <v>85</v>
      </c>
      <c r="C91" s="579" t="s">
        <v>131</v>
      </c>
      <c r="D91" s="653" t="s">
        <v>132</v>
      </c>
      <c r="E91" s="654"/>
      <c r="F91" s="590"/>
      <c r="G91" s="562"/>
      <c r="H91" s="590"/>
      <c r="I91" s="562"/>
      <c r="J91" s="590">
        <v>30</v>
      </c>
      <c r="K91" s="562"/>
      <c r="L91" s="590">
        <v>55</v>
      </c>
      <c r="M91" s="562"/>
      <c r="N91" s="590"/>
      <c r="O91" s="562"/>
      <c r="P91" s="572"/>
      <c r="Q91" s="587"/>
      <c r="R91" s="572"/>
      <c r="S91" s="587"/>
      <c r="T91" s="590"/>
      <c r="U91" s="562"/>
      <c r="V91" s="590"/>
      <c r="W91" s="562"/>
      <c r="X91" s="590"/>
      <c r="Y91" s="562"/>
      <c r="Z91" s="590"/>
      <c r="AA91" s="562"/>
      <c r="AB91" s="590"/>
      <c r="AC91" s="562"/>
      <c r="AD91" s="572"/>
      <c r="AE91" s="587"/>
      <c r="AF91" s="590"/>
      <c r="AG91" s="562"/>
      <c r="AH91" s="590"/>
      <c r="AI91" s="562"/>
      <c r="AJ91" s="590"/>
      <c r="AK91" s="562"/>
      <c r="AL91" s="590"/>
      <c r="AM91" s="562"/>
      <c r="AN91" s="590"/>
      <c r="AO91" s="562"/>
      <c r="AP91" s="590"/>
      <c r="AQ91" s="562"/>
      <c r="AR91" s="572"/>
      <c r="AS91" s="587"/>
      <c r="AT91" s="590"/>
      <c r="AU91" s="562"/>
      <c r="AV91" s="590"/>
      <c r="AW91" s="562"/>
      <c r="AX91" s="590"/>
      <c r="AY91" s="562"/>
      <c r="AZ91" s="590"/>
      <c r="BA91" s="562"/>
      <c r="BB91" s="590"/>
      <c r="BC91" s="562"/>
      <c r="BD91" s="590"/>
      <c r="BE91" s="562"/>
      <c r="BF91" s="572"/>
      <c r="BG91" s="587"/>
      <c r="BH91" s="590"/>
      <c r="BI91" s="562"/>
      <c r="BJ91" s="535">
        <f t="shared" si="9"/>
        <v>85</v>
      </c>
      <c r="BK91" s="545">
        <f t="shared" si="11"/>
        <v>2</v>
      </c>
    </row>
    <row r="92" spans="1:63" ht="15" customHeight="1" x14ac:dyDescent="0.35">
      <c r="A92" s="579"/>
      <c r="B92" s="546"/>
      <c r="C92" s="579"/>
      <c r="D92" s="653"/>
      <c r="E92" s="654"/>
      <c r="F92" s="590"/>
      <c r="G92" s="562"/>
      <c r="H92" s="590"/>
      <c r="I92" s="562"/>
      <c r="J92" s="590"/>
      <c r="K92" s="562"/>
      <c r="L92" s="590"/>
      <c r="M92" s="562"/>
      <c r="N92" s="590"/>
      <c r="O92" s="562"/>
      <c r="P92" s="572"/>
      <c r="Q92" s="587"/>
      <c r="R92" s="572"/>
      <c r="S92" s="587"/>
      <c r="T92" s="590"/>
      <c r="U92" s="562"/>
      <c r="V92" s="590"/>
      <c r="W92" s="562"/>
      <c r="X92" s="590"/>
      <c r="Y92" s="562"/>
      <c r="Z92" s="590"/>
      <c r="AA92" s="562"/>
      <c r="AB92" s="590"/>
      <c r="AC92" s="562"/>
      <c r="AD92" s="572"/>
      <c r="AE92" s="587"/>
      <c r="AF92" s="590"/>
      <c r="AG92" s="562"/>
      <c r="AH92" s="590"/>
      <c r="AI92" s="562"/>
      <c r="AJ92" s="590"/>
      <c r="AK92" s="562"/>
      <c r="AL92" s="590"/>
      <c r="AM92" s="562"/>
      <c r="AN92" s="590"/>
      <c r="AO92" s="562"/>
      <c r="AP92" s="590"/>
      <c r="AQ92" s="562"/>
      <c r="AR92" s="572"/>
      <c r="AS92" s="587"/>
      <c r="AT92" s="590"/>
      <c r="AU92" s="562"/>
      <c r="AV92" s="590"/>
      <c r="AW92" s="562"/>
      <c r="AX92" s="590"/>
      <c r="AY92" s="562"/>
      <c r="AZ92" s="590"/>
      <c r="BA92" s="562"/>
      <c r="BB92" s="590"/>
      <c r="BC92" s="562"/>
      <c r="BD92" s="590"/>
      <c r="BE92" s="562"/>
      <c r="BF92" s="572"/>
      <c r="BG92" s="587"/>
      <c r="BH92" s="590"/>
      <c r="BI92" s="562"/>
      <c r="BJ92" s="535">
        <f t="shared" si="9"/>
        <v>0</v>
      </c>
      <c r="BK92" s="545">
        <f t="shared" si="11"/>
        <v>0</v>
      </c>
    </row>
    <row r="93" spans="1:63" ht="15" customHeight="1" x14ac:dyDescent="0.35">
      <c r="A93" s="579"/>
      <c r="B93" s="546"/>
      <c r="C93" s="579"/>
      <c r="D93" s="653"/>
      <c r="E93" s="654"/>
      <c r="F93" s="590"/>
      <c r="G93" s="562"/>
      <c r="H93" s="590"/>
      <c r="I93" s="562"/>
      <c r="J93" s="590"/>
      <c r="K93" s="562"/>
      <c r="L93" s="590"/>
      <c r="M93" s="562"/>
      <c r="N93" s="590"/>
      <c r="O93" s="562"/>
      <c r="P93" s="572"/>
      <c r="Q93" s="587"/>
      <c r="R93" s="572"/>
      <c r="S93" s="587"/>
      <c r="T93" s="590"/>
      <c r="U93" s="562"/>
      <c r="V93" s="590"/>
      <c r="W93" s="562"/>
      <c r="X93" s="590"/>
      <c r="Y93" s="562"/>
      <c r="Z93" s="590"/>
      <c r="AA93" s="562"/>
      <c r="AB93" s="590"/>
      <c r="AC93" s="562"/>
      <c r="AD93" s="572"/>
      <c r="AE93" s="587"/>
      <c r="AF93" s="590"/>
      <c r="AG93" s="562"/>
      <c r="AH93" s="590"/>
      <c r="AI93" s="562"/>
      <c r="AJ93" s="590"/>
      <c r="AK93" s="562"/>
      <c r="AL93" s="590"/>
      <c r="AM93" s="562"/>
      <c r="AN93" s="590"/>
      <c r="AO93" s="562"/>
      <c r="AP93" s="590"/>
      <c r="AQ93" s="562"/>
      <c r="AR93" s="572"/>
      <c r="AS93" s="587"/>
      <c r="AT93" s="590"/>
      <c r="AU93" s="562"/>
      <c r="AV93" s="590"/>
      <c r="AW93" s="562"/>
      <c r="AX93" s="590"/>
      <c r="AY93" s="562"/>
      <c r="AZ93" s="590"/>
      <c r="BA93" s="562"/>
      <c r="BB93" s="590"/>
      <c r="BC93" s="562"/>
      <c r="BD93" s="590"/>
      <c r="BE93" s="562"/>
      <c r="BF93" s="572"/>
      <c r="BG93" s="587"/>
      <c r="BH93" s="590"/>
      <c r="BI93" s="562"/>
      <c r="BJ93" s="535">
        <f t="shared" si="9"/>
        <v>0</v>
      </c>
      <c r="BK93" s="545">
        <f t="shared" si="11"/>
        <v>0</v>
      </c>
    </row>
    <row r="94" spans="1:63" ht="15" customHeight="1" x14ac:dyDescent="0.35">
      <c r="A94" s="579"/>
      <c r="B94" s="546"/>
      <c r="C94" s="579">
        <f>SUM(BJ95:BJ101)</f>
        <v>0</v>
      </c>
      <c r="D94" s="647" t="s">
        <v>133</v>
      </c>
      <c r="E94" s="648"/>
      <c r="F94" s="590"/>
      <c r="G94" s="562"/>
      <c r="H94" s="590"/>
      <c r="I94" s="562"/>
      <c r="J94" s="590"/>
      <c r="K94" s="562"/>
      <c r="L94" s="590"/>
      <c r="M94" s="562"/>
      <c r="N94" s="590"/>
      <c r="O94" s="562"/>
      <c r="P94" s="572"/>
      <c r="Q94" s="587"/>
      <c r="R94" s="572"/>
      <c r="S94" s="587"/>
      <c r="T94" s="590"/>
      <c r="U94" s="562"/>
      <c r="V94" s="590"/>
      <c r="W94" s="562"/>
      <c r="X94" s="590"/>
      <c r="Y94" s="562"/>
      <c r="Z94" s="590"/>
      <c r="AA94" s="562"/>
      <c r="AB94" s="590"/>
      <c r="AC94" s="562"/>
      <c r="AD94" s="572"/>
      <c r="AE94" s="587"/>
      <c r="AF94" s="590"/>
      <c r="AG94" s="562"/>
      <c r="AH94" s="590"/>
      <c r="AI94" s="562"/>
      <c r="AJ94" s="590"/>
      <c r="AK94" s="562"/>
      <c r="AL94" s="590"/>
      <c r="AM94" s="562"/>
      <c r="AN94" s="590"/>
      <c r="AO94" s="562"/>
      <c r="AP94" s="590"/>
      <c r="AQ94" s="562"/>
      <c r="AR94" s="572"/>
      <c r="AS94" s="587"/>
      <c r="AT94" s="590"/>
      <c r="AU94" s="562"/>
      <c r="AV94" s="590"/>
      <c r="AW94" s="562"/>
      <c r="AX94" s="590"/>
      <c r="AY94" s="562"/>
      <c r="AZ94" s="590"/>
      <c r="BA94" s="562"/>
      <c r="BB94" s="590"/>
      <c r="BC94" s="562"/>
      <c r="BD94" s="590"/>
      <c r="BE94" s="562"/>
      <c r="BF94" s="572"/>
      <c r="BG94" s="587"/>
      <c r="BH94" s="590"/>
      <c r="BI94" s="562"/>
      <c r="BJ94" s="535">
        <f t="shared" si="9"/>
        <v>0</v>
      </c>
      <c r="BK94" s="545">
        <f t="shared" si="11"/>
        <v>0</v>
      </c>
    </row>
    <row r="95" spans="1:63" ht="15" customHeight="1" x14ac:dyDescent="0.35">
      <c r="A95" s="579"/>
      <c r="B95" s="546" t="s">
        <v>44</v>
      </c>
      <c r="C95" s="579" t="s">
        <v>134</v>
      </c>
      <c r="D95" s="653" t="s">
        <v>135</v>
      </c>
      <c r="E95" s="654"/>
      <c r="F95" s="590"/>
      <c r="G95" s="562"/>
      <c r="H95" s="590"/>
      <c r="I95" s="562"/>
      <c r="J95" s="590"/>
      <c r="K95" s="562"/>
      <c r="L95" s="590"/>
      <c r="M95" s="562"/>
      <c r="N95" s="590"/>
      <c r="O95" s="562"/>
      <c r="P95" s="572"/>
      <c r="Q95" s="587"/>
      <c r="R95" s="572"/>
      <c r="S95" s="587"/>
      <c r="T95" s="590"/>
      <c r="U95" s="562"/>
      <c r="V95" s="590"/>
      <c r="W95" s="562"/>
      <c r="X95" s="590"/>
      <c r="Y95" s="562"/>
      <c r="Z95" s="590"/>
      <c r="AA95" s="562"/>
      <c r="AB95" s="590"/>
      <c r="AC95" s="562"/>
      <c r="AD95" s="572"/>
      <c r="AE95" s="587"/>
      <c r="AF95" s="590"/>
      <c r="AG95" s="562"/>
      <c r="AH95" s="590"/>
      <c r="AI95" s="562"/>
      <c r="AJ95" s="590"/>
      <c r="AK95" s="562"/>
      <c r="AL95" s="590"/>
      <c r="AM95" s="562"/>
      <c r="AN95" s="590"/>
      <c r="AO95" s="562"/>
      <c r="AP95" s="590"/>
      <c r="AQ95" s="562"/>
      <c r="AR95" s="572"/>
      <c r="AS95" s="587"/>
      <c r="AT95" s="590"/>
      <c r="AU95" s="562"/>
      <c r="AV95" s="590"/>
      <c r="AW95" s="562"/>
      <c r="AX95" s="590"/>
      <c r="AY95" s="562"/>
      <c r="AZ95" s="590"/>
      <c r="BA95" s="562"/>
      <c r="BB95" s="590"/>
      <c r="BC95" s="562"/>
      <c r="BD95" s="590"/>
      <c r="BE95" s="562"/>
      <c r="BF95" s="572"/>
      <c r="BG95" s="587"/>
      <c r="BH95" s="590"/>
      <c r="BI95" s="562"/>
      <c r="BJ95" s="535">
        <f t="shared" si="9"/>
        <v>0</v>
      </c>
      <c r="BK95" s="545">
        <f t="shared" si="11"/>
        <v>0</v>
      </c>
    </row>
    <row r="96" spans="1:63" ht="15" customHeight="1" x14ac:dyDescent="0.35">
      <c r="A96" s="579"/>
      <c r="B96" s="546" t="s">
        <v>44</v>
      </c>
      <c r="C96" s="579" t="s">
        <v>136</v>
      </c>
      <c r="D96" s="653" t="s">
        <v>137</v>
      </c>
      <c r="E96" s="654"/>
      <c r="F96" s="590"/>
      <c r="G96" s="562"/>
      <c r="H96" s="590"/>
      <c r="I96" s="562"/>
      <c r="J96" s="590"/>
      <c r="K96" s="562"/>
      <c r="L96" s="590"/>
      <c r="M96" s="562"/>
      <c r="N96" s="590"/>
      <c r="O96" s="562"/>
      <c r="P96" s="572"/>
      <c r="Q96" s="587"/>
      <c r="R96" s="572"/>
      <c r="S96" s="587"/>
      <c r="T96" s="590"/>
      <c r="U96" s="562"/>
      <c r="V96" s="590"/>
      <c r="W96" s="562"/>
      <c r="X96" s="590"/>
      <c r="Y96" s="562"/>
      <c r="Z96" s="590"/>
      <c r="AA96" s="562"/>
      <c r="AB96" s="590"/>
      <c r="AC96" s="562"/>
      <c r="AD96" s="572"/>
      <c r="AE96" s="587"/>
      <c r="AF96" s="590"/>
      <c r="AG96" s="562"/>
      <c r="AH96" s="590"/>
      <c r="AI96" s="562"/>
      <c r="AJ96" s="590"/>
      <c r="AK96" s="562"/>
      <c r="AL96" s="590"/>
      <c r="AM96" s="562"/>
      <c r="AN96" s="590"/>
      <c r="AO96" s="562"/>
      <c r="AP96" s="590"/>
      <c r="AQ96" s="562"/>
      <c r="AR96" s="572"/>
      <c r="AS96" s="587"/>
      <c r="AT96" s="590"/>
      <c r="AU96" s="562"/>
      <c r="AV96" s="590"/>
      <c r="AW96" s="562"/>
      <c r="AX96" s="590"/>
      <c r="AY96" s="562"/>
      <c r="AZ96" s="590"/>
      <c r="BA96" s="562"/>
      <c r="BB96" s="590"/>
      <c r="BC96" s="562"/>
      <c r="BD96" s="590"/>
      <c r="BE96" s="562"/>
      <c r="BF96" s="572"/>
      <c r="BG96" s="587"/>
      <c r="BH96" s="590"/>
      <c r="BI96" s="562"/>
      <c r="BJ96" s="535">
        <f t="shared" si="9"/>
        <v>0</v>
      </c>
      <c r="BK96" s="545">
        <f t="shared" si="11"/>
        <v>0</v>
      </c>
    </row>
    <row r="97" spans="1:63" ht="15" customHeight="1" x14ac:dyDescent="0.35">
      <c r="A97" s="579"/>
      <c r="B97" s="546" t="s">
        <v>44</v>
      </c>
      <c r="C97" s="579" t="s">
        <v>138</v>
      </c>
      <c r="D97" s="653" t="s">
        <v>139</v>
      </c>
      <c r="E97" s="654"/>
      <c r="F97" s="590"/>
      <c r="G97" s="562"/>
      <c r="H97" s="590"/>
      <c r="I97" s="562"/>
      <c r="J97" s="590"/>
      <c r="K97" s="562"/>
      <c r="L97" s="590"/>
      <c r="M97" s="562"/>
      <c r="N97" s="590"/>
      <c r="O97" s="562"/>
      <c r="P97" s="572"/>
      <c r="Q97" s="587"/>
      <c r="R97" s="572"/>
      <c r="S97" s="587"/>
      <c r="T97" s="590"/>
      <c r="U97" s="562"/>
      <c r="V97" s="590"/>
      <c r="W97" s="562"/>
      <c r="X97" s="590"/>
      <c r="Y97" s="562"/>
      <c r="Z97" s="590"/>
      <c r="AA97" s="562"/>
      <c r="AB97" s="590"/>
      <c r="AC97" s="562"/>
      <c r="AD97" s="572"/>
      <c r="AE97" s="587"/>
      <c r="AF97" s="590"/>
      <c r="AG97" s="562"/>
      <c r="AH97" s="590"/>
      <c r="AI97" s="562"/>
      <c r="AJ97" s="590"/>
      <c r="AK97" s="562"/>
      <c r="AL97" s="590"/>
      <c r="AM97" s="562"/>
      <c r="AN97" s="590"/>
      <c r="AO97" s="562"/>
      <c r="AP97" s="590"/>
      <c r="AQ97" s="562"/>
      <c r="AR97" s="572"/>
      <c r="AS97" s="587"/>
      <c r="AT97" s="590"/>
      <c r="AU97" s="562"/>
      <c r="AV97" s="590"/>
      <c r="AW97" s="562"/>
      <c r="AX97" s="590"/>
      <c r="AY97" s="562"/>
      <c r="AZ97" s="590"/>
      <c r="BA97" s="562"/>
      <c r="BB97" s="590"/>
      <c r="BC97" s="562"/>
      <c r="BD97" s="590"/>
      <c r="BE97" s="562"/>
      <c r="BF97" s="572"/>
      <c r="BG97" s="587"/>
      <c r="BH97" s="590"/>
      <c r="BI97" s="562"/>
      <c r="BJ97" s="535">
        <f t="shared" si="9"/>
        <v>0</v>
      </c>
      <c r="BK97" s="545">
        <f t="shared" si="11"/>
        <v>0</v>
      </c>
    </row>
    <row r="98" spans="1:63" ht="15.75" customHeight="1" x14ac:dyDescent="0.35">
      <c r="A98" s="579"/>
      <c r="B98" s="546" t="s">
        <v>44</v>
      </c>
      <c r="C98" s="579" t="s">
        <v>140</v>
      </c>
      <c r="D98" s="653" t="s">
        <v>141</v>
      </c>
      <c r="E98" s="654"/>
      <c r="F98" s="590"/>
      <c r="G98" s="562"/>
      <c r="H98" s="590"/>
      <c r="I98" s="562"/>
      <c r="J98" s="590"/>
      <c r="K98" s="562"/>
      <c r="L98" s="590"/>
      <c r="M98" s="562"/>
      <c r="N98" s="590"/>
      <c r="O98" s="562"/>
      <c r="P98" s="572"/>
      <c r="Q98" s="587"/>
      <c r="R98" s="572"/>
      <c r="S98" s="587"/>
      <c r="T98" s="590"/>
      <c r="U98" s="562"/>
      <c r="V98" s="590"/>
      <c r="W98" s="562"/>
      <c r="X98" s="590"/>
      <c r="Y98" s="562"/>
      <c r="Z98" s="590"/>
      <c r="AA98" s="562"/>
      <c r="AB98" s="590"/>
      <c r="AC98" s="562"/>
      <c r="AD98" s="572"/>
      <c r="AE98" s="587"/>
      <c r="AF98" s="590"/>
      <c r="AG98" s="562"/>
      <c r="AH98" s="590"/>
      <c r="AI98" s="562"/>
      <c r="AJ98" s="590"/>
      <c r="AK98" s="562"/>
      <c r="AL98" s="590"/>
      <c r="AM98" s="562"/>
      <c r="AN98" s="590"/>
      <c r="AO98" s="562"/>
      <c r="AP98" s="590"/>
      <c r="AQ98" s="562"/>
      <c r="AR98" s="572"/>
      <c r="AS98" s="587"/>
      <c r="AT98" s="590"/>
      <c r="AU98" s="562"/>
      <c r="AV98" s="590"/>
      <c r="AW98" s="562"/>
      <c r="AX98" s="590"/>
      <c r="AY98" s="562"/>
      <c r="AZ98" s="590"/>
      <c r="BA98" s="562"/>
      <c r="BB98" s="590"/>
      <c r="BC98" s="562"/>
      <c r="BD98" s="590"/>
      <c r="BE98" s="562"/>
      <c r="BF98" s="572"/>
      <c r="BG98" s="587"/>
      <c r="BH98" s="590"/>
      <c r="BI98" s="562"/>
      <c r="BJ98" s="535">
        <f t="shared" ref="BJ98:BJ116" si="12">SUM(F98:BI98)</f>
        <v>0</v>
      </c>
      <c r="BK98" s="545">
        <f t="shared" si="11"/>
        <v>0</v>
      </c>
    </row>
    <row r="99" spans="1:63" ht="15" customHeight="1" x14ac:dyDescent="0.35">
      <c r="A99" s="579"/>
      <c r="B99" s="546" t="s">
        <v>44</v>
      </c>
      <c r="C99" s="579" t="s">
        <v>142</v>
      </c>
      <c r="D99" s="653" t="s">
        <v>143</v>
      </c>
      <c r="E99" s="654"/>
      <c r="F99" s="590"/>
      <c r="G99" s="562"/>
      <c r="H99" s="590"/>
      <c r="I99" s="562"/>
      <c r="J99" s="590"/>
      <c r="K99" s="562"/>
      <c r="L99" s="590"/>
      <c r="M99" s="562"/>
      <c r="N99" s="590"/>
      <c r="O99" s="562"/>
      <c r="P99" s="572"/>
      <c r="Q99" s="587"/>
      <c r="R99" s="572"/>
      <c r="S99" s="587"/>
      <c r="T99" s="590"/>
      <c r="U99" s="562"/>
      <c r="V99" s="590"/>
      <c r="W99" s="562"/>
      <c r="X99" s="590"/>
      <c r="Y99" s="562"/>
      <c r="Z99" s="590"/>
      <c r="AA99" s="562"/>
      <c r="AB99" s="590"/>
      <c r="AC99" s="562"/>
      <c r="AD99" s="572"/>
      <c r="AE99" s="587"/>
      <c r="AF99" s="590"/>
      <c r="AG99" s="562"/>
      <c r="AH99" s="590"/>
      <c r="AI99" s="562"/>
      <c r="AJ99" s="590"/>
      <c r="AK99" s="562"/>
      <c r="AL99" s="590"/>
      <c r="AM99" s="562"/>
      <c r="AN99" s="590"/>
      <c r="AO99" s="562"/>
      <c r="AP99" s="590"/>
      <c r="AQ99" s="562"/>
      <c r="AR99" s="572"/>
      <c r="AS99" s="587"/>
      <c r="AT99" s="590"/>
      <c r="AU99" s="562"/>
      <c r="AV99" s="590"/>
      <c r="AW99" s="562"/>
      <c r="AX99" s="590"/>
      <c r="AY99" s="562"/>
      <c r="AZ99" s="590"/>
      <c r="BA99" s="562"/>
      <c r="BB99" s="590"/>
      <c r="BC99" s="562"/>
      <c r="BD99" s="590"/>
      <c r="BE99" s="562"/>
      <c r="BF99" s="572"/>
      <c r="BG99" s="587"/>
      <c r="BH99" s="590"/>
      <c r="BI99" s="562"/>
      <c r="BJ99" s="535">
        <f t="shared" si="12"/>
        <v>0</v>
      </c>
      <c r="BK99" s="545">
        <f t="shared" si="11"/>
        <v>0</v>
      </c>
    </row>
    <row r="100" spans="1:63" ht="15" customHeight="1" x14ac:dyDescent="0.35">
      <c r="A100" s="579"/>
      <c r="B100" s="546" t="s">
        <v>85</v>
      </c>
      <c r="C100" s="579" t="s">
        <v>144</v>
      </c>
      <c r="D100" s="653" t="s">
        <v>143</v>
      </c>
      <c r="E100" s="654"/>
      <c r="F100" s="590"/>
      <c r="G100" s="562"/>
      <c r="H100" s="590"/>
      <c r="I100" s="562"/>
      <c r="J100" s="590"/>
      <c r="K100" s="562"/>
      <c r="L100" s="590"/>
      <c r="M100" s="562"/>
      <c r="N100" s="590"/>
      <c r="O100" s="562"/>
      <c r="P100" s="572"/>
      <c r="Q100" s="587"/>
      <c r="R100" s="572"/>
      <c r="S100" s="587"/>
      <c r="T100" s="590"/>
      <c r="U100" s="562"/>
      <c r="V100" s="590"/>
      <c r="W100" s="562"/>
      <c r="X100" s="590"/>
      <c r="Y100" s="562"/>
      <c r="Z100" s="590"/>
      <c r="AA100" s="562"/>
      <c r="AB100" s="590"/>
      <c r="AC100" s="562"/>
      <c r="AD100" s="572"/>
      <c r="AE100" s="587"/>
      <c r="AF100" s="590"/>
      <c r="AG100" s="562"/>
      <c r="AH100" s="590"/>
      <c r="AI100" s="562"/>
      <c r="AJ100" s="590"/>
      <c r="AK100" s="562"/>
      <c r="AL100" s="590"/>
      <c r="AM100" s="562"/>
      <c r="AN100" s="590"/>
      <c r="AO100" s="562"/>
      <c r="AP100" s="590"/>
      <c r="AQ100" s="562"/>
      <c r="AR100" s="572"/>
      <c r="AS100" s="587"/>
      <c r="AT100" s="590"/>
      <c r="AU100" s="562"/>
      <c r="AV100" s="590"/>
      <c r="AW100" s="562"/>
      <c r="AX100" s="590"/>
      <c r="AY100" s="562"/>
      <c r="AZ100" s="590"/>
      <c r="BA100" s="562"/>
      <c r="BB100" s="590"/>
      <c r="BC100" s="562"/>
      <c r="BD100" s="590"/>
      <c r="BE100" s="562"/>
      <c r="BF100" s="572"/>
      <c r="BG100" s="587"/>
      <c r="BH100" s="590"/>
      <c r="BI100" s="562"/>
      <c r="BJ100" s="535">
        <f t="shared" si="12"/>
        <v>0</v>
      </c>
      <c r="BK100" s="545">
        <f t="shared" si="11"/>
        <v>0</v>
      </c>
    </row>
    <row r="101" spans="1:63" ht="15.75" customHeight="1" x14ac:dyDescent="0.35">
      <c r="A101" s="579"/>
      <c r="B101" s="546"/>
      <c r="C101" s="579"/>
      <c r="D101" s="653"/>
      <c r="E101" s="654"/>
      <c r="F101" s="590"/>
      <c r="G101" s="562"/>
      <c r="H101" s="590"/>
      <c r="I101" s="562"/>
      <c r="J101" s="590"/>
      <c r="K101" s="562"/>
      <c r="L101" s="590"/>
      <c r="M101" s="562"/>
      <c r="N101" s="590"/>
      <c r="O101" s="562"/>
      <c r="P101" s="572"/>
      <c r="Q101" s="587"/>
      <c r="R101" s="572"/>
      <c r="S101" s="587"/>
      <c r="T101" s="590"/>
      <c r="U101" s="562"/>
      <c r="V101" s="590"/>
      <c r="W101" s="562"/>
      <c r="X101" s="590"/>
      <c r="Y101" s="562"/>
      <c r="Z101" s="590"/>
      <c r="AA101" s="562"/>
      <c r="AB101" s="590"/>
      <c r="AC101" s="562"/>
      <c r="AD101" s="572"/>
      <c r="AE101" s="587"/>
      <c r="AF101" s="590"/>
      <c r="AG101" s="562"/>
      <c r="AH101" s="590"/>
      <c r="AI101" s="562"/>
      <c r="AJ101" s="590"/>
      <c r="AK101" s="562"/>
      <c r="AL101" s="590"/>
      <c r="AM101" s="562"/>
      <c r="AN101" s="590"/>
      <c r="AO101" s="562"/>
      <c r="AP101" s="590"/>
      <c r="AQ101" s="562"/>
      <c r="AR101" s="572"/>
      <c r="AS101" s="587"/>
      <c r="AT101" s="590"/>
      <c r="AU101" s="562"/>
      <c r="AV101" s="590"/>
      <c r="AW101" s="562"/>
      <c r="AX101" s="590"/>
      <c r="AY101" s="562"/>
      <c r="AZ101" s="590"/>
      <c r="BA101" s="562"/>
      <c r="BB101" s="590"/>
      <c r="BC101" s="562"/>
      <c r="BD101" s="590"/>
      <c r="BE101" s="562"/>
      <c r="BF101" s="572"/>
      <c r="BG101" s="587"/>
      <c r="BH101" s="590"/>
      <c r="BI101" s="562"/>
      <c r="BJ101" s="535">
        <f t="shared" si="12"/>
        <v>0</v>
      </c>
      <c r="BK101" s="545">
        <f t="shared" si="11"/>
        <v>0</v>
      </c>
    </row>
    <row r="102" spans="1:63" ht="15.75" customHeight="1" x14ac:dyDescent="0.35">
      <c r="A102" s="579"/>
      <c r="B102" s="546"/>
      <c r="C102" s="579">
        <f>SUM(BJ103:BJ107)</f>
        <v>0</v>
      </c>
      <c r="D102" s="647" t="s">
        <v>145</v>
      </c>
      <c r="E102" s="648"/>
      <c r="F102" s="590"/>
      <c r="G102" s="562"/>
      <c r="H102" s="590"/>
      <c r="I102" s="562"/>
      <c r="J102" s="590"/>
      <c r="K102" s="562"/>
      <c r="L102" s="590"/>
      <c r="M102" s="562"/>
      <c r="N102" s="590"/>
      <c r="O102" s="562"/>
      <c r="P102" s="572"/>
      <c r="Q102" s="587"/>
      <c r="R102" s="572"/>
      <c r="S102" s="587"/>
      <c r="T102" s="590"/>
      <c r="U102" s="562"/>
      <c r="V102" s="590"/>
      <c r="W102" s="562"/>
      <c r="X102" s="590"/>
      <c r="Y102" s="562"/>
      <c r="Z102" s="590"/>
      <c r="AA102" s="562"/>
      <c r="AB102" s="590"/>
      <c r="AC102" s="562"/>
      <c r="AD102" s="572"/>
      <c r="AE102" s="587"/>
      <c r="AF102" s="590"/>
      <c r="AG102" s="562"/>
      <c r="AH102" s="590"/>
      <c r="AI102" s="562"/>
      <c r="AJ102" s="590"/>
      <c r="AK102" s="562"/>
      <c r="AL102" s="590"/>
      <c r="AM102" s="562"/>
      <c r="AN102" s="590"/>
      <c r="AO102" s="562"/>
      <c r="AP102" s="590"/>
      <c r="AQ102" s="562"/>
      <c r="AR102" s="572"/>
      <c r="AS102" s="587"/>
      <c r="AT102" s="590"/>
      <c r="AU102" s="562"/>
      <c r="AV102" s="590"/>
      <c r="AW102" s="562"/>
      <c r="AX102" s="590"/>
      <c r="AY102" s="562"/>
      <c r="AZ102" s="590"/>
      <c r="BA102" s="562"/>
      <c r="BB102" s="590"/>
      <c r="BC102" s="562"/>
      <c r="BD102" s="590"/>
      <c r="BE102" s="562"/>
      <c r="BF102" s="572"/>
      <c r="BG102" s="587"/>
      <c r="BH102" s="590"/>
      <c r="BI102" s="562"/>
      <c r="BJ102" s="535">
        <f t="shared" si="12"/>
        <v>0</v>
      </c>
      <c r="BK102" s="545">
        <f t="shared" si="11"/>
        <v>0</v>
      </c>
    </row>
    <row r="103" spans="1:63" ht="15" customHeight="1" x14ac:dyDescent="0.35">
      <c r="A103" s="579"/>
      <c r="B103" s="546" t="s">
        <v>85</v>
      </c>
      <c r="C103" s="579" t="s">
        <v>146</v>
      </c>
      <c r="D103" s="653" t="s">
        <v>147</v>
      </c>
      <c r="E103" s="654"/>
      <c r="F103" s="590"/>
      <c r="G103" s="562"/>
      <c r="H103" s="590"/>
      <c r="I103" s="562"/>
      <c r="J103" s="590"/>
      <c r="K103" s="562"/>
      <c r="L103" s="590"/>
      <c r="M103" s="562"/>
      <c r="N103" s="590"/>
      <c r="O103" s="562"/>
      <c r="P103" s="572"/>
      <c r="Q103" s="587"/>
      <c r="R103" s="572"/>
      <c r="S103" s="587"/>
      <c r="T103" s="590"/>
      <c r="U103" s="562"/>
      <c r="V103" s="590"/>
      <c r="W103" s="562"/>
      <c r="X103" s="590"/>
      <c r="Y103" s="562"/>
      <c r="Z103" s="590"/>
      <c r="AA103" s="562"/>
      <c r="AB103" s="590"/>
      <c r="AC103" s="562"/>
      <c r="AD103" s="572"/>
      <c r="AE103" s="587"/>
      <c r="AF103" s="590"/>
      <c r="AG103" s="562"/>
      <c r="AH103" s="590"/>
      <c r="AI103" s="562"/>
      <c r="AJ103" s="590"/>
      <c r="AK103" s="562"/>
      <c r="AL103" s="590"/>
      <c r="AM103" s="562"/>
      <c r="AN103" s="590"/>
      <c r="AO103" s="562"/>
      <c r="AP103" s="590"/>
      <c r="AQ103" s="562"/>
      <c r="AR103" s="572"/>
      <c r="AS103" s="587"/>
      <c r="AT103" s="590"/>
      <c r="AU103" s="562"/>
      <c r="AV103" s="590"/>
      <c r="AW103" s="562"/>
      <c r="AX103" s="590"/>
      <c r="AY103" s="562"/>
      <c r="AZ103" s="590"/>
      <c r="BA103" s="562"/>
      <c r="BB103" s="590"/>
      <c r="BC103" s="562"/>
      <c r="BD103" s="590"/>
      <c r="BE103" s="562"/>
      <c r="BF103" s="572"/>
      <c r="BG103" s="587"/>
      <c r="BH103" s="590"/>
      <c r="BI103" s="562"/>
      <c r="BJ103" s="535">
        <f t="shared" si="12"/>
        <v>0</v>
      </c>
      <c r="BK103" s="545">
        <f t="shared" si="11"/>
        <v>0</v>
      </c>
    </row>
    <row r="104" spans="1:63" ht="15" customHeight="1" x14ac:dyDescent="0.35">
      <c r="A104" s="579"/>
      <c r="B104" s="546" t="s">
        <v>44</v>
      </c>
      <c r="C104" s="579" t="s">
        <v>148</v>
      </c>
      <c r="D104" s="653" t="s">
        <v>137</v>
      </c>
      <c r="E104" s="654"/>
      <c r="F104" s="590"/>
      <c r="G104" s="562"/>
      <c r="H104" s="590"/>
      <c r="I104" s="562"/>
      <c r="J104" s="590"/>
      <c r="K104" s="562"/>
      <c r="L104" s="590"/>
      <c r="M104" s="562"/>
      <c r="N104" s="590"/>
      <c r="O104" s="562"/>
      <c r="P104" s="572"/>
      <c r="Q104" s="587"/>
      <c r="R104" s="572"/>
      <c r="S104" s="587"/>
      <c r="T104" s="590"/>
      <c r="U104" s="562"/>
      <c r="V104" s="590"/>
      <c r="W104" s="562"/>
      <c r="X104" s="590"/>
      <c r="Y104" s="562"/>
      <c r="Z104" s="590"/>
      <c r="AA104" s="562"/>
      <c r="AB104" s="590"/>
      <c r="AC104" s="562"/>
      <c r="AD104" s="572"/>
      <c r="AE104" s="587"/>
      <c r="AF104" s="590"/>
      <c r="AG104" s="562"/>
      <c r="AH104" s="590"/>
      <c r="AI104" s="562"/>
      <c r="AJ104" s="590"/>
      <c r="AK104" s="562"/>
      <c r="AL104" s="590"/>
      <c r="AM104" s="562"/>
      <c r="AN104" s="590"/>
      <c r="AO104" s="562"/>
      <c r="AP104" s="590"/>
      <c r="AQ104" s="562"/>
      <c r="AR104" s="572"/>
      <c r="AS104" s="587"/>
      <c r="AT104" s="590"/>
      <c r="AU104" s="562"/>
      <c r="AV104" s="590"/>
      <c r="AW104" s="562"/>
      <c r="AX104" s="590"/>
      <c r="AY104" s="562"/>
      <c r="AZ104" s="590"/>
      <c r="BA104" s="562"/>
      <c r="BB104" s="590"/>
      <c r="BC104" s="562"/>
      <c r="BD104" s="590"/>
      <c r="BE104" s="562"/>
      <c r="BF104" s="572"/>
      <c r="BG104" s="587"/>
      <c r="BH104" s="590"/>
      <c r="BI104" s="562"/>
      <c r="BJ104" s="535">
        <f t="shared" si="12"/>
        <v>0</v>
      </c>
      <c r="BK104" s="545">
        <f t="shared" si="11"/>
        <v>0</v>
      </c>
    </row>
    <row r="105" spans="1:63" ht="15" customHeight="1" x14ac:dyDescent="0.35">
      <c r="A105" s="579"/>
      <c r="B105" s="546" t="s">
        <v>44</v>
      </c>
      <c r="C105" s="579" t="s">
        <v>149</v>
      </c>
      <c r="D105" s="653" t="s">
        <v>150</v>
      </c>
      <c r="E105" s="654"/>
      <c r="F105" s="590"/>
      <c r="G105" s="562"/>
      <c r="H105" s="590"/>
      <c r="I105" s="562"/>
      <c r="J105" s="590"/>
      <c r="K105" s="562"/>
      <c r="L105" s="590"/>
      <c r="M105" s="562"/>
      <c r="N105" s="590"/>
      <c r="O105" s="562"/>
      <c r="P105" s="572"/>
      <c r="Q105" s="587"/>
      <c r="R105" s="572"/>
      <c r="S105" s="587"/>
      <c r="T105" s="590"/>
      <c r="U105" s="562"/>
      <c r="V105" s="590"/>
      <c r="W105" s="562"/>
      <c r="X105" s="590"/>
      <c r="Y105" s="562"/>
      <c r="Z105" s="590"/>
      <c r="AA105" s="562"/>
      <c r="AB105" s="590"/>
      <c r="AC105" s="562"/>
      <c r="AD105" s="572"/>
      <c r="AE105" s="587"/>
      <c r="AF105" s="590"/>
      <c r="AG105" s="562"/>
      <c r="AH105" s="590"/>
      <c r="AI105" s="562"/>
      <c r="AJ105" s="590"/>
      <c r="AK105" s="562"/>
      <c r="AL105" s="590"/>
      <c r="AM105" s="562"/>
      <c r="AN105" s="590"/>
      <c r="AO105" s="562"/>
      <c r="AP105" s="590"/>
      <c r="AQ105" s="562"/>
      <c r="AR105" s="572"/>
      <c r="AS105" s="587"/>
      <c r="AT105" s="590"/>
      <c r="AU105" s="562"/>
      <c r="AV105" s="590"/>
      <c r="AW105" s="562"/>
      <c r="AX105" s="590"/>
      <c r="AY105" s="562"/>
      <c r="AZ105" s="590"/>
      <c r="BA105" s="562"/>
      <c r="BB105" s="590"/>
      <c r="BC105" s="562"/>
      <c r="BD105" s="590"/>
      <c r="BE105" s="562"/>
      <c r="BF105" s="572"/>
      <c r="BG105" s="587"/>
      <c r="BH105" s="590"/>
      <c r="BI105" s="562"/>
      <c r="BJ105" s="535">
        <f t="shared" si="12"/>
        <v>0</v>
      </c>
      <c r="BK105" s="545">
        <f t="shared" si="11"/>
        <v>0</v>
      </c>
    </row>
    <row r="106" spans="1:63" ht="15" customHeight="1" x14ac:dyDescent="0.35">
      <c r="A106" s="579"/>
      <c r="B106" s="579"/>
      <c r="C106" s="579"/>
      <c r="D106" s="653"/>
      <c r="E106" s="654"/>
      <c r="F106" s="590"/>
      <c r="G106" s="562"/>
      <c r="H106" s="590"/>
      <c r="I106" s="562"/>
      <c r="J106" s="590"/>
      <c r="K106" s="562"/>
      <c r="L106" s="590"/>
      <c r="M106" s="562"/>
      <c r="N106" s="590"/>
      <c r="O106" s="562"/>
      <c r="P106" s="572"/>
      <c r="Q106" s="587"/>
      <c r="R106" s="572"/>
      <c r="S106" s="587"/>
      <c r="T106" s="590"/>
      <c r="U106" s="562"/>
      <c r="V106" s="590"/>
      <c r="W106" s="562"/>
      <c r="X106" s="590"/>
      <c r="Y106" s="562"/>
      <c r="Z106" s="590"/>
      <c r="AA106" s="562"/>
      <c r="AB106" s="590"/>
      <c r="AC106" s="562"/>
      <c r="AD106" s="572"/>
      <c r="AE106" s="587"/>
      <c r="AF106" s="590"/>
      <c r="AG106" s="562"/>
      <c r="AH106" s="590"/>
      <c r="AI106" s="562"/>
      <c r="AJ106" s="590"/>
      <c r="AK106" s="562"/>
      <c r="AL106" s="590"/>
      <c r="AM106" s="562"/>
      <c r="AN106" s="590"/>
      <c r="AO106" s="562"/>
      <c r="AP106" s="590"/>
      <c r="AQ106" s="562"/>
      <c r="AR106" s="572"/>
      <c r="AS106" s="587"/>
      <c r="AT106" s="590"/>
      <c r="AU106" s="562"/>
      <c r="AV106" s="590"/>
      <c r="AW106" s="562"/>
      <c r="AX106" s="590"/>
      <c r="AY106" s="562"/>
      <c r="AZ106" s="590"/>
      <c r="BA106" s="562"/>
      <c r="BB106" s="590"/>
      <c r="BC106" s="562"/>
      <c r="BD106" s="590"/>
      <c r="BE106" s="562"/>
      <c r="BF106" s="572"/>
      <c r="BG106" s="587"/>
      <c r="BH106" s="590"/>
      <c r="BI106" s="562"/>
      <c r="BJ106" s="535">
        <f t="shared" si="12"/>
        <v>0</v>
      </c>
      <c r="BK106" s="545">
        <f t="shared" si="11"/>
        <v>0</v>
      </c>
    </row>
    <row r="107" spans="1:63" ht="15" customHeight="1" x14ac:dyDescent="0.35">
      <c r="A107" s="579"/>
      <c r="B107" s="579"/>
      <c r="C107" s="579"/>
      <c r="D107" s="653"/>
      <c r="E107" s="654"/>
      <c r="F107" s="590"/>
      <c r="G107" s="562"/>
      <c r="H107" s="590"/>
      <c r="I107" s="562"/>
      <c r="J107" s="590"/>
      <c r="K107" s="562"/>
      <c r="L107" s="590"/>
      <c r="M107" s="562"/>
      <c r="N107" s="590"/>
      <c r="O107" s="562"/>
      <c r="P107" s="572"/>
      <c r="Q107" s="587"/>
      <c r="R107" s="572"/>
      <c r="S107" s="587"/>
      <c r="T107" s="590"/>
      <c r="U107" s="562"/>
      <c r="V107" s="590"/>
      <c r="W107" s="562"/>
      <c r="X107" s="590"/>
      <c r="Y107" s="562"/>
      <c r="Z107" s="590"/>
      <c r="AA107" s="562"/>
      <c r="AB107" s="590"/>
      <c r="AC107" s="562"/>
      <c r="AD107" s="572"/>
      <c r="AE107" s="587"/>
      <c r="AF107" s="590"/>
      <c r="AG107" s="562"/>
      <c r="AH107" s="590"/>
      <c r="AI107" s="562"/>
      <c r="AJ107" s="590"/>
      <c r="AK107" s="562"/>
      <c r="AL107" s="590"/>
      <c r="AM107" s="562"/>
      <c r="AN107" s="590"/>
      <c r="AO107" s="562"/>
      <c r="AP107" s="590"/>
      <c r="AQ107" s="562"/>
      <c r="AR107" s="572"/>
      <c r="AS107" s="587"/>
      <c r="AT107" s="590"/>
      <c r="AU107" s="562"/>
      <c r="AV107" s="590"/>
      <c r="AW107" s="562"/>
      <c r="AX107" s="590"/>
      <c r="AY107" s="562"/>
      <c r="AZ107" s="590"/>
      <c r="BA107" s="562"/>
      <c r="BB107" s="590"/>
      <c r="BC107" s="562"/>
      <c r="BD107" s="590"/>
      <c r="BE107" s="562"/>
      <c r="BF107" s="572"/>
      <c r="BG107" s="587"/>
      <c r="BH107" s="590"/>
      <c r="BI107" s="562"/>
      <c r="BJ107" s="535">
        <f t="shared" si="12"/>
        <v>0</v>
      </c>
      <c r="BK107" s="545">
        <f t="shared" si="11"/>
        <v>0</v>
      </c>
    </row>
    <row r="108" spans="1:63" x14ac:dyDescent="0.35">
      <c r="A108" s="583"/>
      <c r="B108" s="583"/>
      <c r="C108" s="583"/>
      <c r="D108" s="661" t="s">
        <v>151</v>
      </c>
      <c r="E108" s="662"/>
      <c r="F108" s="536"/>
      <c r="G108" s="573"/>
      <c r="H108" s="536"/>
      <c r="I108" s="573"/>
      <c r="J108" s="536"/>
      <c r="K108" s="573"/>
      <c r="L108" s="536"/>
      <c r="M108" s="573"/>
      <c r="N108" s="536"/>
      <c r="O108" s="573"/>
      <c r="P108" s="572"/>
      <c r="Q108" s="587"/>
      <c r="R108" s="572"/>
      <c r="S108" s="587"/>
      <c r="T108" s="536"/>
      <c r="U108" s="573"/>
      <c r="V108" s="536"/>
      <c r="W108" s="573"/>
      <c r="X108" s="536"/>
      <c r="Y108" s="573"/>
      <c r="Z108" s="536"/>
      <c r="AA108" s="573"/>
      <c r="AB108" s="536"/>
      <c r="AC108" s="573"/>
      <c r="AD108" s="572"/>
      <c r="AE108" s="587"/>
      <c r="AF108" s="536"/>
      <c r="AG108" s="573"/>
      <c r="AH108" s="536"/>
      <c r="AI108" s="573"/>
      <c r="AJ108" s="536"/>
      <c r="AK108" s="573"/>
      <c r="AL108" s="536"/>
      <c r="AM108" s="573"/>
      <c r="AN108" s="536"/>
      <c r="AO108" s="573"/>
      <c r="AP108" s="536"/>
      <c r="AQ108" s="573"/>
      <c r="AR108" s="572"/>
      <c r="AS108" s="587"/>
      <c r="AT108" s="536"/>
      <c r="AU108" s="573"/>
      <c r="AV108" s="536"/>
      <c r="AW108" s="573"/>
      <c r="AX108" s="536"/>
      <c r="AY108" s="573"/>
      <c r="AZ108" s="536"/>
      <c r="BA108" s="573"/>
      <c r="BB108" s="536"/>
      <c r="BC108" s="573"/>
      <c r="BD108" s="536"/>
      <c r="BE108" s="573"/>
      <c r="BF108" s="572"/>
      <c r="BG108" s="587"/>
      <c r="BH108" s="536"/>
      <c r="BI108" s="573"/>
      <c r="BJ108" s="535">
        <f t="shared" si="12"/>
        <v>0</v>
      </c>
      <c r="BK108" s="545"/>
    </row>
    <row r="109" spans="1:63" ht="23.25" hidden="1" customHeight="1" x14ac:dyDescent="0.35">
      <c r="A109" s="583"/>
      <c r="B109" s="583"/>
      <c r="C109" s="583"/>
      <c r="D109" s="655" t="s">
        <v>152</v>
      </c>
      <c r="E109" s="656"/>
      <c r="F109" s="588"/>
      <c r="G109" s="574"/>
      <c r="H109" s="588"/>
      <c r="I109" s="574"/>
      <c r="J109" s="588"/>
      <c r="K109" s="574"/>
      <c r="L109" s="588"/>
      <c r="M109" s="574"/>
      <c r="N109" s="588"/>
      <c r="O109" s="574"/>
      <c r="P109" s="572"/>
      <c r="Q109" s="587"/>
      <c r="R109" s="572"/>
      <c r="S109" s="587"/>
      <c r="T109" s="588"/>
      <c r="U109" s="574"/>
      <c r="V109" s="588"/>
      <c r="W109" s="574"/>
      <c r="X109" s="588"/>
      <c r="Y109" s="574"/>
      <c r="Z109" s="588"/>
      <c r="AA109" s="574"/>
      <c r="AB109" s="588"/>
      <c r="AC109" s="574"/>
      <c r="AD109" s="572"/>
      <c r="AE109" s="587"/>
      <c r="AF109" s="588"/>
      <c r="AG109" s="574"/>
      <c r="AH109" s="588"/>
      <c r="AI109" s="574"/>
      <c r="AJ109" s="588"/>
      <c r="AK109" s="574"/>
      <c r="AL109" s="588"/>
      <c r="AM109" s="574"/>
      <c r="AN109" s="588"/>
      <c r="AO109" s="574"/>
      <c r="AP109" s="588"/>
      <c r="AQ109" s="574"/>
      <c r="AR109" s="572"/>
      <c r="AS109" s="587"/>
      <c r="AT109" s="588"/>
      <c r="AU109" s="574"/>
      <c r="AV109" s="588"/>
      <c r="AW109" s="574"/>
      <c r="AX109" s="588"/>
      <c r="AY109" s="574"/>
      <c r="AZ109" s="588"/>
      <c r="BA109" s="574"/>
      <c r="BB109" s="588"/>
      <c r="BC109" s="574"/>
      <c r="BD109" s="588"/>
      <c r="BE109" s="574"/>
      <c r="BF109" s="572"/>
      <c r="BG109" s="587"/>
      <c r="BH109" s="588"/>
      <c r="BI109" s="574"/>
      <c r="BJ109" s="535">
        <f t="shared" si="12"/>
        <v>0</v>
      </c>
      <c r="BK109" s="545"/>
    </row>
    <row r="110" spans="1:63" s="531" customFormat="1" x14ac:dyDescent="0.35">
      <c r="A110" s="551"/>
      <c r="B110" s="551"/>
      <c r="C110" s="551"/>
      <c r="D110" s="657" t="s">
        <v>1041</v>
      </c>
      <c r="E110" s="658"/>
      <c r="F110" s="513">
        <v>6</v>
      </c>
      <c r="G110" s="557"/>
      <c r="H110" s="513">
        <v>6</v>
      </c>
      <c r="I110" s="557"/>
      <c r="J110" s="513">
        <v>6</v>
      </c>
      <c r="K110" s="557"/>
      <c r="L110" s="513">
        <v>6</v>
      </c>
      <c r="M110" s="557"/>
      <c r="N110" s="513">
        <v>6</v>
      </c>
      <c r="O110" s="557"/>
      <c r="P110" s="572"/>
      <c r="Q110" s="587"/>
      <c r="R110" s="572"/>
      <c r="S110" s="587"/>
      <c r="T110" s="513">
        <v>6</v>
      </c>
      <c r="U110" s="557"/>
      <c r="V110" s="513">
        <v>6</v>
      </c>
      <c r="W110" s="557"/>
      <c r="X110" s="513"/>
      <c r="Y110" s="557"/>
      <c r="Z110" s="513">
        <v>6</v>
      </c>
      <c r="AA110" s="557"/>
      <c r="AB110" s="513">
        <v>6</v>
      </c>
      <c r="AC110" s="557"/>
      <c r="AD110" s="572"/>
      <c r="AE110" s="587"/>
      <c r="AF110" s="513"/>
      <c r="AG110" s="557"/>
      <c r="AH110" s="513"/>
      <c r="AI110" s="557"/>
      <c r="AJ110" s="513"/>
      <c r="AK110" s="557"/>
      <c r="AL110" s="513"/>
      <c r="AM110" s="557"/>
      <c r="AN110" s="513"/>
      <c r="AO110" s="557"/>
      <c r="AP110" s="513"/>
      <c r="AQ110" s="557"/>
      <c r="AR110" s="572"/>
      <c r="AS110" s="587"/>
      <c r="AT110" s="513"/>
      <c r="AU110" s="557"/>
      <c r="AV110" s="513"/>
      <c r="AW110" s="557"/>
      <c r="AX110" s="513"/>
      <c r="AY110" s="557"/>
      <c r="AZ110" s="513"/>
      <c r="BA110" s="557"/>
      <c r="BB110" s="513"/>
      <c r="BC110" s="557"/>
      <c r="BD110" s="513"/>
      <c r="BE110" s="557"/>
      <c r="BF110" s="572"/>
      <c r="BG110" s="587"/>
      <c r="BH110" s="513"/>
      <c r="BI110" s="557"/>
      <c r="BJ110" s="535">
        <f t="shared" si="12"/>
        <v>54</v>
      </c>
      <c r="BK110" s="591"/>
    </row>
    <row r="111" spans="1:63" s="531" customFormat="1" x14ac:dyDescent="0.35">
      <c r="A111" s="551"/>
      <c r="B111" s="551"/>
      <c r="C111" s="551"/>
      <c r="D111" s="657" t="s">
        <v>154</v>
      </c>
      <c r="E111" s="658"/>
      <c r="F111" s="530"/>
      <c r="G111" s="537"/>
      <c r="H111" s="530"/>
      <c r="I111" s="537"/>
      <c r="J111" s="530"/>
      <c r="K111" s="537"/>
      <c r="L111" s="530"/>
      <c r="M111" s="537"/>
      <c r="N111" s="530"/>
      <c r="O111" s="537"/>
      <c r="P111" s="572"/>
      <c r="Q111" s="587"/>
      <c r="R111" s="572"/>
      <c r="S111" s="587"/>
      <c r="T111" s="530"/>
      <c r="U111" s="537"/>
      <c r="V111" s="530"/>
      <c r="W111" s="537"/>
      <c r="X111" s="530"/>
      <c r="Y111" s="537"/>
      <c r="Z111" s="530"/>
      <c r="AA111" s="537"/>
      <c r="AB111" s="530"/>
      <c r="AC111" s="537"/>
      <c r="AD111" s="572"/>
      <c r="AE111" s="587"/>
      <c r="AF111" s="530"/>
      <c r="AG111" s="537"/>
      <c r="AH111" s="530"/>
      <c r="AI111" s="537"/>
      <c r="AJ111" s="530"/>
      <c r="AK111" s="537"/>
      <c r="AL111" s="530"/>
      <c r="AM111" s="537"/>
      <c r="AN111" s="530"/>
      <c r="AO111" s="537"/>
      <c r="AP111" s="530"/>
      <c r="AQ111" s="537"/>
      <c r="AR111" s="572"/>
      <c r="AS111" s="587"/>
      <c r="AT111" s="530"/>
      <c r="AU111" s="537"/>
      <c r="AV111" s="530"/>
      <c r="AW111" s="537"/>
      <c r="AX111" s="530"/>
      <c r="AY111" s="537"/>
      <c r="AZ111" s="530"/>
      <c r="BA111" s="537"/>
      <c r="BB111" s="530"/>
      <c r="BC111" s="537"/>
      <c r="BD111" s="530"/>
      <c r="BE111" s="537"/>
      <c r="BF111" s="572"/>
      <c r="BG111" s="587"/>
      <c r="BH111" s="530"/>
      <c r="BI111" s="537"/>
      <c r="BJ111" s="535">
        <f t="shared" si="12"/>
        <v>0</v>
      </c>
      <c r="BK111" s="591"/>
    </row>
    <row r="112" spans="1:63" s="531" customFormat="1" x14ac:dyDescent="0.35">
      <c r="A112" s="551"/>
      <c r="B112" s="551"/>
      <c r="C112" s="551"/>
      <c r="D112" s="657" t="s">
        <v>155</v>
      </c>
      <c r="E112" s="658"/>
      <c r="F112" s="530">
        <f t="shared" ref="F112:BI112" si="13">(F110*60)+F111</f>
        <v>360</v>
      </c>
      <c r="G112" s="537">
        <f t="shared" si="13"/>
        <v>0</v>
      </c>
      <c r="H112" s="530">
        <f t="shared" si="13"/>
        <v>360</v>
      </c>
      <c r="I112" s="537">
        <f t="shared" si="13"/>
        <v>0</v>
      </c>
      <c r="J112" s="530">
        <f>(J110*60)+J111</f>
        <v>360</v>
      </c>
      <c r="K112" s="537">
        <f t="shared" si="13"/>
        <v>0</v>
      </c>
      <c r="L112" s="530">
        <f t="shared" si="13"/>
        <v>360</v>
      </c>
      <c r="M112" s="537">
        <f t="shared" si="13"/>
        <v>0</v>
      </c>
      <c r="N112" s="530">
        <f t="shared" si="13"/>
        <v>360</v>
      </c>
      <c r="O112" s="537">
        <f t="shared" si="13"/>
        <v>0</v>
      </c>
      <c r="P112" s="572">
        <f t="shared" si="13"/>
        <v>0</v>
      </c>
      <c r="Q112" s="587">
        <f t="shared" si="13"/>
        <v>0</v>
      </c>
      <c r="R112" s="572">
        <f t="shared" si="13"/>
        <v>0</v>
      </c>
      <c r="S112" s="587">
        <f t="shared" si="13"/>
        <v>0</v>
      </c>
      <c r="T112" s="530">
        <f t="shared" si="13"/>
        <v>360</v>
      </c>
      <c r="U112" s="537">
        <f t="shared" si="13"/>
        <v>0</v>
      </c>
      <c r="V112" s="530">
        <f t="shared" si="13"/>
        <v>360</v>
      </c>
      <c r="W112" s="537">
        <f t="shared" si="13"/>
        <v>0</v>
      </c>
      <c r="X112" s="530">
        <f>(X110*60)+X111</f>
        <v>0</v>
      </c>
      <c r="Y112" s="537">
        <f>(Y110*60)+Y111</f>
        <v>0</v>
      </c>
      <c r="Z112" s="530">
        <f t="shared" si="13"/>
        <v>360</v>
      </c>
      <c r="AA112" s="537">
        <f t="shared" si="13"/>
        <v>0</v>
      </c>
      <c r="AB112" s="530">
        <f>(AB110*60)+AB111</f>
        <v>360</v>
      </c>
      <c r="AC112" s="537">
        <f>(AC110*60)+AC111</f>
        <v>0</v>
      </c>
      <c r="AD112" s="572">
        <f>(AD110*60)+AD111</f>
        <v>0</v>
      </c>
      <c r="AE112" s="587">
        <f>(AE110*60)+AE111</f>
        <v>0</v>
      </c>
      <c r="AF112" s="530">
        <f t="shared" si="13"/>
        <v>0</v>
      </c>
      <c r="AG112" s="537">
        <f t="shared" si="13"/>
        <v>0</v>
      </c>
      <c r="AH112" s="530">
        <f t="shared" si="13"/>
        <v>0</v>
      </c>
      <c r="AI112" s="537">
        <f t="shared" si="13"/>
        <v>0</v>
      </c>
      <c r="AJ112" s="530">
        <f t="shared" si="13"/>
        <v>0</v>
      </c>
      <c r="AK112" s="537">
        <f t="shared" si="13"/>
        <v>0</v>
      </c>
      <c r="AL112" s="530">
        <f>(AL110*60)+AL111</f>
        <v>0</v>
      </c>
      <c r="AM112" s="537">
        <f>(AM110*60)+AM111</f>
        <v>0</v>
      </c>
      <c r="AN112" s="530">
        <f t="shared" si="13"/>
        <v>0</v>
      </c>
      <c r="AO112" s="537">
        <f t="shared" si="13"/>
        <v>0</v>
      </c>
      <c r="AP112" s="530">
        <f>(AP110*60)+AP111</f>
        <v>0</v>
      </c>
      <c r="AQ112" s="537">
        <f>(AQ110*60)+AQ111</f>
        <v>0</v>
      </c>
      <c r="AR112" s="572">
        <f>(AR110*60)+AR111</f>
        <v>0</v>
      </c>
      <c r="AS112" s="587">
        <f>(AS110*60)+AS111</f>
        <v>0</v>
      </c>
      <c r="AT112" s="530">
        <f t="shared" si="13"/>
        <v>0</v>
      </c>
      <c r="AU112" s="537">
        <f t="shared" si="13"/>
        <v>0</v>
      </c>
      <c r="AV112" s="530">
        <f t="shared" si="13"/>
        <v>0</v>
      </c>
      <c r="AW112" s="537">
        <f t="shared" si="13"/>
        <v>0</v>
      </c>
      <c r="AX112" s="530">
        <f t="shared" si="13"/>
        <v>0</v>
      </c>
      <c r="AY112" s="537">
        <f t="shared" si="13"/>
        <v>0</v>
      </c>
      <c r="AZ112" s="530">
        <f>(AZ110*60)+AZ111</f>
        <v>0</v>
      </c>
      <c r="BA112" s="537">
        <f>(BA110*60)+BA111</f>
        <v>0</v>
      </c>
      <c r="BB112" s="530">
        <f t="shared" si="13"/>
        <v>0</v>
      </c>
      <c r="BC112" s="537">
        <f t="shared" si="13"/>
        <v>0</v>
      </c>
      <c r="BD112" s="530">
        <f>(BD110*60)+BD111</f>
        <v>0</v>
      </c>
      <c r="BE112" s="537">
        <f>(BE110*60)+BE111</f>
        <v>0</v>
      </c>
      <c r="BF112" s="572">
        <f>(BF110*60)+BF111</f>
        <v>0</v>
      </c>
      <c r="BG112" s="587">
        <f>(BG110*60)+BG111</f>
        <v>0</v>
      </c>
      <c r="BH112" s="530">
        <f t="shared" si="13"/>
        <v>0</v>
      </c>
      <c r="BI112" s="537">
        <f t="shared" si="13"/>
        <v>0</v>
      </c>
      <c r="BJ112" s="535">
        <f t="shared" si="12"/>
        <v>3240</v>
      </c>
      <c r="BK112" s="591"/>
    </row>
    <row r="113" spans="1:63" s="531" customFormat="1" x14ac:dyDescent="0.35">
      <c r="A113" s="551"/>
      <c r="B113" s="551"/>
      <c r="C113" s="551"/>
      <c r="D113" s="657" t="s">
        <v>156</v>
      </c>
      <c r="E113" s="658"/>
      <c r="F113" s="530">
        <f t="shared" ref="F113:BI113" si="14">F112-F114</f>
        <v>84</v>
      </c>
      <c r="G113" s="537">
        <f t="shared" si="14"/>
        <v>0</v>
      </c>
      <c r="H113" s="530">
        <f t="shared" si="14"/>
        <v>190</v>
      </c>
      <c r="I113" s="537">
        <f t="shared" si="14"/>
        <v>0</v>
      </c>
      <c r="J113" s="530">
        <f t="shared" si="14"/>
        <v>288</v>
      </c>
      <c r="K113" s="537">
        <f t="shared" si="14"/>
        <v>0</v>
      </c>
      <c r="L113" s="530">
        <f t="shared" si="14"/>
        <v>360</v>
      </c>
      <c r="M113" s="537">
        <f t="shared" si="14"/>
        <v>0</v>
      </c>
      <c r="N113" s="530">
        <f t="shared" si="14"/>
        <v>199</v>
      </c>
      <c r="O113" s="537">
        <f t="shared" si="14"/>
        <v>0</v>
      </c>
      <c r="P113" s="588">
        <f t="shared" si="14"/>
        <v>0</v>
      </c>
      <c r="Q113" s="586">
        <f t="shared" si="14"/>
        <v>0</v>
      </c>
      <c r="R113" s="588">
        <f t="shared" si="14"/>
        <v>0</v>
      </c>
      <c r="S113" s="586">
        <f t="shared" si="14"/>
        <v>0</v>
      </c>
      <c r="T113" s="530">
        <f t="shared" si="14"/>
        <v>120</v>
      </c>
      <c r="U113" s="537">
        <f t="shared" si="14"/>
        <v>0</v>
      </c>
      <c r="V113" s="530">
        <f t="shared" si="14"/>
        <v>140</v>
      </c>
      <c r="W113" s="537">
        <f t="shared" si="14"/>
        <v>0</v>
      </c>
      <c r="X113" s="530">
        <f>X112-X114</f>
        <v>0</v>
      </c>
      <c r="Y113" s="537">
        <f>Y112-Y114</f>
        <v>0</v>
      </c>
      <c r="Z113" s="530">
        <f t="shared" si="14"/>
        <v>70</v>
      </c>
      <c r="AA113" s="537">
        <f t="shared" si="14"/>
        <v>0</v>
      </c>
      <c r="AB113" s="530">
        <f>AB112-AB114</f>
        <v>40</v>
      </c>
      <c r="AC113" s="537">
        <f>AC112-AC114</f>
        <v>0</v>
      </c>
      <c r="AD113" s="588">
        <f>AD112-AD114</f>
        <v>0</v>
      </c>
      <c r="AE113" s="586">
        <f>AE112-AE114</f>
        <v>0</v>
      </c>
      <c r="AF113" s="530">
        <f t="shared" si="14"/>
        <v>0</v>
      </c>
      <c r="AG113" s="537">
        <f t="shared" si="14"/>
        <v>0</v>
      </c>
      <c r="AH113" s="530">
        <f t="shared" si="14"/>
        <v>0</v>
      </c>
      <c r="AI113" s="537">
        <f t="shared" si="14"/>
        <v>0</v>
      </c>
      <c r="AJ113" s="530">
        <f t="shared" si="14"/>
        <v>0</v>
      </c>
      <c r="AK113" s="537">
        <f t="shared" si="14"/>
        <v>0</v>
      </c>
      <c r="AL113" s="530">
        <f>AL112-AL114</f>
        <v>0</v>
      </c>
      <c r="AM113" s="537">
        <f>AM112-AM114</f>
        <v>0</v>
      </c>
      <c r="AN113" s="530">
        <f t="shared" si="14"/>
        <v>0</v>
      </c>
      <c r="AO113" s="537">
        <f t="shared" si="14"/>
        <v>0</v>
      </c>
      <c r="AP113" s="530">
        <f>AP112-AP114</f>
        <v>0</v>
      </c>
      <c r="AQ113" s="537">
        <f>AQ112-AQ114</f>
        <v>0</v>
      </c>
      <c r="AR113" s="588">
        <f>AR112-AR114</f>
        <v>0</v>
      </c>
      <c r="AS113" s="586">
        <f>AS112-AS114</f>
        <v>0</v>
      </c>
      <c r="AT113" s="530">
        <f t="shared" si="14"/>
        <v>0</v>
      </c>
      <c r="AU113" s="537">
        <f t="shared" si="14"/>
        <v>0</v>
      </c>
      <c r="AV113" s="530">
        <f t="shared" si="14"/>
        <v>0</v>
      </c>
      <c r="AW113" s="537">
        <f t="shared" si="14"/>
        <v>0</v>
      </c>
      <c r="AX113" s="530">
        <f t="shared" si="14"/>
        <v>0</v>
      </c>
      <c r="AY113" s="537">
        <f t="shared" si="14"/>
        <v>0</v>
      </c>
      <c r="AZ113" s="530">
        <f>AZ112-AZ114</f>
        <v>0</v>
      </c>
      <c r="BA113" s="537">
        <f>BA112-BA114</f>
        <v>0</v>
      </c>
      <c r="BB113" s="530">
        <f t="shared" si="14"/>
        <v>0</v>
      </c>
      <c r="BC113" s="537">
        <f t="shared" si="14"/>
        <v>0</v>
      </c>
      <c r="BD113" s="530">
        <f t="shared" si="14"/>
        <v>0</v>
      </c>
      <c r="BE113" s="537">
        <f t="shared" si="14"/>
        <v>0</v>
      </c>
      <c r="BF113" s="588">
        <f>BF112-BF114</f>
        <v>0</v>
      </c>
      <c r="BG113" s="586">
        <f>BG112-BG114</f>
        <v>0</v>
      </c>
      <c r="BH113" s="530">
        <f t="shared" si="14"/>
        <v>0</v>
      </c>
      <c r="BI113" s="537">
        <f t="shared" si="14"/>
        <v>0</v>
      </c>
      <c r="BJ113" s="535">
        <f t="shared" si="12"/>
        <v>1491</v>
      </c>
      <c r="BK113" s="591"/>
    </row>
    <row r="114" spans="1:63" s="531" customFormat="1" x14ac:dyDescent="0.35">
      <c r="A114" s="529"/>
      <c r="B114" s="529"/>
      <c r="C114" s="529"/>
      <c r="D114" s="659" t="s">
        <v>157</v>
      </c>
      <c r="E114" s="660"/>
      <c r="F114" s="553">
        <f t="shared" ref="F114:BI114" si="15">SUM(F115:F116)</f>
        <v>276</v>
      </c>
      <c r="G114" s="560">
        <f t="shared" si="15"/>
        <v>0</v>
      </c>
      <c r="H114" s="553">
        <f t="shared" si="15"/>
        <v>170</v>
      </c>
      <c r="I114" s="560">
        <f t="shared" si="15"/>
        <v>0</v>
      </c>
      <c r="J114" s="553">
        <f t="shared" si="15"/>
        <v>72</v>
      </c>
      <c r="K114" s="560">
        <f t="shared" si="15"/>
        <v>0</v>
      </c>
      <c r="L114" s="553">
        <f t="shared" si="15"/>
        <v>0</v>
      </c>
      <c r="M114" s="560">
        <f t="shared" si="15"/>
        <v>0</v>
      </c>
      <c r="N114" s="553">
        <f t="shared" si="15"/>
        <v>161</v>
      </c>
      <c r="O114" s="560">
        <f t="shared" si="15"/>
        <v>0</v>
      </c>
      <c r="P114" s="572">
        <f t="shared" si="15"/>
        <v>0</v>
      </c>
      <c r="Q114" s="587">
        <f t="shared" si="15"/>
        <v>0</v>
      </c>
      <c r="R114" s="572">
        <f t="shared" si="15"/>
        <v>0</v>
      </c>
      <c r="S114" s="587">
        <f t="shared" si="15"/>
        <v>0</v>
      </c>
      <c r="T114" s="553">
        <f t="shared" si="15"/>
        <v>240</v>
      </c>
      <c r="U114" s="560">
        <f t="shared" si="15"/>
        <v>0</v>
      </c>
      <c r="V114" s="553">
        <f t="shared" si="15"/>
        <v>220</v>
      </c>
      <c r="W114" s="560">
        <f t="shared" si="15"/>
        <v>0</v>
      </c>
      <c r="X114" s="553">
        <f>SUM(X115:X116)</f>
        <v>0</v>
      </c>
      <c r="Y114" s="560">
        <f>SUM(Y115:Y116)</f>
        <v>0</v>
      </c>
      <c r="Z114" s="553">
        <f t="shared" si="15"/>
        <v>290</v>
      </c>
      <c r="AA114" s="560">
        <f t="shared" si="15"/>
        <v>0</v>
      </c>
      <c r="AB114" s="553">
        <f>SUM(AB115:AB116)</f>
        <v>320</v>
      </c>
      <c r="AC114" s="560">
        <f>SUM(AC115:AC116)</f>
        <v>0</v>
      </c>
      <c r="AD114" s="572">
        <f>SUM(AD115:AD116)</f>
        <v>0</v>
      </c>
      <c r="AE114" s="587">
        <f>SUM(AE115:AE116)</f>
        <v>0</v>
      </c>
      <c r="AF114" s="553">
        <f t="shared" si="15"/>
        <v>0</v>
      </c>
      <c r="AG114" s="560">
        <f t="shared" si="15"/>
        <v>0</v>
      </c>
      <c r="AH114" s="553">
        <f t="shared" si="15"/>
        <v>0</v>
      </c>
      <c r="AI114" s="560">
        <f t="shared" si="15"/>
        <v>0</v>
      </c>
      <c r="AJ114" s="553">
        <f t="shared" si="15"/>
        <v>0</v>
      </c>
      <c r="AK114" s="560">
        <f t="shared" si="15"/>
        <v>0</v>
      </c>
      <c r="AL114" s="553">
        <f>SUM(AL115:AL116)</f>
        <v>0</v>
      </c>
      <c r="AM114" s="560">
        <f>SUM(AM115:AM116)</f>
        <v>0</v>
      </c>
      <c r="AN114" s="553">
        <f t="shared" si="15"/>
        <v>0</v>
      </c>
      <c r="AO114" s="560">
        <f t="shared" si="15"/>
        <v>0</v>
      </c>
      <c r="AP114" s="553">
        <f>SUM(AP115:AP116)</f>
        <v>0</v>
      </c>
      <c r="AQ114" s="560">
        <f>SUM(AQ115:AQ116)</f>
        <v>0</v>
      </c>
      <c r="AR114" s="572">
        <f>SUM(AR115:AR116)</f>
        <v>0</v>
      </c>
      <c r="AS114" s="587">
        <f>SUM(AS115:AS116)</f>
        <v>0</v>
      </c>
      <c r="AT114" s="553">
        <f t="shared" si="15"/>
        <v>0</v>
      </c>
      <c r="AU114" s="560">
        <f t="shared" si="15"/>
        <v>0</v>
      </c>
      <c r="AV114" s="553">
        <f t="shared" si="15"/>
        <v>0</v>
      </c>
      <c r="AW114" s="560">
        <f t="shared" si="15"/>
        <v>0</v>
      </c>
      <c r="AX114" s="553">
        <f t="shared" si="15"/>
        <v>0</v>
      </c>
      <c r="AY114" s="560">
        <f t="shared" si="15"/>
        <v>0</v>
      </c>
      <c r="AZ114" s="553">
        <f>SUM(AZ115:AZ116)</f>
        <v>0</v>
      </c>
      <c r="BA114" s="560">
        <f>SUM(BA115:BA116)</f>
        <v>0</v>
      </c>
      <c r="BB114" s="553">
        <f t="shared" si="15"/>
        <v>0</v>
      </c>
      <c r="BC114" s="560">
        <f t="shared" si="15"/>
        <v>0</v>
      </c>
      <c r="BD114" s="553">
        <f t="shared" si="15"/>
        <v>0</v>
      </c>
      <c r="BE114" s="560">
        <f t="shared" si="15"/>
        <v>0</v>
      </c>
      <c r="BF114" s="572">
        <f>SUM(BF115:BF116)</f>
        <v>0</v>
      </c>
      <c r="BG114" s="587">
        <f>SUM(BG115:BG116)</f>
        <v>0</v>
      </c>
      <c r="BH114" s="553">
        <f t="shared" si="15"/>
        <v>0</v>
      </c>
      <c r="BI114" s="560">
        <f t="shared" si="15"/>
        <v>0</v>
      </c>
      <c r="BJ114" s="535">
        <f t="shared" si="12"/>
        <v>1749</v>
      </c>
      <c r="BK114" s="591"/>
    </row>
    <row r="115" spans="1:63" s="531" customFormat="1" x14ac:dyDescent="0.35">
      <c r="A115" s="579"/>
      <c r="B115" s="579"/>
      <c r="C115" s="579"/>
      <c r="D115" s="665" t="s">
        <v>158</v>
      </c>
      <c r="E115" s="666"/>
      <c r="F115" s="513">
        <f>4.6*60</f>
        <v>276</v>
      </c>
      <c r="G115" s="557"/>
      <c r="H115" s="513">
        <v>170</v>
      </c>
      <c r="I115" s="557"/>
      <c r="J115" s="513">
        <v>72</v>
      </c>
      <c r="K115" s="557"/>
      <c r="L115" s="513"/>
      <c r="M115" s="557"/>
      <c r="N115" s="513">
        <v>71</v>
      </c>
      <c r="O115" s="557"/>
      <c r="P115" s="572"/>
      <c r="Q115" s="587"/>
      <c r="R115" s="572"/>
      <c r="S115" s="587"/>
      <c r="T115" s="513">
        <f>4*60</f>
        <v>240</v>
      </c>
      <c r="U115" s="557"/>
      <c r="V115" s="513">
        <v>220</v>
      </c>
      <c r="W115" s="557"/>
      <c r="X115" s="513"/>
      <c r="Y115" s="557"/>
      <c r="Z115" s="513">
        <f>4*60+50</f>
        <v>290</v>
      </c>
      <c r="AA115" s="557"/>
      <c r="AB115" s="513"/>
      <c r="AC115" s="557"/>
      <c r="AD115" s="572"/>
      <c r="AE115" s="587"/>
      <c r="AF115" s="513"/>
      <c r="AG115" s="557"/>
      <c r="AH115" s="513"/>
      <c r="AI115" s="557"/>
      <c r="AJ115" s="513"/>
      <c r="AK115" s="557"/>
      <c r="AL115" s="513"/>
      <c r="AM115" s="557"/>
      <c r="AN115" s="513"/>
      <c r="AO115" s="557"/>
      <c r="AP115" s="513"/>
      <c r="AQ115" s="557"/>
      <c r="AR115" s="572"/>
      <c r="AS115" s="587"/>
      <c r="AT115" s="513"/>
      <c r="AU115" s="557"/>
      <c r="AV115" s="513"/>
      <c r="AW115" s="557"/>
      <c r="AX115" s="513"/>
      <c r="AY115" s="557"/>
      <c r="AZ115" s="513"/>
      <c r="BA115" s="557"/>
      <c r="BB115" s="513"/>
      <c r="BC115" s="557"/>
      <c r="BD115" s="513"/>
      <c r="BE115" s="557"/>
      <c r="BF115" s="572"/>
      <c r="BG115" s="587"/>
      <c r="BH115" s="513"/>
      <c r="BI115" s="557"/>
      <c r="BJ115" s="535">
        <f t="shared" si="12"/>
        <v>1339</v>
      </c>
      <c r="BK115" s="591"/>
    </row>
    <row r="116" spans="1:63" s="531" customFormat="1" x14ac:dyDescent="0.35">
      <c r="A116" s="579"/>
      <c r="B116" s="579"/>
      <c r="C116" s="579"/>
      <c r="D116" s="665" t="s">
        <v>161</v>
      </c>
      <c r="E116" s="666"/>
      <c r="F116" s="513"/>
      <c r="G116" s="557"/>
      <c r="H116" s="513"/>
      <c r="I116" s="557"/>
      <c r="J116" s="513"/>
      <c r="K116" s="557"/>
      <c r="L116" s="513"/>
      <c r="M116" s="557"/>
      <c r="N116" s="513">
        <v>90</v>
      </c>
      <c r="O116" s="557"/>
      <c r="P116" s="572"/>
      <c r="Q116" s="587"/>
      <c r="R116" s="572"/>
      <c r="S116" s="587"/>
      <c r="T116" s="513"/>
      <c r="U116" s="557"/>
      <c r="V116" s="513"/>
      <c r="W116" s="557"/>
      <c r="X116" s="513"/>
      <c r="Y116" s="557"/>
      <c r="Z116" s="513"/>
      <c r="AA116" s="557"/>
      <c r="AB116" s="513">
        <f>5*60+20</f>
        <v>320</v>
      </c>
      <c r="AC116" s="557"/>
      <c r="AD116" s="572"/>
      <c r="AE116" s="587"/>
      <c r="AF116" s="513"/>
      <c r="AG116" s="557"/>
      <c r="AH116" s="513"/>
      <c r="AI116" s="557"/>
      <c r="AJ116" s="513"/>
      <c r="AK116" s="557"/>
      <c r="AL116" s="513"/>
      <c r="AM116" s="557"/>
      <c r="AN116" s="513"/>
      <c r="AO116" s="557"/>
      <c r="AP116" s="513"/>
      <c r="AQ116" s="557"/>
      <c r="AR116" s="572"/>
      <c r="AS116" s="587"/>
      <c r="AT116" s="513"/>
      <c r="AU116" s="557"/>
      <c r="AV116" s="513"/>
      <c r="AW116" s="557"/>
      <c r="AX116" s="513"/>
      <c r="AY116" s="557"/>
      <c r="AZ116" s="513"/>
      <c r="BA116" s="557"/>
      <c r="BB116" s="513"/>
      <c r="BC116" s="557"/>
      <c r="BD116" s="513"/>
      <c r="BE116" s="557"/>
      <c r="BF116" s="572"/>
      <c r="BG116" s="587"/>
      <c r="BH116" s="513"/>
      <c r="BI116" s="557"/>
      <c r="BJ116" s="535">
        <f t="shared" si="12"/>
        <v>410</v>
      </c>
      <c r="BK116" s="591"/>
    </row>
    <row r="117" spans="1:63" x14ac:dyDescent="0.35">
      <c r="A117" s="518"/>
      <c r="B117" s="518"/>
      <c r="C117" s="518"/>
      <c r="D117" s="667" t="s">
        <v>162</v>
      </c>
      <c r="E117" s="668"/>
      <c r="F117" s="536">
        <f>F112-F114-F29</f>
        <v>84</v>
      </c>
      <c r="G117" s="536"/>
      <c r="H117" s="536">
        <f>H112-H114-H29</f>
        <v>170</v>
      </c>
      <c r="I117" s="573"/>
      <c r="J117" s="536">
        <f>J112-J114-J29</f>
        <v>224</v>
      </c>
      <c r="K117" s="536"/>
      <c r="L117" s="536">
        <f>L112-L114-L29</f>
        <v>275</v>
      </c>
      <c r="M117" s="536"/>
      <c r="N117" s="536">
        <f>N112-N114-N29</f>
        <v>159</v>
      </c>
      <c r="O117" s="536"/>
      <c r="P117" s="536"/>
      <c r="Q117" s="536"/>
      <c r="R117" s="536"/>
      <c r="S117" s="536"/>
      <c r="T117" s="536">
        <f>T112-T114-T29</f>
        <v>120</v>
      </c>
      <c r="U117" s="536"/>
      <c r="V117" s="536">
        <f>V112-V114-V29</f>
        <v>140</v>
      </c>
      <c r="W117" s="536"/>
      <c r="X117" s="536"/>
      <c r="Y117" s="536"/>
      <c r="Z117" s="536">
        <f>Z112-Z114-Z29</f>
        <v>70</v>
      </c>
      <c r="AA117" s="536"/>
      <c r="AB117" s="536">
        <f>AB112-AB114-AB29</f>
        <v>40</v>
      </c>
      <c r="AC117" s="536"/>
      <c r="AD117" s="536"/>
      <c r="AE117" s="536"/>
      <c r="AF117" s="536"/>
      <c r="AG117" s="536"/>
      <c r="AH117" s="536"/>
      <c r="AI117" s="536"/>
      <c r="AJ117" s="536"/>
      <c r="AK117" s="536"/>
      <c r="AL117" s="536"/>
      <c r="AM117" s="536"/>
      <c r="AN117" s="536"/>
      <c r="AO117" s="536"/>
      <c r="AP117" s="536"/>
      <c r="AQ117" s="536"/>
      <c r="AR117" s="536"/>
      <c r="AS117" s="536"/>
      <c r="AT117" s="536"/>
      <c r="AU117" s="536"/>
      <c r="AV117" s="536"/>
      <c r="AW117" s="536"/>
      <c r="AX117" s="536"/>
      <c r="AY117" s="536"/>
      <c r="AZ117" s="536"/>
      <c r="BA117" s="536"/>
      <c r="BB117" s="536"/>
      <c r="BC117" s="536"/>
      <c r="BD117" s="536"/>
      <c r="BE117" s="536"/>
      <c r="BF117" s="536"/>
      <c r="BG117" s="536"/>
      <c r="BH117" s="536"/>
      <c r="BI117" s="536"/>
      <c r="BJ117" s="509">
        <f>BJ112-BJ114-BJ29</f>
        <v>1282</v>
      </c>
      <c r="BK117" s="545"/>
    </row>
    <row r="118" spans="1:63" x14ac:dyDescent="0.35">
      <c r="A118" s="518"/>
      <c r="B118" s="518"/>
      <c r="C118" s="518"/>
      <c r="D118" s="667" t="s">
        <v>163</v>
      </c>
      <c r="E118" s="668"/>
      <c r="F118" s="547">
        <f>IFERROR(SUMPRODUCT(F5:F19/$E$5:$E$19),0)</f>
        <v>77.8</v>
      </c>
      <c r="G118" s="547"/>
      <c r="H118" s="547">
        <f>IFERROR(SUMPRODUCT(H5:H19/$E$5:$E$19),0)</f>
        <v>135.55000000000001</v>
      </c>
      <c r="I118" s="532"/>
      <c r="J118" s="547">
        <f>IFERROR(SUMPRODUCT(J5:J19/$E$5:$E$19),0)</f>
        <v>203.4</v>
      </c>
      <c r="K118" s="547"/>
      <c r="L118" s="547">
        <f>IFERROR(SUMPRODUCT(L5:L19/$E$5:$E$19),0)</f>
        <v>236.65</v>
      </c>
      <c r="M118" s="547"/>
      <c r="N118" s="547">
        <f>IFERROR(SUMPRODUCT(N5:N19/$E$5:$E$19),0)</f>
        <v>115.5</v>
      </c>
      <c r="O118" s="547"/>
      <c r="P118" s="547"/>
      <c r="Q118" s="547"/>
      <c r="R118" s="547"/>
      <c r="S118" s="547"/>
      <c r="T118" s="547">
        <f>IFERROR(SUMPRODUCT(T5:T19/$E$5:$E$19),0)</f>
        <v>105</v>
      </c>
      <c r="U118" s="547"/>
      <c r="V118" s="547">
        <f>IFERROR(SUMPRODUCT(V5:V19/$E$5:$E$19),0)</f>
        <v>123</v>
      </c>
      <c r="W118" s="547"/>
      <c r="X118" s="547"/>
      <c r="Y118" s="547"/>
      <c r="Z118" s="547">
        <f>IFERROR(SUMPRODUCT(Z5:Z19/$E$5:$E$19),0)</f>
        <v>63.7</v>
      </c>
      <c r="AA118" s="547"/>
      <c r="AB118" s="547">
        <f>IFERROR(SUMPRODUCT(AB5:AB19/$E$5:$E$19),0)</f>
        <v>35.5</v>
      </c>
      <c r="AC118" s="547"/>
      <c r="AD118" s="547"/>
      <c r="AE118" s="547"/>
      <c r="AF118" s="547"/>
      <c r="AG118" s="547"/>
      <c r="AH118" s="547"/>
      <c r="AI118" s="547"/>
      <c r="AJ118" s="547"/>
      <c r="AK118" s="547"/>
      <c r="AL118" s="547"/>
      <c r="AM118" s="547"/>
      <c r="AN118" s="547"/>
      <c r="AO118" s="547"/>
      <c r="AP118" s="547"/>
      <c r="AQ118" s="547"/>
      <c r="AR118" s="547"/>
      <c r="AS118" s="547"/>
      <c r="AT118" s="547"/>
      <c r="AU118" s="547"/>
      <c r="AV118" s="547"/>
      <c r="AW118" s="547"/>
      <c r="AX118" s="547"/>
      <c r="AY118" s="547"/>
      <c r="AZ118" s="547"/>
      <c r="BA118" s="547"/>
      <c r="BB118" s="547"/>
      <c r="BC118" s="547"/>
      <c r="BD118" s="547"/>
      <c r="BE118" s="547"/>
      <c r="BF118" s="547"/>
      <c r="BG118" s="547"/>
      <c r="BH118" s="547"/>
      <c r="BI118" s="547"/>
      <c r="BJ118" s="509">
        <f>IFERROR(SUMPRODUCT(BJ5:BJ19/$E$5:$E$19),0)</f>
        <v>768.9</v>
      </c>
      <c r="BK118" s="545"/>
    </row>
    <row r="119" spans="1:63" x14ac:dyDescent="0.35">
      <c r="A119" s="518"/>
      <c r="B119" s="518"/>
      <c r="C119" s="518"/>
      <c r="D119" s="667" t="s">
        <v>164</v>
      </c>
      <c r="E119" s="668"/>
      <c r="F119" s="547">
        <f>F117-F118</f>
        <v>6.2000000000000028</v>
      </c>
      <c r="G119" s="547"/>
      <c r="H119" s="547">
        <f>H117-H118</f>
        <v>34.449999999999989</v>
      </c>
      <c r="I119" s="532"/>
      <c r="J119" s="547">
        <f>J117-J118</f>
        <v>20.599999999999994</v>
      </c>
      <c r="K119" s="547"/>
      <c r="L119" s="547">
        <f>L117-L118</f>
        <v>38.349999999999994</v>
      </c>
      <c r="M119" s="547"/>
      <c r="N119" s="547">
        <f>N117-N118</f>
        <v>43.5</v>
      </c>
      <c r="O119" s="547"/>
      <c r="P119" s="547"/>
      <c r="Q119" s="547"/>
      <c r="R119" s="547"/>
      <c r="S119" s="547"/>
      <c r="T119" s="547">
        <f>T117-T118</f>
        <v>15</v>
      </c>
      <c r="U119" s="547"/>
      <c r="V119" s="547">
        <f>V117-V118</f>
        <v>17</v>
      </c>
      <c r="W119" s="547"/>
      <c r="X119" s="547"/>
      <c r="Y119" s="547"/>
      <c r="Z119" s="547">
        <f>Z117-Z118</f>
        <v>6.2999999999999972</v>
      </c>
      <c r="AA119" s="547"/>
      <c r="AB119" s="547">
        <f>AB117-AB118</f>
        <v>4.5</v>
      </c>
      <c r="AC119" s="547"/>
      <c r="AD119" s="547"/>
      <c r="AE119" s="547"/>
      <c r="AF119" s="547"/>
      <c r="AG119" s="547"/>
      <c r="AH119" s="547"/>
      <c r="AI119" s="547"/>
      <c r="AJ119" s="547"/>
      <c r="AK119" s="547"/>
      <c r="AL119" s="547"/>
      <c r="AM119" s="547"/>
      <c r="AN119" s="547"/>
      <c r="AO119" s="547"/>
      <c r="AP119" s="547"/>
      <c r="AQ119" s="547"/>
      <c r="AR119" s="547"/>
      <c r="AS119" s="547"/>
      <c r="AT119" s="547"/>
      <c r="AU119" s="547"/>
      <c r="AV119" s="547"/>
      <c r="AW119" s="547"/>
      <c r="AX119" s="547"/>
      <c r="AY119" s="547"/>
      <c r="AZ119" s="547"/>
      <c r="BA119" s="547"/>
      <c r="BB119" s="547"/>
      <c r="BC119" s="547"/>
      <c r="BD119" s="547"/>
      <c r="BE119" s="547"/>
      <c r="BF119" s="547"/>
      <c r="BG119" s="547"/>
      <c r="BH119" s="547"/>
      <c r="BI119" s="547"/>
      <c r="BJ119" s="509">
        <f>BJ117-BJ118</f>
        <v>513.1</v>
      </c>
      <c r="BK119" s="545"/>
    </row>
    <row r="120" spans="1:63" x14ac:dyDescent="0.35">
      <c r="A120" s="518"/>
      <c r="B120" s="518"/>
      <c r="C120" s="518"/>
      <c r="D120" s="667" t="s">
        <v>165</v>
      </c>
      <c r="E120" s="668"/>
      <c r="F120" s="547">
        <f>SUM(F5:F20)/(F113-F29)</f>
        <v>18.523809523809526</v>
      </c>
      <c r="G120" s="547"/>
      <c r="H120" s="547">
        <f>SUM(H5:H20)/(H113-H29)</f>
        <v>15.947058823529412</v>
      </c>
      <c r="I120" s="532"/>
      <c r="J120" s="547">
        <f>SUM(J5:J20)/(J113-J29)</f>
        <v>18.160714285714285</v>
      </c>
      <c r="K120" s="547"/>
      <c r="L120" s="547">
        <f>SUM(L5:L20)/(L113-L29)</f>
        <v>17.210909090909091</v>
      </c>
      <c r="M120" s="547"/>
      <c r="N120" s="547">
        <f>SUM(N5:N20)/(N113-N29)</f>
        <v>14.528301886792454</v>
      </c>
      <c r="O120" s="547"/>
      <c r="P120" s="547"/>
      <c r="Q120" s="547"/>
      <c r="R120" s="547"/>
      <c r="S120" s="547"/>
      <c r="T120" s="547">
        <f>SUM(T5:T20)/(T113-T29)</f>
        <v>17.5</v>
      </c>
      <c r="U120" s="547"/>
      <c r="V120" s="547">
        <f>SUM(V5:V20)/(V113-V29)</f>
        <v>17.571428571428573</v>
      </c>
      <c r="W120" s="547"/>
      <c r="X120" s="547"/>
      <c r="Y120" s="547"/>
      <c r="Z120" s="547">
        <f>SUM(Z5:Z20)/(Z113-Z29)</f>
        <v>18.2</v>
      </c>
      <c r="AA120" s="547"/>
      <c r="AB120" s="547">
        <f>SUM(AB5:AB20)/(AB113-AB29)</f>
        <v>17.75</v>
      </c>
      <c r="AC120" s="547"/>
      <c r="AD120" s="547"/>
      <c r="AE120" s="547"/>
      <c r="AF120" s="547"/>
      <c r="AG120" s="547"/>
      <c r="AH120" s="547"/>
      <c r="AI120" s="547"/>
      <c r="AJ120" s="547"/>
      <c r="AK120" s="547"/>
      <c r="AL120" s="547"/>
      <c r="AM120" s="547"/>
      <c r="AN120" s="547"/>
      <c r="AO120" s="547"/>
      <c r="AP120" s="547"/>
      <c r="AQ120" s="547"/>
      <c r="AR120" s="547"/>
      <c r="AS120" s="547"/>
      <c r="AT120" s="547"/>
      <c r="AU120" s="547"/>
      <c r="AV120" s="547"/>
      <c r="AW120" s="547"/>
      <c r="AX120" s="547"/>
      <c r="AY120" s="547"/>
      <c r="AZ120" s="547"/>
      <c r="BA120" s="547"/>
      <c r="BB120" s="547"/>
      <c r="BC120" s="547"/>
      <c r="BD120" s="547"/>
      <c r="BE120" s="547"/>
      <c r="BF120" s="547"/>
      <c r="BG120" s="547"/>
      <c r="BH120" s="547"/>
      <c r="BI120" s="547"/>
      <c r="BJ120" s="582">
        <f>SUM(BJ5:BJ20)/(BJ113-BJ29)</f>
        <v>11.995319812792511</v>
      </c>
      <c r="BK120" s="545"/>
    </row>
    <row r="121" spans="1:63" x14ac:dyDescent="0.35">
      <c r="A121" s="581"/>
      <c r="B121" s="581"/>
      <c r="C121" s="581"/>
      <c r="D121" s="663" t="s">
        <v>166</v>
      </c>
      <c r="E121" s="664"/>
      <c r="F121" s="580">
        <f>(F113-F29)/F113</f>
        <v>1</v>
      </c>
      <c r="G121" s="580"/>
      <c r="H121" s="580">
        <f>(H113-H29)/H113</f>
        <v>0.89473684210526316</v>
      </c>
      <c r="I121" s="592"/>
      <c r="J121" s="580">
        <f>(J113-J29)/J113</f>
        <v>0.77777777777777779</v>
      </c>
      <c r="K121" s="580"/>
      <c r="L121" s="580">
        <f>(L113-L29)/L113</f>
        <v>0.76388888888888884</v>
      </c>
      <c r="M121" s="580"/>
      <c r="N121" s="580">
        <f>(N113-N29)/N113</f>
        <v>0.79899497487437188</v>
      </c>
      <c r="O121" s="580"/>
      <c r="P121" s="580"/>
      <c r="Q121" s="580"/>
      <c r="R121" s="580"/>
      <c r="S121" s="580"/>
      <c r="T121" s="580">
        <f>(T113-T29)/T113</f>
        <v>1</v>
      </c>
      <c r="U121" s="580"/>
      <c r="V121" s="580">
        <f>(V113-V29)/V113</f>
        <v>1</v>
      </c>
      <c r="W121" s="580"/>
      <c r="X121" s="580"/>
      <c r="Y121" s="580"/>
      <c r="Z121" s="580">
        <f>(Z113-Z29)/Z113</f>
        <v>1</v>
      </c>
      <c r="AA121" s="580"/>
      <c r="AB121" s="580">
        <f>(AB113-AB29)/AB113</f>
        <v>1</v>
      </c>
      <c r="AC121" s="580"/>
      <c r="AD121" s="580"/>
      <c r="AE121" s="580"/>
      <c r="AF121" s="580"/>
      <c r="AG121" s="580"/>
      <c r="AH121" s="580"/>
      <c r="AI121" s="580"/>
      <c r="AJ121" s="580"/>
      <c r="AK121" s="580"/>
      <c r="AL121" s="580"/>
      <c r="AM121" s="580"/>
      <c r="AN121" s="580"/>
      <c r="AO121" s="580"/>
      <c r="AP121" s="580"/>
      <c r="AQ121" s="580"/>
      <c r="AR121" s="580"/>
      <c r="AS121" s="580"/>
      <c r="AT121" s="580"/>
      <c r="AU121" s="580"/>
      <c r="AV121" s="580"/>
      <c r="AW121" s="580"/>
      <c r="AX121" s="580"/>
      <c r="AY121" s="580"/>
      <c r="AZ121" s="580"/>
      <c r="BA121" s="580"/>
      <c r="BB121" s="580"/>
      <c r="BC121" s="580"/>
      <c r="BD121" s="580"/>
      <c r="BE121" s="580"/>
      <c r="BF121" s="580"/>
      <c r="BG121" s="580"/>
      <c r="BH121" s="580"/>
      <c r="BI121" s="580"/>
      <c r="BJ121" s="593">
        <f>(BJ113-BJ29)/BJ113</f>
        <v>0.85982562038900068</v>
      </c>
      <c r="BK121" s="545"/>
    </row>
    <row r="122" spans="1:63" x14ac:dyDescent="0.35">
      <c r="A122" s="581"/>
      <c r="B122" s="581"/>
      <c r="C122" s="581"/>
      <c r="D122" s="663" t="s">
        <v>167</v>
      </c>
      <c r="E122" s="664"/>
      <c r="F122" s="580">
        <f>F118/F117</f>
        <v>0.92619047619047612</v>
      </c>
      <c r="G122" s="580"/>
      <c r="H122" s="580">
        <f>H118/H117</f>
        <v>0.79735294117647071</v>
      </c>
      <c r="I122" s="592"/>
      <c r="J122" s="580">
        <f>J118/J117</f>
        <v>0.90803571428571428</v>
      </c>
      <c r="K122" s="580"/>
      <c r="L122" s="580">
        <f>L118/L117</f>
        <v>0.86054545454545461</v>
      </c>
      <c r="M122" s="580"/>
      <c r="N122" s="580">
        <f>N118/N117</f>
        <v>0.72641509433962259</v>
      </c>
      <c r="O122" s="580"/>
      <c r="P122" s="580"/>
      <c r="Q122" s="580"/>
      <c r="R122" s="580"/>
      <c r="S122" s="580"/>
      <c r="T122" s="580">
        <f>T118/T117</f>
        <v>0.875</v>
      </c>
      <c r="U122" s="580"/>
      <c r="V122" s="580">
        <f>V118/V117</f>
        <v>0.87857142857142856</v>
      </c>
      <c r="W122" s="580"/>
      <c r="X122" s="580"/>
      <c r="Y122" s="580"/>
      <c r="Z122" s="580">
        <f>Z118/Z117</f>
        <v>0.91</v>
      </c>
      <c r="AA122" s="580"/>
      <c r="AB122" s="580">
        <f>AB118/AB117</f>
        <v>0.88749999999999996</v>
      </c>
      <c r="AC122" s="580"/>
      <c r="AD122" s="580"/>
      <c r="AE122" s="580"/>
      <c r="AF122" s="580"/>
      <c r="AG122" s="580"/>
      <c r="AH122" s="580"/>
      <c r="AI122" s="580"/>
      <c r="AJ122" s="580"/>
      <c r="AK122" s="580"/>
      <c r="AL122" s="580"/>
      <c r="AM122" s="580"/>
      <c r="AN122" s="580"/>
      <c r="AO122" s="580"/>
      <c r="AP122" s="580"/>
      <c r="AQ122" s="580"/>
      <c r="AR122" s="580"/>
      <c r="AS122" s="580"/>
      <c r="AT122" s="580"/>
      <c r="AU122" s="580"/>
      <c r="AV122" s="580"/>
      <c r="AW122" s="580"/>
      <c r="AX122" s="580"/>
      <c r="AY122" s="580"/>
      <c r="AZ122" s="580"/>
      <c r="BA122" s="580"/>
      <c r="BB122" s="580"/>
      <c r="BC122" s="580"/>
      <c r="BD122" s="580"/>
      <c r="BE122" s="580"/>
      <c r="BF122" s="580"/>
      <c r="BG122" s="580"/>
      <c r="BH122" s="580"/>
      <c r="BI122" s="580"/>
      <c r="BJ122" s="593">
        <f>BJ118/BJ117</f>
        <v>0.59976599063962555</v>
      </c>
      <c r="BK122" s="545"/>
    </row>
    <row r="123" spans="1:63" x14ac:dyDescent="0.35">
      <c r="A123" s="581"/>
      <c r="B123" s="581"/>
      <c r="C123" s="581"/>
      <c r="D123" s="663" t="s">
        <v>168</v>
      </c>
      <c r="E123" s="664"/>
      <c r="F123" s="580">
        <f>SUM(F5:F19)/(SUM(F5:F20))</f>
        <v>1</v>
      </c>
      <c r="G123" s="580"/>
      <c r="H123" s="580">
        <f>SUM(H5:H19)/(SUM(H5:H20))</f>
        <v>1</v>
      </c>
      <c r="I123" s="592"/>
      <c r="J123" s="580">
        <f>SUM(J5:J19)/(SUM(J5:J20))</f>
        <v>1</v>
      </c>
      <c r="K123" s="580"/>
      <c r="L123" s="580">
        <f>SUM(L5:L19)/(SUM(L5:L20))</f>
        <v>1</v>
      </c>
      <c r="M123" s="580"/>
      <c r="N123" s="580">
        <f>SUM(N5:N19)/(SUM(N5:N20))</f>
        <v>1</v>
      </c>
      <c r="O123" s="580"/>
      <c r="P123" s="580"/>
      <c r="Q123" s="580"/>
      <c r="R123" s="580"/>
      <c r="S123" s="580"/>
      <c r="T123" s="580">
        <f>SUM(T5:T19)/(SUM(T5:T20))</f>
        <v>1</v>
      </c>
      <c r="U123" s="580"/>
      <c r="V123" s="580">
        <f>SUM(V5:V19)/(SUM(V5:V20))</f>
        <v>1</v>
      </c>
      <c r="W123" s="580"/>
      <c r="X123" s="580"/>
      <c r="Y123" s="580"/>
      <c r="Z123" s="580">
        <f>SUM(Z5:Z19)/(SUM(Z5:Z20))</f>
        <v>1</v>
      </c>
      <c r="AA123" s="580"/>
      <c r="AB123" s="580">
        <f>SUM(AB5:AB19)/(SUM(AB5:AB20))</f>
        <v>1</v>
      </c>
      <c r="AC123" s="580"/>
      <c r="AD123" s="580"/>
      <c r="AE123" s="580"/>
      <c r="AF123" s="580"/>
      <c r="AG123" s="580"/>
      <c r="AH123" s="580"/>
      <c r="AI123" s="580"/>
      <c r="AJ123" s="580"/>
      <c r="AK123" s="580"/>
      <c r="AL123" s="580"/>
      <c r="AM123" s="580"/>
      <c r="AN123" s="580"/>
      <c r="AO123" s="580"/>
      <c r="AP123" s="580"/>
      <c r="AQ123" s="580"/>
      <c r="AR123" s="580"/>
      <c r="AS123" s="580"/>
      <c r="AT123" s="580"/>
      <c r="AU123" s="580"/>
      <c r="AV123" s="580"/>
      <c r="AW123" s="580"/>
      <c r="AX123" s="580"/>
      <c r="AY123" s="580"/>
      <c r="AZ123" s="580"/>
      <c r="BA123" s="580"/>
      <c r="BB123" s="580"/>
      <c r="BC123" s="580"/>
      <c r="BD123" s="580"/>
      <c r="BE123" s="580"/>
      <c r="BF123" s="580"/>
      <c r="BG123" s="580"/>
      <c r="BH123" s="580"/>
      <c r="BI123" s="580"/>
      <c r="BJ123" s="593">
        <f>SUM(BJ5:BJ19)/(SUM(BJ5:BJ20))</f>
        <v>1</v>
      </c>
      <c r="BK123" s="545"/>
    </row>
    <row r="124" spans="1:63" ht="24" thickBot="1" x14ac:dyDescent="0.4">
      <c r="A124" s="581"/>
      <c r="B124" s="581"/>
      <c r="C124" s="581"/>
      <c r="D124" s="663" t="s">
        <v>169</v>
      </c>
      <c r="E124" s="664"/>
      <c r="F124" s="541">
        <f>F123*F122*F121</f>
        <v>0.92619047619047612</v>
      </c>
      <c r="G124" s="541"/>
      <c r="H124" s="541">
        <f>H123*H122*H121</f>
        <v>0.71342105263157907</v>
      </c>
      <c r="I124" s="510"/>
      <c r="J124" s="541">
        <f>J123*J122*J121</f>
        <v>0.70625000000000004</v>
      </c>
      <c r="K124" s="541"/>
      <c r="L124" s="541">
        <f>L123*L122*L121</f>
        <v>0.65736111111111117</v>
      </c>
      <c r="M124" s="541"/>
      <c r="N124" s="541">
        <f>N123*N122*N121</f>
        <v>0.58040201005025127</v>
      </c>
      <c r="O124" s="541"/>
      <c r="P124" s="541"/>
      <c r="Q124" s="541"/>
      <c r="R124" s="541"/>
      <c r="S124" s="541"/>
      <c r="T124" s="541">
        <f>T123*T122*T121</f>
        <v>0.875</v>
      </c>
      <c r="U124" s="541"/>
      <c r="V124" s="541">
        <f>V123*V122*V121</f>
        <v>0.87857142857142856</v>
      </c>
      <c r="W124" s="541"/>
      <c r="X124" s="541"/>
      <c r="Y124" s="541"/>
      <c r="Z124" s="541">
        <f>Z123*Z122*Z121</f>
        <v>0.91</v>
      </c>
      <c r="AA124" s="541"/>
      <c r="AB124" s="541">
        <f>AB123*AB122*AB121</f>
        <v>0.88749999999999996</v>
      </c>
      <c r="AC124" s="541"/>
      <c r="AD124" s="541"/>
      <c r="AE124" s="541"/>
      <c r="AF124" s="541"/>
      <c r="AG124" s="541"/>
      <c r="AH124" s="541"/>
      <c r="AI124" s="541"/>
      <c r="AJ124" s="541"/>
      <c r="AK124" s="541"/>
      <c r="AL124" s="541"/>
      <c r="AM124" s="541"/>
      <c r="AN124" s="541"/>
      <c r="AO124" s="541"/>
      <c r="AP124" s="541"/>
      <c r="AQ124" s="541"/>
      <c r="AR124" s="541"/>
      <c r="AS124" s="541"/>
      <c r="AT124" s="541"/>
      <c r="AU124" s="541"/>
      <c r="AV124" s="541"/>
      <c r="AW124" s="541"/>
      <c r="AX124" s="541"/>
      <c r="AY124" s="541"/>
      <c r="AZ124" s="541"/>
      <c r="BA124" s="541"/>
      <c r="BB124" s="541"/>
      <c r="BC124" s="541"/>
      <c r="BD124" s="541"/>
      <c r="BE124" s="541"/>
      <c r="BF124" s="541"/>
      <c r="BG124" s="541"/>
      <c r="BH124" s="541"/>
      <c r="BI124" s="541"/>
      <c r="BJ124" s="594">
        <f>BJ123*BJ122*BJ121</f>
        <v>0.51569416498993959</v>
      </c>
      <c r="BK124" s="545"/>
    </row>
    <row r="125" spans="1:63" ht="17.25" customHeight="1" x14ac:dyDescent="0.35"/>
    <row r="261" spans="8:8" x14ac:dyDescent="0.35">
      <c r="H261" s="505" t="s">
        <v>170</v>
      </c>
    </row>
    <row r="262" spans="8:8" x14ac:dyDescent="0.35">
      <c r="H262" s="505" t="s">
        <v>171</v>
      </c>
    </row>
    <row r="263" spans="8:8" x14ac:dyDescent="0.35">
      <c r="H263" s="505" t="s">
        <v>172</v>
      </c>
    </row>
    <row r="264" spans="8:8" x14ac:dyDescent="0.35">
      <c r="H264" s="505" t="s">
        <v>173</v>
      </c>
    </row>
    <row r="265" spans="8:8" x14ac:dyDescent="0.35">
      <c r="H265" s="505" t="s">
        <v>174</v>
      </c>
    </row>
    <row r="266" spans="8:8" x14ac:dyDescent="0.35">
      <c r="H266" s="505" t="s">
        <v>175</v>
      </c>
    </row>
    <row r="267" spans="8:8" x14ac:dyDescent="0.35">
      <c r="H267" s="505" t="s">
        <v>176</v>
      </c>
    </row>
    <row r="268" spans="8:8" x14ac:dyDescent="0.35">
      <c r="H268" s="505" t="s">
        <v>177</v>
      </c>
    </row>
    <row r="269" spans="8:8" x14ac:dyDescent="0.35">
      <c r="H269" s="505" t="s">
        <v>178</v>
      </c>
    </row>
    <row r="270" spans="8:8" x14ac:dyDescent="0.35">
      <c r="H270" s="505" t="s">
        <v>179</v>
      </c>
    </row>
    <row r="271" spans="8:8" x14ac:dyDescent="0.35">
      <c r="H271" s="505" t="s">
        <v>180</v>
      </c>
    </row>
    <row r="272" spans="8:8" x14ac:dyDescent="0.35">
      <c r="H272" s="505" t="s">
        <v>181</v>
      </c>
    </row>
    <row r="273" spans="8:8" x14ac:dyDescent="0.35">
      <c r="H273" s="505" t="s">
        <v>182</v>
      </c>
    </row>
    <row r="274" spans="8:8" x14ac:dyDescent="0.35">
      <c r="H274" s="505" t="s">
        <v>183</v>
      </c>
    </row>
    <row r="275" spans="8:8" x14ac:dyDescent="0.35">
      <c r="H275" s="505" t="s">
        <v>184</v>
      </c>
    </row>
    <row r="276" spans="8:8" x14ac:dyDescent="0.35">
      <c r="H276" s="505" t="s">
        <v>185</v>
      </c>
    </row>
    <row r="277" spans="8:8" x14ac:dyDescent="0.35">
      <c r="H277" s="505" t="s">
        <v>186</v>
      </c>
    </row>
    <row r="278" spans="8:8" x14ac:dyDescent="0.35">
      <c r="H278" s="505" t="s">
        <v>187</v>
      </c>
    </row>
    <row r="279" spans="8:8" x14ac:dyDescent="0.35">
      <c r="H279" s="505" t="s">
        <v>188</v>
      </c>
    </row>
    <row r="280" spans="8:8" x14ac:dyDescent="0.35">
      <c r="H280" s="505" t="s">
        <v>189</v>
      </c>
    </row>
    <row r="281" spans="8:8" x14ac:dyDescent="0.35">
      <c r="H281" s="505" t="s">
        <v>190</v>
      </c>
    </row>
    <row r="282" spans="8:8" x14ac:dyDescent="0.35">
      <c r="H282" s="505" t="s">
        <v>191</v>
      </c>
    </row>
    <row r="283" spans="8:8" x14ac:dyDescent="0.35">
      <c r="H283" s="505" t="s">
        <v>192</v>
      </c>
    </row>
    <row r="284" spans="8:8" x14ac:dyDescent="0.35">
      <c r="H284" s="505" t="s">
        <v>193</v>
      </c>
    </row>
    <row r="285" spans="8:8" x14ac:dyDescent="0.35">
      <c r="H285" s="505" t="s">
        <v>194</v>
      </c>
    </row>
    <row r="286" spans="8:8" x14ac:dyDescent="0.35">
      <c r="H286" s="505" t="s">
        <v>195</v>
      </c>
    </row>
    <row r="287" spans="8:8" x14ac:dyDescent="0.35">
      <c r="H287" s="505" t="s">
        <v>196</v>
      </c>
    </row>
    <row r="288" spans="8:8" x14ac:dyDescent="0.35">
      <c r="H288" s="505" t="s">
        <v>197</v>
      </c>
    </row>
    <row r="289" spans="8:8" x14ac:dyDescent="0.35">
      <c r="H289" s="505" t="s">
        <v>198</v>
      </c>
    </row>
    <row r="290" spans="8:8" x14ac:dyDescent="0.35">
      <c r="H290" s="505" t="s">
        <v>199</v>
      </c>
    </row>
    <row r="291" spans="8:8" x14ac:dyDescent="0.35">
      <c r="H291" s="505" t="s">
        <v>200</v>
      </c>
    </row>
    <row r="292" spans="8:8" x14ac:dyDescent="0.35">
      <c r="H292" s="505" t="s">
        <v>201</v>
      </c>
    </row>
    <row r="293" spans="8:8" x14ac:dyDescent="0.35">
      <c r="H293" s="505" t="s">
        <v>202</v>
      </c>
    </row>
    <row r="294" spans="8:8" x14ac:dyDescent="0.35">
      <c r="H294" s="505" t="s">
        <v>203</v>
      </c>
    </row>
    <row r="295" spans="8:8" x14ac:dyDescent="0.35">
      <c r="H295" s="505" t="s">
        <v>204</v>
      </c>
    </row>
    <row r="296" spans="8:8" x14ac:dyDescent="0.35">
      <c r="H296" s="505" t="s">
        <v>205</v>
      </c>
    </row>
    <row r="297" spans="8:8" x14ac:dyDescent="0.35">
      <c r="H297" s="505" t="s">
        <v>206</v>
      </c>
    </row>
    <row r="298" spans="8:8" x14ac:dyDescent="0.35">
      <c r="H298" s="505" t="s">
        <v>207</v>
      </c>
    </row>
    <row r="299" spans="8:8" x14ac:dyDescent="0.35">
      <c r="H299" s="505" t="s">
        <v>208</v>
      </c>
    </row>
    <row r="300" spans="8:8" x14ac:dyDescent="0.35">
      <c r="H300" s="505" t="s">
        <v>209</v>
      </c>
    </row>
    <row r="301" spans="8:8" x14ac:dyDescent="0.35">
      <c r="H301" s="505" t="s">
        <v>210</v>
      </c>
    </row>
    <row r="302" spans="8:8" x14ac:dyDescent="0.35">
      <c r="H302" s="505" t="s">
        <v>211</v>
      </c>
    </row>
    <row r="303" spans="8:8" x14ac:dyDescent="0.35">
      <c r="H303" s="505" t="s">
        <v>212</v>
      </c>
    </row>
    <row r="304" spans="8:8" x14ac:dyDescent="0.35">
      <c r="H304" s="505" t="s">
        <v>213</v>
      </c>
    </row>
    <row r="305" spans="8:8" x14ac:dyDescent="0.35">
      <c r="H305" s="505" t="s">
        <v>214</v>
      </c>
    </row>
    <row r="306" spans="8:8" x14ac:dyDescent="0.35">
      <c r="H306" s="505" t="s">
        <v>215</v>
      </c>
    </row>
    <row r="307" spans="8:8" x14ac:dyDescent="0.35">
      <c r="H307" s="505" t="s">
        <v>216</v>
      </c>
    </row>
    <row r="308" spans="8:8" x14ac:dyDescent="0.35">
      <c r="H308" s="505" t="s">
        <v>217</v>
      </c>
    </row>
    <row r="309" spans="8:8" x14ac:dyDescent="0.35">
      <c r="H309" s="505" t="s">
        <v>218</v>
      </c>
    </row>
    <row r="310" spans="8:8" x14ac:dyDescent="0.35">
      <c r="H310" s="505" t="s">
        <v>219</v>
      </c>
    </row>
    <row r="311" spans="8:8" x14ac:dyDescent="0.35">
      <c r="H311" s="505" t="s">
        <v>220</v>
      </c>
    </row>
    <row r="312" spans="8:8" x14ac:dyDescent="0.35">
      <c r="H312" s="505" t="s">
        <v>221</v>
      </c>
    </row>
    <row r="313" spans="8:8" x14ac:dyDescent="0.35">
      <c r="H313" s="505" t="s">
        <v>222</v>
      </c>
    </row>
    <row r="314" spans="8:8" x14ac:dyDescent="0.35">
      <c r="H314" s="505" t="s">
        <v>223</v>
      </c>
    </row>
    <row r="315" spans="8:8" x14ac:dyDescent="0.35">
      <c r="H315" s="505" t="s">
        <v>224</v>
      </c>
    </row>
    <row r="316" spans="8:8" x14ac:dyDescent="0.35">
      <c r="H316" s="505" t="s">
        <v>225</v>
      </c>
    </row>
  </sheetData>
  <mergeCells count="163">
    <mergeCell ref="D121:E121"/>
    <mergeCell ref="D122:E122"/>
    <mergeCell ref="D123:E123"/>
    <mergeCell ref="D124:E124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26:E26"/>
    <mergeCell ref="BH4:BI4"/>
    <mergeCell ref="C3:E3"/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  <mergeCell ref="Z2:AA2"/>
    <mergeCell ref="BB2:BC2"/>
    <mergeCell ref="BD2:BE2"/>
    <mergeCell ref="BF2:BG2"/>
    <mergeCell ref="BH2:BI2"/>
    <mergeCell ref="C2:E2"/>
    <mergeCell ref="F2:G2"/>
    <mergeCell ref="H2:I2"/>
    <mergeCell ref="J2:K2"/>
    <mergeCell ref="L2:M2"/>
    <mergeCell ref="N2:O2"/>
    <mergeCell ref="AF2:AG2"/>
    <mergeCell ref="AH2:AI2"/>
    <mergeCell ref="AJ2:AK2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AP4:AQ4"/>
    <mergeCell ref="AR4:AS4"/>
    <mergeCell ref="AT4:AU4"/>
    <mergeCell ref="AV4:AW4"/>
    <mergeCell ref="BF4:BG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X4:AY4"/>
    <mergeCell ref="AZ4:BA4"/>
    <mergeCell ref="BB4:BC4"/>
    <mergeCell ref="BD4:BE4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27E8-B5CB-4922-B7D8-AFFBE901B174}">
  <sheetPr>
    <tabColor rgb="FF00B050"/>
  </sheetPr>
  <dimension ref="A1:BK314"/>
  <sheetViews>
    <sheetView zoomScale="53" zoomScaleNormal="82" workbookViewId="0">
      <pane xSplit="5" ySplit="16" topLeftCell="X92" activePane="bottomRight" state="frozen"/>
      <selection activeCell="I78" sqref="I78"/>
      <selection pane="topRight" activeCell="I78" sqref="I78"/>
      <selection pane="bottomLeft" activeCell="I78" sqref="I78"/>
      <selection pane="bottomRight" activeCell="AF67" sqref="AF67"/>
    </sheetView>
  </sheetViews>
  <sheetFormatPr defaultColWidth="9" defaultRowHeight="23.25" x14ac:dyDescent="0.35"/>
  <cols>
    <col min="1" max="2" width="15.7109375" style="505" customWidth="1"/>
    <col min="3" max="3" width="17.140625" style="505" bestFit="1" customWidth="1"/>
    <col min="4" max="4" width="72.85546875" style="505" bestFit="1" customWidth="1"/>
    <col min="5" max="5" width="7.85546875" style="576" customWidth="1"/>
    <col min="6" max="6" width="12" style="505" customWidth="1"/>
    <col min="7" max="7" width="13.42578125" style="505" customWidth="1"/>
    <col min="8" max="8" width="21" style="505" customWidth="1"/>
    <col min="9" max="9" width="10.7109375" style="505" customWidth="1"/>
    <col min="10" max="10" width="12" style="505" customWidth="1"/>
    <col min="11" max="11" width="13.42578125" style="505" customWidth="1"/>
    <col min="12" max="12" width="12" style="505" customWidth="1"/>
    <col min="13" max="13" width="13.42578125" style="505" customWidth="1"/>
    <col min="14" max="14" width="12" style="505" customWidth="1"/>
    <col min="15" max="15" width="13.42578125" style="505" customWidth="1"/>
    <col min="16" max="16" width="12.85546875" style="505" customWidth="1"/>
    <col min="17" max="17" width="12.5703125" style="505" customWidth="1"/>
    <col min="18" max="18" width="12.85546875" style="505" customWidth="1"/>
    <col min="19" max="19" width="12.5703125" style="505" customWidth="1"/>
    <col min="20" max="20" width="12" style="505" customWidth="1"/>
    <col min="21" max="21" width="13.42578125" style="505" customWidth="1"/>
    <col min="22" max="22" width="12" style="505" customWidth="1"/>
    <col min="23" max="23" width="13.42578125" style="505" customWidth="1"/>
    <col min="24" max="24" width="12" style="505" customWidth="1"/>
    <col min="25" max="25" width="13.42578125" style="505" customWidth="1"/>
    <col min="26" max="26" width="12" style="505" customWidth="1"/>
    <col min="27" max="27" width="13.42578125" style="505" customWidth="1"/>
    <col min="28" max="28" width="12" style="505" customWidth="1"/>
    <col min="29" max="29" width="13.42578125" style="505" customWidth="1"/>
    <col min="30" max="30" width="12.85546875" style="505" customWidth="1"/>
    <col min="31" max="31" width="12.5703125" style="505" customWidth="1"/>
    <col min="32" max="32" width="12" style="505" customWidth="1"/>
    <col min="33" max="33" width="13.42578125" style="505" customWidth="1"/>
    <col min="34" max="34" width="14.42578125" style="505" bestFit="1" customWidth="1"/>
    <col min="35" max="35" width="13.42578125" style="505" customWidth="1"/>
    <col min="36" max="36" width="13.5703125" style="505" bestFit="1" customWidth="1"/>
    <col min="37" max="37" width="13.42578125" style="505" customWidth="1"/>
    <col min="38" max="38" width="12" style="505" customWidth="1"/>
    <col min="39" max="39" width="13.42578125" style="505" customWidth="1"/>
    <col min="40" max="40" width="12" style="505" customWidth="1"/>
    <col min="41" max="41" width="13.42578125" style="505" customWidth="1"/>
    <col min="42" max="42" width="12" style="505" customWidth="1"/>
    <col min="43" max="43" width="13.42578125" style="505" customWidth="1"/>
    <col min="44" max="44" width="12.85546875" style="505" customWidth="1"/>
    <col min="45" max="45" width="12.5703125" style="505" customWidth="1"/>
    <col min="46" max="46" width="12" style="505" customWidth="1"/>
    <col min="47" max="47" width="13.42578125" style="505" customWidth="1"/>
    <col min="48" max="48" width="12" style="505" customWidth="1"/>
    <col min="49" max="49" width="13.42578125" style="505" customWidth="1"/>
    <col min="50" max="50" width="12" style="505" customWidth="1"/>
    <col min="51" max="51" width="13.42578125" style="505" customWidth="1"/>
    <col min="52" max="52" width="14.42578125" style="505" bestFit="1" customWidth="1"/>
    <col min="53" max="53" width="13.42578125" style="505" customWidth="1"/>
    <col min="54" max="54" width="12" style="505" customWidth="1"/>
    <col min="55" max="55" width="13.42578125" style="505" customWidth="1"/>
    <col min="56" max="56" width="12" style="505" customWidth="1"/>
    <col min="57" max="57" width="13.42578125" style="505" customWidth="1"/>
    <col min="58" max="58" width="12.85546875" style="505" customWidth="1"/>
    <col min="59" max="59" width="12.5703125" style="505" customWidth="1"/>
    <col min="60" max="60" width="12" style="505" customWidth="1"/>
    <col min="61" max="61" width="13.42578125" style="505" customWidth="1"/>
    <col min="62" max="62" width="12.140625" style="505" customWidth="1"/>
    <col min="63" max="64" width="9" style="505"/>
    <col min="65" max="65" width="9.7109375" style="505" customWidth="1"/>
    <col min="66" max="16384" width="9" style="505"/>
  </cols>
  <sheetData>
    <row r="1" spans="1:63" ht="24" thickBot="1" x14ac:dyDescent="0.4">
      <c r="F1" s="544">
        <f t="shared" ref="F1:AK1" si="0">SUM(F5:F16)</f>
        <v>4423</v>
      </c>
      <c r="G1" s="544">
        <f t="shared" si="0"/>
        <v>0</v>
      </c>
      <c r="H1" s="544">
        <f t="shared" si="0"/>
        <v>0</v>
      </c>
      <c r="I1" s="544">
        <f t="shared" si="0"/>
        <v>0</v>
      </c>
      <c r="J1" s="544">
        <f t="shared" si="0"/>
        <v>0</v>
      </c>
      <c r="K1" s="544">
        <f t="shared" si="0"/>
        <v>0</v>
      </c>
      <c r="L1" s="544">
        <f t="shared" si="0"/>
        <v>0</v>
      </c>
      <c r="M1" s="544">
        <f t="shared" si="0"/>
        <v>0</v>
      </c>
      <c r="N1" s="544">
        <f t="shared" si="0"/>
        <v>0</v>
      </c>
      <c r="O1" s="544">
        <f t="shared" si="0"/>
        <v>0</v>
      </c>
      <c r="P1" s="544">
        <f t="shared" si="0"/>
        <v>0</v>
      </c>
      <c r="Q1" s="544">
        <f t="shared" si="0"/>
        <v>0</v>
      </c>
      <c r="R1" s="544">
        <f t="shared" si="0"/>
        <v>0</v>
      </c>
      <c r="S1" s="544">
        <f t="shared" si="0"/>
        <v>0</v>
      </c>
      <c r="T1" s="544">
        <f t="shared" si="0"/>
        <v>0</v>
      </c>
      <c r="U1" s="544">
        <f t="shared" si="0"/>
        <v>0</v>
      </c>
      <c r="V1" s="544">
        <f t="shared" si="0"/>
        <v>4185</v>
      </c>
      <c r="W1" s="544">
        <f t="shared" si="0"/>
        <v>0</v>
      </c>
      <c r="X1" s="544">
        <f t="shared" si="0"/>
        <v>0</v>
      </c>
      <c r="Y1" s="544">
        <f t="shared" si="0"/>
        <v>0</v>
      </c>
      <c r="Z1" s="544">
        <f t="shared" si="0"/>
        <v>6963</v>
      </c>
      <c r="AA1" s="544">
        <f t="shared" si="0"/>
        <v>0</v>
      </c>
      <c r="AB1" s="544">
        <f t="shared" si="0"/>
        <v>4245</v>
      </c>
      <c r="AC1" s="544">
        <f t="shared" si="0"/>
        <v>0</v>
      </c>
      <c r="AD1" s="544">
        <f t="shared" si="0"/>
        <v>0</v>
      </c>
      <c r="AE1" s="544">
        <f t="shared" si="0"/>
        <v>0</v>
      </c>
      <c r="AF1" s="544">
        <f t="shared" si="0"/>
        <v>7060</v>
      </c>
      <c r="AG1" s="544">
        <f t="shared" si="0"/>
        <v>0</v>
      </c>
      <c r="AH1" s="544">
        <f t="shared" si="0"/>
        <v>0</v>
      </c>
      <c r="AI1" s="544">
        <f t="shared" si="0"/>
        <v>0</v>
      </c>
      <c r="AJ1" s="544">
        <f t="shared" si="0"/>
        <v>0</v>
      </c>
      <c r="AK1" s="544">
        <f t="shared" si="0"/>
        <v>0</v>
      </c>
      <c r="AL1" s="544">
        <f t="shared" ref="AL1:BJ1" si="1">SUM(AL5:AL16)</f>
        <v>0</v>
      </c>
      <c r="AM1" s="544">
        <f t="shared" si="1"/>
        <v>0</v>
      </c>
      <c r="AN1" s="544">
        <f t="shared" si="1"/>
        <v>0</v>
      </c>
      <c r="AO1" s="544">
        <f t="shared" si="1"/>
        <v>0</v>
      </c>
      <c r="AP1" s="544">
        <f t="shared" si="1"/>
        <v>0</v>
      </c>
      <c r="AQ1" s="544">
        <f t="shared" si="1"/>
        <v>0</v>
      </c>
      <c r="AR1" s="544">
        <f t="shared" si="1"/>
        <v>0</v>
      </c>
      <c r="AS1" s="544">
        <f t="shared" si="1"/>
        <v>0</v>
      </c>
      <c r="AT1" s="544">
        <f t="shared" si="1"/>
        <v>0</v>
      </c>
      <c r="AU1" s="544">
        <f t="shared" si="1"/>
        <v>0</v>
      </c>
      <c r="AV1" s="544">
        <f t="shared" si="1"/>
        <v>0</v>
      </c>
      <c r="AW1" s="544">
        <f t="shared" si="1"/>
        <v>0</v>
      </c>
      <c r="AX1" s="544">
        <f t="shared" si="1"/>
        <v>0</v>
      </c>
      <c r="AY1" s="544">
        <f t="shared" si="1"/>
        <v>0</v>
      </c>
      <c r="AZ1" s="544">
        <f t="shared" si="1"/>
        <v>0</v>
      </c>
      <c r="BA1" s="544">
        <f t="shared" si="1"/>
        <v>0</v>
      </c>
      <c r="BB1" s="544">
        <f t="shared" si="1"/>
        <v>0</v>
      </c>
      <c r="BC1" s="544">
        <f t="shared" si="1"/>
        <v>0</v>
      </c>
      <c r="BD1" s="544">
        <f t="shared" si="1"/>
        <v>0</v>
      </c>
      <c r="BE1" s="544">
        <f t="shared" si="1"/>
        <v>0</v>
      </c>
      <c r="BF1" s="544">
        <f t="shared" si="1"/>
        <v>0</v>
      </c>
      <c r="BG1" s="544">
        <f t="shared" si="1"/>
        <v>0</v>
      </c>
      <c r="BH1" s="544">
        <f t="shared" si="1"/>
        <v>0</v>
      </c>
      <c r="BI1" s="544">
        <f t="shared" si="1"/>
        <v>0</v>
      </c>
      <c r="BJ1" s="544">
        <f t="shared" si="1"/>
        <v>19031</v>
      </c>
    </row>
    <row r="2" spans="1:63" ht="24" customHeight="1" x14ac:dyDescent="0.35">
      <c r="A2" s="538"/>
      <c r="B2" s="538"/>
      <c r="C2" s="641" t="s">
        <v>0</v>
      </c>
      <c r="D2" s="642"/>
      <c r="E2" s="642"/>
      <c r="F2" s="761">
        <v>46082</v>
      </c>
      <c r="G2" s="762"/>
      <c r="H2" s="761">
        <v>46083</v>
      </c>
      <c r="I2" s="762"/>
      <c r="J2" s="761">
        <v>46084</v>
      </c>
      <c r="K2" s="762"/>
      <c r="L2" s="761">
        <v>46085</v>
      </c>
      <c r="M2" s="762"/>
      <c r="N2" s="761">
        <v>46086</v>
      </c>
      <c r="O2" s="762"/>
      <c r="P2" s="761">
        <v>46087</v>
      </c>
      <c r="Q2" s="762"/>
      <c r="R2" s="761">
        <v>46088</v>
      </c>
      <c r="S2" s="762"/>
      <c r="T2" s="761">
        <v>46089</v>
      </c>
      <c r="U2" s="762"/>
      <c r="V2" s="761">
        <v>46090</v>
      </c>
      <c r="W2" s="762"/>
      <c r="X2" s="761">
        <v>46091</v>
      </c>
      <c r="Y2" s="762"/>
      <c r="Z2" s="761">
        <v>46092</v>
      </c>
      <c r="AA2" s="762"/>
      <c r="AB2" s="761">
        <v>46093</v>
      </c>
      <c r="AC2" s="762"/>
      <c r="AD2" s="761">
        <v>46094</v>
      </c>
      <c r="AE2" s="762"/>
      <c r="AF2" s="761">
        <v>46095</v>
      </c>
      <c r="AG2" s="762"/>
      <c r="AH2" s="761">
        <v>46096</v>
      </c>
      <c r="AI2" s="762"/>
      <c r="AJ2" s="761">
        <v>46097</v>
      </c>
      <c r="AK2" s="762"/>
      <c r="AL2" s="761">
        <v>46098</v>
      </c>
      <c r="AM2" s="762"/>
      <c r="AN2" s="761">
        <v>46099</v>
      </c>
      <c r="AO2" s="762"/>
      <c r="AP2" s="761">
        <v>46100</v>
      </c>
      <c r="AQ2" s="762"/>
      <c r="AR2" s="761">
        <v>46101</v>
      </c>
      <c r="AS2" s="762"/>
      <c r="AT2" s="761">
        <v>46102</v>
      </c>
      <c r="AU2" s="762"/>
      <c r="AV2" s="761">
        <v>46103</v>
      </c>
      <c r="AW2" s="762"/>
      <c r="AX2" s="761">
        <v>46104</v>
      </c>
      <c r="AY2" s="762"/>
      <c r="AZ2" s="761">
        <v>46105</v>
      </c>
      <c r="BA2" s="762"/>
      <c r="BB2" s="761">
        <v>46106</v>
      </c>
      <c r="BC2" s="762"/>
      <c r="BD2" s="761">
        <v>46107</v>
      </c>
      <c r="BE2" s="762"/>
      <c r="BF2" s="761">
        <v>46108</v>
      </c>
      <c r="BG2" s="762"/>
      <c r="BH2" s="761">
        <v>46109</v>
      </c>
      <c r="BI2" s="762"/>
      <c r="BJ2" s="527"/>
    </row>
    <row r="3" spans="1:63" ht="24" customHeight="1" x14ac:dyDescent="0.35">
      <c r="A3" s="538"/>
      <c r="B3" s="538"/>
      <c r="C3" s="641" t="s">
        <v>1</v>
      </c>
      <c r="D3" s="642"/>
      <c r="E3" s="642"/>
      <c r="F3" s="412" t="s">
        <v>2</v>
      </c>
      <c r="G3" s="413" t="s">
        <v>3</v>
      </c>
      <c r="H3" s="412" t="s">
        <v>2</v>
      </c>
      <c r="I3" s="413" t="s">
        <v>3</v>
      </c>
      <c r="J3" s="412" t="s">
        <v>2</v>
      </c>
      <c r="K3" s="413" t="s">
        <v>3</v>
      </c>
      <c r="L3" s="412" t="s">
        <v>2</v>
      </c>
      <c r="M3" s="413" t="s">
        <v>3</v>
      </c>
      <c r="N3" s="412" t="s">
        <v>2</v>
      </c>
      <c r="O3" s="413" t="s">
        <v>3</v>
      </c>
      <c r="P3" s="412" t="s">
        <v>2</v>
      </c>
      <c r="Q3" s="414" t="s">
        <v>3</v>
      </c>
      <c r="R3" s="412" t="s">
        <v>2</v>
      </c>
      <c r="S3" s="414" t="s">
        <v>3</v>
      </c>
      <c r="T3" s="412" t="s">
        <v>2</v>
      </c>
      <c r="U3" s="413" t="s">
        <v>3</v>
      </c>
      <c r="V3" s="412" t="s">
        <v>2</v>
      </c>
      <c r="W3" s="413" t="s">
        <v>3</v>
      </c>
      <c r="X3" s="412" t="s">
        <v>2</v>
      </c>
      <c r="Y3" s="413" t="s">
        <v>3</v>
      </c>
      <c r="Z3" s="412" t="s">
        <v>2</v>
      </c>
      <c r="AA3" s="413" t="s">
        <v>3</v>
      </c>
      <c r="AB3" s="412" t="s">
        <v>2</v>
      </c>
      <c r="AC3" s="413" t="s">
        <v>3</v>
      </c>
      <c r="AD3" s="412" t="s">
        <v>2</v>
      </c>
      <c r="AE3" s="414" t="s">
        <v>3</v>
      </c>
      <c r="AF3" s="412" t="s">
        <v>2</v>
      </c>
      <c r="AG3" s="413" t="s">
        <v>3</v>
      </c>
      <c r="AH3" s="412" t="s">
        <v>2</v>
      </c>
      <c r="AI3" s="413" t="s">
        <v>3</v>
      </c>
      <c r="AJ3" s="412" t="s">
        <v>2</v>
      </c>
      <c r="AK3" s="413" t="s">
        <v>3</v>
      </c>
      <c r="AL3" s="412" t="s">
        <v>2</v>
      </c>
      <c r="AM3" s="413" t="s">
        <v>3</v>
      </c>
      <c r="AN3" s="412" t="s">
        <v>2</v>
      </c>
      <c r="AO3" s="413" t="s">
        <v>3</v>
      </c>
      <c r="AP3" s="412" t="s">
        <v>2</v>
      </c>
      <c r="AQ3" s="413" t="s">
        <v>3</v>
      </c>
      <c r="AR3" s="412" t="s">
        <v>2</v>
      </c>
      <c r="AS3" s="414" t="s">
        <v>3</v>
      </c>
      <c r="AT3" s="412" t="s">
        <v>2</v>
      </c>
      <c r="AU3" s="413" t="s">
        <v>3</v>
      </c>
      <c r="AV3" s="412" t="s">
        <v>2</v>
      </c>
      <c r="AW3" s="413" t="s">
        <v>3</v>
      </c>
      <c r="AX3" s="412" t="s">
        <v>2</v>
      </c>
      <c r="AY3" s="413" t="s">
        <v>3</v>
      </c>
      <c r="AZ3" s="412" t="s">
        <v>2</v>
      </c>
      <c r="BA3" s="413" t="s">
        <v>3</v>
      </c>
      <c r="BB3" s="412" t="s">
        <v>2</v>
      </c>
      <c r="BC3" s="413" t="s">
        <v>3</v>
      </c>
      <c r="BD3" s="412" t="s">
        <v>2</v>
      </c>
      <c r="BE3" s="413" t="s">
        <v>3</v>
      </c>
      <c r="BF3" s="412" t="s">
        <v>2</v>
      </c>
      <c r="BG3" s="414" t="s">
        <v>3</v>
      </c>
      <c r="BH3" s="412" t="s">
        <v>2</v>
      </c>
      <c r="BI3" s="413" t="s">
        <v>3</v>
      </c>
      <c r="BJ3" s="527"/>
    </row>
    <row r="4" spans="1:63" ht="46.5" customHeight="1" x14ac:dyDescent="0.35">
      <c r="A4" s="561"/>
      <c r="B4" s="561"/>
      <c r="C4" s="561" t="s">
        <v>4</v>
      </c>
      <c r="D4" s="523" t="s">
        <v>5</v>
      </c>
      <c r="E4" s="571" t="s">
        <v>6</v>
      </c>
      <c r="F4" s="418" t="s">
        <v>12</v>
      </c>
      <c r="G4" s="419"/>
      <c r="H4" s="418" t="s">
        <v>13</v>
      </c>
      <c r="I4" s="419"/>
      <c r="J4" s="418" t="s">
        <v>7</v>
      </c>
      <c r="K4" s="419"/>
      <c r="L4" s="418" t="s">
        <v>8</v>
      </c>
      <c r="M4" s="419"/>
      <c r="N4" s="418" t="s">
        <v>9</v>
      </c>
      <c r="O4" s="419"/>
      <c r="P4" s="418" t="s">
        <v>10</v>
      </c>
      <c r="Q4" s="419"/>
      <c r="R4" s="418" t="s">
        <v>11</v>
      </c>
      <c r="S4" s="419"/>
      <c r="T4" s="418" t="s">
        <v>12</v>
      </c>
      <c r="U4" s="419"/>
      <c r="V4" s="418" t="s">
        <v>13</v>
      </c>
      <c r="W4" s="419"/>
      <c r="X4" s="418" t="s">
        <v>7</v>
      </c>
      <c r="Y4" s="419"/>
      <c r="Z4" s="418" t="s">
        <v>8</v>
      </c>
      <c r="AA4" s="419"/>
      <c r="AB4" s="418" t="s">
        <v>9</v>
      </c>
      <c r="AC4" s="419"/>
      <c r="AD4" s="418" t="s">
        <v>10</v>
      </c>
      <c r="AE4" s="419"/>
      <c r="AF4" s="418" t="s">
        <v>11</v>
      </c>
      <c r="AG4" s="419"/>
      <c r="AH4" s="418" t="s">
        <v>12</v>
      </c>
      <c r="AI4" s="419"/>
      <c r="AJ4" s="418" t="s">
        <v>13</v>
      </c>
      <c r="AK4" s="419"/>
      <c r="AL4" s="418" t="s">
        <v>7</v>
      </c>
      <c r="AM4" s="419"/>
      <c r="AN4" s="418" t="s">
        <v>8</v>
      </c>
      <c r="AO4" s="419"/>
      <c r="AP4" s="418" t="s">
        <v>9</v>
      </c>
      <c r="AQ4" s="419"/>
      <c r="AR4" s="418" t="s">
        <v>10</v>
      </c>
      <c r="AS4" s="419"/>
      <c r="AT4" s="418" t="s">
        <v>11</v>
      </c>
      <c r="AU4" s="419"/>
      <c r="AV4" s="418" t="s">
        <v>12</v>
      </c>
      <c r="AW4" s="419"/>
      <c r="AX4" s="418" t="s">
        <v>13</v>
      </c>
      <c r="AY4" s="419"/>
      <c r="AZ4" s="418" t="s">
        <v>7</v>
      </c>
      <c r="BA4" s="419"/>
      <c r="BB4" s="418" t="s">
        <v>8</v>
      </c>
      <c r="BC4" s="419"/>
      <c r="BD4" s="418" t="s">
        <v>9</v>
      </c>
      <c r="BE4" s="419"/>
      <c r="BF4" s="418" t="s">
        <v>10</v>
      </c>
      <c r="BG4" s="419"/>
      <c r="BH4" s="418" t="s">
        <v>1037</v>
      </c>
      <c r="BI4" s="419"/>
    </row>
    <row r="5" spans="1:63" x14ac:dyDescent="0.35">
      <c r="A5" s="512"/>
      <c r="B5" s="512"/>
      <c r="C5" s="512">
        <f>VLOOKUP(D5,Products!B:D,2,FALSE)</f>
        <v>40610002</v>
      </c>
      <c r="D5" s="504" t="s">
        <v>610</v>
      </c>
      <c r="E5" s="533">
        <v>31</v>
      </c>
      <c r="F5" s="530">
        <v>4423</v>
      </c>
      <c r="G5" s="537"/>
      <c r="H5" s="530"/>
      <c r="I5" s="537"/>
      <c r="J5" s="530"/>
      <c r="K5" s="537"/>
      <c r="L5" s="530"/>
      <c r="M5" s="537"/>
      <c r="N5" s="530"/>
      <c r="O5" s="537"/>
      <c r="P5" s="572"/>
      <c r="Q5" s="587"/>
      <c r="R5" s="572"/>
      <c r="S5" s="587"/>
      <c r="T5" s="530"/>
      <c r="U5" s="537"/>
      <c r="V5" s="530"/>
      <c r="W5" s="537"/>
      <c r="X5" s="530"/>
      <c r="Y5" s="537"/>
      <c r="Z5" s="530"/>
      <c r="AA5" s="537"/>
      <c r="AB5" s="530"/>
      <c r="AC5" s="537"/>
      <c r="AD5" s="572"/>
      <c r="AE5" s="587"/>
      <c r="AF5" s="530"/>
      <c r="AG5" s="537"/>
      <c r="AH5" s="530"/>
      <c r="AI5" s="537"/>
      <c r="AJ5" s="530"/>
      <c r="AK5" s="537"/>
      <c r="AL5" s="530"/>
      <c r="AM5" s="537"/>
      <c r="AN5" s="530"/>
      <c r="AO5" s="537"/>
      <c r="AP5" s="530"/>
      <c r="AQ5" s="537"/>
      <c r="AR5" s="572"/>
      <c r="AS5" s="587"/>
      <c r="AT5" s="530"/>
      <c r="AU5" s="537"/>
      <c r="AV5" s="530"/>
      <c r="AW5" s="537"/>
      <c r="AX5" s="530"/>
      <c r="AY5" s="537"/>
      <c r="AZ5" s="530"/>
      <c r="BA5" s="537"/>
      <c r="BB5" s="530"/>
      <c r="BC5" s="537"/>
      <c r="BD5" s="530"/>
      <c r="BE5" s="537"/>
      <c r="BF5" s="572"/>
      <c r="BG5" s="587"/>
      <c r="BH5" s="530"/>
      <c r="BI5" s="537"/>
      <c r="BJ5" s="535">
        <f t="shared" ref="BJ5:BJ27" si="2">SUM(F5:BI5)</f>
        <v>4423</v>
      </c>
      <c r="BK5" s="545">
        <f t="shared" ref="BK5:BK27" si="3">COUNT(F5:BI5)</f>
        <v>1</v>
      </c>
    </row>
    <row r="6" spans="1:63" x14ac:dyDescent="0.35">
      <c r="A6" s="512"/>
      <c r="B6" s="512"/>
      <c r="C6" s="512">
        <f>VLOOKUP(D6,Products!B:D,2,FALSE)</f>
        <v>40610005</v>
      </c>
      <c r="D6" s="504" t="s">
        <v>612</v>
      </c>
      <c r="E6" s="533">
        <v>31</v>
      </c>
      <c r="F6" s="530"/>
      <c r="G6" s="537"/>
      <c r="H6" s="530"/>
      <c r="I6" s="537"/>
      <c r="J6" s="530"/>
      <c r="K6" s="537"/>
      <c r="L6" s="530"/>
      <c r="M6" s="537"/>
      <c r="N6" s="530"/>
      <c r="O6" s="537"/>
      <c r="P6" s="572"/>
      <c r="Q6" s="587"/>
      <c r="R6" s="572"/>
      <c r="S6" s="587"/>
      <c r="T6" s="530"/>
      <c r="U6" s="537"/>
      <c r="V6" s="530">
        <v>4185</v>
      </c>
      <c r="W6" s="537"/>
      <c r="X6" s="530"/>
      <c r="Y6" s="537"/>
      <c r="Z6" s="530"/>
      <c r="AA6" s="537"/>
      <c r="AB6" s="530"/>
      <c r="AC6" s="537"/>
      <c r="AD6" s="572"/>
      <c r="AE6" s="587"/>
      <c r="AF6" s="530"/>
      <c r="AG6" s="537"/>
      <c r="AH6" s="530"/>
      <c r="AI6" s="537"/>
      <c r="AJ6" s="530"/>
      <c r="AK6" s="537"/>
      <c r="AL6" s="530"/>
      <c r="AM6" s="537"/>
      <c r="AN6" s="530"/>
      <c r="AO6" s="537"/>
      <c r="AP6" s="530"/>
      <c r="AQ6" s="537"/>
      <c r="AR6" s="572"/>
      <c r="AS6" s="587"/>
      <c r="AT6" s="530"/>
      <c r="AU6" s="537"/>
      <c r="AV6" s="530"/>
      <c r="AW6" s="537"/>
      <c r="AX6" s="530"/>
      <c r="AY6" s="537"/>
      <c r="AZ6" s="530"/>
      <c r="BA6" s="537"/>
      <c r="BB6" s="530"/>
      <c r="BC6" s="537"/>
      <c r="BD6" s="530"/>
      <c r="BE6" s="537"/>
      <c r="BF6" s="572"/>
      <c r="BG6" s="587"/>
      <c r="BH6" s="530"/>
      <c r="BI6" s="537"/>
      <c r="BJ6" s="535">
        <f t="shared" si="2"/>
        <v>4185</v>
      </c>
      <c r="BK6" s="545">
        <f t="shared" si="3"/>
        <v>1</v>
      </c>
    </row>
    <row r="7" spans="1:63" x14ac:dyDescent="0.35">
      <c r="A7" s="512"/>
      <c r="B7" s="512"/>
      <c r="C7" s="512">
        <f>VLOOKUP(D7,Products!B:D,2,FALSE)</f>
        <v>42000007</v>
      </c>
      <c r="D7" s="504" t="s">
        <v>628</v>
      </c>
      <c r="E7" s="533">
        <v>31</v>
      </c>
      <c r="F7" s="530"/>
      <c r="G7" s="537"/>
      <c r="H7" s="530"/>
      <c r="I7" s="537"/>
      <c r="J7" s="530"/>
      <c r="K7" s="537"/>
      <c r="L7" s="530"/>
      <c r="M7" s="537"/>
      <c r="N7" s="530"/>
      <c r="O7" s="537"/>
      <c r="P7" s="572"/>
      <c r="Q7" s="587"/>
      <c r="R7" s="572"/>
      <c r="S7" s="587"/>
      <c r="T7" s="530"/>
      <c r="U7" s="537"/>
      <c r="V7" s="530"/>
      <c r="W7" s="537"/>
      <c r="X7" s="530"/>
      <c r="Y7" s="537"/>
      <c r="Z7" s="530">
        <v>6000</v>
      </c>
      <c r="AA7" s="537"/>
      <c r="AB7" s="530"/>
      <c r="AC7" s="537"/>
      <c r="AD7" s="572"/>
      <c r="AE7" s="587"/>
      <c r="AF7" s="530"/>
      <c r="AG7" s="537"/>
      <c r="AH7" s="530"/>
      <c r="AI7" s="537"/>
      <c r="AJ7" s="530"/>
      <c r="AK7" s="537"/>
      <c r="AL7" s="530"/>
      <c r="AM7" s="537"/>
      <c r="AN7" s="530"/>
      <c r="AO7" s="537"/>
      <c r="AP7" s="530"/>
      <c r="AQ7" s="537"/>
      <c r="AR7" s="572"/>
      <c r="AS7" s="587"/>
      <c r="AT7" s="530"/>
      <c r="AU7" s="537"/>
      <c r="AV7" s="530"/>
      <c r="AW7" s="537"/>
      <c r="AX7" s="530"/>
      <c r="AY7" s="537"/>
      <c r="AZ7" s="530"/>
      <c r="BA7" s="537"/>
      <c r="BB7" s="530"/>
      <c r="BC7" s="537"/>
      <c r="BD7" s="530"/>
      <c r="BE7" s="537"/>
      <c r="BF7" s="572"/>
      <c r="BG7" s="587"/>
      <c r="BH7" s="530"/>
      <c r="BI7" s="537"/>
      <c r="BJ7" s="535">
        <f t="shared" si="2"/>
        <v>6000</v>
      </c>
      <c r="BK7" s="545">
        <f t="shared" si="3"/>
        <v>1</v>
      </c>
    </row>
    <row r="8" spans="1:63" x14ac:dyDescent="0.35">
      <c r="A8" s="512"/>
      <c r="B8" s="512"/>
      <c r="C8" s="512">
        <f>VLOOKUP(D8,Products!B:D,2,FALSE)</f>
        <v>43060003</v>
      </c>
      <c r="D8" s="504" t="s">
        <v>261</v>
      </c>
      <c r="E8" s="533">
        <v>31</v>
      </c>
      <c r="F8" s="530"/>
      <c r="G8" s="537"/>
      <c r="H8" s="530"/>
      <c r="I8" s="537"/>
      <c r="J8" s="530"/>
      <c r="K8" s="537"/>
      <c r="L8" s="530"/>
      <c r="M8" s="537"/>
      <c r="N8" s="530"/>
      <c r="O8" s="537"/>
      <c r="P8" s="572"/>
      <c r="Q8" s="587"/>
      <c r="R8" s="572"/>
      <c r="S8" s="587"/>
      <c r="T8" s="530"/>
      <c r="U8" s="537"/>
      <c r="V8" s="530"/>
      <c r="W8" s="537"/>
      <c r="X8" s="530"/>
      <c r="Y8" s="537"/>
      <c r="Z8" s="530">
        <v>963</v>
      </c>
      <c r="AA8" s="537"/>
      <c r="AB8" s="530">
        <v>3460</v>
      </c>
      <c r="AC8" s="537"/>
      <c r="AD8" s="572"/>
      <c r="AE8" s="587"/>
      <c r="AF8" s="530"/>
      <c r="AG8" s="537"/>
      <c r="AH8" s="530"/>
      <c r="AI8" s="537"/>
      <c r="AJ8" s="530"/>
      <c r="AK8" s="537"/>
      <c r="AL8" s="530"/>
      <c r="AM8" s="537"/>
      <c r="AN8" s="530"/>
      <c r="AO8" s="537"/>
      <c r="AP8" s="530"/>
      <c r="AQ8" s="537"/>
      <c r="AR8" s="572"/>
      <c r="AS8" s="587"/>
      <c r="AT8" s="530"/>
      <c r="AU8" s="537"/>
      <c r="AV8" s="530"/>
      <c r="AW8" s="537"/>
      <c r="AX8" s="530"/>
      <c r="AY8" s="537"/>
      <c r="AZ8" s="530"/>
      <c r="BA8" s="537"/>
      <c r="BB8" s="530"/>
      <c r="BC8" s="537"/>
      <c r="BD8" s="530"/>
      <c r="BE8" s="537"/>
      <c r="BF8" s="572"/>
      <c r="BG8" s="587"/>
      <c r="BH8" s="530"/>
      <c r="BI8" s="537"/>
      <c r="BJ8" s="535">
        <f t="shared" si="2"/>
        <v>4423</v>
      </c>
      <c r="BK8" s="545">
        <f t="shared" si="3"/>
        <v>2</v>
      </c>
    </row>
    <row r="9" spans="1:63" x14ac:dyDescent="0.35">
      <c r="A9" s="512"/>
      <c r="B9" s="512"/>
      <c r="C9" s="512">
        <f>VLOOKUP(D9,Products!B:D,2,FALSE)</f>
        <v>40610004</v>
      </c>
      <c r="D9" s="504" t="s">
        <v>607</v>
      </c>
      <c r="E9" s="533">
        <v>31</v>
      </c>
      <c r="F9" s="530"/>
      <c r="G9" s="537"/>
      <c r="H9" s="530"/>
      <c r="I9" s="537"/>
      <c r="J9" s="530"/>
      <c r="K9" s="537"/>
      <c r="L9" s="530"/>
      <c r="M9" s="537"/>
      <c r="N9" s="530"/>
      <c r="O9" s="537"/>
      <c r="P9" s="572"/>
      <c r="Q9" s="587"/>
      <c r="R9" s="572"/>
      <c r="S9" s="587"/>
      <c r="T9" s="530"/>
      <c r="U9" s="537"/>
      <c r="V9" s="530"/>
      <c r="W9" s="537"/>
      <c r="X9" s="530"/>
      <c r="Y9" s="537"/>
      <c r="Z9" s="530"/>
      <c r="AA9" s="537"/>
      <c r="AB9" s="530">
        <v>785</v>
      </c>
      <c r="AC9" s="537"/>
      <c r="AD9" s="572"/>
      <c r="AE9" s="587"/>
      <c r="AF9" s="530">
        <v>7060</v>
      </c>
      <c r="AG9" s="537"/>
      <c r="AH9" s="530"/>
      <c r="AI9" s="537"/>
      <c r="AJ9" s="530"/>
      <c r="AK9" s="537"/>
      <c r="AL9" s="530"/>
      <c r="AM9" s="537"/>
      <c r="AN9" s="530"/>
      <c r="AO9" s="537"/>
      <c r="AP9" s="530"/>
      <c r="AQ9" s="537"/>
      <c r="AR9" s="572"/>
      <c r="AS9" s="587"/>
      <c r="AT9" s="530"/>
      <c r="AU9" s="537"/>
      <c r="AV9" s="530"/>
      <c r="AW9" s="537"/>
      <c r="AX9" s="530"/>
      <c r="AY9" s="537"/>
      <c r="AZ9" s="530"/>
      <c r="BA9" s="537"/>
      <c r="BB9" s="530"/>
      <c r="BC9" s="537"/>
      <c r="BD9" s="530"/>
      <c r="BE9" s="537"/>
      <c r="BF9" s="572"/>
      <c r="BG9" s="587"/>
      <c r="BH9" s="530"/>
      <c r="BI9" s="537"/>
      <c r="BJ9" s="535"/>
      <c r="BK9" s="545"/>
    </row>
    <row r="10" spans="1:63" x14ac:dyDescent="0.35">
      <c r="A10" s="512"/>
      <c r="B10" s="512"/>
      <c r="C10" s="512" t="e">
        <f>VLOOKUP(D10,Products!B:D,2,FALSE)</f>
        <v>#N/A</v>
      </c>
      <c r="D10" s="504"/>
      <c r="E10" s="635">
        <v>1</v>
      </c>
      <c r="F10" s="530"/>
      <c r="G10" s="537"/>
      <c r="H10" s="530"/>
      <c r="I10" s="537"/>
      <c r="J10" s="530"/>
      <c r="K10" s="537"/>
      <c r="L10" s="530"/>
      <c r="M10" s="537"/>
      <c r="N10" s="530"/>
      <c r="O10" s="537"/>
      <c r="P10" s="572"/>
      <c r="Q10" s="587"/>
      <c r="R10" s="572"/>
      <c r="S10" s="587"/>
      <c r="T10" s="530"/>
      <c r="U10" s="537"/>
      <c r="V10" s="530"/>
      <c r="W10" s="537"/>
      <c r="X10" s="530"/>
      <c r="Y10" s="537"/>
      <c r="Z10" s="530"/>
      <c r="AA10" s="537"/>
      <c r="AB10" s="530"/>
      <c r="AC10" s="537"/>
      <c r="AD10" s="572"/>
      <c r="AE10" s="587"/>
      <c r="AF10" s="530"/>
      <c r="AG10" s="537"/>
      <c r="AH10" s="530"/>
      <c r="AI10" s="537"/>
      <c r="AJ10" s="530"/>
      <c r="AK10" s="537"/>
      <c r="AL10" s="530"/>
      <c r="AM10" s="537"/>
      <c r="AN10" s="530"/>
      <c r="AO10" s="537"/>
      <c r="AP10" s="530"/>
      <c r="AQ10" s="537"/>
      <c r="AR10" s="572"/>
      <c r="AS10" s="587"/>
      <c r="AT10" s="530"/>
      <c r="AU10" s="537"/>
      <c r="AV10" s="530"/>
      <c r="AW10" s="537"/>
      <c r="AX10" s="530"/>
      <c r="AY10" s="537"/>
      <c r="AZ10" s="530"/>
      <c r="BA10" s="537"/>
      <c r="BB10" s="530"/>
      <c r="BC10" s="537"/>
      <c r="BD10" s="530"/>
      <c r="BE10" s="537"/>
      <c r="BF10" s="572"/>
      <c r="BG10" s="587"/>
      <c r="BH10" s="530"/>
      <c r="BI10" s="537"/>
      <c r="BJ10" s="535"/>
      <c r="BK10" s="545"/>
    </row>
    <row r="11" spans="1:63" x14ac:dyDescent="0.35">
      <c r="A11" s="512"/>
      <c r="B11" s="512"/>
      <c r="C11" s="512" t="e">
        <f>VLOOKUP(D11,Products!B:D,2,FALSE)</f>
        <v>#N/A</v>
      </c>
      <c r="D11" s="504"/>
      <c r="E11" s="635">
        <v>1</v>
      </c>
      <c r="F11" s="530"/>
      <c r="G11" s="537"/>
      <c r="H11" s="530"/>
      <c r="I11" s="537"/>
      <c r="J11" s="530"/>
      <c r="K11" s="537"/>
      <c r="L11" s="530"/>
      <c r="M11" s="537"/>
      <c r="N11" s="530"/>
      <c r="O11" s="537"/>
      <c r="P11" s="572"/>
      <c r="Q11" s="587"/>
      <c r="R11" s="572"/>
      <c r="S11" s="587"/>
      <c r="T11" s="530"/>
      <c r="U11" s="537"/>
      <c r="V11" s="530"/>
      <c r="W11" s="537"/>
      <c r="X11" s="530"/>
      <c r="Y11" s="537"/>
      <c r="Z11" s="530"/>
      <c r="AA11" s="537"/>
      <c r="AB11" s="530"/>
      <c r="AC11" s="537"/>
      <c r="AD11" s="572"/>
      <c r="AE11" s="587"/>
      <c r="AF11" s="530"/>
      <c r="AG11" s="537"/>
      <c r="AH11" s="530"/>
      <c r="AI11" s="537"/>
      <c r="AJ11" s="530"/>
      <c r="AK11" s="537"/>
      <c r="AL11" s="530"/>
      <c r="AM11" s="537"/>
      <c r="AN11" s="530"/>
      <c r="AO11" s="537"/>
      <c r="AP11" s="530"/>
      <c r="AQ11" s="537"/>
      <c r="AR11" s="572"/>
      <c r="AS11" s="587"/>
      <c r="AT11" s="530"/>
      <c r="AU11" s="537"/>
      <c r="AV11" s="530"/>
      <c r="AW11" s="537"/>
      <c r="AX11" s="530"/>
      <c r="AY11" s="537"/>
      <c r="AZ11" s="530"/>
      <c r="BA11" s="537"/>
      <c r="BB11" s="530"/>
      <c r="BC11" s="537"/>
      <c r="BD11" s="530"/>
      <c r="BE11" s="537"/>
      <c r="BF11" s="572"/>
      <c r="BG11" s="587"/>
      <c r="BH11" s="530"/>
      <c r="BI11" s="537"/>
      <c r="BJ11" s="535"/>
      <c r="BK11" s="545"/>
    </row>
    <row r="12" spans="1:63" x14ac:dyDescent="0.35">
      <c r="A12" s="512"/>
      <c r="B12" s="512"/>
      <c r="C12" s="512" t="e">
        <f>VLOOKUP(D12,Products!B:D,2,FALSE)</f>
        <v>#N/A</v>
      </c>
      <c r="D12" s="504"/>
      <c r="E12" s="635">
        <v>1</v>
      </c>
      <c r="F12" s="530"/>
      <c r="G12" s="537"/>
      <c r="H12" s="530"/>
      <c r="I12" s="537"/>
      <c r="J12" s="530"/>
      <c r="K12" s="537"/>
      <c r="L12" s="530"/>
      <c r="M12" s="537"/>
      <c r="N12" s="530"/>
      <c r="O12" s="537"/>
      <c r="P12" s="572"/>
      <c r="Q12" s="587"/>
      <c r="R12" s="572"/>
      <c r="S12" s="587"/>
      <c r="T12" s="530"/>
      <c r="U12" s="537"/>
      <c r="V12" s="530"/>
      <c r="W12" s="537"/>
      <c r="X12" s="530"/>
      <c r="Y12" s="537"/>
      <c r="Z12" s="530"/>
      <c r="AA12" s="537"/>
      <c r="AB12" s="530"/>
      <c r="AC12" s="537"/>
      <c r="AD12" s="572"/>
      <c r="AE12" s="587"/>
      <c r="AF12" s="530"/>
      <c r="AG12" s="537"/>
      <c r="AH12" s="530"/>
      <c r="AI12" s="537"/>
      <c r="AJ12" s="530"/>
      <c r="AK12" s="537"/>
      <c r="AL12" s="530"/>
      <c r="AM12" s="537"/>
      <c r="AN12" s="530"/>
      <c r="AO12" s="537"/>
      <c r="AP12" s="530"/>
      <c r="AQ12" s="537"/>
      <c r="AR12" s="572"/>
      <c r="AS12" s="587"/>
      <c r="AT12" s="530"/>
      <c r="AU12" s="537"/>
      <c r="AV12" s="530"/>
      <c r="AW12" s="537"/>
      <c r="AX12" s="530"/>
      <c r="AY12" s="537"/>
      <c r="AZ12" s="530"/>
      <c r="BA12" s="537"/>
      <c r="BB12" s="530"/>
      <c r="BC12" s="537"/>
      <c r="BD12" s="530"/>
      <c r="BE12" s="537"/>
      <c r="BF12" s="572"/>
      <c r="BG12" s="587"/>
      <c r="BH12" s="530"/>
      <c r="BI12" s="537"/>
      <c r="BJ12" s="535"/>
      <c r="BK12" s="545"/>
    </row>
    <row r="13" spans="1:63" x14ac:dyDescent="0.35">
      <c r="A13" s="512"/>
      <c r="B13" s="512"/>
      <c r="C13" s="512" t="e">
        <f>VLOOKUP(D13,Products!B:D,2,FALSE)</f>
        <v>#N/A</v>
      </c>
      <c r="D13" s="504"/>
      <c r="E13" s="635">
        <v>1</v>
      </c>
      <c r="F13" s="530"/>
      <c r="G13" s="537"/>
      <c r="H13" s="530"/>
      <c r="I13" s="537"/>
      <c r="J13" s="530"/>
      <c r="K13" s="537"/>
      <c r="L13" s="530"/>
      <c r="M13" s="537"/>
      <c r="N13" s="530"/>
      <c r="O13" s="537"/>
      <c r="P13" s="572"/>
      <c r="Q13" s="587"/>
      <c r="R13" s="572"/>
      <c r="S13" s="587"/>
      <c r="T13" s="530"/>
      <c r="U13" s="537"/>
      <c r="V13" s="530"/>
      <c r="W13" s="537"/>
      <c r="X13" s="530"/>
      <c r="Y13" s="537"/>
      <c r="Z13" s="530"/>
      <c r="AA13" s="537"/>
      <c r="AB13" s="530"/>
      <c r="AC13" s="537"/>
      <c r="AD13" s="572"/>
      <c r="AE13" s="587"/>
      <c r="AF13" s="530"/>
      <c r="AG13" s="537"/>
      <c r="AH13" s="530"/>
      <c r="AI13" s="537"/>
      <c r="AJ13" s="530"/>
      <c r="AK13" s="537"/>
      <c r="AL13" s="530"/>
      <c r="AM13" s="537"/>
      <c r="AN13" s="530"/>
      <c r="AO13" s="537"/>
      <c r="AP13" s="530"/>
      <c r="AQ13" s="537"/>
      <c r="AR13" s="572"/>
      <c r="AS13" s="587"/>
      <c r="AT13" s="530"/>
      <c r="AU13" s="537"/>
      <c r="AV13" s="530"/>
      <c r="AW13" s="537"/>
      <c r="AX13" s="530"/>
      <c r="AY13" s="537"/>
      <c r="AZ13" s="530"/>
      <c r="BA13" s="537"/>
      <c r="BB13" s="530"/>
      <c r="BC13" s="537"/>
      <c r="BD13" s="530"/>
      <c r="BE13" s="537"/>
      <c r="BF13" s="572"/>
      <c r="BG13" s="587"/>
      <c r="BH13" s="530"/>
      <c r="BI13" s="537"/>
      <c r="BJ13" s="535"/>
      <c r="BK13" s="545"/>
    </row>
    <row r="14" spans="1:63" x14ac:dyDescent="0.35">
      <c r="A14" s="512"/>
      <c r="B14" s="512"/>
      <c r="C14" s="512" t="e">
        <f>VLOOKUP(D14,Products!B:D,2,FALSE)</f>
        <v>#N/A</v>
      </c>
      <c r="D14" s="504"/>
      <c r="E14" s="635">
        <v>1</v>
      </c>
      <c r="F14" s="530"/>
      <c r="G14" s="537"/>
      <c r="H14" s="530"/>
      <c r="I14" s="537"/>
      <c r="J14" s="530"/>
      <c r="K14" s="537"/>
      <c r="L14" s="530"/>
      <c r="M14" s="537"/>
      <c r="N14" s="530"/>
      <c r="O14" s="537"/>
      <c r="P14" s="572"/>
      <c r="Q14" s="587"/>
      <c r="R14" s="572"/>
      <c r="S14" s="587"/>
      <c r="T14" s="530"/>
      <c r="U14" s="537"/>
      <c r="V14" s="530"/>
      <c r="W14" s="537"/>
      <c r="X14" s="530"/>
      <c r="Y14" s="537"/>
      <c r="Z14" s="530"/>
      <c r="AA14" s="537"/>
      <c r="AB14" s="530"/>
      <c r="AC14" s="537"/>
      <c r="AD14" s="572"/>
      <c r="AE14" s="587"/>
      <c r="AF14" s="530"/>
      <c r="AG14" s="537"/>
      <c r="AH14" s="530"/>
      <c r="AI14" s="537"/>
      <c r="AJ14" s="530"/>
      <c r="AK14" s="537"/>
      <c r="AL14" s="530"/>
      <c r="AM14" s="537"/>
      <c r="AN14" s="530"/>
      <c r="AO14" s="537"/>
      <c r="AP14" s="530"/>
      <c r="AQ14" s="537"/>
      <c r="AR14" s="572"/>
      <c r="AS14" s="587"/>
      <c r="AT14" s="530"/>
      <c r="AU14" s="537"/>
      <c r="AV14" s="530"/>
      <c r="AW14" s="537"/>
      <c r="AX14" s="530"/>
      <c r="AY14" s="537"/>
      <c r="AZ14" s="530"/>
      <c r="BA14" s="537"/>
      <c r="BB14" s="530"/>
      <c r="BC14" s="537"/>
      <c r="BD14" s="530"/>
      <c r="BE14" s="537"/>
      <c r="BF14" s="572"/>
      <c r="BG14" s="587"/>
      <c r="BH14" s="530"/>
      <c r="BI14" s="537"/>
      <c r="BJ14" s="535"/>
      <c r="BK14" s="545"/>
    </row>
    <row r="15" spans="1:63" x14ac:dyDescent="0.35">
      <c r="A15" s="512"/>
      <c r="B15" s="512"/>
      <c r="C15" s="512" t="e">
        <f>VLOOKUP(D15,Products!B:D,2,FALSE)</f>
        <v>#N/A</v>
      </c>
      <c r="D15" s="504"/>
      <c r="E15" s="635">
        <v>1</v>
      </c>
      <c r="F15" s="530"/>
      <c r="G15" s="537"/>
      <c r="H15" s="530"/>
      <c r="I15" s="537"/>
      <c r="J15" s="530"/>
      <c r="K15" s="537"/>
      <c r="L15" s="530"/>
      <c r="M15" s="537"/>
      <c r="N15" s="530"/>
      <c r="O15" s="537"/>
      <c r="P15" s="572"/>
      <c r="Q15" s="587"/>
      <c r="R15" s="572"/>
      <c r="S15" s="587"/>
      <c r="T15" s="530"/>
      <c r="U15" s="537"/>
      <c r="V15" s="530"/>
      <c r="W15" s="537"/>
      <c r="X15" s="530"/>
      <c r="Y15" s="537"/>
      <c r="Z15" s="530"/>
      <c r="AA15" s="537"/>
      <c r="AB15" s="530"/>
      <c r="AC15" s="537"/>
      <c r="AD15" s="572"/>
      <c r="AE15" s="587"/>
      <c r="AF15" s="530"/>
      <c r="AG15" s="537"/>
      <c r="AH15" s="530"/>
      <c r="AI15" s="537"/>
      <c r="AJ15" s="530"/>
      <c r="AK15" s="537"/>
      <c r="AL15" s="530"/>
      <c r="AM15" s="537"/>
      <c r="AN15" s="530"/>
      <c r="AO15" s="537"/>
      <c r="AP15" s="530"/>
      <c r="AQ15" s="537"/>
      <c r="AR15" s="572"/>
      <c r="AS15" s="587"/>
      <c r="AT15" s="530"/>
      <c r="AU15" s="537"/>
      <c r="AV15" s="530"/>
      <c r="AW15" s="537"/>
      <c r="AX15" s="530"/>
      <c r="AY15" s="537"/>
      <c r="AZ15" s="530"/>
      <c r="BA15" s="537"/>
      <c r="BB15" s="530"/>
      <c r="BC15" s="537"/>
      <c r="BD15" s="530"/>
      <c r="BE15" s="537"/>
      <c r="BF15" s="572"/>
      <c r="BG15" s="587"/>
      <c r="BH15" s="530"/>
      <c r="BI15" s="537"/>
      <c r="BJ15" s="535"/>
      <c r="BK15" s="545"/>
    </row>
    <row r="16" spans="1:63" x14ac:dyDescent="0.35">
      <c r="A16" s="512"/>
      <c r="B16" s="512"/>
      <c r="C16" s="512" t="e">
        <f>VLOOKUP(D16,Products!B:D,2,FALSE)</f>
        <v>#N/A</v>
      </c>
      <c r="D16" s="504"/>
      <c r="E16" s="635">
        <v>1</v>
      </c>
      <c r="F16" s="530"/>
      <c r="G16" s="537"/>
      <c r="H16" s="530"/>
      <c r="I16" s="537"/>
      <c r="J16" s="530"/>
      <c r="K16" s="537"/>
      <c r="L16" s="530"/>
      <c r="M16" s="537"/>
      <c r="N16" s="530"/>
      <c r="O16" s="537"/>
      <c r="P16" s="572"/>
      <c r="Q16" s="587"/>
      <c r="R16" s="572"/>
      <c r="S16" s="587"/>
      <c r="T16" s="530"/>
      <c r="U16" s="537"/>
      <c r="V16" s="530"/>
      <c r="W16" s="537"/>
      <c r="X16" s="530"/>
      <c r="Y16" s="537"/>
      <c r="Z16" s="530"/>
      <c r="AA16" s="537"/>
      <c r="AB16" s="530"/>
      <c r="AC16" s="537"/>
      <c r="AD16" s="572"/>
      <c r="AE16" s="587"/>
      <c r="AF16" s="530"/>
      <c r="AG16" s="537"/>
      <c r="AH16" s="530"/>
      <c r="AI16" s="537"/>
      <c r="AJ16" s="530"/>
      <c r="AK16" s="537"/>
      <c r="AL16" s="530"/>
      <c r="AM16" s="537"/>
      <c r="AN16" s="530"/>
      <c r="AO16" s="537"/>
      <c r="AP16" s="530"/>
      <c r="AQ16" s="537"/>
      <c r="AR16" s="572"/>
      <c r="AS16" s="587"/>
      <c r="AT16" s="530"/>
      <c r="AU16" s="537"/>
      <c r="AV16" s="530"/>
      <c r="AW16" s="537"/>
      <c r="AX16" s="530"/>
      <c r="AY16" s="537"/>
      <c r="AZ16" s="530"/>
      <c r="BA16" s="537"/>
      <c r="BB16" s="530"/>
      <c r="BC16" s="537"/>
      <c r="BD16" s="530"/>
      <c r="BE16" s="537"/>
      <c r="BF16" s="572"/>
      <c r="BG16" s="587"/>
      <c r="BH16" s="530"/>
      <c r="BI16" s="537"/>
      <c r="BJ16" s="535">
        <f t="shared" si="2"/>
        <v>0</v>
      </c>
      <c r="BK16" s="545">
        <f t="shared" si="3"/>
        <v>0</v>
      </c>
    </row>
    <row r="17" spans="1:63" ht="30" customHeight="1" x14ac:dyDescent="0.35">
      <c r="A17" s="512"/>
      <c r="B17" s="512"/>
      <c r="C17" s="512"/>
      <c r="D17" s="649" t="s">
        <v>18</v>
      </c>
      <c r="E17" s="650"/>
      <c r="F17" s="542">
        <f>SUM(F18:F26)</f>
        <v>0</v>
      </c>
      <c r="G17" s="515">
        <f t="shared" ref="G17:BI17" si="4">SUM(G18:G26)</f>
        <v>0</v>
      </c>
      <c r="H17" s="542">
        <f t="shared" si="4"/>
        <v>0</v>
      </c>
      <c r="I17" s="515">
        <f t="shared" si="4"/>
        <v>0</v>
      </c>
      <c r="J17" s="542">
        <f t="shared" si="4"/>
        <v>0</v>
      </c>
      <c r="K17" s="515">
        <f t="shared" si="4"/>
        <v>0</v>
      </c>
      <c r="L17" s="542">
        <f t="shared" si="4"/>
        <v>0</v>
      </c>
      <c r="M17" s="515">
        <f t="shared" si="4"/>
        <v>0</v>
      </c>
      <c r="N17" s="542">
        <f t="shared" si="4"/>
        <v>0</v>
      </c>
      <c r="O17" s="515">
        <f t="shared" si="4"/>
        <v>0</v>
      </c>
      <c r="P17" s="542">
        <f t="shared" si="4"/>
        <v>0</v>
      </c>
      <c r="Q17" s="575">
        <f t="shared" si="4"/>
        <v>0</v>
      </c>
      <c r="R17" s="542">
        <f t="shared" si="4"/>
        <v>0</v>
      </c>
      <c r="S17" s="575">
        <f t="shared" si="4"/>
        <v>0</v>
      </c>
      <c r="T17" s="542">
        <f t="shared" si="4"/>
        <v>0</v>
      </c>
      <c r="U17" s="515">
        <f t="shared" si="4"/>
        <v>0</v>
      </c>
      <c r="V17" s="542">
        <f t="shared" si="4"/>
        <v>0</v>
      </c>
      <c r="W17" s="515">
        <f t="shared" si="4"/>
        <v>0</v>
      </c>
      <c r="X17" s="542">
        <f t="shared" si="4"/>
        <v>0</v>
      </c>
      <c r="Y17" s="515">
        <f t="shared" si="4"/>
        <v>0</v>
      </c>
      <c r="Z17" s="542">
        <f t="shared" si="4"/>
        <v>0</v>
      </c>
      <c r="AA17" s="515">
        <f t="shared" si="4"/>
        <v>0</v>
      </c>
      <c r="AB17" s="542">
        <f t="shared" si="4"/>
        <v>0</v>
      </c>
      <c r="AC17" s="515">
        <f t="shared" si="4"/>
        <v>0</v>
      </c>
      <c r="AD17" s="542">
        <f t="shared" si="4"/>
        <v>0</v>
      </c>
      <c r="AE17" s="575">
        <f t="shared" si="4"/>
        <v>0</v>
      </c>
      <c r="AF17" s="542">
        <f t="shared" si="4"/>
        <v>0</v>
      </c>
      <c r="AG17" s="515">
        <f t="shared" si="4"/>
        <v>0</v>
      </c>
      <c r="AH17" s="542">
        <f t="shared" si="4"/>
        <v>0</v>
      </c>
      <c r="AI17" s="515">
        <f t="shared" si="4"/>
        <v>0</v>
      </c>
      <c r="AJ17" s="542">
        <f t="shared" si="4"/>
        <v>0</v>
      </c>
      <c r="AK17" s="515">
        <f t="shared" si="4"/>
        <v>0</v>
      </c>
      <c r="AL17" s="542">
        <f t="shared" si="4"/>
        <v>0</v>
      </c>
      <c r="AM17" s="515">
        <f t="shared" si="4"/>
        <v>0</v>
      </c>
      <c r="AN17" s="542">
        <f t="shared" si="4"/>
        <v>0</v>
      </c>
      <c r="AO17" s="515">
        <f t="shared" si="4"/>
        <v>0</v>
      </c>
      <c r="AP17" s="542">
        <f t="shared" si="4"/>
        <v>0</v>
      </c>
      <c r="AQ17" s="515">
        <f t="shared" si="4"/>
        <v>0</v>
      </c>
      <c r="AR17" s="542">
        <f t="shared" si="4"/>
        <v>0</v>
      </c>
      <c r="AS17" s="575">
        <f t="shared" si="4"/>
        <v>0</v>
      </c>
      <c r="AT17" s="542">
        <f t="shared" si="4"/>
        <v>0</v>
      </c>
      <c r="AU17" s="515">
        <f t="shared" si="4"/>
        <v>0</v>
      </c>
      <c r="AV17" s="542">
        <f t="shared" si="4"/>
        <v>0</v>
      </c>
      <c r="AW17" s="515">
        <f t="shared" si="4"/>
        <v>0</v>
      </c>
      <c r="AX17" s="542">
        <f t="shared" si="4"/>
        <v>0</v>
      </c>
      <c r="AY17" s="515">
        <f t="shared" si="4"/>
        <v>0</v>
      </c>
      <c r="AZ17" s="542">
        <f t="shared" si="4"/>
        <v>0</v>
      </c>
      <c r="BA17" s="515">
        <f t="shared" si="4"/>
        <v>0</v>
      </c>
      <c r="BB17" s="542">
        <f t="shared" si="4"/>
        <v>0</v>
      </c>
      <c r="BC17" s="515">
        <f t="shared" si="4"/>
        <v>0</v>
      </c>
      <c r="BD17" s="542">
        <f t="shared" si="4"/>
        <v>0</v>
      </c>
      <c r="BE17" s="515">
        <f t="shared" si="4"/>
        <v>0</v>
      </c>
      <c r="BF17" s="542">
        <f t="shared" si="4"/>
        <v>0</v>
      </c>
      <c r="BG17" s="575">
        <f t="shared" si="4"/>
        <v>0</v>
      </c>
      <c r="BH17" s="542">
        <f t="shared" si="4"/>
        <v>0</v>
      </c>
      <c r="BI17" s="515">
        <f t="shared" si="4"/>
        <v>0</v>
      </c>
      <c r="BJ17" s="535">
        <f t="shared" si="2"/>
        <v>0</v>
      </c>
      <c r="BK17" s="545">
        <f t="shared" si="3"/>
        <v>56</v>
      </c>
    </row>
    <row r="18" spans="1:63" x14ac:dyDescent="0.35">
      <c r="A18" s="524"/>
      <c r="B18" s="524"/>
      <c r="C18" s="524"/>
      <c r="D18" s="651" t="s">
        <v>19</v>
      </c>
      <c r="E18" s="652"/>
      <c r="F18" s="530"/>
      <c r="G18" s="537"/>
      <c r="H18" s="530"/>
      <c r="I18" s="537"/>
      <c r="J18" s="530"/>
      <c r="K18" s="537"/>
      <c r="L18" s="530"/>
      <c r="M18" s="537"/>
      <c r="N18" s="530"/>
      <c r="O18" s="537"/>
      <c r="P18" s="572"/>
      <c r="Q18" s="587"/>
      <c r="R18" s="572"/>
      <c r="S18" s="587"/>
      <c r="T18" s="530"/>
      <c r="U18" s="537"/>
      <c r="V18" s="530"/>
      <c r="W18" s="537"/>
      <c r="X18" s="530"/>
      <c r="Y18" s="537"/>
      <c r="Z18" s="530"/>
      <c r="AA18" s="537"/>
      <c r="AB18" s="530"/>
      <c r="AC18" s="537"/>
      <c r="AD18" s="572"/>
      <c r="AE18" s="587"/>
      <c r="AF18" s="530"/>
      <c r="AG18" s="537"/>
      <c r="AH18" s="530"/>
      <c r="AI18" s="537"/>
      <c r="AJ18" s="530"/>
      <c r="AK18" s="537"/>
      <c r="AL18" s="530"/>
      <c r="AM18" s="537"/>
      <c r="AN18" s="530"/>
      <c r="AO18" s="537"/>
      <c r="AP18" s="530"/>
      <c r="AQ18" s="537"/>
      <c r="AR18" s="572"/>
      <c r="AS18" s="587"/>
      <c r="AT18" s="530"/>
      <c r="AU18" s="537"/>
      <c r="AV18" s="530"/>
      <c r="AW18" s="537"/>
      <c r="AX18" s="530"/>
      <c r="AY18" s="537"/>
      <c r="AZ18" s="530"/>
      <c r="BA18" s="537"/>
      <c r="BB18" s="530"/>
      <c r="BC18" s="537"/>
      <c r="BD18" s="530"/>
      <c r="BE18" s="537"/>
      <c r="BF18" s="572"/>
      <c r="BG18" s="587"/>
      <c r="BH18" s="530"/>
      <c r="BI18" s="537"/>
      <c r="BJ18" s="535">
        <f t="shared" si="2"/>
        <v>0</v>
      </c>
      <c r="BK18" s="545">
        <f t="shared" si="3"/>
        <v>0</v>
      </c>
    </row>
    <row r="19" spans="1:63" x14ac:dyDescent="0.35">
      <c r="A19" s="524"/>
      <c r="B19" s="524"/>
      <c r="C19" s="524"/>
      <c r="D19" s="643" t="s">
        <v>20</v>
      </c>
      <c r="E19" s="644"/>
      <c r="F19" s="530"/>
      <c r="G19" s="537"/>
      <c r="H19" s="530"/>
      <c r="I19" s="537"/>
      <c r="J19" s="530"/>
      <c r="K19" s="537"/>
      <c r="L19" s="530"/>
      <c r="M19" s="537"/>
      <c r="N19" s="530"/>
      <c r="O19" s="537"/>
      <c r="P19" s="572"/>
      <c r="Q19" s="587"/>
      <c r="R19" s="572"/>
      <c r="S19" s="587"/>
      <c r="T19" s="530"/>
      <c r="U19" s="537"/>
      <c r="V19" s="530"/>
      <c r="W19" s="537"/>
      <c r="X19" s="530"/>
      <c r="Y19" s="537"/>
      <c r="Z19" s="530"/>
      <c r="AA19" s="537"/>
      <c r="AB19" s="530"/>
      <c r="AC19" s="537"/>
      <c r="AD19" s="572"/>
      <c r="AE19" s="587"/>
      <c r="AF19" s="530"/>
      <c r="AG19" s="537"/>
      <c r="AH19" s="530"/>
      <c r="AI19" s="537"/>
      <c r="AJ19" s="530"/>
      <c r="AK19" s="537"/>
      <c r="AL19" s="530"/>
      <c r="AM19" s="537"/>
      <c r="AN19" s="530"/>
      <c r="AO19" s="537"/>
      <c r="AP19" s="530"/>
      <c r="AQ19" s="537"/>
      <c r="AR19" s="572"/>
      <c r="AS19" s="587"/>
      <c r="AT19" s="530"/>
      <c r="AU19" s="537"/>
      <c r="AV19" s="530"/>
      <c r="AW19" s="537"/>
      <c r="AX19" s="530"/>
      <c r="AY19" s="537"/>
      <c r="AZ19" s="530"/>
      <c r="BA19" s="537"/>
      <c r="BB19" s="530"/>
      <c r="BC19" s="537"/>
      <c r="BD19" s="530"/>
      <c r="BE19" s="537"/>
      <c r="BF19" s="572"/>
      <c r="BG19" s="587"/>
      <c r="BH19" s="530"/>
      <c r="BI19" s="537"/>
      <c r="BJ19" s="535">
        <f t="shared" si="2"/>
        <v>0</v>
      </c>
      <c r="BK19" s="545">
        <f t="shared" si="3"/>
        <v>0</v>
      </c>
    </row>
    <row r="20" spans="1:63" x14ac:dyDescent="0.35">
      <c r="A20" s="524"/>
      <c r="B20" s="524"/>
      <c r="C20" s="524"/>
      <c r="D20" s="643" t="s">
        <v>21</v>
      </c>
      <c r="E20" s="644"/>
      <c r="F20" s="530"/>
      <c r="G20" s="537"/>
      <c r="H20" s="530"/>
      <c r="I20" s="537"/>
      <c r="J20" s="530"/>
      <c r="K20" s="537"/>
      <c r="L20" s="530"/>
      <c r="M20" s="537"/>
      <c r="N20" s="530"/>
      <c r="O20" s="537"/>
      <c r="P20" s="572"/>
      <c r="Q20" s="587"/>
      <c r="R20" s="572"/>
      <c r="S20" s="587"/>
      <c r="T20" s="530"/>
      <c r="U20" s="537"/>
      <c r="V20" s="530"/>
      <c r="W20" s="537"/>
      <c r="X20" s="530"/>
      <c r="Y20" s="537"/>
      <c r="Z20" s="530"/>
      <c r="AA20" s="537"/>
      <c r="AB20" s="530"/>
      <c r="AC20" s="537"/>
      <c r="AD20" s="572"/>
      <c r="AE20" s="587"/>
      <c r="AF20" s="530"/>
      <c r="AG20" s="537"/>
      <c r="AH20" s="530"/>
      <c r="AI20" s="537"/>
      <c r="AJ20" s="530"/>
      <c r="AK20" s="537"/>
      <c r="AL20" s="530"/>
      <c r="AM20" s="537"/>
      <c r="AN20" s="530"/>
      <c r="AO20" s="537"/>
      <c r="AP20" s="530"/>
      <c r="AQ20" s="537"/>
      <c r="AR20" s="572"/>
      <c r="AS20" s="587"/>
      <c r="AT20" s="530"/>
      <c r="AU20" s="537"/>
      <c r="AV20" s="530"/>
      <c r="AW20" s="537"/>
      <c r="AX20" s="530"/>
      <c r="AY20" s="537"/>
      <c r="AZ20" s="530"/>
      <c r="BA20" s="537"/>
      <c r="BB20" s="530"/>
      <c r="BC20" s="537"/>
      <c r="BD20" s="530"/>
      <c r="BE20" s="537"/>
      <c r="BF20" s="572"/>
      <c r="BG20" s="587"/>
      <c r="BH20" s="530"/>
      <c r="BI20" s="537"/>
      <c r="BJ20" s="535">
        <f t="shared" si="2"/>
        <v>0</v>
      </c>
      <c r="BK20" s="545">
        <f t="shared" si="3"/>
        <v>0</v>
      </c>
    </row>
    <row r="21" spans="1:63" x14ac:dyDescent="0.35">
      <c r="A21" s="524"/>
      <c r="B21" s="524"/>
      <c r="C21" s="524"/>
      <c r="D21" s="643"/>
      <c r="E21" s="644"/>
      <c r="F21" s="530"/>
      <c r="G21" s="537"/>
      <c r="H21" s="530"/>
      <c r="I21" s="537"/>
      <c r="J21" s="530"/>
      <c r="K21" s="537"/>
      <c r="L21" s="530"/>
      <c r="M21" s="537"/>
      <c r="N21" s="530"/>
      <c r="O21" s="537"/>
      <c r="P21" s="572"/>
      <c r="Q21" s="587"/>
      <c r="R21" s="572"/>
      <c r="S21" s="587"/>
      <c r="T21" s="530"/>
      <c r="U21" s="537"/>
      <c r="V21" s="530"/>
      <c r="W21" s="537"/>
      <c r="X21" s="530"/>
      <c r="Y21" s="537"/>
      <c r="Z21" s="530"/>
      <c r="AA21" s="537"/>
      <c r="AB21" s="530"/>
      <c r="AC21" s="537"/>
      <c r="AD21" s="572"/>
      <c r="AE21" s="587"/>
      <c r="AF21" s="530"/>
      <c r="AG21" s="537"/>
      <c r="AH21" s="530"/>
      <c r="AI21" s="537"/>
      <c r="AJ21" s="530"/>
      <c r="AK21" s="537"/>
      <c r="AL21" s="530"/>
      <c r="AM21" s="537"/>
      <c r="AN21" s="530"/>
      <c r="AO21" s="537"/>
      <c r="AP21" s="530"/>
      <c r="AQ21" s="537"/>
      <c r="AR21" s="572"/>
      <c r="AS21" s="587"/>
      <c r="AT21" s="530"/>
      <c r="AU21" s="537"/>
      <c r="AV21" s="530"/>
      <c r="AW21" s="537"/>
      <c r="AX21" s="530"/>
      <c r="AY21" s="537"/>
      <c r="AZ21" s="530"/>
      <c r="BA21" s="537"/>
      <c r="BB21" s="530"/>
      <c r="BC21" s="537"/>
      <c r="BD21" s="530"/>
      <c r="BE21" s="537"/>
      <c r="BF21" s="572"/>
      <c r="BG21" s="587"/>
      <c r="BH21" s="530"/>
      <c r="BI21" s="537"/>
      <c r="BJ21" s="535">
        <f t="shared" si="2"/>
        <v>0</v>
      </c>
      <c r="BK21" s="545">
        <f t="shared" si="3"/>
        <v>0</v>
      </c>
    </row>
    <row r="22" spans="1:63" x14ac:dyDescent="0.35">
      <c r="A22" s="524"/>
      <c r="B22" s="524"/>
      <c r="C22" s="524"/>
      <c r="D22" s="651" t="s">
        <v>22</v>
      </c>
      <c r="E22" s="652"/>
      <c r="F22" s="530"/>
      <c r="G22" s="537"/>
      <c r="H22" s="530"/>
      <c r="I22" s="537"/>
      <c r="J22" s="530"/>
      <c r="K22" s="537"/>
      <c r="L22" s="530"/>
      <c r="M22" s="537"/>
      <c r="N22" s="530"/>
      <c r="O22" s="537"/>
      <c r="P22" s="572"/>
      <c r="Q22" s="587"/>
      <c r="R22" s="572"/>
      <c r="S22" s="587"/>
      <c r="T22" s="530"/>
      <c r="U22" s="537"/>
      <c r="V22" s="530"/>
      <c r="W22" s="537"/>
      <c r="X22" s="530"/>
      <c r="Y22" s="537"/>
      <c r="Z22" s="530"/>
      <c r="AA22" s="537"/>
      <c r="AB22" s="530"/>
      <c r="AC22" s="537"/>
      <c r="AD22" s="572"/>
      <c r="AE22" s="587"/>
      <c r="AF22" s="530"/>
      <c r="AG22" s="537"/>
      <c r="AH22" s="530"/>
      <c r="AI22" s="537"/>
      <c r="AJ22" s="530"/>
      <c r="AK22" s="537"/>
      <c r="AL22" s="530"/>
      <c r="AM22" s="537"/>
      <c r="AN22" s="530"/>
      <c r="AO22" s="537"/>
      <c r="AP22" s="530"/>
      <c r="AQ22" s="537"/>
      <c r="AR22" s="572"/>
      <c r="AS22" s="587"/>
      <c r="AT22" s="530"/>
      <c r="AU22" s="537"/>
      <c r="AV22" s="530"/>
      <c r="AW22" s="537"/>
      <c r="AX22" s="530"/>
      <c r="AY22" s="537"/>
      <c r="AZ22" s="530"/>
      <c r="BA22" s="537"/>
      <c r="BB22" s="530"/>
      <c r="BC22" s="537"/>
      <c r="BD22" s="530"/>
      <c r="BE22" s="537"/>
      <c r="BF22" s="572"/>
      <c r="BG22" s="587"/>
      <c r="BH22" s="530"/>
      <c r="BI22" s="537"/>
      <c r="BJ22" s="535">
        <f t="shared" si="2"/>
        <v>0</v>
      </c>
      <c r="BK22" s="545">
        <f t="shared" si="3"/>
        <v>0</v>
      </c>
    </row>
    <row r="23" spans="1:63" x14ac:dyDescent="0.35">
      <c r="A23" s="524"/>
      <c r="B23" s="524"/>
      <c r="C23" s="524"/>
      <c r="D23" s="643" t="s">
        <v>20</v>
      </c>
      <c r="E23" s="644"/>
      <c r="F23" s="530"/>
      <c r="G23" s="537"/>
      <c r="H23" s="530"/>
      <c r="I23" s="537"/>
      <c r="J23" s="530"/>
      <c r="K23" s="537"/>
      <c r="L23" s="530"/>
      <c r="M23" s="537"/>
      <c r="N23" s="530"/>
      <c r="O23" s="537"/>
      <c r="P23" s="572"/>
      <c r="Q23" s="587"/>
      <c r="R23" s="572"/>
      <c r="S23" s="587"/>
      <c r="T23" s="530"/>
      <c r="U23" s="537"/>
      <c r="V23" s="530"/>
      <c r="W23" s="537"/>
      <c r="X23" s="530"/>
      <c r="Y23" s="537"/>
      <c r="Z23" s="530"/>
      <c r="AA23" s="537"/>
      <c r="AB23" s="530"/>
      <c r="AC23" s="537"/>
      <c r="AD23" s="572"/>
      <c r="AE23" s="587"/>
      <c r="AF23" s="530"/>
      <c r="AG23" s="537"/>
      <c r="AH23" s="530"/>
      <c r="AI23" s="537"/>
      <c r="AJ23" s="530"/>
      <c r="AK23" s="537"/>
      <c r="AL23" s="530"/>
      <c r="AM23" s="537"/>
      <c r="AN23" s="530"/>
      <c r="AO23" s="537"/>
      <c r="AP23" s="530"/>
      <c r="AQ23" s="537"/>
      <c r="AR23" s="572"/>
      <c r="AS23" s="587"/>
      <c r="AT23" s="530"/>
      <c r="AU23" s="537"/>
      <c r="AV23" s="530"/>
      <c r="AW23" s="537"/>
      <c r="AX23" s="530"/>
      <c r="AY23" s="537"/>
      <c r="AZ23" s="530"/>
      <c r="BA23" s="537"/>
      <c r="BB23" s="530"/>
      <c r="BC23" s="537"/>
      <c r="BD23" s="530"/>
      <c r="BE23" s="537"/>
      <c r="BF23" s="572"/>
      <c r="BG23" s="587"/>
      <c r="BH23" s="530"/>
      <c r="BI23" s="537"/>
      <c r="BJ23" s="535">
        <f t="shared" si="2"/>
        <v>0</v>
      </c>
      <c r="BK23" s="545">
        <f t="shared" si="3"/>
        <v>0</v>
      </c>
    </row>
    <row r="24" spans="1:63" x14ac:dyDescent="0.35">
      <c r="A24" s="524"/>
      <c r="B24" s="524"/>
      <c r="C24" s="524"/>
      <c r="D24" s="643" t="s">
        <v>21</v>
      </c>
      <c r="E24" s="644"/>
      <c r="F24" s="530"/>
      <c r="G24" s="537"/>
      <c r="H24" s="530"/>
      <c r="I24" s="537"/>
      <c r="J24" s="530"/>
      <c r="K24" s="537"/>
      <c r="L24" s="530"/>
      <c r="M24" s="537"/>
      <c r="N24" s="530"/>
      <c r="O24" s="537"/>
      <c r="P24" s="572"/>
      <c r="Q24" s="587"/>
      <c r="R24" s="572"/>
      <c r="S24" s="587"/>
      <c r="T24" s="530"/>
      <c r="U24" s="537"/>
      <c r="V24" s="530"/>
      <c r="W24" s="537"/>
      <c r="X24" s="530"/>
      <c r="Y24" s="537"/>
      <c r="Z24" s="530"/>
      <c r="AA24" s="537"/>
      <c r="AB24" s="530"/>
      <c r="AC24" s="537"/>
      <c r="AD24" s="572"/>
      <c r="AE24" s="587"/>
      <c r="AF24" s="530"/>
      <c r="AG24" s="537"/>
      <c r="AH24" s="530"/>
      <c r="AI24" s="537"/>
      <c r="AJ24" s="530"/>
      <c r="AK24" s="537"/>
      <c r="AL24" s="530"/>
      <c r="AM24" s="537"/>
      <c r="AN24" s="530"/>
      <c r="AO24" s="537"/>
      <c r="AP24" s="530"/>
      <c r="AQ24" s="537"/>
      <c r="AR24" s="572"/>
      <c r="AS24" s="587"/>
      <c r="AT24" s="530"/>
      <c r="AU24" s="537"/>
      <c r="AV24" s="530"/>
      <c r="AW24" s="537"/>
      <c r="AX24" s="530"/>
      <c r="AY24" s="537"/>
      <c r="AZ24" s="530"/>
      <c r="BA24" s="537"/>
      <c r="BB24" s="530"/>
      <c r="BC24" s="537"/>
      <c r="BD24" s="530"/>
      <c r="BE24" s="537"/>
      <c r="BF24" s="572"/>
      <c r="BG24" s="587"/>
      <c r="BH24" s="530"/>
      <c r="BI24" s="537"/>
      <c r="BJ24" s="535">
        <f t="shared" si="2"/>
        <v>0</v>
      </c>
      <c r="BK24" s="545">
        <f t="shared" si="3"/>
        <v>0</v>
      </c>
    </row>
    <row r="25" spans="1:63" x14ac:dyDescent="0.35">
      <c r="A25" s="524"/>
      <c r="B25" s="524"/>
      <c r="C25" s="524"/>
      <c r="D25" s="643" t="s">
        <v>1039</v>
      </c>
      <c r="E25" s="644"/>
      <c r="F25" s="530"/>
      <c r="G25" s="537"/>
      <c r="H25" s="530"/>
      <c r="I25" s="537"/>
      <c r="J25" s="530"/>
      <c r="K25" s="537"/>
      <c r="L25" s="530"/>
      <c r="M25" s="537"/>
      <c r="N25" s="530"/>
      <c r="O25" s="537"/>
      <c r="P25" s="572"/>
      <c r="Q25" s="587"/>
      <c r="R25" s="572"/>
      <c r="S25" s="587"/>
      <c r="T25" s="530"/>
      <c r="U25" s="537"/>
      <c r="V25" s="530"/>
      <c r="W25" s="537"/>
      <c r="X25" s="530"/>
      <c r="Y25" s="537"/>
      <c r="Z25" s="530"/>
      <c r="AA25" s="537"/>
      <c r="AB25" s="530"/>
      <c r="AC25" s="537"/>
      <c r="AD25" s="572"/>
      <c r="AE25" s="587"/>
      <c r="AF25" s="530"/>
      <c r="AG25" s="537"/>
      <c r="AH25" s="530"/>
      <c r="AI25" s="537"/>
      <c r="AJ25" s="530"/>
      <c r="AK25" s="537"/>
      <c r="AL25" s="530"/>
      <c r="AM25" s="537"/>
      <c r="AN25" s="530"/>
      <c r="AO25" s="537"/>
      <c r="AP25" s="530"/>
      <c r="AQ25" s="537"/>
      <c r="AR25" s="572"/>
      <c r="AS25" s="587"/>
      <c r="AT25" s="530"/>
      <c r="AU25" s="537"/>
      <c r="AV25" s="530"/>
      <c r="AW25" s="537"/>
      <c r="AX25" s="530"/>
      <c r="AY25" s="537"/>
      <c r="AZ25" s="530"/>
      <c r="BA25" s="537"/>
      <c r="BB25" s="530"/>
      <c r="BC25" s="537"/>
      <c r="BD25" s="530"/>
      <c r="BE25" s="537"/>
      <c r="BF25" s="572"/>
      <c r="BG25" s="587"/>
      <c r="BH25" s="530"/>
      <c r="BI25" s="537"/>
      <c r="BJ25" s="535">
        <f t="shared" si="2"/>
        <v>0</v>
      </c>
      <c r="BK25" s="545">
        <f t="shared" si="3"/>
        <v>0</v>
      </c>
    </row>
    <row r="26" spans="1:63" x14ac:dyDescent="0.35">
      <c r="A26" s="524"/>
      <c r="B26" s="524"/>
      <c r="C26" s="524"/>
      <c r="D26" s="643"/>
      <c r="E26" s="644"/>
      <c r="F26" s="530"/>
      <c r="G26" s="537"/>
      <c r="H26" s="530"/>
      <c r="I26" s="537"/>
      <c r="J26" s="530"/>
      <c r="K26" s="537"/>
      <c r="L26" s="530"/>
      <c r="M26" s="537"/>
      <c r="N26" s="530"/>
      <c r="O26" s="537"/>
      <c r="P26" s="572"/>
      <c r="Q26" s="587"/>
      <c r="R26" s="572"/>
      <c r="S26" s="587"/>
      <c r="T26" s="530"/>
      <c r="U26" s="537"/>
      <c r="V26" s="530"/>
      <c r="W26" s="537"/>
      <c r="X26" s="530"/>
      <c r="Y26" s="537"/>
      <c r="Z26" s="530"/>
      <c r="AA26" s="537"/>
      <c r="AB26" s="530"/>
      <c r="AC26" s="537"/>
      <c r="AD26" s="572"/>
      <c r="AE26" s="587"/>
      <c r="AF26" s="530"/>
      <c r="AG26" s="537"/>
      <c r="AH26" s="530"/>
      <c r="AI26" s="537"/>
      <c r="AJ26" s="530"/>
      <c r="AK26" s="537"/>
      <c r="AL26" s="530"/>
      <c r="AM26" s="537"/>
      <c r="AN26" s="530"/>
      <c r="AO26" s="537"/>
      <c r="AP26" s="530"/>
      <c r="AQ26" s="537"/>
      <c r="AR26" s="572"/>
      <c r="AS26" s="587"/>
      <c r="AT26" s="530"/>
      <c r="AU26" s="537"/>
      <c r="AV26" s="530"/>
      <c r="AW26" s="537"/>
      <c r="AX26" s="530"/>
      <c r="AY26" s="537"/>
      <c r="AZ26" s="530"/>
      <c r="BA26" s="537"/>
      <c r="BB26" s="530"/>
      <c r="BC26" s="537"/>
      <c r="BD26" s="530"/>
      <c r="BE26" s="537"/>
      <c r="BF26" s="572"/>
      <c r="BG26" s="587"/>
      <c r="BH26" s="530"/>
      <c r="BI26" s="537"/>
      <c r="BJ26" s="535">
        <f t="shared" si="2"/>
        <v>0</v>
      </c>
      <c r="BK26" s="545">
        <f t="shared" si="3"/>
        <v>0</v>
      </c>
    </row>
    <row r="27" spans="1:63" ht="30.75" customHeight="1" x14ac:dyDescent="0.35">
      <c r="A27" s="524"/>
      <c r="B27" s="524"/>
      <c r="C27" s="524"/>
      <c r="D27" s="645" t="s">
        <v>24</v>
      </c>
      <c r="E27" s="646"/>
      <c r="F27" s="572">
        <f>SUM(F28:F105)</f>
        <v>0</v>
      </c>
      <c r="G27" s="514">
        <f>SUM(G28:G105)</f>
        <v>0</v>
      </c>
      <c r="H27" s="572">
        <f>SUM(H28:H105)</f>
        <v>0</v>
      </c>
      <c r="I27" s="514">
        <f t="shared" ref="I27:BI27" si="5">SUM(I28:I105)</f>
        <v>0</v>
      </c>
      <c r="J27" s="572">
        <f t="shared" si="5"/>
        <v>0</v>
      </c>
      <c r="K27" s="514">
        <f t="shared" si="5"/>
        <v>0</v>
      </c>
      <c r="L27" s="572">
        <f t="shared" si="5"/>
        <v>0</v>
      </c>
      <c r="M27" s="514">
        <f t="shared" si="5"/>
        <v>0</v>
      </c>
      <c r="N27" s="572">
        <f t="shared" si="5"/>
        <v>0</v>
      </c>
      <c r="O27" s="514">
        <f t="shared" si="5"/>
        <v>0</v>
      </c>
      <c r="P27" s="572">
        <f t="shared" si="5"/>
        <v>0</v>
      </c>
      <c r="Q27" s="587">
        <f t="shared" si="5"/>
        <v>0</v>
      </c>
      <c r="R27" s="572">
        <f t="shared" si="5"/>
        <v>0</v>
      </c>
      <c r="S27" s="587">
        <f t="shared" si="5"/>
        <v>0</v>
      </c>
      <c r="T27" s="572">
        <f>SUM(T28:T105)</f>
        <v>0</v>
      </c>
      <c r="U27" s="514">
        <f t="shared" si="5"/>
        <v>0</v>
      </c>
      <c r="V27" s="572">
        <f t="shared" si="5"/>
        <v>0</v>
      </c>
      <c r="W27" s="514">
        <f t="shared" si="5"/>
        <v>0</v>
      </c>
      <c r="X27" s="572">
        <f t="shared" si="5"/>
        <v>0</v>
      </c>
      <c r="Y27" s="514">
        <f t="shared" si="5"/>
        <v>0</v>
      </c>
      <c r="Z27" s="572">
        <f t="shared" si="5"/>
        <v>0</v>
      </c>
      <c r="AA27" s="514">
        <f t="shared" si="5"/>
        <v>0</v>
      </c>
      <c r="AB27" s="572">
        <f t="shared" si="5"/>
        <v>55</v>
      </c>
      <c r="AC27" s="514">
        <f t="shared" si="5"/>
        <v>0</v>
      </c>
      <c r="AD27" s="572">
        <f t="shared" si="5"/>
        <v>0</v>
      </c>
      <c r="AE27" s="587">
        <f t="shared" si="5"/>
        <v>0</v>
      </c>
      <c r="AF27" s="572">
        <f t="shared" si="5"/>
        <v>50</v>
      </c>
      <c r="AG27" s="514">
        <f t="shared" si="5"/>
        <v>0</v>
      </c>
      <c r="AH27" s="572">
        <f t="shared" si="5"/>
        <v>0</v>
      </c>
      <c r="AI27" s="514">
        <f t="shared" si="5"/>
        <v>0</v>
      </c>
      <c r="AJ27" s="572">
        <f t="shared" si="5"/>
        <v>0</v>
      </c>
      <c r="AK27" s="514">
        <f t="shared" si="5"/>
        <v>0</v>
      </c>
      <c r="AL27" s="572">
        <f t="shared" si="5"/>
        <v>0</v>
      </c>
      <c r="AM27" s="514">
        <f t="shared" si="5"/>
        <v>0</v>
      </c>
      <c r="AN27" s="572">
        <f t="shared" si="5"/>
        <v>0</v>
      </c>
      <c r="AO27" s="514">
        <f t="shared" si="5"/>
        <v>0</v>
      </c>
      <c r="AP27" s="572">
        <f t="shared" si="5"/>
        <v>0</v>
      </c>
      <c r="AQ27" s="514">
        <f t="shared" si="5"/>
        <v>0</v>
      </c>
      <c r="AR27" s="572">
        <f t="shared" si="5"/>
        <v>0</v>
      </c>
      <c r="AS27" s="587">
        <f t="shared" si="5"/>
        <v>0</v>
      </c>
      <c r="AT27" s="572">
        <f t="shared" si="5"/>
        <v>0</v>
      </c>
      <c r="AU27" s="514">
        <f t="shared" si="5"/>
        <v>0</v>
      </c>
      <c r="AV27" s="572">
        <f t="shared" si="5"/>
        <v>0</v>
      </c>
      <c r="AW27" s="514">
        <f t="shared" si="5"/>
        <v>0</v>
      </c>
      <c r="AX27" s="572">
        <f t="shared" si="5"/>
        <v>0</v>
      </c>
      <c r="AY27" s="514">
        <f t="shared" si="5"/>
        <v>0</v>
      </c>
      <c r="AZ27" s="572">
        <f t="shared" si="5"/>
        <v>0</v>
      </c>
      <c r="BA27" s="514">
        <f t="shared" si="5"/>
        <v>0</v>
      </c>
      <c r="BB27" s="572">
        <f t="shared" si="5"/>
        <v>0</v>
      </c>
      <c r="BC27" s="514">
        <f t="shared" si="5"/>
        <v>0</v>
      </c>
      <c r="BD27" s="572">
        <f t="shared" si="5"/>
        <v>0</v>
      </c>
      <c r="BE27" s="514">
        <f t="shared" si="5"/>
        <v>0</v>
      </c>
      <c r="BF27" s="572">
        <f t="shared" si="5"/>
        <v>0</v>
      </c>
      <c r="BG27" s="587">
        <f t="shared" si="5"/>
        <v>0</v>
      </c>
      <c r="BH27" s="572">
        <f t="shared" si="5"/>
        <v>0</v>
      </c>
      <c r="BI27" s="514">
        <f t="shared" si="5"/>
        <v>0</v>
      </c>
      <c r="BJ27" s="535">
        <f t="shared" si="2"/>
        <v>105</v>
      </c>
      <c r="BK27" s="545">
        <f t="shared" si="3"/>
        <v>56</v>
      </c>
    </row>
    <row r="28" spans="1:63" ht="16.5" customHeight="1" x14ac:dyDescent="0.35">
      <c r="A28" s="567"/>
      <c r="B28" s="567"/>
      <c r="C28" s="556">
        <f>SUM(BJ29:BJ48)</f>
        <v>0</v>
      </c>
      <c r="D28" s="647" t="s">
        <v>25</v>
      </c>
      <c r="E28" s="648"/>
      <c r="F28" s="590"/>
      <c r="G28" s="562"/>
      <c r="H28" s="590"/>
      <c r="I28" s="562"/>
      <c r="J28" s="590"/>
      <c r="K28" s="562"/>
      <c r="L28" s="590"/>
      <c r="M28" s="562"/>
      <c r="N28" s="590"/>
      <c r="O28" s="562"/>
      <c r="P28" s="572"/>
      <c r="Q28" s="587"/>
      <c r="R28" s="572"/>
      <c r="S28" s="587"/>
      <c r="T28" s="590"/>
      <c r="U28" s="562"/>
      <c r="V28" s="590"/>
      <c r="W28" s="562"/>
      <c r="X28" s="590"/>
      <c r="Y28" s="562"/>
      <c r="Z28" s="590"/>
      <c r="AA28" s="562"/>
      <c r="AB28" s="590"/>
      <c r="AC28" s="562"/>
      <c r="AD28" s="572"/>
      <c r="AE28" s="587"/>
      <c r="AF28" s="590"/>
      <c r="AG28" s="562"/>
      <c r="AH28" s="590"/>
      <c r="AI28" s="562"/>
      <c r="AJ28" s="590"/>
      <c r="AK28" s="562"/>
      <c r="AL28" s="590"/>
      <c r="AM28" s="562"/>
      <c r="AN28" s="590"/>
      <c r="AO28" s="562"/>
      <c r="AP28" s="590"/>
      <c r="AQ28" s="562"/>
      <c r="AR28" s="572"/>
      <c r="AS28" s="587"/>
      <c r="AT28" s="590"/>
      <c r="AU28" s="562"/>
      <c r="AV28" s="590"/>
      <c r="AW28" s="562"/>
      <c r="AX28" s="590"/>
      <c r="AY28" s="562"/>
      <c r="AZ28" s="590"/>
      <c r="BA28" s="562"/>
      <c r="BB28" s="590"/>
      <c r="BC28" s="562"/>
      <c r="BD28" s="590"/>
      <c r="BE28" s="562"/>
      <c r="BF28" s="572"/>
      <c r="BG28" s="587"/>
      <c r="BH28" s="590"/>
      <c r="BI28" s="562"/>
      <c r="BJ28" s="535">
        <f t="shared" ref="BJ28:BJ59" si="6">SUM(F28:BI28)</f>
        <v>0</v>
      </c>
      <c r="BK28" s="545">
        <f t="shared" ref="BK28:BK59" si="7">COUNT(F28:BI28)</f>
        <v>0</v>
      </c>
    </row>
    <row r="29" spans="1:63" ht="16.5" customHeight="1" x14ac:dyDescent="0.35">
      <c r="A29" s="567"/>
      <c r="B29" s="546" t="s">
        <v>26</v>
      </c>
      <c r="C29" s="567" t="s">
        <v>27</v>
      </c>
      <c r="D29" s="653" t="s">
        <v>28</v>
      </c>
      <c r="E29" s="654"/>
      <c r="F29" s="590"/>
      <c r="G29" s="562"/>
      <c r="H29" s="590"/>
      <c r="I29" s="562"/>
      <c r="J29" s="590"/>
      <c r="K29" s="562"/>
      <c r="L29" s="590"/>
      <c r="M29" s="562"/>
      <c r="N29" s="590"/>
      <c r="O29" s="562"/>
      <c r="P29" s="572"/>
      <c r="Q29" s="587"/>
      <c r="R29" s="572"/>
      <c r="S29" s="587"/>
      <c r="T29" s="590"/>
      <c r="U29" s="562"/>
      <c r="V29" s="590"/>
      <c r="W29" s="562"/>
      <c r="X29" s="590"/>
      <c r="Y29" s="562"/>
      <c r="Z29" s="590"/>
      <c r="AA29" s="562"/>
      <c r="AB29" s="590"/>
      <c r="AC29" s="562"/>
      <c r="AD29" s="572"/>
      <c r="AE29" s="587"/>
      <c r="AF29" s="590"/>
      <c r="AG29" s="562"/>
      <c r="AH29" s="590"/>
      <c r="AI29" s="562"/>
      <c r="AJ29" s="590"/>
      <c r="AK29" s="562"/>
      <c r="AL29" s="590"/>
      <c r="AM29" s="562"/>
      <c r="AN29" s="590"/>
      <c r="AO29" s="562"/>
      <c r="AP29" s="590"/>
      <c r="AQ29" s="562"/>
      <c r="AR29" s="572"/>
      <c r="AS29" s="587"/>
      <c r="AT29" s="590"/>
      <c r="AU29" s="562"/>
      <c r="AV29" s="590"/>
      <c r="AW29" s="562"/>
      <c r="AX29" s="590"/>
      <c r="AY29" s="562"/>
      <c r="AZ29" s="590"/>
      <c r="BA29" s="562"/>
      <c r="BB29" s="590"/>
      <c r="BC29" s="562"/>
      <c r="BD29" s="590"/>
      <c r="BE29" s="562"/>
      <c r="BF29" s="572"/>
      <c r="BG29" s="587"/>
      <c r="BH29" s="590"/>
      <c r="BI29" s="562"/>
      <c r="BJ29" s="535">
        <f t="shared" si="6"/>
        <v>0</v>
      </c>
      <c r="BK29" s="545">
        <f t="shared" si="7"/>
        <v>0</v>
      </c>
    </row>
    <row r="30" spans="1:63" ht="15" customHeight="1" x14ac:dyDescent="0.35">
      <c r="A30" s="579"/>
      <c r="B30" s="546" t="s">
        <v>29</v>
      </c>
      <c r="C30" s="579" t="s">
        <v>30</v>
      </c>
      <c r="D30" s="653" t="s">
        <v>31</v>
      </c>
      <c r="E30" s="654"/>
      <c r="F30" s="590"/>
      <c r="G30" s="562"/>
      <c r="H30" s="590"/>
      <c r="I30" s="562"/>
      <c r="J30" s="590"/>
      <c r="K30" s="562"/>
      <c r="L30" s="590"/>
      <c r="M30" s="562"/>
      <c r="N30" s="590"/>
      <c r="O30" s="562"/>
      <c r="P30" s="572"/>
      <c r="Q30" s="587"/>
      <c r="R30" s="572"/>
      <c r="S30" s="587"/>
      <c r="T30" s="590"/>
      <c r="U30" s="562"/>
      <c r="V30" s="590"/>
      <c r="W30" s="562"/>
      <c r="X30" s="590"/>
      <c r="Y30" s="562"/>
      <c r="Z30" s="590"/>
      <c r="AA30" s="562"/>
      <c r="AB30" s="590"/>
      <c r="AC30" s="562"/>
      <c r="AD30" s="572"/>
      <c r="AE30" s="587"/>
      <c r="AF30" s="590"/>
      <c r="AG30" s="562"/>
      <c r="AH30" s="590"/>
      <c r="AI30" s="562"/>
      <c r="AJ30" s="590"/>
      <c r="AK30" s="562"/>
      <c r="AL30" s="590"/>
      <c r="AM30" s="562"/>
      <c r="AN30" s="590"/>
      <c r="AO30" s="562"/>
      <c r="AP30" s="590"/>
      <c r="AQ30" s="562"/>
      <c r="AR30" s="572"/>
      <c r="AS30" s="587"/>
      <c r="AT30" s="590"/>
      <c r="AU30" s="562"/>
      <c r="AV30" s="590"/>
      <c r="AW30" s="562"/>
      <c r="AX30" s="590"/>
      <c r="AY30" s="562"/>
      <c r="AZ30" s="590"/>
      <c r="BA30" s="562"/>
      <c r="BB30" s="590"/>
      <c r="BC30" s="562"/>
      <c r="BD30" s="590"/>
      <c r="BE30" s="562"/>
      <c r="BF30" s="572"/>
      <c r="BG30" s="587"/>
      <c r="BH30" s="590"/>
      <c r="BI30" s="562"/>
      <c r="BJ30" s="535">
        <f t="shared" si="6"/>
        <v>0</v>
      </c>
      <c r="BK30" s="545">
        <f t="shared" si="7"/>
        <v>0</v>
      </c>
    </row>
    <row r="31" spans="1:63" ht="15" customHeight="1" x14ac:dyDescent="0.35">
      <c r="A31" s="579"/>
      <c r="B31" s="546" t="s">
        <v>26</v>
      </c>
      <c r="C31" s="579" t="s">
        <v>32</v>
      </c>
      <c r="D31" s="653" t="s">
        <v>33</v>
      </c>
      <c r="E31" s="654"/>
      <c r="F31" s="590"/>
      <c r="G31" s="562"/>
      <c r="H31" s="590"/>
      <c r="I31" s="562"/>
      <c r="J31" s="590"/>
      <c r="K31" s="562"/>
      <c r="L31" s="590"/>
      <c r="M31" s="562"/>
      <c r="N31" s="590"/>
      <c r="O31" s="562"/>
      <c r="P31" s="572"/>
      <c r="Q31" s="587"/>
      <c r="R31" s="572"/>
      <c r="S31" s="587"/>
      <c r="T31" s="590"/>
      <c r="U31" s="562"/>
      <c r="V31" s="590"/>
      <c r="W31" s="562"/>
      <c r="X31" s="590"/>
      <c r="Y31" s="562"/>
      <c r="Z31" s="590"/>
      <c r="AA31" s="562"/>
      <c r="AB31" s="590"/>
      <c r="AC31" s="562"/>
      <c r="AD31" s="572"/>
      <c r="AE31" s="587"/>
      <c r="AF31" s="590"/>
      <c r="AG31" s="562"/>
      <c r="AH31" s="590"/>
      <c r="AI31" s="562"/>
      <c r="AJ31" s="590"/>
      <c r="AK31" s="562"/>
      <c r="AL31" s="590"/>
      <c r="AM31" s="562"/>
      <c r="AN31" s="590"/>
      <c r="AO31" s="562"/>
      <c r="AP31" s="590"/>
      <c r="AQ31" s="562"/>
      <c r="AR31" s="572"/>
      <c r="AS31" s="587"/>
      <c r="AT31" s="590"/>
      <c r="AU31" s="562"/>
      <c r="AV31" s="590"/>
      <c r="AW31" s="562"/>
      <c r="AX31" s="590"/>
      <c r="AY31" s="562"/>
      <c r="AZ31" s="590"/>
      <c r="BA31" s="562"/>
      <c r="BB31" s="590"/>
      <c r="BC31" s="562"/>
      <c r="BD31" s="590"/>
      <c r="BE31" s="562"/>
      <c r="BF31" s="572"/>
      <c r="BG31" s="587"/>
      <c r="BH31" s="590"/>
      <c r="BI31" s="562"/>
      <c r="BJ31" s="535">
        <f t="shared" si="6"/>
        <v>0</v>
      </c>
      <c r="BK31" s="545">
        <f t="shared" si="7"/>
        <v>0</v>
      </c>
    </row>
    <row r="32" spans="1:63" ht="15" customHeight="1" x14ac:dyDescent="0.35">
      <c r="A32" s="579"/>
      <c r="B32" s="546" t="s">
        <v>26</v>
      </c>
      <c r="C32" s="579" t="s">
        <v>34</v>
      </c>
      <c r="D32" s="653" t="s">
        <v>35</v>
      </c>
      <c r="E32" s="654"/>
      <c r="F32" s="590"/>
      <c r="G32" s="562"/>
      <c r="H32" s="590"/>
      <c r="I32" s="562"/>
      <c r="J32" s="590"/>
      <c r="K32" s="562"/>
      <c r="L32" s="590"/>
      <c r="M32" s="562"/>
      <c r="N32" s="590"/>
      <c r="O32" s="562"/>
      <c r="P32" s="572"/>
      <c r="Q32" s="587"/>
      <c r="R32" s="572"/>
      <c r="S32" s="587"/>
      <c r="T32" s="590"/>
      <c r="U32" s="562"/>
      <c r="V32" s="590"/>
      <c r="W32" s="562"/>
      <c r="X32" s="590"/>
      <c r="Y32" s="562"/>
      <c r="Z32" s="590"/>
      <c r="AA32" s="562"/>
      <c r="AB32" s="590"/>
      <c r="AC32" s="562"/>
      <c r="AD32" s="572"/>
      <c r="AE32" s="587"/>
      <c r="AF32" s="590"/>
      <c r="AG32" s="562"/>
      <c r="AH32" s="590"/>
      <c r="AI32" s="562"/>
      <c r="AJ32" s="590"/>
      <c r="AK32" s="562"/>
      <c r="AL32" s="590"/>
      <c r="AM32" s="562"/>
      <c r="AN32" s="590"/>
      <c r="AO32" s="562"/>
      <c r="AP32" s="590"/>
      <c r="AQ32" s="562"/>
      <c r="AR32" s="572"/>
      <c r="AS32" s="587"/>
      <c r="AT32" s="590"/>
      <c r="AU32" s="562"/>
      <c r="AV32" s="590"/>
      <c r="AW32" s="562"/>
      <c r="AX32" s="590"/>
      <c r="AY32" s="562"/>
      <c r="AZ32" s="590"/>
      <c r="BA32" s="562"/>
      <c r="BB32" s="590"/>
      <c r="BC32" s="562"/>
      <c r="BD32" s="590"/>
      <c r="BE32" s="562"/>
      <c r="BF32" s="572"/>
      <c r="BG32" s="587"/>
      <c r="BH32" s="590"/>
      <c r="BI32" s="562"/>
      <c r="BJ32" s="535">
        <f t="shared" si="6"/>
        <v>0</v>
      </c>
      <c r="BK32" s="545">
        <f t="shared" si="7"/>
        <v>0</v>
      </c>
    </row>
    <row r="33" spans="1:63" ht="15" customHeight="1" x14ac:dyDescent="0.35">
      <c r="A33" s="579"/>
      <c r="B33" s="546" t="s">
        <v>26</v>
      </c>
      <c r="C33" s="579" t="s">
        <v>36</v>
      </c>
      <c r="D33" s="653" t="s">
        <v>37</v>
      </c>
      <c r="E33" s="654"/>
      <c r="F33" s="590"/>
      <c r="G33" s="562"/>
      <c r="H33" s="590"/>
      <c r="I33" s="562"/>
      <c r="J33" s="590"/>
      <c r="K33" s="562"/>
      <c r="L33" s="590"/>
      <c r="M33" s="562"/>
      <c r="N33" s="590"/>
      <c r="O33" s="562"/>
      <c r="P33" s="572"/>
      <c r="Q33" s="587"/>
      <c r="R33" s="572"/>
      <c r="S33" s="587"/>
      <c r="T33" s="590"/>
      <c r="U33" s="562"/>
      <c r="V33" s="590"/>
      <c r="W33" s="562"/>
      <c r="X33" s="590"/>
      <c r="Y33" s="562"/>
      <c r="Z33" s="590"/>
      <c r="AA33" s="562"/>
      <c r="AB33" s="590"/>
      <c r="AC33" s="562"/>
      <c r="AD33" s="572"/>
      <c r="AE33" s="587"/>
      <c r="AF33" s="590"/>
      <c r="AG33" s="562"/>
      <c r="AH33" s="590"/>
      <c r="AI33" s="562"/>
      <c r="AJ33" s="590"/>
      <c r="AK33" s="562"/>
      <c r="AL33" s="590"/>
      <c r="AM33" s="562"/>
      <c r="AN33" s="590"/>
      <c r="AO33" s="562"/>
      <c r="AP33" s="590"/>
      <c r="AQ33" s="562"/>
      <c r="AR33" s="572"/>
      <c r="AS33" s="587"/>
      <c r="AT33" s="590"/>
      <c r="AU33" s="562"/>
      <c r="AV33" s="590"/>
      <c r="AW33" s="562"/>
      <c r="AX33" s="590"/>
      <c r="AY33" s="562"/>
      <c r="AZ33" s="590"/>
      <c r="BA33" s="562"/>
      <c r="BB33" s="590"/>
      <c r="BC33" s="562"/>
      <c r="BD33" s="590"/>
      <c r="BE33" s="562"/>
      <c r="BF33" s="572"/>
      <c r="BG33" s="587"/>
      <c r="BH33" s="590"/>
      <c r="BI33" s="562"/>
      <c r="BJ33" s="535">
        <f t="shared" si="6"/>
        <v>0</v>
      </c>
      <c r="BK33" s="545">
        <f t="shared" si="7"/>
        <v>0</v>
      </c>
    </row>
    <row r="34" spans="1:63" ht="15" customHeight="1" x14ac:dyDescent="0.35">
      <c r="A34" s="579"/>
      <c r="B34" s="546" t="s">
        <v>26</v>
      </c>
      <c r="C34" s="567" t="s">
        <v>38</v>
      </c>
      <c r="D34" s="653" t="s">
        <v>39</v>
      </c>
      <c r="E34" s="654"/>
      <c r="F34" s="590"/>
      <c r="G34" s="562"/>
      <c r="H34" s="590"/>
      <c r="I34" s="562"/>
      <c r="J34" s="590"/>
      <c r="K34" s="562"/>
      <c r="L34" s="590"/>
      <c r="M34" s="562"/>
      <c r="N34" s="590"/>
      <c r="O34" s="562"/>
      <c r="P34" s="572"/>
      <c r="Q34" s="587"/>
      <c r="R34" s="572"/>
      <c r="S34" s="587"/>
      <c r="T34" s="590"/>
      <c r="U34" s="562"/>
      <c r="V34" s="590"/>
      <c r="W34" s="562"/>
      <c r="X34" s="590"/>
      <c r="Y34" s="562"/>
      <c r="Z34" s="590"/>
      <c r="AA34" s="562"/>
      <c r="AB34" s="590"/>
      <c r="AC34" s="562"/>
      <c r="AD34" s="572"/>
      <c r="AE34" s="587"/>
      <c r="AF34" s="590"/>
      <c r="AG34" s="562"/>
      <c r="AH34" s="590"/>
      <c r="AI34" s="562"/>
      <c r="AJ34" s="590"/>
      <c r="AK34" s="562"/>
      <c r="AL34" s="590"/>
      <c r="AM34" s="562"/>
      <c r="AN34" s="590"/>
      <c r="AO34" s="562"/>
      <c r="AP34" s="590"/>
      <c r="AQ34" s="562"/>
      <c r="AR34" s="572"/>
      <c r="AS34" s="587"/>
      <c r="AT34" s="590"/>
      <c r="AU34" s="562"/>
      <c r="AV34" s="590"/>
      <c r="AW34" s="562"/>
      <c r="AX34" s="590"/>
      <c r="AY34" s="562"/>
      <c r="AZ34" s="590"/>
      <c r="BA34" s="562"/>
      <c r="BB34" s="590"/>
      <c r="BC34" s="562"/>
      <c r="BD34" s="590"/>
      <c r="BE34" s="562"/>
      <c r="BF34" s="572"/>
      <c r="BG34" s="587"/>
      <c r="BH34" s="590"/>
      <c r="BI34" s="562"/>
      <c r="BJ34" s="535">
        <f t="shared" si="6"/>
        <v>0</v>
      </c>
      <c r="BK34" s="545">
        <f t="shared" si="7"/>
        <v>0</v>
      </c>
    </row>
    <row r="35" spans="1:63" ht="15" customHeight="1" x14ac:dyDescent="0.35">
      <c r="A35" s="579"/>
      <c r="B35" s="546" t="s">
        <v>26</v>
      </c>
      <c r="C35" s="579" t="s">
        <v>40</v>
      </c>
      <c r="D35" s="653" t="s">
        <v>41</v>
      </c>
      <c r="E35" s="654"/>
      <c r="F35" s="590"/>
      <c r="G35" s="562"/>
      <c r="H35" s="590"/>
      <c r="I35" s="562"/>
      <c r="J35" s="590"/>
      <c r="K35" s="562"/>
      <c r="L35" s="590"/>
      <c r="M35" s="562"/>
      <c r="N35" s="590"/>
      <c r="O35" s="562"/>
      <c r="P35" s="572"/>
      <c r="Q35" s="587"/>
      <c r="R35" s="572"/>
      <c r="S35" s="587"/>
      <c r="T35" s="590"/>
      <c r="U35" s="562"/>
      <c r="V35" s="590"/>
      <c r="W35" s="562"/>
      <c r="X35" s="590"/>
      <c r="Y35" s="562"/>
      <c r="Z35" s="590"/>
      <c r="AA35" s="562"/>
      <c r="AB35" s="590"/>
      <c r="AC35" s="562"/>
      <c r="AD35" s="572"/>
      <c r="AE35" s="587"/>
      <c r="AF35" s="590"/>
      <c r="AG35" s="562"/>
      <c r="AH35" s="590"/>
      <c r="AI35" s="562"/>
      <c r="AJ35" s="590"/>
      <c r="AK35" s="562"/>
      <c r="AL35" s="590"/>
      <c r="AM35" s="562"/>
      <c r="AN35" s="590"/>
      <c r="AO35" s="562"/>
      <c r="AP35" s="590"/>
      <c r="AQ35" s="562"/>
      <c r="AR35" s="572"/>
      <c r="AS35" s="587"/>
      <c r="AT35" s="590"/>
      <c r="AU35" s="562"/>
      <c r="AV35" s="590"/>
      <c r="AW35" s="562"/>
      <c r="AX35" s="590"/>
      <c r="AY35" s="562"/>
      <c r="AZ35" s="590"/>
      <c r="BA35" s="562"/>
      <c r="BB35" s="590"/>
      <c r="BC35" s="562"/>
      <c r="BD35" s="590"/>
      <c r="BE35" s="562"/>
      <c r="BF35" s="572"/>
      <c r="BG35" s="587"/>
      <c r="BH35" s="590"/>
      <c r="BI35" s="562"/>
      <c r="BJ35" s="535">
        <f t="shared" si="6"/>
        <v>0</v>
      </c>
      <c r="BK35" s="545">
        <f t="shared" si="7"/>
        <v>0</v>
      </c>
    </row>
    <row r="36" spans="1:63" ht="15" customHeight="1" x14ac:dyDescent="0.35">
      <c r="A36" s="579"/>
      <c r="B36" s="546" t="s">
        <v>26</v>
      </c>
      <c r="C36" s="567" t="s">
        <v>42</v>
      </c>
      <c r="D36" s="653" t="s">
        <v>43</v>
      </c>
      <c r="E36" s="654"/>
      <c r="F36" s="590"/>
      <c r="G36" s="562"/>
      <c r="H36" s="590"/>
      <c r="I36" s="562"/>
      <c r="J36" s="590"/>
      <c r="K36" s="562"/>
      <c r="L36" s="590"/>
      <c r="M36" s="562"/>
      <c r="N36" s="590"/>
      <c r="O36" s="562"/>
      <c r="P36" s="572"/>
      <c r="Q36" s="587"/>
      <c r="R36" s="572"/>
      <c r="S36" s="587"/>
      <c r="T36" s="590"/>
      <c r="U36" s="562"/>
      <c r="V36" s="590"/>
      <c r="W36" s="562"/>
      <c r="X36" s="590"/>
      <c r="Y36" s="562"/>
      <c r="Z36" s="590"/>
      <c r="AA36" s="562"/>
      <c r="AB36" s="590"/>
      <c r="AC36" s="562"/>
      <c r="AD36" s="572"/>
      <c r="AE36" s="587"/>
      <c r="AF36" s="590"/>
      <c r="AG36" s="562"/>
      <c r="AH36" s="590"/>
      <c r="AI36" s="562"/>
      <c r="AJ36" s="590"/>
      <c r="AK36" s="562"/>
      <c r="AL36" s="590"/>
      <c r="AM36" s="562"/>
      <c r="AN36" s="590"/>
      <c r="AO36" s="562"/>
      <c r="AP36" s="590"/>
      <c r="AQ36" s="562"/>
      <c r="AR36" s="572"/>
      <c r="AS36" s="587"/>
      <c r="AT36" s="590"/>
      <c r="AU36" s="562"/>
      <c r="AV36" s="590"/>
      <c r="AW36" s="562"/>
      <c r="AX36" s="590"/>
      <c r="AY36" s="562"/>
      <c r="AZ36" s="590"/>
      <c r="BA36" s="562"/>
      <c r="BB36" s="590"/>
      <c r="BC36" s="562"/>
      <c r="BD36" s="590"/>
      <c r="BE36" s="562"/>
      <c r="BF36" s="572"/>
      <c r="BG36" s="587"/>
      <c r="BH36" s="590"/>
      <c r="BI36" s="562"/>
      <c r="BJ36" s="535">
        <f t="shared" si="6"/>
        <v>0</v>
      </c>
      <c r="BK36" s="545">
        <f t="shared" si="7"/>
        <v>0</v>
      </c>
    </row>
    <row r="37" spans="1:63" ht="15" customHeight="1" x14ac:dyDescent="0.35">
      <c r="A37" s="579"/>
      <c r="B37" s="546" t="s">
        <v>44</v>
      </c>
      <c r="C37" s="579" t="s">
        <v>45</v>
      </c>
      <c r="D37" s="653" t="s">
        <v>43</v>
      </c>
      <c r="E37" s="654"/>
      <c r="F37" s="590"/>
      <c r="G37" s="562"/>
      <c r="H37" s="590"/>
      <c r="I37" s="562"/>
      <c r="J37" s="590"/>
      <c r="K37" s="562"/>
      <c r="L37" s="590"/>
      <c r="M37" s="562"/>
      <c r="N37" s="590"/>
      <c r="O37" s="562"/>
      <c r="P37" s="572"/>
      <c r="Q37" s="587"/>
      <c r="R37" s="572"/>
      <c r="S37" s="587"/>
      <c r="T37" s="590"/>
      <c r="U37" s="562"/>
      <c r="V37" s="590"/>
      <c r="W37" s="562"/>
      <c r="X37" s="590"/>
      <c r="Y37" s="562"/>
      <c r="Z37" s="590"/>
      <c r="AA37" s="562"/>
      <c r="AB37" s="590"/>
      <c r="AC37" s="562"/>
      <c r="AD37" s="572"/>
      <c r="AE37" s="587"/>
      <c r="AF37" s="590"/>
      <c r="AG37" s="562"/>
      <c r="AH37" s="590"/>
      <c r="AI37" s="562"/>
      <c r="AJ37" s="590"/>
      <c r="AK37" s="562"/>
      <c r="AL37" s="590"/>
      <c r="AM37" s="562"/>
      <c r="AN37" s="590"/>
      <c r="AO37" s="562"/>
      <c r="AP37" s="590"/>
      <c r="AQ37" s="562"/>
      <c r="AR37" s="572"/>
      <c r="AS37" s="587"/>
      <c r="AT37" s="590"/>
      <c r="AU37" s="562"/>
      <c r="AV37" s="590"/>
      <c r="AW37" s="562"/>
      <c r="AX37" s="590"/>
      <c r="AY37" s="562"/>
      <c r="AZ37" s="590"/>
      <c r="BA37" s="562"/>
      <c r="BB37" s="590"/>
      <c r="BC37" s="562"/>
      <c r="BD37" s="590"/>
      <c r="BE37" s="562"/>
      <c r="BF37" s="572"/>
      <c r="BG37" s="587"/>
      <c r="BH37" s="590"/>
      <c r="BI37" s="562"/>
      <c r="BJ37" s="535">
        <f t="shared" si="6"/>
        <v>0</v>
      </c>
      <c r="BK37" s="545">
        <f t="shared" si="7"/>
        <v>0</v>
      </c>
    </row>
    <row r="38" spans="1:63" ht="15" customHeight="1" x14ac:dyDescent="0.35">
      <c r="A38" s="579"/>
      <c r="B38" s="546" t="s">
        <v>46</v>
      </c>
      <c r="C38" s="579" t="s">
        <v>47</v>
      </c>
      <c r="D38" s="653" t="s">
        <v>48</v>
      </c>
      <c r="E38" s="654"/>
      <c r="F38" s="590"/>
      <c r="G38" s="562"/>
      <c r="H38" s="590"/>
      <c r="I38" s="562"/>
      <c r="J38" s="590"/>
      <c r="K38" s="562"/>
      <c r="L38" s="590"/>
      <c r="M38" s="562"/>
      <c r="N38" s="590"/>
      <c r="O38" s="562"/>
      <c r="P38" s="572"/>
      <c r="Q38" s="587"/>
      <c r="R38" s="572"/>
      <c r="S38" s="587"/>
      <c r="T38" s="590"/>
      <c r="U38" s="562"/>
      <c r="V38" s="590"/>
      <c r="W38" s="562"/>
      <c r="X38" s="590"/>
      <c r="Y38" s="562"/>
      <c r="Z38" s="590"/>
      <c r="AA38" s="562"/>
      <c r="AB38" s="590"/>
      <c r="AC38" s="562"/>
      <c r="AD38" s="572"/>
      <c r="AE38" s="587"/>
      <c r="AF38" s="590"/>
      <c r="AG38" s="562"/>
      <c r="AH38" s="590"/>
      <c r="AI38" s="562"/>
      <c r="AJ38" s="590"/>
      <c r="AK38" s="562"/>
      <c r="AL38" s="590"/>
      <c r="AM38" s="562"/>
      <c r="AN38" s="590"/>
      <c r="AO38" s="562"/>
      <c r="AP38" s="590"/>
      <c r="AQ38" s="562"/>
      <c r="AR38" s="572"/>
      <c r="AS38" s="587"/>
      <c r="AT38" s="590"/>
      <c r="AU38" s="562"/>
      <c r="AV38" s="590"/>
      <c r="AW38" s="562"/>
      <c r="AX38" s="590"/>
      <c r="AY38" s="562"/>
      <c r="AZ38" s="590"/>
      <c r="BA38" s="562"/>
      <c r="BB38" s="590"/>
      <c r="BC38" s="562"/>
      <c r="BD38" s="590"/>
      <c r="BE38" s="562"/>
      <c r="BF38" s="572"/>
      <c r="BG38" s="587"/>
      <c r="BH38" s="590"/>
      <c r="BI38" s="562"/>
      <c r="BJ38" s="535">
        <f t="shared" si="6"/>
        <v>0</v>
      </c>
      <c r="BK38" s="545">
        <f t="shared" si="7"/>
        <v>0</v>
      </c>
    </row>
    <row r="39" spans="1:63" ht="15" customHeight="1" x14ac:dyDescent="0.35">
      <c r="A39" s="579"/>
      <c r="B39" s="546" t="s">
        <v>26</v>
      </c>
      <c r="C39" s="579" t="s">
        <v>49</v>
      </c>
      <c r="D39" s="653" t="s">
        <v>50</v>
      </c>
      <c r="E39" s="654"/>
      <c r="F39" s="590"/>
      <c r="G39" s="562"/>
      <c r="H39" s="590"/>
      <c r="I39" s="562"/>
      <c r="J39" s="590"/>
      <c r="K39" s="562"/>
      <c r="L39" s="590"/>
      <c r="M39" s="562"/>
      <c r="N39" s="590"/>
      <c r="O39" s="562"/>
      <c r="P39" s="572"/>
      <c r="Q39" s="587"/>
      <c r="R39" s="572"/>
      <c r="S39" s="587"/>
      <c r="T39" s="590"/>
      <c r="U39" s="562"/>
      <c r="V39" s="590"/>
      <c r="W39" s="562"/>
      <c r="X39" s="590"/>
      <c r="Y39" s="562"/>
      <c r="Z39" s="590"/>
      <c r="AA39" s="562"/>
      <c r="AB39" s="590"/>
      <c r="AC39" s="562"/>
      <c r="AD39" s="572"/>
      <c r="AE39" s="587"/>
      <c r="AF39" s="590"/>
      <c r="AG39" s="562"/>
      <c r="AH39" s="590"/>
      <c r="AI39" s="562"/>
      <c r="AJ39" s="590"/>
      <c r="AK39" s="562"/>
      <c r="AL39" s="590"/>
      <c r="AM39" s="562"/>
      <c r="AN39" s="590"/>
      <c r="AO39" s="562"/>
      <c r="AP39" s="590"/>
      <c r="AQ39" s="562"/>
      <c r="AR39" s="572"/>
      <c r="AS39" s="587"/>
      <c r="AT39" s="590"/>
      <c r="AU39" s="562"/>
      <c r="AV39" s="590"/>
      <c r="AW39" s="562"/>
      <c r="AX39" s="590"/>
      <c r="AY39" s="562"/>
      <c r="AZ39" s="590"/>
      <c r="BA39" s="562"/>
      <c r="BB39" s="590"/>
      <c r="BC39" s="562"/>
      <c r="BD39" s="590"/>
      <c r="BE39" s="562"/>
      <c r="BF39" s="572"/>
      <c r="BG39" s="587"/>
      <c r="BH39" s="590"/>
      <c r="BI39" s="562"/>
      <c r="BJ39" s="535">
        <f t="shared" si="6"/>
        <v>0</v>
      </c>
      <c r="BK39" s="545">
        <f t="shared" si="7"/>
        <v>0</v>
      </c>
    </row>
    <row r="40" spans="1:63" ht="15" customHeight="1" x14ac:dyDescent="0.35">
      <c r="A40" s="579"/>
      <c r="B40" s="546" t="s">
        <v>26</v>
      </c>
      <c r="C40" s="567" t="s">
        <v>51</v>
      </c>
      <c r="D40" s="653" t="s">
        <v>52</v>
      </c>
      <c r="E40" s="654"/>
      <c r="F40" s="590"/>
      <c r="G40" s="562"/>
      <c r="H40" s="590"/>
      <c r="I40" s="562"/>
      <c r="J40" s="590"/>
      <c r="K40" s="562"/>
      <c r="L40" s="590"/>
      <c r="M40" s="562"/>
      <c r="N40" s="590"/>
      <c r="O40" s="562"/>
      <c r="P40" s="572"/>
      <c r="Q40" s="587"/>
      <c r="R40" s="572"/>
      <c r="S40" s="587"/>
      <c r="T40" s="590"/>
      <c r="U40" s="562"/>
      <c r="V40" s="590"/>
      <c r="W40" s="562"/>
      <c r="X40" s="590"/>
      <c r="Y40" s="562"/>
      <c r="Z40" s="590"/>
      <c r="AA40" s="562"/>
      <c r="AB40" s="590"/>
      <c r="AC40" s="562"/>
      <c r="AD40" s="572"/>
      <c r="AE40" s="587"/>
      <c r="AF40" s="590"/>
      <c r="AG40" s="562"/>
      <c r="AH40" s="590"/>
      <c r="AI40" s="562"/>
      <c r="AJ40" s="590"/>
      <c r="AK40" s="562"/>
      <c r="AL40" s="590"/>
      <c r="AM40" s="562"/>
      <c r="AN40" s="590"/>
      <c r="AO40" s="562"/>
      <c r="AP40" s="590"/>
      <c r="AQ40" s="562"/>
      <c r="AR40" s="572"/>
      <c r="AS40" s="587"/>
      <c r="AT40" s="590"/>
      <c r="AU40" s="562"/>
      <c r="AV40" s="590"/>
      <c r="AW40" s="562"/>
      <c r="AX40" s="590"/>
      <c r="AY40" s="562"/>
      <c r="AZ40" s="590"/>
      <c r="BA40" s="562"/>
      <c r="BB40" s="590"/>
      <c r="BC40" s="562"/>
      <c r="BD40" s="590"/>
      <c r="BE40" s="562"/>
      <c r="BF40" s="572"/>
      <c r="BG40" s="587"/>
      <c r="BH40" s="590"/>
      <c r="BI40" s="562"/>
      <c r="BJ40" s="535">
        <f t="shared" si="6"/>
        <v>0</v>
      </c>
      <c r="BK40" s="545">
        <f t="shared" si="7"/>
        <v>0</v>
      </c>
    </row>
    <row r="41" spans="1:63" ht="15" customHeight="1" x14ac:dyDescent="0.35">
      <c r="A41" s="579"/>
      <c r="B41" s="546" t="s">
        <v>26</v>
      </c>
      <c r="C41" s="579" t="s">
        <v>53</v>
      </c>
      <c r="D41" s="653" t="s">
        <v>54</v>
      </c>
      <c r="E41" s="654"/>
      <c r="F41" s="590"/>
      <c r="G41" s="562"/>
      <c r="H41" s="590"/>
      <c r="I41" s="562"/>
      <c r="J41" s="590"/>
      <c r="K41" s="562"/>
      <c r="L41" s="590"/>
      <c r="M41" s="562"/>
      <c r="N41" s="590"/>
      <c r="O41" s="562"/>
      <c r="P41" s="572"/>
      <c r="Q41" s="587"/>
      <c r="R41" s="572"/>
      <c r="S41" s="587"/>
      <c r="T41" s="590"/>
      <c r="U41" s="562"/>
      <c r="V41" s="590"/>
      <c r="W41" s="562"/>
      <c r="X41" s="590"/>
      <c r="Y41" s="562"/>
      <c r="Z41" s="590"/>
      <c r="AA41" s="562"/>
      <c r="AB41" s="590"/>
      <c r="AC41" s="562"/>
      <c r="AD41" s="572"/>
      <c r="AE41" s="587"/>
      <c r="AF41" s="590"/>
      <c r="AG41" s="562"/>
      <c r="AH41" s="590"/>
      <c r="AI41" s="562"/>
      <c r="AJ41" s="590"/>
      <c r="AK41" s="562"/>
      <c r="AL41" s="590"/>
      <c r="AM41" s="562"/>
      <c r="AN41" s="590"/>
      <c r="AO41" s="562"/>
      <c r="AP41" s="590"/>
      <c r="AQ41" s="562"/>
      <c r="AR41" s="572"/>
      <c r="AS41" s="587"/>
      <c r="AT41" s="590"/>
      <c r="AU41" s="562"/>
      <c r="AV41" s="590"/>
      <c r="AW41" s="562"/>
      <c r="AX41" s="590"/>
      <c r="AY41" s="562"/>
      <c r="AZ41" s="590"/>
      <c r="BA41" s="562"/>
      <c r="BB41" s="590"/>
      <c r="BC41" s="562"/>
      <c r="BD41" s="590"/>
      <c r="BE41" s="562"/>
      <c r="BF41" s="572"/>
      <c r="BG41" s="587"/>
      <c r="BH41" s="590"/>
      <c r="BI41" s="562"/>
      <c r="BJ41" s="535">
        <f t="shared" si="6"/>
        <v>0</v>
      </c>
      <c r="BK41" s="545">
        <f t="shared" si="7"/>
        <v>0</v>
      </c>
    </row>
    <row r="42" spans="1:63" ht="15" customHeight="1" x14ac:dyDescent="0.35">
      <c r="A42" s="579"/>
      <c r="B42" s="546" t="s">
        <v>26</v>
      </c>
      <c r="C42" s="567" t="s">
        <v>55</v>
      </c>
      <c r="D42" s="653" t="s">
        <v>56</v>
      </c>
      <c r="E42" s="654"/>
      <c r="F42" s="590"/>
      <c r="G42" s="562"/>
      <c r="H42" s="590"/>
      <c r="I42" s="562"/>
      <c r="J42" s="590"/>
      <c r="K42" s="562"/>
      <c r="L42" s="590"/>
      <c r="M42" s="562"/>
      <c r="N42" s="590"/>
      <c r="O42" s="562"/>
      <c r="P42" s="572"/>
      <c r="Q42" s="587"/>
      <c r="R42" s="572"/>
      <c r="S42" s="587"/>
      <c r="T42" s="590"/>
      <c r="U42" s="562"/>
      <c r="V42" s="590"/>
      <c r="W42" s="562"/>
      <c r="X42" s="590"/>
      <c r="Y42" s="562"/>
      <c r="Z42" s="590"/>
      <c r="AA42" s="562"/>
      <c r="AB42" s="590"/>
      <c r="AC42" s="562"/>
      <c r="AD42" s="572"/>
      <c r="AE42" s="587"/>
      <c r="AF42" s="590"/>
      <c r="AG42" s="562"/>
      <c r="AH42" s="590"/>
      <c r="AI42" s="562"/>
      <c r="AJ42" s="590"/>
      <c r="AK42" s="562"/>
      <c r="AL42" s="590"/>
      <c r="AM42" s="562"/>
      <c r="AN42" s="590"/>
      <c r="AO42" s="562"/>
      <c r="AP42" s="590"/>
      <c r="AQ42" s="562"/>
      <c r="AR42" s="572"/>
      <c r="AS42" s="587"/>
      <c r="AT42" s="590"/>
      <c r="AU42" s="562"/>
      <c r="AV42" s="590"/>
      <c r="AW42" s="562"/>
      <c r="AX42" s="590"/>
      <c r="AY42" s="562"/>
      <c r="AZ42" s="590"/>
      <c r="BA42" s="562"/>
      <c r="BB42" s="590"/>
      <c r="BC42" s="562"/>
      <c r="BD42" s="590"/>
      <c r="BE42" s="562"/>
      <c r="BF42" s="572"/>
      <c r="BG42" s="587"/>
      <c r="BH42" s="590"/>
      <c r="BI42" s="562"/>
      <c r="BJ42" s="535">
        <f t="shared" si="6"/>
        <v>0</v>
      </c>
      <c r="BK42" s="545">
        <f t="shared" si="7"/>
        <v>0</v>
      </c>
    </row>
    <row r="43" spans="1:63" ht="15" customHeight="1" x14ac:dyDescent="0.35">
      <c r="A43" s="579"/>
      <c r="B43" s="546" t="s">
        <v>26</v>
      </c>
      <c r="C43" s="579" t="s">
        <v>57</v>
      </c>
      <c r="D43" s="653" t="s">
        <v>58</v>
      </c>
      <c r="E43" s="654"/>
      <c r="F43" s="590"/>
      <c r="G43" s="562"/>
      <c r="H43" s="590"/>
      <c r="I43" s="562"/>
      <c r="J43" s="590"/>
      <c r="K43" s="562"/>
      <c r="L43" s="590"/>
      <c r="M43" s="562"/>
      <c r="N43" s="590"/>
      <c r="O43" s="562"/>
      <c r="P43" s="572"/>
      <c r="Q43" s="587"/>
      <c r="R43" s="572"/>
      <c r="S43" s="587"/>
      <c r="T43" s="590"/>
      <c r="U43" s="562"/>
      <c r="V43" s="590"/>
      <c r="W43" s="562"/>
      <c r="X43" s="590"/>
      <c r="Y43" s="562"/>
      <c r="Z43" s="590"/>
      <c r="AA43" s="562"/>
      <c r="AB43" s="590"/>
      <c r="AC43" s="562"/>
      <c r="AD43" s="572"/>
      <c r="AE43" s="587"/>
      <c r="AF43" s="590"/>
      <c r="AG43" s="562"/>
      <c r="AH43" s="590"/>
      <c r="AI43" s="562"/>
      <c r="AJ43" s="590"/>
      <c r="AK43" s="562"/>
      <c r="AL43" s="590"/>
      <c r="AM43" s="562"/>
      <c r="AN43" s="590"/>
      <c r="AO43" s="562"/>
      <c r="AP43" s="590"/>
      <c r="AQ43" s="562"/>
      <c r="AR43" s="572"/>
      <c r="AS43" s="587"/>
      <c r="AT43" s="590"/>
      <c r="AU43" s="562"/>
      <c r="AV43" s="590"/>
      <c r="AW43" s="562"/>
      <c r="AX43" s="590"/>
      <c r="AY43" s="562"/>
      <c r="AZ43" s="590"/>
      <c r="BA43" s="562"/>
      <c r="BB43" s="590"/>
      <c r="BC43" s="562"/>
      <c r="BD43" s="590"/>
      <c r="BE43" s="562"/>
      <c r="BF43" s="572"/>
      <c r="BG43" s="587"/>
      <c r="BH43" s="590"/>
      <c r="BI43" s="562"/>
      <c r="BJ43" s="535">
        <f t="shared" si="6"/>
        <v>0</v>
      </c>
      <c r="BK43" s="545">
        <f t="shared" si="7"/>
        <v>0</v>
      </c>
    </row>
    <row r="44" spans="1:63" ht="15" customHeight="1" x14ac:dyDescent="0.35">
      <c r="A44" s="579"/>
      <c r="B44" s="546" t="s">
        <v>29</v>
      </c>
      <c r="C44" s="579" t="s">
        <v>59</v>
      </c>
      <c r="D44" s="653" t="s">
        <v>60</v>
      </c>
      <c r="E44" s="654"/>
      <c r="F44" s="590"/>
      <c r="G44" s="562"/>
      <c r="H44" s="590"/>
      <c r="I44" s="562"/>
      <c r="J44" s="590"/>
      <c r="K44" s="562"/>
      <c r="L44" s="590"/>
      <c r="M44" s="562"/>
      <c r="N44" s="590"/>
      <c r="O44" s="562"/>
      <c r="P44" s="572"/>
      <c r="Q44" s="587"/>
      <c r="R44" s="572"/>
      <c r="S44" s="587"/>
      <c r="T44" s="590"/>
      <c r="U44" s="562"/>
      <c r="V44" s="590"/>
      <c r="W44" s="562"/>
      <c r="X44" s="590"/>
      <c r="Y44" s="562"/>
      <c r="Z44" s="590"/>
      <c r="AA44" s="562"/>
      <c r="AB44" s="590"/>
      <c r="AC44" s="562"/>
      <c r="AD44" s="572"/>
      <c r="AE44" s="587"/>
      <c r="AF44" s="590"/>
      <c r="AG44" s="562"/>
      <c r="AH44" s="590"/>
      <c r="AI44" s="562"/>
      <c r="AJ44" s="590"/>
      <c r="AK44" s="562"/>
      <c r="AL44" s="590"/>
      <c r="AM44" s="562"/>
      <c r="AN44" s="590"/>
      <c r="AO44" s="562"/>
      <c r="AP44" s="590"/>
      <c r="AQ44" s="562"/>
      <c r="AR44" s="572"/>
      <c r="AS44" s="587"/>
      <c r="AT44" s="590"/>
      <c r="AU44" s="562"/>
      <c r="AV44" s="590"/>
      <c r="AW44" s="562"/>
      <c r="AX44" s="590"/>
      <c r="AY44" s="562"/>
      <c r="AZ44" s="590"/>
      <c r="BA44" s="562"/>
      <c r="BB44" s="590"/>
      <c r="BC44" s="562"/>
      <c r="BD44" s="590"/>
      <c r="BE44" s="562"/>
      <c r="BF44" s="572"/>
      <c r="BG44" s="587"/>
      <c r="BH44" s="590"/>
      <c r="BI44" s="562"/>
      <c r="BJ44" s="535">
        <f t="shared" si="6"/>
        <v>0</v>
      </c>
      <c r="BK44" s="545">
        <f t="shared" si="7"/>
        <v>0</v>
      </c>
    </row>
    <row r="45" spans="1:63" ht="15" customHeight="1" x14ac:dyDescent="0.35">
      <c r="A45" s="579"/>
      <c r="B45" s="546" t="s">
        <v>46</v>
      </c>
      <c r="C45" s="579" t="s">
        <v>61</v>
      </c>
      <c r="D45" s="653" t="s">
        <v>62</v>
      </c>
      <c r="E45" s="654"/>
      <c r="F45" s="590"/>
      <c r="G45" s="562"/>
      <c r="H45" s="590"/>
      <c r="I45" s="562"/>
      <c r="J45" s="590"/>
      <c r="K45" s="562"/>
      <c r="L45" s="590"/>
      <c r="M45" s="562"/>
      <c r="N45" s="590"/>
      <c r="O45" s="562"/>
      <c r="P45" s="572"/>
      <c r="Q45" s="587"/>
      <c r="R45" s="572"/>
      <c r="S45" s="587"/>
      <c r="T45" s="590"/>
      <c r="U45" s="562"/>
      <c r="V45" s="590"/>
      <c r="W45" s="562"/>
      <c r="X45" s="590"/>
      <c r="Y45" s="562"/>
      <c r="Z45" s="590"/>
      <c r="AA45" s="562"/>
      <c r="AB45" s="590"/>
      <c r="AC45" s="562"/>
      <c r="AD45" s="572"/>
      <c r="AE45" s="587"/>
      <c r="AF45" s="590"/>
      <c r="AG45" s="562"/>
      <c r="AH45" s="590"/>
      <c r="AI45" s="562"/>
      <c r="AJ45" s="590"/>
      <c r="AK45" s="562"/>
      <c r="AL45" s="590"/>
      <c r="AM45" s="562"/>
      <c r="AN45" s="590"/>
      <c r="AO45" s="562"/>
      <c r="AP45" s="590"/>
      <c r="AQ45" s="562"/>
      <c r="AR45" s="572"/>
      <c r="AS45" s="587"/>
      <c r="AT45" s="590"/>
      <c r="AU45" s="562"/>
      <c r="AV45" s="590"/>
      <c r="AW45" s="562"/>
      <c r="AX45" s="590"/>
      <c r="AY45" s="562"/>
      <c r="AZ45" s="590"/>
      <c r="BA45" s="562"/>
      <c r="BB45" s="590"/>
      <c r="BC45" s="562"/>
      <c r="BD45" s="590"/>
      <c r="BE45" s="562"/>
      <c r="BF45" s="572"/>
      <c r="BG45" s="587"/>
      <c r="BH45" s="590"/>
      <c r="BI45" s="562"/>
      <c r="BJ45" s="535">
        <f t="shared" si="6"/>
        <v>0</v>
      </c>
      <c r="BK45" s="545">
        <f t="shared" si="7"/>
        <v>0</v>
      </c>
    </row>
    <row r="46" spans="1:63" ht="15" customHeight="1" x14ac:dyDescent="0.35">
      <c r="A46" s="579"/>
      <c r="B46" s="546" t="s">
        <v>26</v>
      </c>
      <c r="C46" s="567" t="s">
        <v>63</v>
      </c>
      <c r="D46" s="653" t="s">
        <v>64</v>
      </c>
      <c r="E46" s="654"/>
      <c r="F46" s="590"/>
      <c r="G46" s="562"/>
      <c r="H46" s="590"/>
      <c r="I46" s="562"/>
      <c r="J46" s="590"/>
      <c r="K46" s="562"/>
      <c r="L46" s="590"/>
      <c r="M46" s="562"/>
      <c r="N46" s="590"/>
      <c r="O46" s="562"/>
      <c r="P46" s="572"/>
      <c r="Q46" s="587"/>
      <c r="R46" s="572"/>
      <c r="S46" s="587"/>
      <c r="T46" s="590"/>
      <c r="U46" s="562"/>
      <c r="V46" s="590"/>
      <c r="W46" s="562"/>
      <c r="X46" s="590"/>
      <c r="Y46" s="562"/>
      <c r="Z46" s="590"/>
      <c r="AA46" s="562"/>
      <c r="AB46" s="590"/>
      <c r="AC46" s="562"/>
      <c r="AD46" s="572"/>
      <c r="AE46" s="587"/>
      <c r="AF46" s="590"/>
      <c r="AG46" s="562"/>
      <c r="AH46" s="590"/>
      <c r="AI46" s="562"/>
      <c r="AJ46" s="590"/>
      <c r="AK46" s="562"/>
      <c r="AL46" s="590"/>
      <c r="AM46" s="562"/>
      <c r="AN46" s="590"/>
      <c r="AO46" s="562"/>
      <c r="AP46" s="590"/>
      <c r="AQ46" s="562"/>
      <c r="AR46" s="572"/>
      <c r="AS46" s="587"/>
      <c r="AT46" s="590"/>
      <c r="AU46" s="562"/>
      <c r="AV46" s="590"/>
      <c r="AW46" s="562"/>
      <c r="AX46" s="590"/>
      <c r="AY46" s="562"/>
      <c r="AZ46" s="590"/>
      <c r="BA46" s="562"/>
      <c r="BB46" s="590"/>
      <c r="BC46" s="562"/>
      <c r="BD46" s="590"/>
      <c r="BE46" s="562"/>
      <c r="BF46" s="572"/>
      <c r="BG46" s="587"/>
      <c r="BH46" s="590"/>
      <c r="BI46" s="562"/>
      <c r="BJ46" s="535">
        <f t="shared" si="6"/>
        <v>0</v>
      </c>
      <c r="BK46" s="545">
        <f t="shared" si="7"/>
        <v>0</v>
      </c>
    </row>
    <row r="47" spans="1:63" ht="15" customHeight="1" x14ac:dyDescent="0.35">
      <c r="A47" s="579"/>
      <c r="B47" s="546" t="s">
        <v>29</v>
      </c>
      <c r="C47" s="579" t="s">
        <v>65</v>
      </c>
      <c r="D47" s="653" t="s">
        <v>66</v>
      </c>
      <c r="E47" s="654"/>
      <c r="F47" s="590"/>
      <c r="G47" s="562"/>
      <c r="H47" s="590"/>
      <c r="I47" s="562"/>
      <c r="J47" s="590"/>
      <c r="K47" s="562"/>
      <c r="L47" s="590"/>
      <c r="M47" s="562"/>
      <c r="N47" s="590"/>
      <c r="O47" s="562"/>
      <c r="P47" s="572"/>
      <c r="Q47" s="587"/>
      <c r="R47" s="572"/>
      <c r="S47" s="587"/>
      <c r="T47" s="590"/>
      <c r="U47" s="562"/>
      <c r="V47" s="590"/>
      <c r="W47" s="562"/>
      <c r="X47" s="590"/>
      <c r="Y47" s="562"/>
      <c r="Z47" s="590"/>
      <c r="AA47" s="562"/>
      <c r="AB47" s="590"/>
      <c r="AC47" s="562"/>
      <c r="AD47" s="572"/>
      <c r="AE47" s="587"/>
      <c r="AF47" s="590"/>
      <c r="AG47" s="562"/>
      <c r="AH47" s="590"/>
      <c r="AI47" s="562"/>
      <c r="AJ47" s="590"/>
      <c r="AK47" s="562"/>
      <c r="AL47" s="590"/>
      <c r="AM47" s="562"/>
      <c r="AN47" s="590"/>
      <c r="AO47" s="562"/>
      <c r="AP47" s="590"/>
      <c r="AQ47" s="562"/>
      <c r="AR47" s="572"/>
      <c r="AS47" s="587"/>
      <c r="AT47" s="590"/>
      <c r="AU47" s="562"/>
      <c r="AV47" s="590"/>
      <c r="AW47" s="562"/>
      <c r="AX47" s="590"/>
      <c r="AY47" s="562"/>
      <c r="AZ47" s="590"/>
      <c r="BA47" s="562"/>
      <c r="BB47" s="590"/>
      <c r="BC47" s="562"/>
      <c r="BD47" s="590"/>
      <c r="BE47" s="562"/>
      <c r="BF47" s="572"/>
      <c r="BG47" s="587"/>
      <c r="BH47" s="590"/>
      <c r="BI47" s="562"/>
      <c r="BJ47" s="535">
        <f t="shared" si="6"/>
        <v>0</v>
      </c>
      <c r="BK47" s="545">
        <f t="shared" si="7"/>
        <v>0</v>
      </c>
    </row>
    <row r="48" spans="1:63" ht="15" customHeight="1" x14ac:dyDescent="0.35">
      <c r="A48" s="579"/>
      <c r="B48" s="546" t="s">
        <v>26</v>
      </c>
      <c r="C48" s="579" t="s">
        <v>67</v>
      </c>
      <c r="D48" s="653" t="s">
        <v>68</v>
      </c>
      <c r="E48" s="654"/>
      <c r="F48" s="590"/>
      <c r="G48" s="562"/>
      <c r="H48" s="590"/>
      <c r="I48" s="562"/>
      <c r="J48" s="590"/>
      <c r="K48" s="562"/>
      <c r="L48" s="590"/>
      <c r="M48" s="562"/>
      <c r="N48" s="590"/>
      <c r="O48" s="562"/>
      <c r="P48" s="572"/>
      <c r="Q48" s="587"/>
      <c r="R48" s="572"/>
      <c r="S48" s="587"/>
      <c r="T48" s="590"/>
      <c r="U48" s="562"/>
      <c r="V48" s="590"/>
      <c r="W48" s="562"/>
      <c r="X48" s="590"/>
      <c r="Y48" s="562"/>
      <c r="Z48" s="590"/>
      <c r="AA48" s="562"/>
      <c r="AB48" s="590"/>
      <c r="AC48" s="562"/>
      <c r="AD48" s="572"/>
      <c r="AE48" s="587"/>
      <c r="AF48" s="590"/>
      <c r="AG48" s="562"/>
      <c r="AH48" s="590"/>
      <c r="AI48" s="562"/>
      <c r="AJ48" s="590"/>
      <c r="AK48" s="562"/>
      <c r="AL48" s="590"/>
      <c r="AM48" s="562"/>
      <c r="AN48" s="590"/>
      <c r="AO48" s="562"/>
      <c r="AP48" s="590"/>
      <c r="AQ48" s="562"/>
      <c r="AR48" s="572"/>
      <c r="AS48" s="587"/>
      <c r="AT48" s="590"/>
      <c r="AU48" s="562"/>
      <c r="AV48" s="590"/>
      <c r="AW48" s="562"/>
      <c r="AX48" s="590"/>
      <c r="AY48" s="562"/>
      <c r="AZ48" s="590"/>
      <c r="BA48" s="562"/>
      <c r="BB48" s="590"/>
      <c r="BC48" s="562"/>
      <c r="BD48" s="590"/>
      <c r="BE48" s="562"/>
      <c r="BF48" s="572"/>
      <c r="BG48" s="587"/>
      <c r="BH48" s="590"/>
      <c r="BI48" s="562"/>
      <c r="BJ48" s="535">
        <f t="shared" si="6"/>
        <v>0</v>
      </c>
      <c r="BK48" s="545">
        <f t="shared" si="7"/>
        <v>0</v>
      </c>
    </row>
    <row r="49" spans="1:63" ht="15" customHeight="1" x14ac:dyDescent="0.35">
      <c r="A49" s="579"/>
      <c r="B49" s="546" t="s">
        <v>29</v>
      </c>
      <c r="C49" s="579" t="s">
        <v>69</v>
      </c>
      <c r="D49" s="653" t="s">
        <v>70</v>
      </c>
      <c r="E49" s="654"/>
      <c r="F49" s="590"/>
      <c r="G49" s="562"/>
      <c r="H49" s="590"/>
      <c r="I49" s="562"/>
      <c r="J49" s="590"/>
      <c r="K49" s="562"/>
      <c r="L49" s="590"/>
      <c r="M49" s="562"/>
      <c r="N49" s="590"/>
      <c r="O49" s="562"/>
      <c r="P49" s="572"/>
      <c r="Q49" s="587"/>
      <c r="R49" s="572"/>
      <c r="S49" s="587"/>
      <c r="T49" s="590"/>
      <c r="U49" s="562"/>
      <c r="V49" s="590"/>
      <c r="W49" s="562"/>
      <c r="X49" s="590"/>
      <c r="Y49" s="562"/>
      <c r="Z49" s="590"/>
      <c r="AA49" s="562"/>
      <c r="AB49" s="590"/>
      <c r="AC49" s="562"/>
      <c r="AD49" s="572"/>
      <c r="AE49" s="587"/>
      <c r="AF49" s="590"/>
      <c r="AG49" s="562"/>
      <c r="AH49" s="590"/>
      <c r="AI49" s="562"/>
      <c r="AJ49" s="590"/>
      <c r="AK49" s="562"/>
      <c r="AL49" s="590"/>
      <c r="AM49" s="562"/>
      <c r="AN49" s="590"/>
      <c r="AO49" s="562"/>
      <c r="AP49" s="590"/>
      <c r="AQ49" s="562"/>
      <c r="AR49" s="572"/>
      <c r="AS49" s="587"/>
      <c r="AT49" s="590"/>
      <c r="AU49" s="562"/>
      <c r="AV49" s="590"/>
      <c r="AW49" s="562"/>
      <c r="AX49" s="590"/>
      <c r="AY49" s="562"/>
      <c r="AZ49" s="590"/>
      <c r="BA49" s="562"/>
      <c r="BB49" s="590"/>
      <c r="BC49" s="562"/>
      <c r="BD49" s="590"/>
      <c r="BE49" s="562"/>
      <c r="BF49" s="572"/>
      <c r="BG49" s="587"/>
      <c r="BH49" s="590"/>
      <c r="BI49" s="562"/>
      <c r="BJ49" s="535">
        <f t="shared" si="6"/>
        <v>0</v>
      </c>
      <c r="BK49" s="545">
        <f t="shared" si="7"/>
        <v>0</v>
      </c>
    </row>
    <row r="50" spans="1:63" ht="15" customHeight="1" x14ac:dyDescent="0.35">
      <c r="A50" s="579"/>
      <c r="B50" s="546" t="s">
        <v>29</v>
      </c>
      <c r="C50" s="579" t="s">
        <v>71</v>
      </c>
      <c r="D50" s="653" t="s">
        <v>72</v>
      </c>
      <c r="E50" s="654"/>
      <c r="F50" s="590"/>
      <c r="G50" s="562"/>
      <c r="H50" s="590"/>
      <c r="I50" s="562"/>
      <c r="J50" s="590"/>
      <c r="K50" s="562"/>
      <c r="L50" s="590"/>
      <c r="M50" s="562"/>
      <c r="N50" s="590"/>
      <c r="O50" s="562"/>
      <c r="P50" s="572"/>
      <c r="Q50" s="587"/>
      <c r="R50" s="572"/>
      <c r="S50" s="587"/>
      <c r="T50" s="590"/>
      <c r="U50" s="562"/>
      <c r="V50" s="590"/>
      <c r="W50" s="562"/>
      <c r="X50" s="590"/>
      <c r="Y50" s="562"/>
      <c r="Z50" s="590"/>
      <c r="AA50" s="562"/>
      <c r="AB50" s="590"/>
      <c r="AC50" s="562"/>
      <c r="AD50" s="572"/>
      <c r="AE50" s="587"/>
      <c r="AF50" s="590"/>
      <c r="AG50" s="562"/>
      <c r="AH50" s="590"/>
      <c r="AI50" s="562"/>
      <c r="AJ50" s="590"/>
      <c r="AK50" s="562"/>
      <c r="AL50" s="590"/>
      <c r="AM50" s="562"/>
      <c r="AN50" s="590"/>
      <c r="AO50" s="562"/>
      <c r="AP50" s="590"/>
      <c r="AQ50" s="562"/>
      <c r="AR50" s="572"/>
      <c r="AS50" s="587"/>
      <c r="AT50" s="590"/>
      <c r="AU50" s="562"/>
      <c r="AV50" s="590"/>
      <c r="AW50" s="562"/>
      <c r="AX50" s="590"/>
      <c r="AY50" s="562"/>
      <c r="AZ50" s="590"/>
      <c r="BA50" s="562"/>
      <c r="BB50" s="590"/>
      <c r="BC50" s="562"/>
      <c r="BD50" s="590"/>
      <c r="BE50" s="562"/>
      <c r="BF50" s="572"/>
      <c r="BG50" s="587"/>
      <c r="BH50" s="590"/>
      <c r="BI50" s="562"/>
      <c r="BJ50" s="535">
        <f t="shared" si="6"/>
        <v>0</v>
      </c>
      <c r="BK50" s="545">
        <f t="shared" si="7"/>
        <v>0</v>
      </c>
    </row>
    <row r="51" spans="1:63" ht="15" customHeight="1" x14ac:dyDescent="0.35">
      <c r="A51" s="579"/>
      <c r="B51" s="546" t="s">
        <v>29</v>
      </c>
      <c r="C51" s="579" t="s">
        <v>73</v>
      </c>
      <c r="D51" s="653" t="s">
        <v>74</v>
      </c>
      <c r="E51" s="654"/>
      <c r="F51" s="590"/>
      <c r="G51" s="562"/>
      <c r="H51" s="590"/>
      <c r="I51" s="562"/>
      <c r="J51" s="590"/>
      <c r="K51" s="562"/>
      <c r="L51" s="590"/>
      <c r="M51" s="562"/>
      <c r="N51" s="590"/>
      <c r="O51" s="562"/>
      <c r="P51" s="572"/>
      <c r="Q51" s="587"/>
      <c r="R51" s="572"/>
      <c r="S51" s="587"/>
      <c r="T51" s="590"/>
      <c r="U51" s="562"/>
      <c r="V51" s="590"/>
      <c r="W51" s="562"/>
      <c r="X51" s="590"/>
      <c r="Y51" s="562"/>
      <c r="Z51" s="590"/>
      <c r="AA51" s="562"/>
      <c r="AB51" s="590"/>
      <c r="AC51" s="562"/>
      <c r="AD51" s="572"/>
      <c r="AE51" s="587"/>
      <c r="AF51" s="590"/>
      <c r="AG51" s="562"/>
      <c r="AH51" s="590"/>
      <c r="AI51" s="562"/>
      <c r="AJ51" s="590"/>
      <c r="AK51" s="562"/>
      <c r="AL51" s="590"/>
      <c r="AM51" s="562"/>
      <c r="AN51" s="590"/>
      <c r="AO51" s="562"/>
      <c r="AP51" s="590"/>
      <c r="AQ51" s="562"/>
      <c r="AR51" s="572"/>
      <c r="AS51" s="587"/>
      <c r="AT51" s="590"/>
      <c r="AU51" s="562"/>
      <c r="AV51" s="590"/>
      <c r="AW51" s="562"/>
      <c r="AX51" s="590"/>
      <c r="AY51" s="562"/>
      <c r="AZ51" s="590"/>
      <c r="BA51" s="562"/>
      <c r="BB51" s="590"/>
      <c r="BC51" s="562"/>
      <c r="BD51" s="590"/>
      <c r="BE51" s="562"/>
      <c r="BF51" s="572"/>
      <c r="BG51" s="587"/>
      <c r="BH51" s="590"/>
      <c r="BI51" s="562"/>
      <c r="BJ51" s="535">
        <f t="shared" si="6"/>
        <v>0</v>
      </c>
      <c r="BK51" s="545">
        <f t="shared" si="7"/>
        <v>0</v>
      </c>
    </row>
    <row r="52" spans="1:63" ht="15" customHeight="1" x14ac:dyDescent="0.35">
      <c r="A52" s="579"/>
      <c r="B52" s="546" t="s">
        <v>29</v>
      </c>
      <c r="C52" s="579" t="s">
        <v>75</v>
      </c>
      <c r="D52" s="653" t="s">
        <v>76</v>
      </c>
      <c r="E52" s="654"/>
      <c r="F52" s="590"/>
      <c r="G52" s="562"/>
      <c r="H52" s="590"/>
      <c r="I52" s="562"/>
      <c r="J52" s="590"/>
      <c r="K52" s="562"/>
      <c r="L52" s="590"/>
      <c r="M52" s="562"/>
      <c r="N52" s="590"/>
      <c r="O52" s="562"/>
      <c r="P52" s="572"/>
      <c r="Q52" s="587"/>
      <c r="R52" s="572"/>
      <c r="S52" s="587"/>
      <c r="T52" s="590"/>
      <c r="U52" s="562"/>
      <c r="V52" s="590"/>
      <c r="W52" s="562"/>
      <c r="X52" s="590"/>
      <c r="Y52" s="562"/>
      <c r="Z52" s="590"/>
      <c r="AA52" s="562"/>
      <c r="AB52" s="590"/>
      <c r="AC52" s="562"/>
      <c r="AD52" s="572"/>
      <c r="AE52" s="587"/>
      <c r="AF52" s="590"/>
      <c r="AG52" s="562"/>
      <c r="AH52" s="590"/>
      <c r="AI52" s="562"/>
      <c r="AJ52" s="590"/>
      <c r="AK52" s="562"/>
      <c r="AL52" s="590"/>
      <c r="AM52" s="562"/>
      <c r="AN52" s="590"/>
      <c r="AO52" s="562"/>
      <c r="AP52" s="590"/>
      <c r="AQ52" s="562"/>
      <c r="AR52" s="572"/>
      <c r="AS52" s="587"/>
      <c r="AT52" s="590"/>
      <c r="AU52" s="562"/>
      <c r="AV52" s="590"/>
      <c r="AW52" s="562"/>
      <c r="AX52" s="590"/>
      <c r="AY52" s="562"/>
      <c r="AZ52" s="590"/>
      <c r="BA52" s="562"/>
      <c r="BB52" s="590"/>
      <c r="BC52" s="562"/>
      <c r="BD52" s="590"/>
      <c r="BE52" s="562"/>
      <c r="BF52" s="572"/>
      <c r="BG52" s="587"/>
      <c r="BH52" s="590"/>
      <c r="BI52" s="562"/>
      <c r="BJ52" s="535">
        <f t="shared" si="6"/>
        <v>0</v>
      </c>
      <c r="BK52" s="545">
        <f t="shared" si="7"/>
        <v>0</v>
      </c>
    </row>
    <row r="53" spans="1:63" ht="15" customHeight="1" x14ac:dyDescent="0.35">
      <c r="A53" s="579"/>
      <c r="B53" s="546" t="s">
        <v>26</v>
      </c>
      <c r="C53" s="567" t="s">
        <v>77</v>
      </c>
      <c r="D53" s="653" t="s">
        <v>78</v>
      </c>
      <c r="E53" s="654"/>
      <c r="F53" s="590"/>
      <c r="G53" s="562"/>
      <c r="H53" s="590"/>
      <c r="I53" s="562"/>
      <c r="J53" s="590"/>
      <c r="K53" s="562"/>
      <c r="L53" s="590"/>
      <c r="M53" s="562"/>
      <c r="N53" s="590"/>
      <c r="O53" s="562"/>
      <c r="P53" s="572"/>
      <c r="Q53" s="587"/>
      <c r="R53" s="572"/>
      <c r="S53" s="587"/>
      <c r="T53" s="590"/>
      <c r="U53" s="562"/>
      <c r="V53" s="590"/>
      <c r="W53" s="562"/>
      <c r="X53" s="590"/>
      <c r="Y53" s="562"/>
      <c r="Z53" s="590"/>
      <c r="AA53" s="562"/>
      <c r="AB53" s="590"/>
      <c r="AC53" s="562"/>
      <c r="AD53" s="572"/>
      <c r="AE53" s="587"/>
      <c r="AF53" s="590"/>
      <c r="AG53" s="562"/>
      <c r="AH53" s="590"/>
      <c r="AI53" s="562"/>
      <c r="AJ53" s="590"/>
      <c r="AK53" s="562"/>
      <c r="AL53" s="590"/>
      <c r="AM53" s="562"/>
      <c r="AN53" s="590"/>
      <c r="AO53" s="562"/>
      <c r="AP53" s="590"/>
      <c r="AQ53" s="562"/>
      <c r="AR53" s="572"/>
      <c r="AS53" s="587"/>
      <c r="AT53" s="590"/>
      <c r="AU53" s="562"/>
      <c r="AV53" s="590"/>
      <c r="AW53" s="562"/>
      <c r="AX53" s="590"/>
      <c r="AY53" s="562"/>
      <c r="AZ53" s="590"/>
      <c r="BA53" s="562"/>
      <c r="BB53" s="590"/>
      <c r="BC53" s="562"/>
      <c r="BD53" s="590"/>
      <c r="BE53" s="562"/>
      <c r="BF53" s="572"/>
      <c r="BG53" s="587"/>
      <c r="BH53" s="590"/>
      <c r="BI53" s="562"/>
      <c r="BJ53" s="535">
        <f t="shared" si="6"/>
        <v>0</v>
      </c>
      <c r="BK53" s="545">
        <f t="shared" si="7"/>
        <v>0</v>
      </c>
    </row>
    <row r="54" spans="1:63" ht="15" customHeight="1" x14ac:dyDescent="0.35">
      <c r="A54" s="579"/>
      <c r="B54" s="546" t="s">
        <v>29</v>
      </c>
      <c r="C54" s="579" t="s">
        <v>79</v>
      </c>
      <c r="D54" s="653" t="s">
        <v>80</v>
      </c>
      <c r="E54" s="654"/>
      <c r="F54" s="590"/>
      <c r="G54" s="562"/>
      <c r="H54" s="590"/>
      <c r="I54" s="562"/>
      <c r="J54" s="590"/>
      <c r="K54" s="562"/>
      <c r="L54" s="590"/>
      <c r="M54" s="562"/>
      <c r="N54" s="590"/>
      <c r="O54" s="562"/>
      <c r="P54" s="572"/>
      <c r="Q54" s="587"/>
      <c r="R54" s="572"/>
      <c r="S54" s="587"/>
      <c r="T54" s="590"/>
      <c r="U54" s="562"/>
      <c r="V54" s="590"/>
      <c r="W54" s="562"/>
      <c r="X54" s="590"/>
      <c r="Y54" s="562"/>
      <c r="Z54" s="590"/>
      <c r="AA54" s="562"/>
      <c r="AB54" s="590"/>
      <c r="AC54" s="562"/>
      <c r="AD54" s="572"/>
      <c r="AE54" s="587"/>
      <c r="AF54" s="590"/>
      <c r="AG54" s="562"/>
      <c r="AH54" s="590"/>
      <c r="AI54" s="562"/>
      <c r="AJ54" s="590"/>
      <c r="AK54" s="562"/>
      <c r="AL54" s="590"/>
      <c r="AM54" s="562"/>
      <c r="AN54" s="590"/>
      <c r="AO54" s="562"/>
      <c r="AP54" s="590"/>
      <c r="AQ54" s="562"/>
      <c r="AR54" s="572"/>
      <c r="AS54" s="587"/>
      <c r="AT54" s="590"/>
      <c r="AU54" s="562"/>
      <c r="AV54" s="590"/>
      <c r="AW54" s="562"/>
      <c r="AX54" s="590"/>
      <c r="AY54" s="562"/>
      <c r="AZ54" s="590"/>
      <c r="BA54" s="562"/>
      <c r="BB54" s="590"/>
      <c r="BC54" s="562"/>
      <c r="BD54" s="590"/>
      <c r="BE54" s="562"/>
      <c r="BF54" s="572"/>
      <c r="BG54" s="587"/>
      <c r="BH54" s="590"/>
      <c r="BI54" s="562"/>
      <c r="BJ54" s="535">
        <f t="shared" si="6"/>
        <v>0</v>
      </c>
      <c r="BK54" s="545">
        <f t="shared" si="7"/>
        <v>0</v>
      </c>
    </row>
    <row r="55" spans="1:63" ht="15" customHeight="1" x14ac:dyDescent="0.35">
      <c r="A55" s="579"/>
      <c r="B55" s="546" t="s">
        <v>46</v>
      </c>
      <c r="C55" s="579" t="s">
        <v>81</v>
      </c>
      <c r="D55" s="653" t="s">
        <v>82</v>
      </c>
      <c r="E55" s="654"/>
      <c r="F55" s="590"/>
      <c r="G55" s="562"/>
      <c r="H55" s="590"/>
      <c r="I55" s="562"/>
      <c r="J55" s="590"/>
      <c r="K55" s="562"/>
      <c r="L55" s="590"/>
      <c r="M55" s="562"/>
      <c r="N55" s="590"/>
      <c r="O55" s="562"/>
      <c r="P55" s="572"/>
      <c r="Q55" s="587"/>
      <c r="R55" s="572"/>
      <c r="S55" s="587"/>
      <c r="T55" s="590"/>
      <c r="U55" s="562"/>
      <c r="V55" s="590"/>
      <c r="W55" s="562"/>
      <c r="X55" s="590"/>
      <c r="Y55" s="562"/>
      <c r="Z55" s="590"/>
      <c r="AA55" s="562"/>
      <c r="AB55" s="590"/>
      <c r="AC55" s="562"/>
      <c r="AD55" s="572"/>
      <c r="AE55" s="587"/>
      <c r="AF55" s="590"/>
      <c r="AG55" s="562"/>
      <c r="AH55" s="590"/>
      <c r="AI55" s="562"/>
      <c r="AJ55" s="590"/>
      <c r="AK55" s="562"/>
      <c r="AL55" s="590"/>
      <c r="AM55" s="562"/>
      <c r="AN55" s="590"/>
      <c r="AO55" s="562"/>
      <c r="AP55" s="590"/>
      <c r="AQ55" s="562"/>
      <c r="AR55" s="572"/>
      <c r="AS55" s="587"/>
      <c r="AT55" s="590"/>
      <c r="AU55" s="562"/>
      <c r="AV55" s="590"/>
      <c r="AW55" s="562"/>
      <c r="AX55" s="590"/>
      <c r="AY55" s="562"/>
      <c r="AZ55" s="590"/>
      <c r="BA55" s="562"/>
      <c r="BB55" s="590"/>
      <c r="BC55" s="562"/>
      <c r="BD55" s="590"/>
      <c r="BE55" s="562"/>
      <c r="BF55" s="572"/>
      <c r="BG55" s="587"/>
      <c r="BH55" s="590"/>
      <c r="BI55" s="562"/>
      <c r="BJ55" s="535">
        <f t="shared" si="6"/>
        <v>0</v>
      </c>
      <c r="BK55" s="545">
        <f t="shared" si="7"/>
        <v>0</v>
      </c>
    </row>
    <row r="56" spans="1:63" ht="15" customHeight="1" x14ac:dyDescent="0.35">
      <c r="A56" s="579"/>
      <c r="B56" s="579"/>
      <c r="C56" s="579"/>
      <c r="D56" s="653" t="s">
        <v>1030</v>
      </c>
      <c r="E56" s="654"/>
      <c r="F56" s="590"/>
      <c r="G56" s="562"/>
      <c r="H56" s="590"/>
      <c r="I56" s="562"/>
      <c r="J56" s="590"/>
      <c r="K56" s="562"/>
      <c r="L56" s="590"/>
      <c r="M56" s="562"/>
      <c r="N56" s="590"/>
      <c r="O56" s="562"/>
      <c r="P56" s="572"/>
      <c r="Q56" s="587"/>
      <c r="R56" s="572"/>
      <c r="S56" s="587"/>
      <c r="T56" s="590"/>
      <c r="U56" s="562"/>
      <c r="V56" s="590"/>
      <c r="W56" s="562"/>
      <c r="X56" s="590"/>
      <c r="Y56" s="562"/>
      <c r="Z56" s="590"/>
      <c r="AA56" s="562"/>
      <c r="AB56" s="590"/>
      <c r="AC56" s="562"/>
      <c r="AD56" s="572"/>
      <c r="AE56" s="587"/>
      <c r="AF56" s="590"/>
      <c r="AG56" s="562"/>
      <c r="AH56" s="590"/>
      <c r="AI56" s="562"/>
      <c r="AJ56" s="590"/>
      <c r="AK56" s="562"/>
      <c r="AL56" s="590"/>
      <c r="AM56" s="562"/>
      <c r="AN56" s="590"/>
      <c r="AO56" s="562"/>
      <c r="AP56" s="590"/>
      <c r="AQ56" s="562"/>
      <c r="AR56" s="572"/>
      <c r="AS56" s="587"/>
      <c r="AT56" s="590"/>
      <c r="AU56" s="562"/>
      <c r="AV56" s="590"/>
      <c r="AW56" s="562"/>
      <c r="AX56" s="590"/>
      <c r="AY56" s="562"/>
      <c r="AZ56" s="590"/>
      <c r="BA56" s="562"/>
      <c r="BB56" s="590"/>
      <c r="BC56" s="562"/>
      <c r="BD56" s="590"/>
      <c r="BE56" s="562"/>
      <c r="BF56" s="572"/>
      <c r="BG56" s="587"/>
      <c r="BH56" s="590"/>
      <c r="BI56" s="562"/>
      <c r="BJ56" s="535">
        <f t="shared" si="6"/>
        <v>0</v>
      </c>
      <c r="BK56" s="545">
        <f t="shared" si="7"/>
        <v>0</v>
      </c>
    </row>
    <row r="57" spans="1:63" ht="16.5" customHeight="1" x14ac:dyDescent="0.35">
      <c r="A57" s="579"/>
      <c r="B57" s="579"/>
      <c r="C57" s="579">
        <f>SUM(BJ59:BJ83)</f>
        <v>105</v>
      </c>
      <c r="D57" s="647" t="s">
        <v>83</v>
      </c>
      <c r="E57" s="648"/>
      <c r="F57" s="590"/>
      <c r="G57" s="562"/>
      <c r="H57" s="590"/>
      <c r="I57" s="562"/>
      <c r="J57" s="590"/>
      <c r="K57" s="562"/>
      <c r="L57" s="590"/>
      <c r="M57" s="562"/>
      <c r="N57" s="590"/>
      <c r="O57" s="562"/>
      <c r="P57" s="572"/>
      <c r="Q57" s="587"/>
      <c r="R57" s="572"/>
      <c r="S57" s="587"/>
      <c r="T57" s="590"/>
      <c r="U57" s="562"/>
      <c r="V57" s="590"/>
      <c r="W57" s="562"/>
      <c r="X57" s="590"/>
      <c r="Y57" s="562"/>
      <c r="Z57" s="590"/>
      <c r="AA57" s="562"/>
      <c r="AB57" s="590"/>
      <c r="AC57" s="562"/>
      <c r="AD57" s="572"/>
      <c r="AE57" s="587"/>
      <c r="AF57" s="590"/>
      <c r="AG57" s="562"/>
      <c r="AH57" s="590"/>
      <c r="AI57" s="562"/>
      <c r="AJ57" s="590"/>
      <c r="AK57" s="562"/>
      <c r="AL57" s="590"/>
      <c r="AM57" s="562"/>
      <c r="AN57" s="590"/>
      <c r="AO57" s="562"/>
      <c r="AP57" s="590"/>
      <c r="AQ57" s="562"/>
      <c r="AR57" s="572"/>
      <c r="AS57" s="587"/>
      <c r="AT57" s="590"/>
      <c r="AU57" s="562"/>
      <c r="AV57" s="590"/>
      <c r="AW57" s="562"/>
      <c r="AX57" s="590"/>
      <c r="AY57" s="562"/>
      <c r="AZ57" s="590"/>
      <c r="BA57" s="562"/>
      <c r="BB57" s="590"/>
      <c r="BC57" s="562"/>
      <c r="BD57" s="590"/>
      <c r="BE57" s="562"/>
      <c r="BF57" s="572"/>
      <c r="BG57" s="587"/>
      <c r="BH57" s="590"/>
      <c r="BI57" s="562"/>
      <c r="BJ57" s="535">
        <f t="shared" si="6"/>
        <v>0</v>
      </c>
      <c r="BK57" s="545">
        <f t="shared" si="7"/>
        <v>0</v>
      </c>
    </row>
    <row r="58" spans="1:63" ht="15" customHeight="1" x14ac:dyDescent="0.35">
      <c r="A58" s="579"/>
      <c r="B58" s="546" t="s">
        <v>29</v>
      </c>
      <c r="C58" s="579" t="s">
        <v>84</v>
      </c>
      <c r="D58" s="653" t="s">
        <v>43</v>
      </c>
      <c r="E58" s="654"/>
      <c r="F58" s="590"/>
      <c r="G58" s="562"/>
      <c r="H58" s="590"/>
      <c r="I58" s="562"/>
      <c r="J58" s="590"/>
      <c r="K58" s="562"/>
      <c r="L58" s="590"/>
      <c r="M58" s="562"/>
      <c r="N58" s="590"/>
      <c r="O58" s="562"/>
      <c r="P58" s="572"/>
      <c r="Q58" s="587"/>
      <c r="R58" s="572"/>
      <c r="S58" s="587"/>
      <c r="T58" s="590"/>
      <c r="U58" s="562"/>
      <c r="V58" s="590"/>
      <c r="W58" s="562"/>
      <c r="X58" s="590"/>
      <c r="Y58" s="562"/>
      <c r="Z58" s="590"/>
      <c r="AA58" s="562"/>
      <c r="AB58" s="590"/>
      <c r="AC58" s="562"/>
      <c r="AD58" s="572"/>
      <c r="AE58" s="587"/>
      <c r="AF58" s="590"/>
      <c r="AG58" s="562"/>
      <c r="AH58" s="590"/>
      <c r="AI58" s="562"/>
      <c r="AJ58" s="590"/>
      <c r="AK58" s="562"/>
      <c r="AL58" s="590"/>
      <c r="AM58" s="562"/>
      <c r="AN58" s="590"/>
      <c r="AO58" s="562"/>
      <c r="AP58" s="590"/>
      <c r="AQ58" s="562"/>
      <c r="AR58" s="572"/>
      <c r="AS58" s="587"/>
      <c r="AT58" s="590"/>
      <c r="AU58" s="562"/>
      <c r="AV58" s="590"/>
      <c r="AW58" s="562"/>
      <c r="AX58" s="590"/>
      <c r="AY58" s="562"/>
      <c r="AZ58" s="590"/>
      <c r="BA58" s="562"/>
      <c r="BB58" s="590"/>
      <c r="BC58" s="562"/>
      <c r="BD58" s="590"/>
      <c r="BE58" s="562"/>
      <c r="BF58" s="572"/>
      <c r="BG58" s="587"/>
      <c r="BH58" s="590"/>
      <c r="BI58" s="562"/>
      <c r="BJ58" s="535">
        <f t="shared" si="6"/>
        <v>0</v>
      </c>
      <c r="BK58" s="545">
        <f t="shared" si="7"/>
        <v>0</v>
      </c>
    </row>
    <row r="59" spans="1:63" ht="15" customHeight="1" x14ac:dyDescent="0.35">
      <c r="A59" s="579"/>
      <c r="B59" s="546" t="s">
        <v>85</v>
      </c>
      <c r="C59" s="579" t="s">
        <v>86</v>
      </c>
      <c r="D59" s="653" t="s">
        <v>87</v>
      </c>
      <c r="E59" s="654"/>
      <c r="F59" s="590"/>
      <c r="G59" s="562"/>
      <c r="H59" s="590"/>
      <c r="I59" s="562"/>
      <c r="J59" s="590"/>
      <c r="K59" s="562"/>
      <c r="L59" s="590"/>
      <c r="M59" s="562"/>
      <c r="N59" s="590"/>
      <c r="O59" s="562"/>
      <c r="P59" s="572"/>
      <c r="Q59" s="587"/>
      <c r="R59" s="572"/>
      <c r="S59" s="587"/>
      <c r="T59" s="590"/>
      <c r="U59" s="562"/>
      <c r="V59" s="590"/>
      <c r="W59" s="562"/>
      <c r="X59" s="590"/>
      <c r="Y59" s="562"/>
      <c r="Z59" s="590"/>
      <c r="AA59" s="562"/>
      <c r="AB59" s="590"/>
      <c r="AC59" s="562"/>
      <c r="AD59" s="572"/>
      <c r="AE59" s="587"/>
      <c r="AF59" s="590"/>
      <c r="AG59" s="562"/>
      <c r="AH59" s="590"/>
      <c r="AI59" s="562"/>
      <c r="AJ59" s="590"/>
      <c r="AK59" s="562"/>
      <c r="AL59" s="590"/>
      <c r="AM59" s="562"/>
      <c r="AN59" s="590"/>
      <c r="AO59" s="562"/>
      <c r="AP59" s="590"/>
      <c r="AQ59" s="562"/>
      <c r="AR59" s="572"/>
      <c r="AS59" s="587"/>
      <c r="AT59" s="590"/>
      <c r="AU59" s="562"/>
      <c r="AV59" s="590"/>
      <c r="AW59" s="562"/>
      <c r="AX59" s="590"/>
      <c r="AY59" s="562"/>
      <c r="AZ59" s="590"/>
      <c r="BA59" s="562"/>
      <c r="BB59" s="590"/>
      <c r="BC59" s="562"/>
      <c r="BD59" s="590"/>
      <c r="BE59" s="562"/>
      <c r="BF59" s="572"/>
      <c r="BG59" s="587"/>
      <c r="BH59" s="590"/>
      <c r="BI59" s="562"/>
      <c r="BJ59" s="535">
        <f t="shared" si="6"/>
        <v>0</v>
      </c>
      <c r="BK59" s="545">
        <f t="shared" si="7"/>
        <v>0</v>
      </c>
    </row>
    <row r="60" spans="1:63" ht="15" customHeight="1" x14ac:dyDescent="0.35">
      <c r="A60" s="579"/>
      <c r="B60" s="546" t="s">
        <v>85</v>
      </c>
      <c r="C60" s="579" t="s">
        <v>88</v>
      </c>
      <c r="D60" s="653" t="s">
        <v>89</v>
      </c>
      <c r="E60" s="654"/>
      <c r="F60" s="590"/>
      <c r="G60" s="562"/>
      <c r="H60" s="590"/>
      <c r="I60" s="562"/>
      <c r="J60" s="590"/>
      <c r="K60" s="562"/>
      <c r="L60" s="590"/>
      <c r="M60" s="562"/>
      <c r="N60" s="590"/>
      <c r="O60" s="562"/>
      <c r="P60" s="572"/>
      <c r="Q60" s="587"/>
      <c r="R60" s="572"/>
      <c r="S60" s="587"/>
      <c r="T60" s="590"/>
      <c r="U60" s="562"/>
      <c r="V60" s="590"/>
      <c r="W60" s="562"/>
      <c r="X60" s="590"/>
      <c r="Y60" s="562"/>
      <c r="Z60" s="590"/>
      <c r="AA60" s="562"/>
      <c r="AB60" s="590"/>
      <c r="AC60" s="562"/>
      <c r="AD60" s="572"/>
      <c r="AE60" s="587"/>
      <c r="AF60" s="590"/>
      <c r="AG60" s="562"/>
      <c r="AH60" s="590"/>
      <c r="AI60" s="562"/>
      <c r="AJ60" s="590"/>
      <c r="AK60" s="562"/>
      <c r="AL60" s="590"/>
      <c r="AM60" s="562"/>
      <c r="AN60" s="590"/>
      <c r="AO60" s="562"/>
      <c r="AP60" s="590"/>
      <c r="AQ60" s="562"/>
      <c r="AR60" s="572"/>
      <c r="AS60" s="587"/>
      <c r="AT60" s="590"/>
      <c r="AU60" s="562"/>
      <c r="AV60" s="590"/>
      <c r="AW60" s="562"/>
      <c r="AX60" s="590"/>
      <c r="AY60" s="562"/>
      <c r="AZ60" s="590"/>
      <c r="BA60" s="562"/>
      <c r="BB60" s="590"/>
      <c r="BC60" s="562"/>
      <c r="BD60" s="590"/>
      <c r="BE60" s="562"/>
      <c r="BF60" s="572"/>
      <c r="BG60" s="587"/>
      <c r="BH60" s="590"/>
      <c r="BI60" s="562"/>
      <c r="BJ60" s="535">
        <f t="shared" ref="BJ60:BJ91" si="8">SUM(F60:BI60)</f>
        <v>0</v>
      </c>
      <c r="BK60" s="545">
        <f t="shared" ref="BK60:BK80" si="9">COUNT(F60:BI60)</f>
        <v>0</v>
      </c>
    </row>
    <row r="61" spans="1:63" ht="15" customHeight="1" x14ac:dyDescent="0.35">
      <c r="A61" s="579"/>
      <c r="B61" s="546" t="s">
        <v>85</v>
      </c>
      <c r="C61" s="579" t="s">
        <v>90</v>
      </c>
      <c r="D61" s="653" t="s">
        <v>91</v>
      </c>
      <c r="E61" s="654"/>
      <c r="F61" s="590"/>
      <c r="G61" s="562"/>
      <c r="H61" s="590"/>
      <c r="I61" s="562"/>
      <c r="J61" s="590"/>
      <c r="K61" s="562"/>
      <c r="L61" s="590"/>
      <c r="M61" s="562"/>
      <c r="N61" s="590"/>
      <c r="O61" s="562"/>
      <c r="P61" s="572"/>
      <c r="Q61" s="587"/>
      <c r="R61" s="572"/>
      <c r="S61" s="587"/>
      <c r="T61" s="590"/>
      <c r="U61" s="562"/>
      <c r="V61" s="590"/>
      <c r="W61" s="562"/>
      <c r="X61" s="590"/>
      <c r="Y61" s="562"/>
      <c r="Z61" s="590"/>
      <c r="AA61" s="562"/>
      <c r="AB61" s="590"/>
      <c r="AC61" s="562"/>
      <c r="AD61" s="572"/>
      <c r="AE61" s="587"/>
      <c r="AF61" s="590"/>
      <c r="AG61" s="562"/>
      <c r="AH61" s="590"/>
      <c r="AI61" s="562"/>
      <c r="AJ61" s="590"/>
      <c r="AK61" s="562"/>
      <c r="AL61" s="590"/>
      <c r="AM61" s="562"/>
      <c r="AN61" s="590"/>
      <c r="AO61" s="562"/>
      <c r="AP61" s="590"/>
      <c r="AQ61" s="562"/>
      <c r="AR61" s="572"/>
      <c r="AS61" s="587"/>
      <c r="AT61" s="590"/>
      <c r="AU61" s="562"/>
      <c r="AV61" s="590"/>
      <c r="AW61" s="562"/>
      <c r="AX61" s="590"/>
      <c r="AY61" s="562"/>
      <c r="AZ61" s="590"/>
      <c r="BA61" s="562"/>
      <c r="BB61" s="590"/>
      <c r="BC61" s="562"/>
      <c r="BD61" s="590"/>
      <c r="BE61" s="562"/>
      <c r="BF61" s="572"/>
      <c r="BG61" s="587"/>
      <c r="BH61" s="590"/>
      <c r="BI61" s="562"/>
      <c r="BJ61" s="535">
        <f t="shared" si="8"/>
        <v>0</v>
      </c>
      <c r="BK61" s="545">
        <f t="shared" si="9"/>
        <v>0</v>
      </c>
    </row>
    <row r="62" spans="1:63" ht="15" customHeight="1" x14ac:dyDescent="0.35">
      <c r="A62" s="579"/>
      <c r="B62" s="546" t="s">
        <v>85</v>
      </c>
      <c r="C62" s="579" t="s">
        <v>92</v>
      </c>
      <c r="D62" s="653" t="s">
        <v>93</v>
      </c>
      <c r="E62" s="654"/>
      <c r="F62" s="590"/>
      <c r="G62" s="562"/>
      <c r="H62" s="590"/>
      <c r="I62" s="562"/>
      <c r="J62" s="590"/>
      <c r="K62" s="562"/>
      <c r="L62" s="590"/>
      <c r="M62" s="562"/>
      <c r="N62" s="590"/>
      <c r="O62" s="562"/>
      <c r="P62" s="572"/>
      <c r="Q62" s="587"/>
      <c r="R62" s="572"/>
      <c r="S62" s="587"/>
      <c r="T62" s="590"/>
      <c r="U62" s="562"/>
      <c r="V62" s="590"/>
      <c r="W62" s="562"/>
      <c r="X62" s="590"/>
      <c r="Y62" s="562"/>
      <c r="Z62" s="590"/>
      <c r="AA62" s="562"/>
      <c r="AB62" s="590"/>
      <c r="AC62" s="562"/>
      <c r="AD62" s="572"/>
      <c r="AE62" s="587"/>
      <c r="AF62" s="590"/>
      <c r="AG62" s="562"/>
      <c r="AH62" s="590"/>
      <c r="AI62" s="562"/>
      <c r="AJ62" s="590"/>
      <c r="AK62" s="562"/>
      <c r="AL62" s="590"/>
      <c r="AM62" s="562"/>
      <c r="AN62" s="590"/>
      <c r="AO62" s="562"/>
      <c r="AP62" s="590"/>
      <c r="AQ62" s="562"/>
      <c r="AR62" s="572"/>
      <c r="AS62" s="587"/>
      <c r="AT62" s="590"/>
      <c r="AU62" s="562"/>
      <c r="AV62" s="590"/>
      <c r="AW62" s="562"/>
      <c r="AX62" s="590"/>
      <c r="AY62" s="562"/>
      <c r="AZ62" s="590"/>
      <c r="BA62" s="562"/>
      <c r="BB62" s="590"/>
      <c r="BC62" s="562"/>
      <c r="BD62" s="590"/>
      <c r="BE62" s="562"/>
      <c r="BF62" s="572"/>
      <c r="BG62" s="587"/>
      <c r="BH62" s="590"/>
      <c r="BI62" s="562"/>
      <c r="BJ62" s="535">
        <f t="shared" si="8"/>
        <v>0</v>
      </c>
      <c r="BK62" s="545">
        <f t="shared" si="9"/>
        <v>0</v>
      </c>
    </row>
    <row r="63" spans="1:63" ht="15" customHeight="1" x14ac:dyDescent="0.35">
      <c r="A63" s="579"/>
      <c r="B63" s="546" t="s">
        <v>85</v>
      </c>
      <c r="C63" s="579" t="s">
        <v>94</v>
      </c>
      <c r="D63" s="653" t="s">
        <v>95</v>
      </c>
      <c r="E63" s="654"/>
      <c r="F63" s="590"/>
      <c r="G63" s="562"/>
      <c r="H63" s="590"/>
      <c r="I63" s="562"/>
      <c r="J63" s="590"/>
      <c r="K63" s="562"/>
      <c r="L63" s="590"/>
      <c r="M63" s="562"/>
      <c r="N63" s="590"/>
      <c r="O63" s="562"/>
      <c r="P63" s="572"/>
      <c r="Q63" s="587"/>
      <c r="R63" s="572"/>
      <c r="S63" s="587"/>
      <c r="T63" s="590"/>
      <c r="U63" s="562"/>
      <c r="V63" s="590"/>
      <c r="W63" s="562"/>
      <c r="X63" s="590"/>
      <c r="Y63" s="562"/>
      <c r="Z63" s="590"/>
      <c r="AA63" s="562"/>
      <c r="AB63" s="590"/>
      <c r="AC63" s="562"/>
      <c r="AD63" s="572"/>
      <c r="AE63" s="587"/>
      <c r="AF63" s="590"/>
      <c r="AG63" s="562"/>
      <c r="AH63" s="590"/>
      <c r="AI63" s="562"/>
      <c r="AJ63" s="590"/>
      <c r="AK63" s="562"/>
      <c r="AL63" s="590"/>
      <c r="AM63" s="562"/>
      <c r="AN63" s="590"/>
      <c r="AO63" s="562"/>
      <c r="AP63" s="590"/>
      <c r="AQ63" s="562"/>
      <c r="AR63" s="572"/>
      <c r="AS63" s="587"/>
      <c r="AT63" s="590"/>
      <c r="AU63" s="562"/>
      <c r="AV63" s="590"/>
      <c r="AW63" s="562"/>
      <c r="AX63" s="590"/>
      <c r="AY63" s="562"/>
      <c r="AZ63" s="590"/>
      <c r="BA63" s="562"/>
      <c r="BB63" s="590"/>
      <c r="BC63" s="562"/>
      <c r="BD63" s="590"/>
      <c r="BE63" s="562"/>
      <c r="BF63" s="572"/>
      <c r="BG63" s="587"/>
      <c r="BH63" s="590"/>
      <c r="BI63" s="562"/>
      <c r="BJ63" s="535">
        <f t="shared" si="8"/>
        <v>0</v>
      </c>
      <c r="BK63" s="545">
        <f t="shared" si="9"/>
        <v>0</v>
      </c>
    </row>
    <row r="64" spans="1:63" ht="15" customHeight="1" x14ac:dyDescent="0.35">
      <c r="A64" s="579"/>
      <c r="B64" s="546" t="s">
        <v>85</v>
      </c>
      <c r="C64" s="579" t="s">
        <v>96</v>
      </c>
      <c r="D64" s="653" t="s">
        <v>245</v>
      </c>
      <c r="E64" s="654"/>
      <c r="F64" s="590"/>
      <c r="G64" s="562"/>
      <c r="H64" s="590"/>
      <c r="I64" s="562"/>
      <c r="J64" s="590"/>
      <c r="K64" s="562"/>
      <c r="L64" s="590"/>
      <c r="M64" s="562"/>
      <c r="N64" s="590"/>
      <c r="O64" s="562"/>
      <c r="P64" s="572"/>
      <c r="Q64" s="587"/>
      <c r="R64" s="572"/>
      <c r="S64" s="587"/>
      <c r="T64" s="590"/>
      <c r="U64" s="562"/>
      <c r="V64" s="590"/>
      <c r="W64" s="562"/>
      <c r="X64" s="590"/>
      <c r="Y64" s="562"/>
      <c r="Z64" s="590"/>
      <c r="AA64" s="562"/>
      <c r="AB64" s="590"/>
      <c r="AC64" s="562"/>
      <c r="AD64" s="572"/>
      <c r="AE64" s="587"/>
      <c r="AF64" s="590">
        <v>50</v>
      </c>
      <c r="AG64" s="562"/>
      <c r="AH64" s="590"/>
      <c r="AI64" s="562"/>
      <c r="AJ64" s="590"/>
      <c r="AK64" s="562"/>
      <c r="AL64" s="590"/>
      <c r="AM64" s="562"/>
      <c r="AN64" s="590"/>
      <c r="AO64" s="562"/>
      <c r="AP64" s="590"/>
      <c r="AQ64" s="562"/>
      <c r="AR64" s="572"/>
      <c r="AS64" s="587"/>
      <c r="AT64" s="590"/>
      <c r="AU64" s="562"/>
      <c r="AV64" s="590"/>
      <c r="AW64" s="562"/>
      <c r="AX64" s="590"/>
      <c r="AY64" s="562"/>
      <c r="AZ64" s="590"/>
      <c r="BA64" s="562"/>
      <c r="BB64" s="590"/>
      <c r="BC64" s="562"/>
      <c r="BD64" s="590"/>
      <c r="BE64" s="562"/>
      <c r="BF64" s="572"/>
      <c r="BG64" s="587"/>
      <c r="BH64" s="590"/>
      <c r="BI64" s="562"/>
      <c r="BJ64" s="535">
        <f t="shared" si="8"/>
        <v>50</v>
      </c>
      <c r="BK64" s="545">
        <f t="shared" si="9"/>
        <v>1</v>
      </c>
    </row>
    <row r="65" spans="1:63" ht="15" customHeight="1" x14ac:dyDescent="0.35">
      <c r="A65" s="579"/>
      <c r="B65" s="546" t="s">
        <v>85</v>
      </c>
      <c r="C65" s="579" t="s">
        <v>98</v>
      </c>
      <c r="D65" s="653" t="s">
        <v>99</v>
      </c>
      <c r="E65" s="654"/>
      <c r="F65" s="590"/>
      <c r="G65" s="562"/>
      <c r="H65" s="590"/>
      <c r="I65" s="562"/>
      <c r="J65" s="590"/>
      <c r="K65" s="562"/>
      <c r="L65" s="590"/>
      <c r="M65" s="562"/>
      <c r="N65" s="590"/>
      <c r="O65" s="562"/>
      <c r="P65" s="572"/>
      <c r="Q65" s="587"/>
      <c r="R65" s="572"/>
      <c r="S65" s="587"/>
      <c r="T65" s="590"/>
      <c r="U65" s="562"/>
      <c r="V65" s="590"/>
      <c r="W65" s="562"/>
      <c r="X65" s="590"/>
      <c r="Y65" s="562"/>
      <c r="Z65" s="590"/>
      <c r="AA65" s="562"/>
      <c r="AB65" s="590"/>
      <c r="AC65" s="562"/>
      <c r="AD65" s="572"/>
      <c r="AE65" s="587"/>
      <c r="AF65" s="590"/>
      <c r="AG65" s="562"/>
      <c r="AH65" s="590"/>
      <c r="AI65" s="562"/>
      <c r="AJ65" s="590"/>
      <c r="AK65" s="562"/>
      <c r="AL65" s="590"/>
      <c r="AM65" s="562"/>
      <c r="AN65" s="590"/>
      <c r="AO65" s="562"/>
      <c r="AP65" s="590"/>
      <c r="AQ65" s="562"/>
      <c r="AR65" s="572"/>
      <c r="AS65" s="587"/>
      <c r="AT65" s="590"/>
      <c r="AU65" s="562"/>
      <c r="AV65" s="590"/>
      <c r="AW65" s="562"/>
      <c r="AX65" s="590"/>
      <c r="AY65" s="562"/>
      <c r="AZ65" s="590"/>
      <c r="BA65" s="562"/>
      <c r="BB65" s="590"/>
      <c r="BC65" s="562"/>
      <c r="BD65" s="590"/>
      <c r="BE65" s="562"/>
      <c r="BF65" s="572"/>
      <c r="BG65" s="587"/>
      <c r="BH65" s="590"/>
      <c r="BI65" s="562"/>
      <c r="BJ65" s="535">
        <f t="shared" si="8"/>
        <v>0</v>
      </c>
      <c r="BK65" s="545">
        <f t="shared" si="9"/>
        <v>0</v>
      </c>
    </row>
    <row r="66" spans="1:63" ht="15" customHeight="1" x14ac:dyDescent="0.35">
      <c r="A66" s="579"/>
      <c r="B66" s="546" t="s">
        <v>85</v>
      </c>
      <c r="C66" s="579" t="s">
        <v>100</v>
      </c>
      <c r="D66" s="653" t="s">
        <v>101</v>
      </c>
      <c r="E66" s="654"/>
      <c r="F66" s="590"/>
      <c r="G66" s="562"/>
      <c r="H66" s="590"/>
      <c r="I66" s="562"/>
      <c r="J66" s="590"/>
      <c r="K66" s="562"/>
      <c r="L66" s="590"/>
      <c r="M66" s="562"/>
      <c r="N66" s="590"/>
      <c r="O66" s="562"/>
      <c r="P66" s="572"/>
      <c r="Q66" s="587"/>
      <c r="R66" s="572"/>
      <c r="S66" s="587"/>
      <c r="T66" s="590"/>
      <c r="U66" s="562"/>
      <c r="V66" s="590"/>
      <c r="W66" s="562"/>
      <c r="X66" s="590"/>
      <c r="Y66" s="562"/>
      <c r="Z66" s="590"/>
      <c r="AA66" s="562"/>
      <c r="AB66" s="590"/>
      <c r="AC66" s="562"/>
      <c r="AD66" s="572"/>
      <c r="AE66" s="587"/>
      <c r="AF66" s="590"/>
      <c r="AG66" s="562"/>
      <c r="AH66" s="590"/>
      <c r="AI66" s="562"/>
      <c r="AJ66" s="590"/>
      <c r="AK66" s="562"/>
      <c r="AL66" s="590"/>
      <c r="AM66" s="562"/>
      <c r="AN66" s="590"/>
      <c r="AO66" s="562"/>
      <c r="AP66" s="590"/>
      <c r="AQ66" s="562"/>
      <c r="AR66" s="572"/>
      <c r="AS66" s="587"/>
      <c r="AT66" s="590"/>
      <c r="AU66" s="562"/>
      <c r="AV66" s="590"/>
      <c r="AW66" s="562"/>
      <c r="AX66" s="590"/>
      <c r="AY66" s="562"/>
      <c r="AZ66" s="590"/>
      <c r="BA66" s="562"/>
      <c r="BB66" s="590"/>
      <c r="BC66" s="562"/>
      <c r="BD66" s="590"/>
      <c r="BE66" s="562"/>
      <c r="BF66" s="572"/>
      <c r="BG66" s="587"/>
      <c r="BH66" s="590"/>
      <c r="BI66" s="562"/>
      <c r="BJ66" s="535">
        <f t="shared" si="8"/>
        <v>0</v>
      </c>
      <c r="BK66" s="545">
        <f t="shared" si="9"/>
        <v>0</v>
      </c>
    </row>
    <row r="67" spans="1:63" ht="15" customHeight="1" x14ac:dyDescent="0.35">
      <c r="A67" s="579"/>
      <c r="B67" s="546" t="s">
        <v>29</v>
      </c>
      <c r="C67" s="579" t="s">
        <v>102</v>
      </c>
      <c r="D67" s="653" t="s">
        <v>103</v>
      </c>
      <c r="E67" s="654"/>
      <c r="F67" s="590"/>
      <c r="G67" s="562"/>
      <c r="H67" s="590"/>
      <c r="I67" s="562"/>
      <c r="J67" s="590"/>
      <c r="K67" s="562"/>
      <c r="L67" s="590"/>
      <c r="M67" s="562"/>
      <c r="N67" s="590"/>
      <c r="O67" s="562"/>
      <c r="P67" s="572"/>
      <c r="Q67" s="587"/>
      <c r="R67" s="572"/>
      <c r="S67" s="587"/>
      <c r="T67" s="590"/>
      <c r="U67" s="562"/>
      <c r="V67" s="590"/>
      <c r="W67" s="562"/>
      <c r="X67" s="590"/>
      <c r="Y67" s="562"/>
      <c r="Z67" s="590"/>
      <c r="AA67" s="562"/>
      <c r="AB67" s="590"/>
      <c r="AC67" s="562"/>
      <c r="AD67" s="572"/>
      <c r="AE67" s="587"/>
      <c r="AF67" s="590"/>
      <c r="AG67" s="562"/>
      <c r="AH67" s="590"/>
      <c r="AI67" s="562"/>
      <c r="AJ67" s="590"/>
      <c r="AK67" s="562"/>
      <c r="AL67" s="590"/>
      <c r="AM67" s="562"/>
      <c r="AN67" s="590"/>
      <c r="AO67" s="562"/>
      <c r="AP67" s="590"/>
      <c r="AQ67" s="562"/>
      <c r="AR67" s="572"/>
      <c r="AS67" s="587"/>
      <c r="AT67" s="590"/>
      <c r="AU67" s="562"/>
      <c r="AV67" s="590"/>
      <c r="AW67" s="562"/>
      <c r="AX67" s="590"/>
      <c r="AY67" s="562"/>
      <c r="AZ67" s="590"/>
      <c r="BA67" s="562"/>
      <c r="BB67" s="590"/>
      <c r="BC67" s="562"/>
      <c r="BD67" s="590"/>
      <c r="BE67" s="562"/>
      <c r="BF67" s="572"/>
      <c r="BG67" s="587"/>
      <c r="BH67" s="590"/>
      <c r="BI67" s="562"/>
      <c r="BJ67" s="535">
        <f t="shared" si="8"/>
        <v>0</v>
      </c>
      <c r="BK67" s="545">
        <f t="shared" si="9"/>
        <v>0</v>
      </c>
    </row>
    <row r="68" spans="1:63" ht="15" customHeight="1" x14ac:dyDescent="0.35">
      <c r="A68" s="579"/>
      <c r="B68" s="546" t="s">
        <v>104</v>
      </c>
      <c r="C68" s="579" t="s">
        <v>105</v>
      </c>
      <c r="D68" s="653" t="s">
        <v>106</v>
      </c>
      <c r="E68" s="654"/>
      <c r="F68" s="590"/>
      <c r="G68" s="562"/>
      <c r="H68" s="590"/>
      <c r="I68" s="562"/>
      <c r="J68" s="590"/>
      <c r="K68" s="562"/>
      <c r="L68" s="590"/>
      <c r="M68" s="562"/>
      <c r="N68" s="590"/>
      <c r="O68" s="562"/>
      <c r="P68" s="572"/>
      <c r="Q68" s="587"/>
      <c r="R68" s="572"/>
      <c r="S68" s="587"/>
      <c r="T68" s="590"/>
      <c r="U68" s="562"/>
      <c r="V68" s="590"/>
      <c r="W68" s="562"/>
      <c r="X68" s="590"/>
      <c r="Y68" s="562"/>
      <c r="Z68" s="590"/>
      <c r="AA68" s="562"/>
      <c r="AB68" s="590"/>
      <c r="AC68" s="562"/>
      <c r="AD68" s="572"/>
      <c r="AE68" s="587"/>
      <c r="AF68" s="590"/>
      <c r="AG68" s="562"/>
      <c r="AH68" s="590"/>
      <c r="AI68" s="562"/>
      <c r="AJ68" s="590"/>
      <c r="AK68" s="562"/>
      <c r="AL68" s="590"/>
      <c r="AM68" s="562"/>
      <c r="AN68" s="590"/>
      <c r="AO68" s="562"/>
      <c r="AP68" s="590"/>
      <c r="AQ68" s="562"/>
      <c r="AR68" s="572"/>
      <c r="AS68" s="587"/>
      <c r="AT68" s="590"/>
      <c r="AU68" s="562"/>
      <c r="AV68" s="590"/>
      <c r="AW68" s="562"/>
      <c r="AX68" s="590"/>
      <c r="AY68" s="562"/>
      <c r="AZ68" s="590"/>
      <c r="BA68" s="562"/>
      <c r="BB68" s="590"/>
      <c r="BC68" s="562"/>
      <c r="BD68" s="590"/>
      <c r="BE68" s="562"/>
      <c r="BF68" s="572"/>
      <c r="BG68" s="587"/>
      <c r="BH68" s="590"/>
      <c r="BI68" s="562"/>
      <c r="BJ68" s="535">
        <f t="shared" si="8"/>
        <v>0</v>
      </c>
      <c r="BK68" s="545">
        <f t="shared" si="9"/>
        <v>0</v>
      </c>
    </row>
    <row r="69" spans="1:63" ht="15" customHeight="1" x14ac:dyDescent="0.35">
      <c r="A69" s="579"/>
      <c r="B69" s="546" t="s">
        <v>85</v>
      </c>
      <c r="C69" s="579" t="s">
        <v>107</v>
      </c>
      <c r="D69" s="653" t="s">
        <v>108</v>
      </c>
      <c r="E69" s="654"/>
      <c r="F69" s="590"/>
      <c r="G69" s="562"/>
      <c r="H69" s="590"/>
      <c r="I69" s="562"/>
      <c r="J69" s="590"/>
      <c r="K69" s="562"/>
      <c r="L69" s="590"/>
      <c r="M69" s="562"/>
      <c r="N69" s="590"/>
      <c r="O69" s="562"/>
      <c r="P69" s="572"/>
      <c r="Q69" s="587"/>
      <c r="R69" s="572"/>
      <c r="S69" s="587"/>
      <c r="T69" s="590"/>
      <c r="U69" s="562"/>
      <c r="V69" s="590"/>
      <c r="W69" s="562"/>
      <c r="X69" s="590"/>
      <c r="Y69" s="562"/>
      <c r="Z69" s="590"/>
      <c r="AA69" s="562"/>
      <c r="AB69" s="590"/>
      <c r="AC69" s="562"/>
      <c r="AD69" s="572"/>
      <c r="AE69" s="587"/>
      <c r="AF69" s="590"/>
      <c r="AG69" s="562"/>
      <c r="AH69" s="590"/>
      <c r="AI69" s="562"/>
      <c r="AJ69" s="590"/>
      <c r="AK69" s="562"/>
      <c r="AL69" s="590"/>
      <c r="AM69" s="562"/>
      <c r="AN69" s="590"/>
      <c r="AO69" s="562"/>
      <c r="AP69" s="590"/>
      <c r="AQ69" s="562"/>
      <c r="AR69" s="572"/>
      <c r="AS69" s="587"/>
      <c r="AT69" s="590"/>
      <c r="AU69" s="562"/>
      <c r="AV69" s="590"/>
      <c r="AW69" s="562"/>
      <c r="AX69" s="590"/>
      <c r="AY69" s="562"/>
      <c r="AZ69" s="590"/>
      <c r="BA69" s="562"/>
      <c r="BB69" s="590"/>
      <c r="BC69" s="562"/>
      <c r="BD69" s="590"/>
      <c r="BE69" s="562"/>
      <c r="BF69" s="572"/>
      <c r="BG69" s="587"/>
      <c r="BH69" s="590"/>
      <c r="BI69" s="562"/>
      <c r="BJ69" s="535">
        <f t="shared" si="8"/>
        <v>0</v>
      </c>
      <c r="BK69" s="545">
        <f t="shared" si="9"/>
        <v>0</v>
      </c>
    </row>
    <row r="70" spans="1:63" ht="15" customHeight="1" x14ac:dyDescent="0.35">
      <c r="A70" s="579"/>
      <c r="B70" s="546" t="s">
        <v>109</v>
      </c>
      <c r="C70" s="579" t="s">
        <v>110</v>
      </c>
      <c r="D70" s="653" t="s">
        <v>111</v>
      </c>
      <c r="E70" s="654"/>
      <c r="F70" s="590"/>
      <c r="G70" s="562"/>
      <c r="H70" s="590"/>
      <c r="I70" s="562"/>
      <c r="J70" s="590"/>
      <c r="K70" s="562"/>
      <c r="L70" s="590"/>
      <c r="M70" s="562"/>
      <c r="N70" s="590"/>
      <c r="O70" s="562"/>
      <c r="P70" s="572"/>
      <c r="Q70" s="587"/>
      <c r="R70" s="572"/>
      <c r="S70" s="587"/>
      <c r="T70" s="590"/>
      <c r="U70" s="562"/>
      <c r="V70" s="590"/>
      <c r="W70" s="562"/>
      <c r="X70" s="590"/>
      <c r="Y70" s="562"/>
      <c r="Z70" s="590"/>
      <c r="AA70" s="562"/>
      <c r="AB70" s="590"/>
      <c r="AC70" s="562"/>
      <c r="AD70" s="572"/>
      <c r="AE70" s="587"/>
      <c r="AF70" s="590"/>
      <c r="AG70" s="562"/>
      <c r="AH70" s="590"/>
      <c r="AI70" s="562"/>
      <c r="AJ70" s="590"/>
      <c r="AK70" s="562"/>
      <c r="AL70" s="590"/>
      <c r="AM70" s="562"/>
      <c r="AN70" s="590"/>
      <c r="AO70" s="562"/>
      <c r="AP70" s="590"/>
      <c r="AQ70" s="562"/>
      <c r="AR70" s="572"/>
      <c r="AS70" s="587"/>
      <c r="AT70" s="590"/>
      <c r="AU70" s="562"/>
      <c r="AV70" s="590"/>
      <c r="AW70" s="562"/>
      <c r="AX70" s="590"/>
      <c r="AY70" s="562"/>
      <c r="AZ70" s="590"/>
      <c r="BA70" s="562"/>
      <c r="BB70" s="590"/>
      <c r="BC70" s="562"/>
      <c r="BD70" s="590"/>
      <c r="BE70" s="562"/>
      <c r="BF70" s="572"/>
      <c r="BG70" s="587"/>
      <c r="BH70" s="590"/>
      <c r="BI70" s="562"/>
      <c r="BJ70" s="535">
        <f t="shared" si="8"/>
        <v>0</v>
      </c>
      <c r="BK70" s="545">
        <f t="shared" si="9"/>
        <v>0</v>
      </c>
    </row>
    <row r="71" spans="1:63" ht="15" customHeight="1" x14ac:dyDescent="0.35">
      <c r="A71" s="579"/>
      <c r="B71" s="546" t="s">
        <v>26</v>
      </c>
      <c r="C71" s="579" t="s">
        <v>112</v>
      </c>
      <c r="D71" s="653" t="s">
        <v>54</v>
      </c>
      <c r="E71" s="654"/>
      <c r="F71" s="590"/>
      <c r="G71" s="562"/>
      <c r="H71" s="590"/>
      <c r="I71" s="562"/>
      <c r="J71" s="590"/>
      <c r="K71" s="562"/>
      <c r="L71" s="590"/>
      <c r="M71" s="562"/>
      <c r="N71" s="590"/>
      <c r="O71" s="562"/>
      <c r="P71" s="572"/>
      <c r="Q71" s="587"/>
      <c r="R71" s="572"/>
      <c r="S71" s="587"/>
      <c r="T71" s="590"/>
      <c r="U71" s="562"/>
      <c r="V71" s="590"/>
      <c r="W71" s="562"/>
      <c r="X71" s="590"/>
      <c r="Y71" s="562"/>
      <c r="Z71" s="590"/>
      <c r="AA71" s="562"/>
      <c r="AB71" s="590"/>
      <c r="AC71" s="562"/>
      <c r="AD71" s="572"/>
      <c r="AE71" s="587"/>
      <c r="AF71" s="590"/>
      <c r="AG71" s="562"/>
      <c r="AH71" s="590"/>
      <c r="AI71" s="562"/>
      <c r="AJ71" s="590"/>
      <c r="AK71" s="562"/>
      <c r="AL71" s="590"/>
      <c r="AM71" s="562"/>
      <c r="AN71" s="590"/>
      <c r="AO71" s="562"/>
      <c r="AP71" s="590"/>
      <c r="AQ71" s="562"/>
      <c r="AR71" s="572"/>
      <c r="AS71" s="587"/>
      <c r="AT71" s="590"/>
      <c r="AU71" s="562"/>
      <c r="AV71" s="590"/>
      <c r="AW71" s="562"/>
      <c r="AX71" s="590"/>
      <c r="AY71" s="562"/>
      <c r="AZ71" s="590"/>
      <c r="BA71" s="562"/>
      <c r="BB71" s="590"/>
      <c r="BC71" s="562"/>
      <c r="BD71" s="590"/>
      <c r="BE71" s="562"/>
      <c r="BF71" s="572"/>
      <c r="BG71" s="587"/>
      <c r="BH71" s="590"/>
      <c r="BI71" s="562"/>
      <c r="BJ71" s="535">
        <f t="shared" si="8"/>
        <v>0</v>
      </c>
      <c r="BK71" s="545">
        <f t="shared" si="9"/>
        <v>0</v>
      </c>
    </row>
    <row r="72" spans="1:63" ht="15" customHeight="1" x14ac:dyDescent="0.35">
      <c r="A72" s="579"/>
      <c r="B72" s="546" t="s">
        <v>29</v>
      </c>
      <c r="C72" s="579" t="s">
        <v>113</v>
      </c>
      <c r="D72" s="653" t="s">
        <v>70</v>
      </c>
      <c r="E72" s="654"/>
      <c r="F72" s="590"/>
      <c r="G72" s="562"/>
      <c r="H72" s="590"/>
      <c r="I72" s="562"/>
      <c r="J72" s="590"/>
      <c r="K72" s="562"/>
      <c r="L72" s="590"/>
      <c r="M72" s="562"/>
      <c r="N72" s="590"/>
      <c r="O72" s="562"/>
      <c r="P72" s="572"/>
      <c r="Q72" s="587"/>
      <c r="R72" s="572"/>
      <c r="S72" s="587"/>
      <c r="T72" s="590"/>
      <c r="U72" s="562"/>
      <c r="V72" s="590"/>
      <c r="W72" s="562"/>
      <c r="X72" s="590"/>
      <c r="Y72" s="562"/>
      <c r="Z72" s="590"/>
      <c r="AA72" s="562"/>
      <c r="AB72" s="590"/>
      <c r="AC72" s="562"/>
      <c r="AD72" s="572"/>
      <c r="AE72" s="587"/>
      <c r="AF72" s="590"/>
      <c r="AG72" s="562"/>
      <c r="AH72" s="590"/>
      <c r="AI72" s="562"/>
      <c r="AJ72" s="590"/>
      <c r="AK72" s="562"/>
      <c r="AL72" s="590"/>
      <c r="AM72" s="562"/>
      <c r="AN72" s="590"/>
      <c r="AO72" s="562"/>
      <c r="AP72" s="590"/>
      <c r="AQ72" s="562"/>
      <c r="AR72" s="572"/>
      <c r="AS72" s="587"/>
      <c r="AT72" s="590"/>
      <c r="AU72" s="562"/>
      <c r="AV72" s="590"/>
      <c r="AW72" s="562"/>
      <c r="AX72" s="590"/>
      <c r="AY72" s="562"/>
      <c r="AZ72" s="590"/>
      <c r="BA72" s="562"/>
      <c r="BB72" s="590"/>
      <c r="BC72" s="562"/>
      <c r="BD72" s="590"/>
      <c r="BE72" s="562"/>
      <c r="BF72" s="572"/>
      <c r="BG72" s="587"/>
      <c r="BH72" s="590"/>
      <c r="BI72" s="562"/>
      <c r="BJ72" s="535">
        <f t="shared" si="8"/>
        <v>0</v>
      </c>
      <c r="BK72" s="545">
        <f t="shared" si="9"/>
        <v>0</v>
      </c>
    </row>
    <row r="73" spans="1:63" ht="15" customHeight="1" x14ac:dyDescent="0.35">
      <c r="A73" s="579"/>
      <c r="B73" s="546" t="s">
        <v>29</v>
      </c>
      <c r="C73" s="579" t="s">
        <v>114</v>
      </c>
      <c r="D73" s="653" t="s">
        <v>72</v>
      </c>
      <c r="E73" s="654"/>
      <c r="F73" s="590"/>
      <c r="G73" s="562"/>
      <c r="H73" s="590"/>
      <c r="I73" s="562"/>
      <c r="J73" s="590"/>
      <c r="K73" s="562"/>
      <c r="L73" s="590"/>
      <c r="M73" s="562"/>
      <c r="N73" s="590"/>
      <c r="O73" s="562"/>
      <c r="P73" s="572"/>
      <c r="Q73" s="587"/>
      <c r="R73" s="572"/>
      <c r="S73" s="587"/>
      <c r="T73" s="590"/>
      <c r="U73" s="562"/>
      <c r="V73" s="590"/>
      <c r="W73" s="562"/>
      <c r="X73" s="590"/>
      <c r="Y73" s="562"/>
      <c r="Z73" s="590"/>
      <c r="AA73" s="562"/>
      <c r="AB73" s="590"/>
      <c r="AC73" s="562"/>
      <c r="AD73" s="572"/>
      <c r="AE73" s="587"/>
      <c r="AF73" s="590"/>
      <c r="AG73" s="562"/>
      <c r="AH73" s="590"/>
      <c r="AI73" s="562"/>
      <c r="AJ73" s="590"/>
      <c r="AK73" s="562"/>
      <c r="AL73" s="590"/>
      <c r="AM73" s="562"/>
      <c r="AN73" s="590"/>
      <c r="AO73" s="562"/>
      <c r="AP73" s="590"/>
      <c r="AQ73" s="562"/>
      <c r="AR73" s="572"/>
      <c r="AS73" s="587"/>
      <c r="AT73" s="590"/>
      <c r="AU73" s="562"/>
      <c r="AV73" s="590"/>
      <c r="AW73" s="562"/>
      <c r="AX73" s="590"/>
      <c r="AY73" s="562"/>
      <c r="AZ73" s="590"/>
      <c r="BA73" s="562"/>
      <c r="BB73" s="590"/>
      <c r="BC73" s="562"/>
      <c r="BD73" s="590"/>
      <c r="BE73" s="562"/>
      <c r="BF73" s="572"/>
      <c r="BG73" s="587"/>
      <c r="BH73" s="590"/>
      <c r="BI73" s="562"/>
      <c r="BJ73" s="535">
        <f t="shared" si="8"/>
        <v>0</v>
      </c>
      <c r="BK73" s="545">
        <f t="shared" si="9"/>
        <v>0</v>
      </c>
    </row>
    <row r="74" spans="1:63" ht="15" customHeight="1" x14ac:dyDescent="0.35">
      <c r="A74" s="579"/>
      <c r="B74" s="546" t="s">
        <v>44</v>
      </c>
      <c r="C74" s="579" t="s">
        <v>115</v>
      </c>
      <c r="D74" s="653" t="s">
        <v>72</v>
      </c>
      <c r="E74" s="654"/>
      <c r="F74" s="590"/>
      <c r="G74" s="562"/>
      <c r="H74" s="590"/>
      <c r="I74" s="562"/>
      <c r="J74" s="590"/>
      <c r="K74" s="562"/>
      <c r="L74" s="590"/>
      <c r="M74" s="562"/>
      <c r="N74" s="590"/>
      <c r="O74" s="562"/>
      <c r="P74" s="572"/>
      <c r="Q74" s="587"/>
      <c r="R74" s="572"/>
      <c r="S74" s="587"/>
      <c r="T74" s="590"/>
      <c r="U74" s="562"/>
      <c r="V74" s="590"/>
      <c r="W74" s="562"/>
      <c r="X74" s="590"/>
      <c r="Y74" s="562"/>
      <c r="Z74" s="590"/>
      <c r="AA74" s="562"/>
      <c r="AB74" s="590"/>
      <c r="AC74" s="562"/>
      <c r="AD74" s="572"/>
      <c r="AE74" s="587"/>
      <c r="AF74" s="590"/>
      <c r="AG74" s="562"/>
      <c r="AH74" s="590"/>
      <c r="AI74" s="562"/>
      <c r="AJ74" s="590"/>
      <c r="AK74" s="562"/>
      <c r="AL74" s="590"/>
      <c r="AM74" s="562"/>
      <c r="AN74" s="590"/>
      <c r="AO74" s="562"/>
      <c r="AP74" s="590"/>
      <c r="AQ74" s="562"/>
      <c r="AR74" s="572"/>
      <c r="AS74" s="587"/>
      <c r="AT74" s="590"/>
      <c r="AU74" s="562"/>
      <c r="AV74" s="590"/>
      <c r="AW74" s="562"/>
      <c r="AX74" s="590"/>
      <c r="AY74" s="562"/>
      <c r="AZ74" s="590"/>
      <c r="BA74" s="562"/>
      <c r="BB74" s="590"/>
      <c r="BC74" s="562"/>
      <c r="BD74" s="590"/>
      <c r="BE74" s="562"/>
      <c r="BF74" s="572"/>
      <c r="BG74" s="587"/>
      <c r="BH74" s="590"/>
      <c r="BI74" s="562"/>
      <c r="BJ74" s="535">
        <f t="shared" si="8"/>
        <v>0</v>
      </c>
      <c r="BK74" s="545">
        <f t="shared" si="9"/>
        <v>0</v>
      </c>
    </row>
    <row r="75" spans="1:63" ht="15" customHeight="1" x14ac:dyDescent="0.35">
      <c r="A75" s="579"/>
      <c r="B75" s="546" t="s">
        <v>29</v>
      </c>
      <c r="C75" s="579" t="s">
        <v>116</v>
      </c>
      <c r="D75" s="653" t="s">
        <v>74</v>
      </c>
      <c r="E75" s="654"/>
      <c r="F75" s="590"/>
      <c r="G75" s="562"/>
      <c r="H75" s="590"/>
      <c r="I75" s="562"/>
      <c r="J75" s="590"/>
      <c r="K75" s="562"/>
      <c r="L75" s="590"/>
      <c r="M75" s="562"/>
      <c r="N75" s="590"/>
      <c r="O75" s="562"/>
      <c r="P75" s="572"/>
      <c r="Q75" s="587"/>
      <c r="R75" s="572"/>
      <c r="S75" s="587"/>
      <c r="T75" s="590"/>
      <c r="U75" s="562"/>
      <c r="V75" s="590"/>
      <c r="W75" s="562"/>
      <c r="X75" s="590"/>
      <c r="Y75" s="562"/>
      <c r="Z75" s="590"/>
      <c r="AA75" s="562"/>
      <c r="AB75" s="590"/>
      <c r="AC75" s="562"/>
      <c r="AD75" s="572"/>
      <c r="AE75" s="587"/>
      <c r="AF75" s="590"/>
      <c r="AG75" s="562"/>
      <c r="AH75" s="590"/>
      <c r="AI75" s="562"/>
      <c r="AJ75" s="590"/>
      <c r="AK75" s="562"/>
      <c r="AL75" s="590"/>
      <c r="AM75" s="562"/>
      <c r="AN75" s="590"/>
      <c r="AO75" s="562"/>
      <c r="AP75" s="590"/>
      <c r="AQ75" s="562"/>
      <c r="AR75" s="572"/>
      <c r="AS75" s="587"/>
      <c r="AT75" s="590"/>
      <c r="AU75" s="562"/>
      <c r="AV75" s="590"/>
      <c r="AW75" s="562"/>
      <c r="AX75" s="590"/>
      <c r="AY75" s="562"/>
      <c r="AZ75" s="590"/>
      <c r="BA75" s="562"/>
      <c r="BB75" s="590"/>
      <c r="BC75" s="562"/>
      <c r="BD75" s="590"/>
      <c r="BE75" s="562"/>
      <c r="BF75" s="572"/>
      <c r="BG75" s="587"/>
      <c r="BH75" s="590"/>
      <c r="BI75" s="562"/>
      <c r="BJ75" s="535">
        <f t="shared" si="8"/>
        <v>0</v>
      </c>
      <c r="BK75" s="545">
        <f t="shared" si="9"/>
        <v>0</v>
      </c>
    </row>
    <row r="76" spans="1:63" ht="15" customHeight="1" x14ac:dyDescent="0.35">
      <c r="A76" s="579"/>
      <c r="B76" s="546" t="s">
        <v>29</v>
      </c>
      <c r="C76" s="579" t="s">
        <v>117</v>
      </c>
      <c r="D76" s="653" t="s">
        <v>76</v>
      </c>
      <c r="E76" s="654"/>
      <c r="F76" s="590"/>
      <c r="G76" s="562"/>
      <c r="H76" s="590"/>
      <c r="I76" s="562"/>
      <c r="J76" s="590"/>
      <c r="K76" s="562"/>
      <c r="L76" s="590"/>
      <c r="M76" s="562"/>
      <c r="N76" s="590"/>
      <c r="O76" s="562"/>
      <c r="P76" s="572"/>
      <c r="Q76" s="587"/>
      <c r="R76" s="572"/>
      <c r="S76" s="587"/>
      <c r="T76" s="590"/>
      <c r="U76" s="562"/>
      <c r="V76" s="590"/>
      <c r="W76" s="562"/>
      <c r="X76" s="590"/>
      <c r="Y76" s="562"/>
      <c r="Z76" s="590"/>
      <c r="AA76" s="562"/>
      <c r="AB76" s="590"/>
      <c r="AC76" s="562"/>
      <c r="AD76" s="572"/>
      <c r="AE76" s="587"/>
      <c r="AF76" s="590"/>
      <c r="AG76" s="562"/>
      <c r="AH76" s="590"/>
      <c r="AI76" s="562"/>
      <c r="AJ76" s="590"/>
      <c r="AK76" s="562"/>
      <c r="AL76" s="590"/>
      <c r="AM76" s="562"/>
      <c r="AN76" s="590"/>
      <c r="AO76" s="562"/>
      <c r="AP76" s="590"/>
      <c r="AQ76" s="562"/>
      <c r="AR76" s="572"/>
      <c r="AS76" s="587"/>
      <c r="AT76" s="590"/>
      <c r="AU76" s="562"/>
      <c r="AV76" s="590"/>
      <c r="AW76" s="562"/>
      <c r="AX76" s="590"/>
      <c r="AY76" s="562"/>
      <c r="AZ76" s="590"/>
      <c r="BA76" s="562"/>
      <c r="BB76" s="590"/>
      <c r="BC76" s="562"/>
      <c r="BD76" s="590"/>
      <c r="BE76" s="562"/>
      <c r="BF76" s="572"/>
      <c r="BG76" s="587"/>
      <c r="BH76" s="590"/>
      <c r="BI76" s="562"/>
      <c r="BJ76" s="535">
        <f t="shared" si="8"/>
        <v>0</v>
      </c>
      <c r="BK76" s="545">
        <f t="shared" si="9"/>
        <v>0</v>
      </c>
    </row>
    <row r="77" spans="1:63" ht="15" customHeight="1" x14ac:dyDescent="0.35">
      <c r="A77" s="579"/>
      <c r="B77" s="546" t="s">
        <v>44</v>
      </c>
      <c r="C77" s="579" t="s">
        <v>118</v>
      </c>
      <c r="D77" s="653" t="s">
        <v>76</v>
      </c>
      <c r="E77" s="654"/>
      <c r="F77" s="590"/>
      <c r="G77" s="562"/>
      <c r="H77" s="590"/>
      <c r="I77" s="562"/>
      <c r="J77" s="590"/>
      <c r="K77" s="562"/>
      <c r="L77" s="590"/>
      <c r="M77" s="562"/>
      <c r="N77" s="590"/>
      <c r="O77" s="562"/>
      <c r="P77" s="572"/>
      <c r="Q77" s="587"/>
      <c r="R77" s="572"/>
      <c r="S77" s="587"/>
      <c r="T77" s="590"/>
      <c r="U77" s="562"/>
      <c r="V77" s="590"/>
      <c r="W77" s="562"/>
      <c r="X77" s="590"/>
      <c r="Y77" s="562"/>
      <c r="Z77" s="590"/>
      <c r="AA77" s="562"/>
      <c r="AB77" s="590"/>
      <c r="AC77" s="562"/>
      <c r="AD77" s="572"/>
      <c r="AE77" s="587"/>
      <c r="AF77" s="590"/>
      <c r="AG77" s="562"/>
      <c r="AH77" s="590"/>
      <c r="AI77" s="562"/>
      <c r="AJ77" s="590"/>
      <c r="AK77" s="562"/>
      <c r="AL77" s="590"/>
      <c r="AM77" s="562"/>
      <c r="AN77" s="590"/>
      <c r="AO77" s="562"/>
      <c r="AP77" s="590"/>
      <c r="AQ77" s="562"/>
      <c r="AR77" s="572"/>
      <c r="AS77" s="587"/>
      <c r="AT77" s="590"/>
      <c r="AU77" s="562"/>
      <c r="AV77" s="590"/>
      <c r="AW77" s="562"/>
      <c r="AX77" s="590"/>
      <c r="AY77" s="562"/>
      <c r="AZ77" s="590"/>
      <c r="BA77" s="562"/>
      <c r="BB77" s="590"/>
      <c r="BC77" s="562"/>
      <c r="BD77" s="590"/>
      <c r="BE77" s="562"/>
      <c r="BF77" s="572"/>
      <c r="BG77" s="587"/>
      <c r="BH77" s="590"/>
      <c r="BI77" s="562"/>
      <c r="BJ77" s="535">
        <f t="shared" si="8"/>
        <v>0</v>
      </c>
      <c r="BK77" s="545">
        <f t="shared" si="9"/>
        <v>0</v>
      </c>
    </row>
    <row r="78" spans="1:63" ht="15" customHeight="1" x14ac:dyDescent="0.35">
      <c r="A78" s="579"/>
      <c r="B78" s="546" t="s">
        <v>109</v>
      </c>
      <c r="C78" s="579" t="s">
        <v>119</v>
      </c>
      <c r="D78" s="653" t="s">
        <v>120</v>
      </c>
      <c r="E78" s="654"/>
      <c r="F78" s="590"/>
      <c r="G78" s="562"/>
      <c r="H78" s="590"/>
      <c r="I78" s="562"/>
      <c r="J78" s="590"/>
      <c r="K78" s="562"/>
      <c r="L78" s="590"/>
      <c r="M78" s="562"/>
      <c r="N78" s="590"/>
      <c r="O78" s="562"/>
      <c r="P78" s="572"/>
      <c r="Q78" s="587"/>
      <c r="R78" s="572"/>
      <c r="S78" s="587"/>
      <c r="T78" s="590"/>
      <c r="U78" s="562"/>
      <c r="V78" s="590"/>
      <c r="W78" s="562"/>
      <c r="X78" s="590"/>
      <c r="Y78" s="562"/>
      <c r="Z78" s="590"/>
      <c r="AA78" s="562"/>
      <c r="AB78" s="590"/>
      <c r="AC78" s="562"/>
      <c r="AD78" s="572"/>
      <c r="AE78" s="587"/>
      <c r="AF78" s="590"/>
      <c r="AG78" s="562"/>
      <c r="AH78" s="590"/>
      <c r="AI78" s="562"/>
      <c r="AJ78" s="590"/>
      <c r="AK78" s="562"/>
      <c r="AL78" s="590"/>
      <c r="AM78" s="562"/>
      <c r="AN78" s="590"/>
      <c r="AO78" s="562"/>
      <c r="AP78" s="590"/>
      <c r="AQ78" s="562"/>
      <c r="AR78" s="572"/>
      <c r="AS78" s="587"/>
      <c r="AT78" s="590"/>
      <c r="AU78" s="562"/>
      <c r="AV78" s="590"/>
      <c r="AW78" s="562"/>
      <c r="AX78" s="590"/>
      <c r="AY78" s="562"/>
      <c r="AZ78" s="590"/>
      <c r="BA78" s="562"/>
      <c r="BB78" s="590"/>
      <c r="BC78" s="562"/>
      <c r="BD78" s="590"/>
      <c r="BE78" s="562"/>
      <c r="BF78" s="572"/>
      <c r="BG78" s="587"/>
      <c r="BH78" s="590"/>
      <c r="BI78" s="562"/>
      <c r="BJ78" s="535">
        <f t="shared" si="8"/>
        <v>0</v>
      </c>
      <c r="BK78" s="545">
        <f t="shared" si="9"/>
        <v>0</v>
      </c>
    </row>
    <row r="79" spans="1:63" ht="15" customHeight="1" x14ac:dyDescent="0.35">
      <c r="A79" s="579"/>
      <c r="B79" s="546" t="s">
        <v>29</v>
      </c>
      <c r="C79" s="579" t="s">
        <v>121</v>
      </c>
      <c r="D79" s="653" t="s">
        <v>122</v>
      </c>
      <c r="E79" s="654"/>
      <c r="F79" s="79"/>
      <c r="G79" s="80"/>
      <c r="H79" s="79"/>
      <c r="I79" s="80"/>
      <c r="J79" s="79"/>
      <c r="K79" s="80"/>
      <c r="L79" s="79"/>
      <c r="M79" s="80"/>
      <c r="N79" s="79"/>
      <c r="O79" s="80"/>
      <c r="P79" s="572"/>
      <c r="Q79" s="587"/>
      <c r="R79" s="572"/>
      <c r="S79" s="587"/>
      <c r="T79" s="79"/>
      <c r="U79" s="80"/>
      <c r="V79" s="79"/>
      <c r="W79" s="80"/>
      <c r="X79" s="79"/>
      <c r="Y79" s="80"/>
      <c r="Z79" s="79"/>
      <c r="AA79" s="80"/>
      <c r="AB79" s="79"/>
      <c r="AC79" s="80"/>
      <c r="AD79" s="572"/>
      <c r="AE79" s="587"/>
      <c r="AF79" s="79"/>
      <c r="AG79" s="80"/>
      <c r="AH79" s="79"/>
      <c r="AI79" s="80"/>
      <c r="AJ79" s="79"/>
      <c r="AK79" s="80"/>
      <c r="AL79" s="79"/>
      <c r="AM79" s="80"/>
      <c r="AN79" s="79"/>
      <c r="AO79" s="80"/>
      <c r="AP79" s="79"/>
      <c r="AQ79" s="80"/>
      <c r="AR79" s="572"/>
      <c r="AS79" s="587"/>
      <c r="AT79" s="79"/>
      <c r="AU79" s="80"/>
      <c r="AV79" s="79"/>
      <c r="AW79" s="80"/>
      <c r="AX79" s="79"/>
      <c r="AY79" s="80"/>
      <c r="AZ79" s="79"/>
      <c r="BA79" s="80"/>
      <c r="BB79" s="79"/>
      <c r="BC79" s="80"/>
      <c r="BD79" s="79"/>
      <c r="BE79" s="80"/>
      <c r="BF79" s="572"/>
      <c r="BG79" s="587"/>
      <c r="BH79" s="79"/>
      <c r="BI79" s="80"/>
      <c r="BJ79" s="535">
        <f t="shared" si="8"/>
        <v>0</v>
      </c>
      <c r="BK79" s="545">
        <f t="shared" si="9"/>
        <v>0</v>
      </c>
    </row>
    <row r="80" spans="1:63" ht="15" customHeight="1" x14ac:dyDescent="0.35">
      <c r="A80" s="579"/>
      <c r="B80" s="546" t="s">
        <v>109</v>
      </c>
      <c r="C80" s="579" t="s">
        <v>123</v>
      </c>
      <c r="D80" s="653" t="s">
        <v>124</v>
      </c>
      <c r="E80" s="654"/>
      <c r="F80" s="590"/>
      <c r="G80" s="562"/>
      <c r="H80" s="590"/>
      <c r="I80" s="562"/>
      <c r="J80" s="590"/>
      <c r="K80" s="562"/>
      <c r="L80" s="590"/>
      <c r="M80" s="562"/>
      <c r="N80" s="590"/>
      <c r="O80" s="562"/>
      <c r="P80" s="572"/>
      <c r="Q80" s="587"/>
      <c r="R80" s="572"/>
      <c r="S80" s="587"/>
      <c r="T80" s="590"/>
      <c r="U80" s="562"/>
      <c r="V80" s="590"/>
      <c r="W80" s="562"/>
      <c r="X80" s="590"/>
      <c r="Y80" s="562"/>
      <c r="Z80" s="590"/>
      <c r="AA80" s="562"/>
      <c r="AB80" s="590"/>
      <c r="AC80" s="562"/>
      <c r="AD80" s="572"/>
      <c r="AE80" s="587"/>
      <c r="AF80" s="590"/>
      <c r="AG80" s="562"/>
      <c r="AH80" s="590"/>
      <c r="AI80" s="562"/>
      <c r="AJ80" s="590"/>
      <c r="AK80" s="562"/>
      <c r="AL80" s="590"/>
      <c r="AM80" s="562"/>
      <c r="AN80" s="590"/>
      <c r="AO80" s="562"/>
      <c r="AP80" s="590"/>
      <c r="AQ80" s="562"/>
      <c r="AR80" s="572"/>
      <c r="AS80" s="587"/>
      <c r="AT80" s="590"/>
      <c r="AU80" s="562"/>
      <c r="AV80" s="590"/>
      <c r="AW80" s="562"/>
      <c r="AX80" s="590"/>
      <c r="AY80" s="562"/>
      <c r="AZ80" s="590"/>
      <c r="BA80" s="562"/>
      <c r="BB80" s="590"/>
      <c r="BC80" s="562"/>
      <c r="BD80" s="590"/>
      <c r="BE80" s="562"/>
      <c r="BF80" s="572"/>
      <c r="BG80" s="587"/>
      <c r="BH80" s="590"/>
      <c r="BI80" s="562"/>
      <c r="BJ80" s="535">
        <f t="shared" si="8"/>
        <v>0</v>
      </c>
      <c r="BK80" s="545">
        <f t="shared" si="9"/>
        <v>0</v>
      </c>
    </row>
    <row r="81" spans="1:63" ht="15" customHeight="1" x14ac:dyDescent="0.35">
      <c r="A81" s="579"/>
      <c r="B81" s="546" t="s">
        <v>109</v>
      </c>
      <c r="C81" s="579" t="s">
        <v>159</v>
      </c>
      <c r="D81" s="653" t="s">
        <v>160</v>
      </c>
      <c r="E81" s="654"/>
      <c r="F81" s="590"/>
      <c r="G81" s="562"/>
      <c r="H81" s="590"/>
      <c r="I81" s="562"/>
      <c r="J81" s="590"/>
      <c r="K81" s="562"/>
      <c r="L81" s="590"/>
      <c r="M81" s="562"/>
      <c r="N81" s="590"/>
      <c r="O81" s="562"/>
      <c r="P81" s="572"/>
      <c r="Q81" s="587"/>
      <c r="R81" s="572"/>
      <c r="S81" s="587"/>
      <c r="T81" s="590"/>
      <c r="U81" s="562"/>
      <c r="V81" s="590"/>
      <c r="W81" s="562"/>
      <c r="X81" s="590"/>
      <c r="Y81" s="562"/>
      <c r="Z81" s="590"/>
      <c r="AA81" s="562"/>
      <c r="AB81" s="590">
        <v>55</v>
      </c>
      <c r="AC81" s="562"/>
      <c r="AD81" s="572"/>
      <c r="AE81" s="587"/>
      <c r="AF81" s="590"/>
      <c r="AG81" s="562"/>
      <c r="AH81" s="590"/>
      <c r="AI81" s="562"/>
      <c r="AJ81" s="590"/>
      <c r="AK81" s="562"/>
      <c r="AL81" s="590"/>
      <c r="AM81" s="562"/>
      <c r="AN81" s="590"/>
      <c r="AO81" s="562"/>
      <c r="AP81" s="590"/>
      <c r="AQ81" s="562"/>
      <c r="AR81" s="572"/>
      <c r="AS81" s="587"/>
      <c r="AT81" s="590"/>
      <c r="AU81" s="562"/>
      <c r="AV81" s="590"/>
      <c r="AW81" s="562"/>
      <c r="AX81" s="590"/>
      <c r="AY81" s="562"/>
      <c r="AZ81" s="590"/>
      <c r="BA81" s="562"/>
      <c r="BB81" s="590"/>
      <c r="BC81" s="562"/>
      <c r="BD81" s="590"/>
      <c r="BE81" s="562"/>
      <c r="BF81" s="572"/>
      <c r="BG81" s="587"/>
      <c r="BH81" s="590"/>
      <c r="BI81" s="562"/>
      <c r="BJ81" s="535">
        <f t="shared" si="8"/>
        <v>55</v>
      </c>
      <c r="BK81" s="545"/>
    </row>
    <row r="82" spans="1:63" ht="15" customHeight="1" x14ac:dyDescent="0.35">
      <c r="A82" s="579"/>
      <c r="B82" s="546" t="s">
        <v>104</v>
      </c>
      <c r="C82" s="579" t="s">
        <v>125</v>
      </c>
      <c r="D82" s="653" t="s">
        <v>126</v>
      </c>
      <c r="E82" s="654"/>
      <c r="F82" s="590"/>
      <c r="G82" s="562"/>
      <c r="H82" s="590"/>
      <c r="I82" s="562"/>
      <c r="J82" s="590"/>
      <c r="K82" s="562"/>
      <c r="L82" s="590"/>
      <c r="M82" s="562"/>
      <c r="N82" s="590"/>
      <c r="O82" s="562"/>
      <c r="P82" s="572"/>
      <c r="Q82" s="587"/>
      <c r="R82" s="572"/>
      <c r="S82" s="587"/>
      <c r="T82" s="590"/>
      <c r="U82" s="562"/>
      <c r="V82" s="590"/>
      <c r="W82" s="562"/>
      <c r="X82" s="590"/>
      <c r="Y82" s="562"/>
      <c r="Z82" s="590"/>
      <c r="AA82" s="562"/>
      <c r="AB82" s="590"/>
      <c r="AC82" s="562"/>
      <c r="AD82" s="572"/>
      <c r="AE82" s="587"/>
      <c r="AF82" s="590"/>
      <c r="AG82" s="562"/>
      <c r="AH82" s="590"/>
      <c r="AI82" s="562"/>
      <c r="AJ82" s="590"/>
      <c r="AK82" s="562"/>
      <c r="AL82" s="590"/>
      <c r="AM82" s="562"/>
      <c r="AN82" s="590"/>
      <c r="AO82" s="562"/>
      <c r="AP82" s="590"/>
      <c r="AQ82" s="562"/>
      <c r="AR82" s="572"/>
      <c r="AS82" s="587"/>
      <c r="AT82" s="590"/>
      <c r="AU82" s="562"/>
      <c r="AV82" s="590"/>
      <c r="AW82" s="562"/>
      <c r="AX82" s="590"/>
      <c r="AY82" s="562"/>
      <c r="AZ82" s="590"/>
      <c r="BA82" s="562"/>
      <c r="BB82" s="590"/>
      <c r="BC82" s="562"/>
      <c r="BD82" s="590"/>
      <c r="BE82" s="562"/>
      <c r="BF82" s="572"/>
      <c r="BG82" s="587"/>
      <c r="BH82" s="590"/>
      <c r="BI82" s="562"/>
      <c r="BJ82" s="535">
        <f t="shared" si="8"/>
        <v>0</v>
      </c>
      <c r="BK82" s="545">
        <f t="shared" ref="BK82:BK105" si="10">COUNT(F82:BI82)</f>
        <v>0</v>
      </c>
    </row>
    <row r="83" spans="1:63" ht="15" customHeight="1" x14ac:dyDescent="0.35">
      <c r="A83" s="579"/>
      <c r="B83" s="546"/>
      <c r="C83" s="579"/>
      <c r="D83" s="653"/>
      <c r="E83" s="654"/>
      <c r="F83" s="590"/>
      <c r="G83" s="562"/>
      <c r="H83" s="590"/>
      <c r="I83" s="562"/>
      <c r="J83" s="590"/>
      <c r="K83" s="562"/>
      <c r="L83" s="590"/>
      <c r="M83" s="562"/>
      <c r="N83" s="590"/>
      <c r="O83" s="562"/>
      <c r="P83" s="572"/>
      <c r="Q83" s="587"/>
      <c r="R83" s="572"/>
      <c r="S83" s="587"/>
      <c r="T83" s="590"/>
      <c r="U83" s="562"/>
      <c r="V83" s="590"/>
      <c r="W83" s="562"/>
      <c r="X83" s="590"/>
      <c r="Y83" s="562"/>
      <c r="Z83" s="590"/>
      <c r="AA83" s="562"/>
      <c r="AB83" s="590"/>
      <c r="AC83" s="562"/>
      <c r="AD83" s="572"/>
      <c r="AE83" s="587"/>
      <c r="AF83" s="590"/>
      <c r="AG83" s="562"/>
      <c r="AH83" s="590"/>
      <c r="AI83" s="562"/>
      <c r="AJ83" s="590"/>
      <c r="AK83" s="562"/>
      <c r="AL83" s="590"/>
      <c r="AM83" s="562"/>
      <c r="AN83" s="590"/>
      <c r="AO83" s="562"/>
      <c r="AP83" s="590"/>
      <c r="AQ83" s="562"/>
      <c r="AR83" s="572"/>
      <c r="AS83" s="587"/>
      <c r="AT83" s="590"/>
      <c r="AU83" s="562"/>
      <c r="AV83" s="590"/>
      <c r="AW83" s="562"/>
      <c r="AX83" s="590"/>
      <c r="AY83" s="562"/>
      <c r="AZ83" s="590"/>
      <c r="BA83" s="562"/>
      <c r="BB83" s="590"/>
      <c r="BC83" s="562"/>
      <c r="BD83" s="590"/>
      <c r="BE83" s="562"/>
      <c r="BF83" s="572"/>
      <c r="BG83" s="587"/>
      <c r="BH83" s="590"/>
      <c r="BI83" s="562"/>
      <c r="BJ83" s="535">
        <f t="shared" si="8"/>
        <v>0</v>
      </c>
      <c r="BK83" s="545">
        <f t="shared" si="10"/>
        <v>0</v>
      </c>
    </row>
    <row r="84" spans="1:63" ht="15" customHeight="1" x14ac:dyDescent="0.35">
      <c r="A84" s="579"/>
      <c r="B84" s="546"/>
      <c r="C84" s="579">
        <f>SUM(BJ85:BJ87)</f>
        <v>0</v>
      </c>
      <c r="D84" s="647" t="s">
        <v>127</v>
      </c>
      <c r="E84" s="648"/>
      <c r="F84" s="590"/>
      <c r="G84" s="562"/>
      <c r="H84" s="590"/>
      <c r="I84" s="562"/>
      <c r="J84" s="590"/>
      <c r="K84" s="562"/>
      <c r="L84" s="590"/>
      <c r="M84" s="562"/>
      <c r="N84" s="590"/>
      <c r="O84" s="562"/>
      <c r="P84" s="572"/>
      <c r="Q84" s="587"/>
      <c r="R84" s="572"/>
      <c r="S84" s="587"/>
      <c r="T84" s="590"/>
      <c r="U84" s="562"/>
      <c r="V84" s="590"/>
      <c r="W84" s="562"/>
      <c r="X84" s="590"/>
      <c r="Y84" s="562"/>
      <c r="Z84" s="590"/>
      <c r="AA84" s="562"/>
      <c r="AB84" s="590"/>
      <c r="AC84" s="562"/>
      <c r="AD84" s="572"/>
      <c r="AE84" s="587"/>
      <c r="AF84" s="590"/>
      <c r="AG84" s="562"/>
      <c r="AH84" s="590"/>
      <c r="AI84" s="562"/>
      <c r="AJ84" s="590"/>
      <c r="AK84" s="562"/>
      <c r="AL84" s="590"/>
      <c r="AM84" s="562"/>
      <c r="AN84" s="590"/>
      <c r="AO84" s="562"/>
      <c r="AP84" s="590"/>
      <c r="AQ84" s="562"/>
      <c r="AR84" s="572"/>
      <c r="AS84" s="587"/>
      <c r="AT84" s="590"/>
      <c r="AU84" s="562"/>
      <c r="AV84" s="590"/>
      <c r="AW84" s="562"/>
      <c r="AX84" s="590"/>
      <c r="AY84" s="562"/>
      <c r="AZ84" s="590"/>
      <c r="BA84" s="562"/>
      <c r="BB84" s="590"/>
      <c r="BC84" s="562"/>
      <c r="BD84" s="590"/>
      <c r="BE84" s="562"/>
      <c r="BF84" s="572"/>
      <c r="BG84" s="587"/>
      <c r="BH84" s="590"/>
      <c r="BI84" s="562"/>
      <c r="BJ84" s="535">
        <f t="shared" si="8"/>
        <v>0</v>
      </c>
      <c r="BK84" s="545">
        <f t="shared" si="10"/>
        <v>0</v>
      </c>
    </row>
    <row r="85" spans="1:63" ht="15" customHeight="1" x14ac:dyDescent="0.35">
      <c r="A85" s="579"/>
      <c r="B85" s="546" t="s">
        <v>85</v>
      </c>
      <c r="C85" s="579" t="s">
        <v>128</v>
      </c>
      <c r="D85" s="653" t="s">
        <v>129</v>
      </c>
      <c r="E85" s="654"/>
      <c r="F85" s="590"/>
      <c r="G85" s="562"/>
      <c r="H85" s="590"/>
      <c r="I85" s="562"/>
      <c r="J85" s="590"/>
      <c r="K85" s="562"/>
      <c r="L85" s="590"/>
      <c r="M85" s="562"/>
      <c r="N85" s="590"/>
      <c r="O85" s="562"/>
      <c r="P85" s="572"/>
      <c r="Q85" s="587"/>
      <c r="R85" s="572"/>
      <c r="S85" s="587"/>
      <c r="T85" s="590"/>
      <c r="U85" s="562"/>
      <c r="V85" s="590"/>
      <c r="W85" s="562"/>
      <c r="X85" s="590"/>
      <c r="Y85" s="562"/>
      <c r="Z85" s="590"/>
      <c r="AA85" s="562"/>
      <c r="AB85" s="590"/>
      <c r="AC85" s="562"/>
      <c r="AD85" s="572"/>
      <c r="AE85" s="587"/>
      <c r="AF85" s="590"/>
      <c r="AG85" s="562"/>
      <c r="AH85" s="590"/>
      <c r="AI85" s="562"/>
      <c r="AJ85" s="590"/>
      <c r="AK85" s="562"/>
      <c r="AL85" s="590"/>
      <c r="AM85" s="562"/>
      <c r="AN85" s="590"/>
      <c r="AO85" s="562"/>
      <c r="AP85" s="590"/>
      <c r="AQ85" s="562"/>
      <c r="AR85" s="572"/>
      <c r="AS85" s="587"/>
      <c r="AT85" s="590"/>
      <c r="AU85" s="562"/>
      <c r="AV85" s="590"/>
      <c r="AW85" s="562"/>
      <c r="AX85" s="590"/>
      <c r="AY85" s="562"/>
      <c r="AZ85" s="590"/>
      <c r="BA85" s="562"/>
      <c r="BB85" s="590"/>
      <c r="BC85" s="562"/>
      <c r="BD85" s="590"/>
      <c r="BE85" s="562"/>
      <c r="BF85" s="572"/>
      <c r="BG85" s="587"/>
      <c r="BH85" s="590"/>
      <c r="BI85" s="562"/>
      <c r="BJ85" s="535">
        <f t="shared" si="8"/>
        <v>0</v>
      </c>
      <c r="BK85" s="545">
        <f t="shared" si="10"/>
        <v>0</v>
      </c>
    </row>
    <row r="86" spans="1:63" ht="15" customHeight="1" x14ac:dyDescent="0.35">
      <c r="A86" s="579"/>
      <c r="B86" s="546"/>
      <c r="C86" s="579"/>
      <c r="D86" s="653"/>
      <c r="E86" s="654"/>
      <c r="F86" s="590"/>
      <c r="G86" s="562"/>
      <c r="H86" s="590"/>
      <c r="I86" s="562"/>
      <c r="J86" s="590"/>
      <c r="K86" s="562"/>
      <c r="L86" s="590"/>
      <c r="M86" s="562"/>
      <c r="N86" s="590"/>
      <c r="O86" s="562"/>
      <c r="P86" s="572"/>
      <c r="Q86" s="587"/>
      <c r="R86" s="572"/>
      <c r="S86" s="587"/>
      <c r="T86" s="590"/>
      <c r="U86" s="562"/>
      <c r="V86" s="590"/>
      <c r="W86" s="562"/>
      <c r="X86" s="590"/>
      <c r="Y86" s="562"/>
      <c r="Z86" s="590"/>
      <c r="AA86" s="562"/>
      <c r="AB86" s="590"/>
      <c r="AC86" s="562"/>
      <c r="AD86" s="572"/>
      <c r="AE86" s="587"/>
      <c r="AF86" s="590"/>
      <c r="AG86" s="562"/>
      <c r="AH86" s="590"/>
      <c r="AI86" s="562"/>
      <c r="AJ86" s="590"/>
      <c r="AK86" s="562"/>
      <c r="AL86" s="590"/>
      <c r="AM86" s="562"/>
      <c r="AN86" s="590"/>
      <c r="AO86" s="562"/>
      <c r="AP86" s="590"/>
      <c r="AQ86" s="562"/>
      <c r="AR86" s="572"/>
      <c r="AS86" s="587"/>
      <c r="AT86" s="590"/>
      <c r="AU86" s="562"/>
      <c r="AV86" s="590"/>
      <c r="AW86" s="562"/>
      <c r="AX86" s="590"/>
      <c r="AY86" s="562"/>
      <c r="AZ86" s="590"/>
      <c r="BA86" s="562"/>
      <c r="BB86" s="590"/>
      <c r="BC86" s="562"/>
      <c r="BD86" s="590"/>
      <c r="BE86" s="562"/>
      <c r="BF86" s="572"/>
      <c r="BG86" s="587"/>
      <c r="BH86" s="590"/>
      <c r="BI86" s="562"/>
      <c r="BJ86" s="535">
        <f t="shared" si="8"/>
        <v>0</v>
      </c>
      <c r="BK86" s="545">
        <f t="shared" si="10"/>
        <v>0</v>
      </c>
    </row>
    <row r="87" spans="1:63" ht="15" customHeight="1" x14ac:dyDescent="0.35">
      <c r="A87" s="579"/>
      <c r="B87" s="546"/>
      <c r="C87" s="579"/>
      <c r="D87" s="653"/>
      <c r="E87" s="654"/>
      <c r="F87" s="590"/>
      <c r="G87" s="562"/>
      <c r="H87" s="590"/>
      <c r="I87" s="562"/>
      <c r="J87" s="590"/>
      <c r="K87" s="562"/>
      <c r="L87" s="590"/>
      <c r="M87" s="562"/>
      <c r="N87" s="590"/>
      <c r="O87" s="562"/>
      <c r="P87" s="572"/>
      <c r="Q87" s="587"/>
      <c r="R87" s="572"/>
      <c r="S87" s="587"/>
      <c r="T87" s="590"/>
      <c r="U87" s="562"/>
      <c r="V87" s="590"/>
      <c r="W87" s="562"/>
      <c r="X87" s="590"/>
      <c r="Y87" s="562"/>
      <c r="Z87" s="590"/>
      <c r="AA87" s="562"/>
      <c r="AB87" s="590"/>
      <c r="AC87" s="562"/>
      <c r="AD87" s="572"/>
      <c r="AE87" s="587"/>
      <c r="AF87" s="590"/>
      <c r="AG87" s="562"/>
      <c r="AH87" s="590"/>
      <c r="AI87" s="562"/>
      <c r="AJ87" s="590"/>
      <c r="AK87" s="562"/>
      <c r="AL87" s="590"/>
      <c r="AM87" s="562"/>
      <c r="AN87" s="590"/>
      <c r="AO87" s="562"/>
      <c r="AP87" s="590"/>
      <c r="AQ87" s="562"/>
      <c r="AR87" s="572"/>
      <c r="AS87" s="587"/>
      <c r="AT87" s="590"/>
      <c r="AU87" s="562"/>
      <c r="AV87" s="590"/>
      <c r="AW87" s="562"/>
      <c r="AX87" s="590"/>
      <c r="AY87" s="562"/>
      <c r="AZ87" s="590"/>
      <c r="BA87" s="562"/>
      <c r="BB87" s="590"/>
      <c r="BC87" s="562"/>
      <c r="BD87" s="590"/>
      <c r="BE87" s="562"/>
      <c r="BF87" s="572"/>
      <c r="BG87" s="587"/>
      <c r="BH87" s="590"/>
      <c r="BI87" s="562"/>
      <c r="BJ87" s="535">
        <f t="shared" si="8"/>
        <v>0</v>
      </c>
      <c r="BK87" s="545">
        <f t="shared" si="10"/>
        <v>0</v>
      </c>
    </row>
    <row r="88" spans="1:63" ht="15" customHeight="1" x14ac:dyDescent="0.35">
      <c r="A88" s="579"/>
      <c r="B88" s="546"/>
      <c r="C88" s="579">
        <f>SUM(BJ89:BJ91)</f>
        <v>0</v>
      </c>
      <c r="D88" s="647" t="s">
        <v>130</v>
      </c>
      <c r="E88" s="648"/>
      <c r="F88" s="590"/>
      <c r="G88" s="562"/>
      <c r="H88" s="590"/>
      <c r="I88" s="562"/>
      <c r="J88" s="590"/>
      <c r="K88" s="562"/>
      <c r="L88" s="590"/>
      <c r="M88" s="562"/>
      <c r="N88" s="590"/>
      <c r="O88" s="562"/>
      <c r="P88" s="572"/>
      <c r="Q88" s="587"/>
      <c r="R88" s="572"/>
      <c r="S88" s="587"/>
      <c r="T88" s="590"/>
      <c r="U88" s="562"/>
      <c r="V88" s="590"/>
      <c r="W88" s="562"/>
      <c r="X88" s="590"/>
      <c r="Y88" s="562"/>
      <c r="Z88" s="590"/>
      <c r="AA88" s="562"/>
      <c r="AB88" s="590"/>
      <c r="AC88" s="562"/>
      <c r="AD88" s="572"/>
      <c r="AE88" s="587"/>
      <c r="AF88" s="590"/>
      <c r="AG88" s="562"/>
      <c r="AH88" s="590"/>
      <c r="AI88" s="562"/>
      <c r="AJ88" s="590"/>
      <c r="AK88" s="562"/>
      <c r="AL88" s="590"/>
      <c r="AM88" s="562"/>
      <c r="AN88" s="590"/>
      <c r="AO88" s="562"/>
      <c r="AP88" s="590"/>
      <c r="AQ88" s="562"/>
      <c r="AR88" s="572"/>
      <c r="AS88" s="587"/>
      <c r="AT88" s="590"/>
      <c r="AU88" s="562"/>
      <c r="AV88" s="590"/>
      <c r="AW88" s="562"/>
      <c r="AX88" s="590"/>
      <c r="AY88" s="562"/>
      <c r="AZ88" s="590"/>
      <c r="BA88" s="562"/>
      <c r="BB88" s="590"/>
      <c r="BC88" s="562"/>
      <c r="BD88" s="590"/>
      <c r="BE88" s="562"/>
      <c r="BF88" s="572"/>
      <c r="BG88" s="587"/>
      <c r="BH88" s="590"/>
      <c r="BI88" s="562"/>
      <c r="BJ88" s="535">
        <f t="shared" si="8"/>
        <v>0</v>
      </c>
      <c r="BK88" s="545">
        <f t="shared" si="10"/>
        <v>0</v>
      </c>
    </row>
    <row r="89" spans="1:63" ht="15" customHeight="1" x14ac:dyDescent="0.35">
      <c r="A89" s="579"/>
      <c r="B89" s="546" t="s">
        <v>85</v>
      </c>
      <c r="C89" s="579" t="s">
        <v>131</v>
      </c>
      <c r="D89" s="653" t="s">
        <v>132</v>
      </c>
      <c r="E89" s="654"/>
      <c r="F89" s="590"/>
      <c r="G89" s="562"/>
      <c r="H89" s="590"/>
      <c r="I89" s="562"/>
      <c r="J89" s="590"/>
      <c r="K89" s="562"/>
      <c r="L89" s="590"/>
      <c r="M89" s="562"/>
      <c r="N89" s="590"/>
      <c r="O89" s="562"/>
      <c r="P89" s="572"/>
      <c r="Q89" s="587"/>
      <c r="R89" s="572"/>
      <c r="S89" s="587"/>
      <c r="T89" s="590"/>
      <c r="U89" s="562"/>
      <c r="V89" s="590"/>
      <c r="W89" s="562"/>
      <c r="X89" s="590"/>
      <c r="Y89" s="562"/>
      <c r="Z89" s="590"/>
      <c r="AA89" s="562"/>
      <c r="AB89" s="590"/>
      <c r="AC89" s="562"/>
      <c r="AD89" s="572"/>
      <c r="AE89" s="587"/>
      <c r="AF89" s="590"/>
      <c r="AG89" s="562"/>
      <c r="AH89" s="590"/>
      <c r="AI89" s="562"/>
      <c r="AJ89" s="590"/>
      <c r="AK89" s="562"/>
      <c r="AL89" s="590"/>
      <c r="AM89" s="562"/>
      <c r="AN89" s="590"/>
      <c r="AO89" s="562"/>
      <c r="AP89" s="590"/>
      <c r="AQ89" s="562"/>
      <c r="AR89" s="572"/>
      <c r="AS89" s="587"/>
      <c r="AT89" s="590"/>
      <c r="AU89" s="562"/>
      <c r="AV89" s="590"/>
      <c r="AW89" s="562"/>
      <c r="AX89" s="590"/>
      <c r="AY89" s="562"/>
      <c r="AZ89" s="590"/>
      <c r="BA89" s="562"/>
      <c r="BB89" s="590"/>
      <c r="BC89" s="562"/>
      <c r="BD89" s="590"/>
      <c r="BE89" s="562"/>
      <c r="BF89" s="572"/>
      <c r="BG89" s="587"/>
      <c r="BH89" s="590"/>
      <c r="BI89" s="562"/>
      <c r="BJ89" s="535">
        <f t="shared" si="8"/>
        <v>0</v>
      </c>
      <c r="BK89" s="545">
        <f t="shared" si="10"/>
        <v>0</v>
      </c>
    </row>
    <row r="90" spans="1:63" ht="15" customHeight="1" x14ac:dyDescent="0.35">
      <c r="A90" s="579"/>
      <c r="B90" s="546"/>
      <c r="C90" s="579"/>
      <c r="D90" s="653"/>
      <c r="E90" s="654"/>
      <c r="F90" s="590"/>
      <c r="G90" s="562"/>
      <c r="H90" s="590"/>
      <c r="I90" s="562"/>
      <c r="J90" s="590"/>
      <c r="K90" s="562"/>
      <c r="L90" s="590"/>
      <c r="M90" s="562"/>
      <c r="N90" s="590"/>
      <c r="O90" s="562"/>
      <c r="P90" s="572"/>
      <c r="Q90" s="587"/>
      <c r="R90" s="572"/>
      <c r="S90" s="587"/>
      <c r="T90" s="590"/>
      <c r="U90" s="562"/>
      <c r="V90" s="590"/>
      <c r="W90" s="562"/>
      <c r="X90" s="590"/>
      <c r="Y90" s="562"/>
      <c r="Z90" s="590"/>
      <c r="AA90" s="562"/>
      <c r="AB90" s="590"/>
      <c r="AC90" s="562"/>
      <c r="AD90" s="572"/>
      <c r="AE90" s="587"/>
      <c r="AF90" s="590"/>
      <c r="AG90" s="562"/>
      <c r="AH90" s="590"/>
      <c r="AI90" s="562"/>
      <c r="AJ90" s="590"/>
      <c r="AK90" s="562"/>
      <c r="AL90" s="590"/>
      <c r="AM90" s="562"/>
      <c r="AN90" s="590"/>
      <c r="AO90" s="562"/>
      <c r="AP90" s="590"/>
      <c r="AQ90" s="562"/>
      <c r="AR90" s="572"/>
      <c r="AS90" s="587"/>
      <c r="AT90" s="590"/>
      <c r="AU90" s="562"/>
      <c r="AV90" s="590"/>
      <c r="AW90" s="562"/>
      <c r="AX90" s="590"/>
      <c r="AY90" s="562"/>
      <c r="AZ90" s="590"/>
      <c r="BA90" s="562"/>
      <c r="BB90" s="590"/>
      <c r="BC90" s="562"/>
      <c r="BD90" s="590"/>
      <c r="BE90" s="562"/>
      <c r="BF90" s="572"/>
      <c r="BG90" s="587"/>
      <c r="BH90" s="590"/>
      <c r="BI90" s="562"/>
      <c r="BJ90" s="535">
        <f t="shared" si="8"/>
        <v>0</v>
      </c>
      <c r="BK90" s="545">
        <f t="shared" si="10"/>
        <v>0</v>
      </c>
    </row>
    <row r="91" spans="1:63" ht="15" customHeight="1" x14ac:dyDescent="0.35">
      <c r="A91" s="579"/>
      <c r="B91" s="546"/>
      <c r="C91" s="579"/>
      <c r="D91" s="653"/>
      <c r="E91" s="654"/>
      <c r="F91" s="590"/>
      <c r="G91" s="562"/>
      <c r="H91" s="590"/>
      <c r="I91" s="562"/>
      <c r="J91" s="590"/>
      <c r="K91" s="562"/>
      <c r="L91" s="590"/>
      <c r="M91" s="562"/>
      <c r="N91" s="590"/>
      <c r="O91" s="562"/>
      <c r="P91" s="572"/>
      <c r="Q91" s="587"/>
      <c r="R91" s="572"/>
      <c r="S91" s="587"/>
      <c r="T91" s="590"/>
      <c r="U91" s="562"/>
      <c r="V91" s="590"/>
      <c r="W91" s="562"/>
      <c r="X91" s="590"/>
      <c r="Y91" s="562"/>
      <c r="Z91" s="590"/>
      <c r="AA91" s="562"/>
      <c r="AB91" s="590"/>
      <c r="AC91" s="562"/>
      <c r="AD91" s="572"/>
      <c r="AE91" s="587"/>
      <c r="AF91" s="590"/>
      <c r="AG91" s="562"/>
      <c r="AH91" s="590"/>
      <c r="AI91" s="562"/>
      <c r="AJ91" s="590"/>
      <c r="AK91" s="562"/>
      <c r="AL91" s="590"/>
      <c r="AM91" s="562"/>
      <c r="AN91" s="590"/>
      <c r="AO91" s="562"/>
      <c r="AP91" s="590"/>
      <c r="AQ91" s="562"/>
      <c r="AR91" s="572"/>
      <c r="AS91" s="587"/>
      <c r="AT91" s="590"/>
      <c r="AU91" s="562"/>
      <c r="AV91" s="590"/>
      <c r="AW91" s="562"/>
      <c r="AX91" s="590"/>
      <c r="AY91" s="562"/>
      <c r="AZ91" s="590"/>
      <c r="BA91" s="562"/>
      <c r="BB91" s="590"/>
      <c r="BC91" s="562"/>
      <c r="BD91" s="590"/>
      <c r="BE91" s="562"/>
      <c r="BF91" s="572"/>
      <c r="BG91" s="587"/>
      <c r="BH91" s="590"/>
      <c r="BI91" s="562"/>
      <c r="BJ91" s="535">
        <f t="shared" si="8"/>
        <v>0</v>
      </c>
      <c r="BK91" s="545">
        <f t="shared" si="10"/>
        <v>0</v>
      </c>
    </row>
    <row r="92" spans="1:63" ht="15" customHeight="1" x14ac:dyDescent="0.35">
      <c r="A92" s="579"/>
      <c r="B92" s="546"/>
      <c r="C92" s="579">
        <f>SUM(BJ93:BJ99)</f>
        <v>0</v>
      </c>
      <c r="D92" s="647" t="s">
        <v>133</v>
      </c>
      <c r="E92" s="648"/>
      <c r="F92" s="590"/>
      <c r="G92" s="562"/>
      <c r="H92" s="590"/>
      <c r="I92" s="562"/>
      <c r="J92" s="590"/>
      <c r="K92" s="562"/>
      <c r="L92" s="590"/>
      <c r="M92" s="562"/>
      <c r="N92" s="590"/>
      <c r="O92" s="562"/>
      <c r="P92" s="572"/>
      <c r="Q92" s="587"/>
      <c r="R92" s="572"/>
      <c r="S92" s="587"/>
      <c r="T92" s="590"/>
      <c r="U92" s="562"/>
      <c r="V92" s="590"/>
      <c r="W92" s="562"/>
      <c r="X92" s="590"/>
      <c r="Y92" s="562"/>
      <c r="Z92" s="590"/>
      <c r="AA92" s="562"/>
      <c r="AB92" s="590"/>
      <c r="AC92" s="562"/>
      <c r="AD92" s="572"/>
      <c r="AE92" s="587"/>
      <c r="AF92" s="590"/>
      <c r="AG92" s="562"/>
      <c r="AH92" s="590"/>
      <c r="AI92" s="562"/>
      <c r="AJ92" s="590"/>
      <c r="AK92" s="562"/>
      <c r="AL92" s="590"/>
      <c r="AM92" s="562"/>
      <c r="AN92" s="590"/>
      <c r="AO92" s="562"/>
      <c r="AP92" s="590"/>
      <c r="AQ92" s="562"/>
      <c r="AR92" s="572"/>
      <c r="AS92" s="587"/>
      <c r="AT92" s="590"/>
      <c r="AU92" s="562"/>
      <c r="AV92" s="590"/>
      <c r="AW92" s="562"/>
      <c r="AX92" s="590"/>
      <c r="AY92" s="562"/>
      <c r="AZ92" s="590"/>
      <c r="BA92" s="562"/>
      <c r="BB92" s="590"/>
      <c r="BC92" s="562"/>
      <c r="BD92" s="590"/>
      <c r="BE92" s="562"/>
      <c r="BF92" s="572"/>
      <c r="BG92" s="587"/>
      <c r="BH92" s="590"/>
      <c r="BI92" s="562"/>
      <c r="BJ92" s="535">
        <f t="shared" ref="BJ92:BJ114" si="11">SUM(F92:BI92)</f>
        <v>0</v>
      </c>
      <c r="BK92" s="545">
        <f t="shared" si="10"/>
        <v>0</v>
      </c>
    </row>
    <row r="93" spans="1:63" ht="15" customHeight="1" x14ac:dyDescent="0.35">
      <c r="A93" s="579"/>
      <c r="B93" s="546" t="s">
        <v>44</v>
      </c>
      <c r="C93" s="579" t="s">
        <v>134</v>
      </c>
      <c r="D93" s="653" t="s">
        <v>135</v>
      </c>
      <c r="E93" s="654"/>
      <c r="F93" s="590"/>
      <c r="G93" s="562"/>
      <c r="H93" s="590"/>
      <c r="I93" s="562"/>
      <c r="J93" s="590"/>
      <c r="K93" s="562"/>
      <c r="L93" s="590"/>
      <c r="M93" s="562"/>
      <c r="N93" s="590"/>
      <c r="O93" s="562"/>
      <c r="P93" s="572"/>
      <c r="Q93" s="587"/>
      <c r="R93" s="572"/>
      <c r="S93" s="587"/>
      <c r="T93" s="590"/>
      <c r="U93" s="562"/>
      <c r="V93" s="590"/>
      <c r="W93" s="562"/>
      <c r="X93" s="590"/>
      <c r="Y93" s="562"/>
      <c r="Z93" s="590"/>
      <c r="AA93" s="562"/>
      <c r="AB93" s="590"/>
      <c r="AC93" s="562"/>
      <c r="AD93" s="572"/>
      <c r="AE93" s="587"/>
      <c r="AF93" s="590"/>
      <c r="AG93" s="562"/>
      <c r="AH93" s="590"/>
      <c r="AI93" s="562"/>
      <c r="AJ93" s="590"/>
      <c r="AK93" s="562"/>
      <c r="AL93" s="590"/>
      <c r="AM93" s="562"/>
      <c r="AN93" s="590"/>
      <c r="AO93" s="562"/>
      <c r="AP93" s="590"/>
      <c r="AQ93" s="562"/>
      <c r="AR93" s="572"/>
      <c r="AS93" s="587"/>
      <c r="AT93" s="590"/>
      <c r="AU93" s="562"/>
      <c r="AV93" s="590"/>
      <c r="AW93" s="562"/>
      <c r="AX93" s="590"/>
      <c r="AY93" s="562"/>
      <c r="AZ93" s="590"/>
      <c r="BA93" s="562"/>
      <c r="BB93" s="590"/>
      <c r="BC93" s="562"/>
      <c r="BD93" s="590"/>
      <c r="BE93" s="562"/>
      <c r="BF93" s="572"/>
      <c r="BG93" s="587"/>
      <c r="BH93" s="590"/>
      <c r="BI93" s="562"/>
      <c r="BJ93" s="535">
        <f t="shared" si="11"/>
        <v>0</v>
      </c>
      <c r="BK93" s="545">
        <f t="shared" si="10"/>
        <v>0</v>
      </c>
    </row>
    <row r="94" spans="1:63" ht="15" customHeight="1" x14ac:dyDescent="0.35">
      <c r="A94" s="579"/>
      <c r="B94" s="546" t="s">
        <v>44</v>
      </c>
      <c r="C94" s="579" t="s">
        <v>136</v>
      </c>
      <c r="D94" s="653" t="s">
        <v>137</v>
      </c>
      <c r="E94" s="654"/>
      <c r="F94" s="590"/>
      <c r="G94" s="562"/>
      <c r="H94" s="590"/>
      <c r="I94" s="562"/>
      <c r="J94" s="590"/>
      <c r="K94" s="562"/>
      <c r="L94" s="590"/>
      <c r="M94" s="562"/>
      <c r="N94" s="590"/>
      <c r="O94" s="562"/>
      <c r="P94" s="572"/>
      <c r="Q94" s="587"/>
      <c r="R94" s="572"/>
      <c r="S94" s="587"/>
      <c r="T94" s="590"/>
      <c r="U94" s="562"/>
      <c r="V94" s="590"/>
      <c r="W94" s="562"/>
      <c r="X94" s="590"/>
      <c r="Y94" s="562"/>
      <c r="Z94" s="590"/>
      <c r="AA94" s="562"/>
      <c r="AB94" s="590"/>
      <c r="AC94" s="562"/>
      <c r="AD94" s="572"/>
      <c r="AE94" s="587"/>
      <c r="AF94" s="590"/>
      <c r="AG94" s="562"/>
      <c r="AH94" s="590"/>
      <c r="AI94" s="562"/>
      <c r="AJ94" s="590"/>
      <c r="AK94" s="562"/>
      <c r="AL94" s="590"/>
      <c r="AM94" s="562"/>
      <c r="AN94" s="590"/>
      <c r="AO94" s="562"/>
      <c r="AP94" s="590"/>
      <c r="AQ94" s="562"/>
      <c r="AR94" s="572"/>
      <c r="AS94" s="587"/>
      <c r="AT94" s="590"/>
      <c r="AU94" s="562"/>
      <c r="AV94" s="590"/>
      <c r="AW94" s="562"/>
      <c r="AX94" s="590"/>
      <c r="AY94" s="562"/>
      <c r="AZ94" s="590"/>
      <c r="BA94" s="562"/>
      <c r="BB94" s="590"/>
      <c r="BC94" s="562"/>
      <c r="BD94" s="590"/>
      <c r="BE94" s="562"/>
      <c r="BF94" s="572"/>
      <c r="BG94" s="587"/>
      <c r="BH94" s="590"/>
      <c r="BI94" s="562"/>
      <c r="BJ94" s="535">
        <f t="shared" si="11"/>
        <v>0</v>
      </c>
      <c r="BK94" s="545">
        <f t="shared" si="10"/>
        <v>0</v>
      </c>
    </row>
    <row r="95" spans="1:63" ht="15" customHeight="1" x14ac:dyDescent="0.35">
      <c r="A95" s="579"/>
      <c r="B95" s="546" t="s">
        <v>44</v>
      </c>
      <c r="C95" s="579" t="s">
        <v>138</v>
      </c>
      <c r="D95" s="653" t="s">
        <v>139</v>
      </c>
      <c r="E95" s="654"/>
      <c r="F95" s="590"/>
      <c r="G95" s="562"/>
      <c r="H95" s="590"/>
      <c r="I95" s="562"/>
      <c r="J95" s="590"/>
      <c r="K95" s="562"/>
      <c r="L95" s="590"/>
      <c r="M95" s="562"/>
      <c r="N95" s="590"/>
      <c r="O95" s="562"/>
      <c r="P95" s="572"/>
      <c r="Q95" s="587"/>
      <c r="R95" s="572"/>
      <c r="S95" s="587"/>
      <c r="T95" s="590"/>
      <c r="U95" s="562"/>
      <c r="V95" s="590"/>
      <c r="W95" s="562"/>
      <c r="X95" s="590"/>
      <c r="Y95" s="562"/>
      <c r="Z95" s="590"/>
      <c r="AA95" s="562"/>
      <c r="AB95" s="590"/>
      <c r="AC95" s="562"/>
      <c r="AD95" s="572"/>
      <c r="AE95" s="587"/>
      <c r="AF95" s="590"/>
      <c r="AG95" s="562"/>
      <c r="AH95" s="590"/>
      <c r="AI95" s="562"/>
      <c r="AJ95" s="590"/>
      <c r="AK95" s="562"/>
      <c r="AL95" s="590"/>
      <c r="AM95" s="562"/>
      <c r="AN95" s="590"/>
      <c r="AO95" s="562"/>
      <c r="AP95" s="590"/>
      <c r="AQ95" s="562"/>
      <c r="AR95" s="572"/>
      <c r="AS95" s="587"/>
      <c r="AT95" s="590"/>
      <c r="AU95" s="562"/>
      <c r="AV95" s="590"/>
      <c r="AW95" s="562"/>
      <c r="AX95" s="590"/>
      <c r="AY95" s="562"/>
      <c r="AZ95" s="590"/>
      <c r="BA95" s="562"/>
      <c r="BB95" s="590"/>
      <c r="BC95" s="562"/>
      <c r="BD95" s="590"/>
      <c r="BE95" s="562"/>
      <c r="BF95" s="572"/>
      <c r="BG95" s="587"/>
      <c r="BH95" s="590"/>
      <c r="BI95" s="562"/>
      <c r="BJ95" s="535">
        <f t="shared" si="11"/>
        <v>0</v>
      </c>
      <c r="BK95" s="545">
        <f t="shared" si="10"/>
        <v>0</v>
      </c>
    </row>
    <row r="96" spans="1:63" ht="15.75" customHeight="1" x14ac:dyDescent="0.35">
      <c r="A96" s="579"/>
      <c r="B96" s="546" t="s">
        <v>44</v>
      </c>
      <c r="C96" s="579" t="s">
        <v>140</v>
      </c>
      <c r="D96" s="653" t="s">
        <v>141</v>
      </c>
      <c r="E96" s="654"/>
      <c r="F96" s="590"/>
      <c r="G96" s="562"/>
      <c r="H96" s="590"/>
      <c r="I96" s="562"/>
      <c r="J96" s="590"/>
      <c r="K96" s="562"/>
      <c r="L96" s="590"/>
      <c r="M96" s="562"/>
      <c r="N96" s="590"/>
      <c r="O96" s="562"/>
      <c r="P96" s="572"/>
      <c r="Q96" s="587"/>
      <c r="R96" s="572"/>
      <c r="S96" s="587"/>
      <c r="T96" s="590"/>
      <c r="U96" s="562"/>
      <c r="V96" s="590"/>
      <c r="W96" s="562"/>
      <c r="X96" s="590"/>
      <c r="Y96" s="562"/>
      <c r="Z96" s="590"/>
      <c r="AA96" s="562"/>
      <c r="AB96" s="590"/>
      <c r="AC96" s="562"/>
      <c r="AD96" s="572"/>
      <c r="AE96" s="587"/>
      <c r="AF96" s="590"/>
      <c r="AG96" s="562"/>
      <c r="AH96" s="590"/>
      <c r="AI96" s="562"/>
      <c r="AJ96" s="590"/>
      <c r="AK96" s="562"/>
      <c r="AL96" s="590"/>
      <c r="AM96" s="562"/>
      <c r="AN96" s="590"/>
      <c r="AO96" s="562"/>
      <c r="AP96" s="590"/>
      <c r="AQ96" s="562"/>
      <c r="AR96" s="572"/>
      <c r="AS96" s="587"/>
      <c r="AT96" s="590"/>
      <c r="AU96" s="562"/>
      <c r="AV96" s="590"/>
      <c r="AW96" s="562"/>
      <c r="AX96" s="590"/>
      <c r="AY96" s="562"/>
      <c r="AZ96" s="590"/>
      <c r="BA96" s="562"/>
      <c r="BB96" s="590"/>
      <c r="BC96" s="562"/>
      <c r="BD96" s="590"/>
      <c r="BE96" s="562"/>
      <c r="BF96" s="572"/>
      <c r="BG96" s="587"/>
      <c r="BH96" s="590"/>
      <c r="BI96" s="562"/>
      <c r="BJ96" s="535">
        <f t="shared" si="11"/>
        <v>0</v>
      </c>
      <c r="BK96" s="545">
        <f t="shared" si="10"/>
        <v>0</v>
      </c>
    </row>
    <row r="97" spans="1:63" ht="15" customHeight="1" x14ac:dyDescent="0.35">
      <c r="A97" s="579"/>
      <c r="B97" s="546" t="s">
        <v>44</v>
      </c>
      <c r="C97" s="579" t="s">
        <v>142</v>
      </c>
      <c r="D97" s="653" t="s">
        <v>143</v>
      </c>
      <c r="E97" s="654"/>
      <c r="F97" s="590"/>
      <c r="G97" s="562"/>
      <c r="H97" s="590"/>
      <c r="I97" s="562"/>
      <c r="J97" s="590"/>
      <c r="K97" s="562"/>
      <c r="L97" s="590"/>
      <c r="M97" s="562"/>
      <c r="N97" s="590"/>
      <c r="O97" s="562"/>
      <c r="P97" s="572"/>
      <c r="Q97" s="587"/>
      <c r="R97" s="572"/>
      <c r="S97" s="587"/>
      <c r="T97" s="590"/>
      <c r="U97" s="562"/>
      <c r="V97" s="590"/>
      <c r="W97" s="562"/>
      <c r="X97" s="590"/>
      <c r="Y97" s="562"/>
      <c r="Z97" s="590"/>
      <c r="AA97" s="562"/>
      <c r="AB97" s="590"/>
      <c r="AC97" s="562"/>
      <c r="AD97" s="572"/>
      <c r="AE97" s="587"/>
      <c r="AF97" s="590"/>
      <c r="AG97" s="562"/>
      <c r="AH97" s="590"/>
      <c r="AI97" s="562"/>
      <c r="AJ97" s="590"/>
      <c r="AK97" s="562"/>
      <c r="AL97" s="590"/>
      <c r="AM97" s="562"/>
      <c r="AN97" s="590"/>
      <c r="AO97" s="562"/>
      <c r="AP97" s="590"/>
      <c r="AQ97" s="562"/>
      <c r="AR97" s="572"/>
      <c r="AS97" s="587"/>
      <c r="AT97" s="590"/>
      <c r="AU97" s="562"/>
      <c r="AV97" s="590"/>
      <c r="AW97" s="562"/>
      <c r="AX97" s="590"/>
      <c r="AY97" s="562"/>
      <c r="AZ97" s="590"/>
      <c r="BA97" s="562"/>
      <c r="BB97" s="590"/>
      <c r="BC97" s="562"/>
      <c r="BD97" s="590"/>
      <c r="BE97" s="562"/>
      <c r="BF97" s="572"/>
      <c r="BG97" s="587"/>
      <c r="BH97" s="590"/>
      <c r="BI97" s="562"/>
      <c r="BJ97" s="535">
        <f t="shared" si="11"/>
        <v>0</v>
      </c>
      <c r="BK97" s="545">
        <f t="shared" si="10"/>
        <v>0</v>
      </c>
    </row>
    <row r="98" spans="1:63" ht="15" customHeight="1" x14ac:dyDescent="0.35">
      <c r="A98" s="579"/>
      <c r="B98" s="546" t="s">
        <v>85</v>
      </c>
      <c r="C98" s="579" t="s">
        <v>144</v>
      </c>
      <c r="D98" s="653" t="s">
        <v>143</v>
      </c>
      <c r="E98" s="654"/>
      <c r="F98" s="590"/>
      <c r="G98" s="562"/>
      <c r="H98" s="590"/>
      <c r="I98" s="562"/>
      <c r="J98" s="590"/>
      <c r="K98" s="562"/>
      <c r="L98" s="590"/>
      <c r="M98" s="562"/>
      <c r="N98" s="590"/>
      <c r="O98" s="562"/>
      <c r="P98" s="572"/>
      <c r="Q98" s="587"/>
      <c r="R98" s="572"/>
      <c r="S98" s="587"/>
      <c r="T98" s="590"/>
      <c r="U98" s="562"/>
      <c r="V98" s="590"/>
      <c r="W98" s="562"/>
      <c r="X98" s="590"/>
      <c r="Y98" s="562"/>
      <c r="Z98" s="590"/>
      <c r="AA98" s="562"/>
      <c r="AB98" s="590"/>
      <c r="AC98" s="562"/>
      <c r="AD98" s="572"/>
      <c r="AE98" s="587"/>
      <c r="AF98" s="590"/>
      <c r="AG98" s="562"/>
      <c r="AH98" s="590"/>
      <c r="AI98" s="562"/>
      <c r="AJ98" s="590"/>
      <c r="AK98" s="562"/>
      <c r="AL98" s="590"/>
      <c r="AM98" s="562"/>
      <c r="AN98" s="590"/>
      <c r="AO98" s="562"/>
      <c r="AP98" s="590"/>
      <c r="AQ98" s="562"/>
      <c r="AR98" s="572"/>
      <c r="AS98" s="587"/>
      <c r="AT98" s="590"/>
      <c r="AU98" s="562"/>
      <c r="AV98" s="590"/>
      <c r="AW98" s="562"/>
      <c r="AX98" s="590"/>
      <c r="AY98" s="562"/>
      <c r="AZ98" s="590"/>
      <c r="BA98" s="562"/>
      <c r="BB98" s="590"/>
      <c r="BC98" s="562"/>
      <c r="BD98" s="590"/>
      <c r="BE98" s="562"/>
      <c r="BF98" s="572"/>
      <c r="BG98" s="587"/>
      <c r="BH98" s="590"/>
      <c r="BI98" s="562"/>
      <c r="BJ98" s="535">
        <f t="shared" si="11"/>
        <v>0</v>
      </c>
      <c r="BK98" s="545">
        <f t="shared" si="10"/>
        <v>0</v>
      </c>
    </row>
    <row r="99" spans="1:63" ht="15.75" customHeight="1" x14ac:dyDescent="0.35">
      <c r="A99" s="579"/>
      <c r="B99" s="546"/>
      <c r="C99" s="579"/>
      <c r="D99" s="653"/>
      <c r="E99" s="654"/>
      <c r="F99" s="590"/>
      <c r="G99" s="562"/>
      <c r="H99" s="590"/>
      <c r="I99" s="562"/>
      <c r="J99" s="590"/>
      <c r="K99" s="562"/>
      <c r="L99" s="590"/>
      <c r="M99" s="562"/>
      <c r="N99" s="590"/>
      <c r="O99" s="562"/>
      <c r="P99" s="572"/>
      <c r="Q99" s="587"/>
      <c r="R99" s="572"/>
      <c r="S99" s="587"/>
      <c r="T99" s="590"/>
      <c r="U99" s="562"/>
      <c r="V99" s="590"/>
      <c r="W99" s="562"/>
      <c r="X99" s="590"/>
      <c r="Y99" s="562"/>
      <c r="Z99" s="590"/>
      <c r="AA99" s="562"/>
      <c r="AB99" s="590"/>
      <c r="AC99" s="562"/>
      <c r="AD99" s="572"/>
      <c r="AE99" s="587"/>
      <c r="AF99" s="590"/>
      <c r="AG99" s="562"/>
      <c r="AH99" s="590"/>
      <c r="AI99" s="562"/>
      <c r="AJ99" s="590"/>
      <c r="AK99" s="562"/>
      <c r="AL99" s="590"/>
      <c r="AM99" s="562"/>
      <c r="AN99" s="590"/>
      <c r="AO99" s="562"/>
      <c r="AP99" s="590"/>
      <c r="AQ99" s="562"/>
      <c r="AR99" s="572"/>
      <c r="AS99" s="587"/>
      <c r="AT99" s="590"/>
      <c r="AU99" s="562"/>
      <c r="AV99" s="590"/>
      <c r="AW99" s="562"/>
      <c r="AX99" s="590"/>
      <c r="AY99" s="562"/>
      <c r="AZ99" s="590"/>
      <c r="BA99" s="562"/>
      <c r="BB99" s="590"/>
      <c r="BC99" s="562"/>
      <c r="BD99" s="590"/>
      <c r="BE99" s="562"/>
      <c r="BF99" s="572"/>
      <c r="BG99" s="587"/>
      <c r="BH99" s="590"/>
      <c r="BI99" s="562"/>
      <c r="BJ99" s="535">
        <f t="shared" si="11"/>
        <v>0</v>
      </c>
      <c r="BK99" s="545">
        <f t="shared" si="10"/>
        <v>0</v>
      </c>
    </row>
    <row r="100" spans="1:63" ht="15.75" customHeight="1" x14ac:dyDescent="0.35">
      <c r="A100" s="579"/>
      <c r="B100" s="546"/>
      <c r="C100" s="579">
        <f>SUM(BJ101:BJ105)</f>
        <v>0</v>
      </c>
      <c r="D100" s="647" t="s">
        <v>145</v>
      </c>
      <c r="E100" s="648"/>
      <c r="F100" s="590"/>
      <c r="G100" s="562"/>
      <c r="H100" s="590"/>
      <c r="I100" s="562"/>
      <c r="J100" s="590"/>
      <c r="K100" s="562"/>
      <c r="L100" s="590"/>
      <c r="M100" s="562"/>
      <c r="N100" s="590"/>
      <c r="O100" s="562"/>
      <c r="P100" s="572"/>
      <c r="Q100" s="587"/>
      <c r="R100" s="572"/>
      <c r="S100" s="587"/>
      <c r="T100" s="590"/>
      <c r="U100" s="562"/>
      <c r="V100" s="590"/>
      <c r="W100" s="562"/>
      <c r="X100" s="590"/>
      <c r="Y100" s="562"/>
      <c r="Z100" s="590"/>
      <c r="AA100" s="562"/>
      <c r="AB100" s="590"/>
      <c r="AC100" s="562"/>
      <c r="AD100" s="572"/>
      <c r="AE100" s="587"/>
      <c r="AF100" s="590"/>
      <c r="AG100" s="562"/>
      <c r="AH100" s="590"/>
      <c r="AI100" s="562"/>
      <c r="AJ100" s="590"/>
      <c r="AK100" s="562"/>
      <c r="AL100" s="590"/>
      <c r="AM100" s="562"/>
      <c r="AN100" s="590"/>
      <c r="AO100" s="562"/>
      <c r="AP100" s="590"/>
      <c r="AQ100" s="562"/>
      <c r="AR100" s="572"/>
      <c r="AS100" s="587"/>
      <c r="AT100" s="590"/>
      <c r="AU100" s="562"/>
      <c r="AV100" s="590"/>
      <c r="AW100" s="562"/>
      <c r="AX100" s="590"/>
      <c r="AY100" s="562"/>
      <c r="AZ100" s="590"/>
      <c r="BA100" s="562"/>
      <c r="BB100" s="590"/>
      <c r="BC100" s="562"/>
      <c r="BD100" s="590"/>
      <c r="BE100" s="562"/>
      <c r="BF100" s="572"/>
      <c r="BG100" s="587"/>
      <c r="BH100" s="590"/>
      <c r="BI100" s="562"/>
      <c r="BJ100" s="535">
        <f t="shared" si="11"/>
        <v>0</v>
      </c>
      <c r="BK100" s="545">
        <f t="shared" si="10"/>
        <v>0</v>
      </c>
    </row>
    <row r="101" spans="1:63" ht="15" customHeight="1" x14ac:dyDescent="0.35">
      <c r="A101" s="579"/>
      <c r="B101" s="546" t="s">
        <v>85</v>
      </c>
      <c r="C101" s="579" t="s">
        <v>146</v>
      </c>
      <c r="D101" s="653" t="s">
        <v>147</v>
      </c>
      <c r="E101" s="654"/>
      <c r="F101" s="590"/>
      <c r="G101" s="562"/>
      <c r="H101" s="590"/>
      <c r="I101" s="562"/>
      <c r="J101" s="590"/>
      <c r="K101" s="562"/>
      <c r="L101" s="590"/>
      <c r="M101" s="562"/>
      <c r="N101" s="590"/>
      <c r="O101" s="562"/>
      <c r="P101" s="572"/>
      <c r="Q101" s="587"/>
      <c r="R101" s="572"/>
      <c r="S101" s="587"/>
      <c r="T101" s="590"/>
      <c r="U101" s="562"/>
      <c r="V101" s="590"/>
      <c r="W101" s="562"/>
      <c r="X101" s="590"/>
      <c r="Y101" s="562"/>
      <c r="Z101" s="590"/>
      <c r="AA101" s="562"/>
      <c r="AB101" s="590"/>
      <c r="AC101" s="562"/>
      <c r="AD101" s="572"/>
      <c r="AE101" s="587"/>
      <c r="AF101" s="590"/>
      <c r="AG101" s="562"/>
      <c r="AH101" s="590"/>
      <c r="AI101" s="562"/>
      <c r="AJ101" s="590"/>
      <c r="AK101" s="562"/>
      <c r="AL101" s="590"/>
      <c r="AM101" s="562"/>
      <c r="AN101" s="590"/>
      <c r="AO101" s="562"/>
      <c r="AP101" s="590"/>
      <c r="AQ101" s="562"/>
      <c r="AR101" s="572"/>
      <c r="AS101" s="587"/>
      <c r="AT101" s="590"/>
      <c r="AU101" s="562"/>
      <c r="AV101" s="590"/>
      <c r="AW101" s="562"/>
      <c r="AX101" s="590"/>
      <c r="AY101" s="562"/>
      <c r="AZ101" s="590"/>
      <c r="BA101" s="562"/>
      <c r="BB101" s="590"/>
      <c r="BC101" s="562"/>
      <c r="BD101" s="590"/>
      <c r="BE101" s="562"/>
      <c r="BF101" s="572"/>
      <c r="BG101" s="587"/>
      <c r="BH101" s="590"/>
      <c r="BI101" s="562"/>
      <c r="BJ101" s="535">
        <f t="shared" si="11"/>
        <v>0</v>
      </c>
      <c r="BK101" s="545">
        <f t="shared" si="10"/>
        <v>0</v>
      </c>
    </row>
    <row r="102" spans="1:63" ht="15" customHeight="1" x14ac:dyDescent="0.35">
      <c r="A102" s="579"/>
      <c r="B102" s="546" t="s">
        <v>44</v>
      </c>
      <c r="C102" s="579" t="s">
        <v>148</v>
      </c>
      <c r="D102" s="653" t="s">
        <v>137</v>
      </c>
      <c r="E102" s="654"/>
      <c r="F102" s="590"/>
      <c r="G102" s="562"/>
      <c r="H102" s="590"/>
      <c r="I102" s="562"/>
      <c r="J102" s="590"/>
      <c r="K102" s="562"/>
      <c r="L102" s="590"/>
      <c r="M102" s="562"/>
      <c r="N102" s="590"/>
      <c r="O102" s="562"/>
      <c r="P102" s="572"/>
      <c r="Q102" s="587"/>
      <c r="R102" s="572"/>
      <c r="S102" s="587"/>
      <c r="T102" s="590"/>
      <c r="U102" s="562"/>
      <c r="V102" s="590"/>
      <c r="W102" s="562"/>
      <c r="X102" s="590"/>
      <c r="Y102" s="562"/>
      <c r="Z102" s="590"/>
      <c r="AA102" s="562"/>
      <c r="AB102" s="590"/>
      <c r="AC102" s="562"/>
      <c r="AD102" s="572"/>
      <c r="AE102" s="587"/>
      <c r="AF102" s="590"/>
      <c r="AG102" s="562"/>
      <c r="AH102" s="590"/>
      <c r="AI102" s="562"/>
      <c r="AJ102" s="590"/>
      <c r="AK102" s="562"/>
      <c r="AL102" s="590"/>
      <c r="AM102" s="562"/>
      <c r="AN102" s="590"/>
      <c r="AO102" s="562"/>
      <c r="AP102" s="590"/>
      <c r="AQ102" s="562"/>
      <c r="AR102" s="572"/>
      <c r="AS102" s="587"/>
      <c r="AT102" s="590"/>
      <c r="AU102" s="562"/>
      <c r="AV102" s="590"/>
      <c r="AW102" s="562"/>
      <c r="AX102" s="590"/>
      <c r="AY102" s="562"/>
      <c r="AZ102" s="590"/>
      <c r="BA102" s="562"/>
      <c r="BB102" s="590"/>
      <c r="BC102" s="562"/>
      <c r="BD102" s="590"/>
      <c r="BE102" s="562"/>
      <c r="BF102" s="572"/>
      <c r="BG102" s="587"/>
      <c r="BH102" s="590"/>
      <c r="BI102" s="562"/>
      <c r="BJ102" s="535">
        <f t="shared" si="11"/>
        <v>0</v>
      </c>
      <c r="BK102" s="545">
        <f t="shared" si="10"/>
        <v>0</v>
      </c>
    </row>
    <row r="103" spans="1:63" ht="15" customHeight="1" x14ac:dyDescent="0.35">
      <c r="A103" s="579"/>
      <c r="B103" s="546" t="s">
        <v>44</v>
      </c>
      <c r="C103" s="579" t="s">
        <v>149</v>
      </c>
      <c r="D103" s="653" t="s">
        <v>150</v>
      </c>
      <c r="E103" s="654"/>
      <c r="F103" s="590"/>
      <c r="G103" s="562"/>
      <c r="H103" s="590"/>
      <c r="I103" s="562"/>
      <c r="J103" s="590"/>
      <c r="K103" s="562"/>
      <c r="L103" s="590"/>
      <c r="M103" s="562"/>
      <c r="N103" s="590"/>
      <c r="O103" s="562"/>
      <c r="P103" s="572"/>
      <c r="Q103" s="587"/>
      <c r="R103" s="572"/>
      <c r="S103" s="587"/>
      <c r="T103" s="590"/>
      <c r="U103" s="562"/>
      <c r="V103" s="590"/>
      <c r="W103" s="562"/>
      <c r="X103" s="590"/>
      <c r="Y103" s="562"/>
      <c r="Z103" s="590"/>
      <c r="AA103" s="562"/>
      <c r="AB103" s="590"/>
      <c r="AC103" s="562"/>
      <c r="AD103" s="572"/>
      <c r="AE103" s="587"/>
      <c r="AF103" s="590"/>
      <c r="AG103" s="562"/>
      <c r="AH103" s="590"/>
      <c r="AI103" s="562"/>
      <c r="AJ103" s="590"/>
      <c r="AK103" s="562"/>
      <c r="AL103" s="590"/>
      <c r="AM103" s="562"/>
      <c r="AN103" s="590"/>
      <c r="AO103" s="562"/>
      <c r="AP103" s="590"/>
      <c r="AQ103" s="562"/>
      <c r="AR103" s="572"/>
      <c r="AS103" s="587"/>
      <c r="AT103" s="590"/>
      <c r="AU103" s="562"/>
      <c r="AV103" s="590"/>
      <c r="AW103" s="562"/>
      <c r="AX103" s="590"/>
      <c r="AY103" s="562"/>
      <c r="AZ103" s="590"/>
      <c r="BA103" s="562"/>
      <c r="BB103" s="590"/>
      <c r="BC103" s="562"/>
      <c r="BD103" s="590"/>
      <c r="BE103" s="562"/>
      <c r="BF103" s="572"/>
      <c r="BG103" s="587"/>
      <c r="BH103" s="590"/>
      <c r="BI103" s="562"/>
      <c r="BJ103" s="535">
        <f t="shared" si="11"/>
        <v>0</v>
      </c>
      <c r="BK103" s="545">
        <f t="shared" si="10"/>
        <v>0</v>
      </c>
    </row>
    <row r="104" spans="1:63" ht="15" customHeight="1" x14ac:dyDescent="0.35">
      <c r="A104" s="579"/>
      <c r="B104" s="579"/>
      <c r="C104" s="579"/>
      <c r="D104" s="653"/>
      <c r="E104" s="654"/>
      <c r="F104" s="590"/>
      <c r="G104" s="562"/>
      <c r="H104" s="590"/>
      <c r="I104" s="562"/>
      <c r="J104" s="590"/>
      <c r="K104" s="562"/>
      <c r="L104" s="590"/>
      <c r="M104" s="562"/>
      <c r="N104" s="590"/>
      <c r="O104" s="562"/>
      <c r="P104" s="572"/>
      <c r="Q104" s="587"/>
      <c r="R104" s="572"/>
      <c r="S104" s="587"/>
      <c r="T104" s="590"/>
      <c r="U104" s="562"/>
      <c r="V104" s="590"/>
      <c r="W104" s="562"/>
      <c r="X104" s="590"/>
      <c r="Y104" s="562"/>
      <c r="Z104" s="590"/>
      <c r="AA104" s="562"/>
      <c r="AB104" s="590"/>
      <c r="AC104" s="562"/>
      <c r="AD104" s="572"/>
      <c r="AE104" s="587"/>
      <c r="AF104" s="590"/>
      <c r="AG104" s="562"/>
      <c r="AH104" s="590"/>
      <c r="AI104" s="562"/>
      <c r="AJ104" s="590"/>
      <c r="AK104" s="562"/>
      <c r="AL104" s="590"/>
      <c r="AM104" s="562"/>
      <c r="AN104" s="590"/>
      <c r="AO104" s="562"/>
      <c r="AP104" s="590"/>
      <c r="AQ104" s="562"/>
      <c r="AR104" s="572"/>
      <c r="AS104" s="587"/>
      <c r="AT104" s="590"/>
      <c r="AU104" s="562"/>
      <c r="AV104" s="590"/>
      <c r="AW104" s="562"/>
      <c r="AX104" s="590"/>
      <c r="AY104" s="562"/>
      <c r="AZ104" s="590"/>
      <c r="BA104" s="562"/>
      <c r="BB104" s="590"/>
      <c r="BC104" s="562"/>
      <c r="BD104" s="590"/>
      <c r="BE104" s="562"/>
      <c r="BF104" s="572"/>
      <c r="BG104" s="587"/>
      <c r="BH104" s="590"/>
      <c r="BI104" s="562"/>
      <c r="BJ104" s="535">
        <f t="shared" si="11"/>
        <v>0</v>
      </c>
      <c r="BK104" s="545">
        <f t="shared" si="10"/>
        <v>0</v>
      </c>
    </row>
    <row r="105" spans="1:63" ht="15" customHeight="1" x14ac:dyDescent="0.35">
      <c r="A105" s="579"/>
      <c r="B105" s="579"/>
      <c r="C105" s="579"/>
      <c r="D105" s="653"/>
      <c r="E105" s="654"/>
      <c r="F105" s="590"/>
      <c r="G105" s="562"/>
      <c r="H105" s="590"/>
      <c r="I105" s="562"/>
      <c r="J105" s="590"/>
      <c r="K105" s="562"/>
      <c r="L105" s="590"/>
      <c r="M105" s="562"/>
      <c r="N105" s="590"/>
      <c r="O105" s="562"/>
      <c r="P105" s="572"/>
      <c r="Q105" s="587"/>
      <c r="R105" s="572"/>
      <c r="S105" s="587"/>
      <c r="T105" s="590"/>
      <c r="U105" s="562"/>
      <c r="V105" s="590"/>
      <c r="W105" s="562"/>
      <c r="X105" s="590"/>
      <c r="Y105" s="562"/>
      <c r="Z105" s="590"/>
      <c r="AA105" s="562"/>
      <c r="AB105" s="590"/>
      <c r="AC105" s="562"/>
      <c r="AD105" s="572"/>
      <c r="AE105" s="587"/>
      <c r="AF105" s="590"/>
      <c r="AG105" s="562"/>
      <c r="AH105" s="590"/>
      <c r="AI105" s="562"/>
      <c r="AJ105" s="590"/>
      <c r="AK105" s="562"/>
      <c r="AL105" s="590"/>
      <c r="AM105" s="562"/>
      <c r="AN105" s="590"/>
      <c r="AO105" s="562"/>
      <c r="AP105" s="590"/>
      <c r="AQ105" s="562"/>
      <c r="AR105" s="572"/>
      <c r="AS105" s="587"/>
      <c r="AT105" s="590"/>
      <c r="AU105" s="562"/>
      <c r="AV105" s="590"/>
      <c r="AW105" s="562"/>
      <c r="AX105" s="590"/>
      <c r="AY105" s="562"/>
      <c r="AZ105" s="590"/>
      <c r="BA105" s="562"/>
      <c r="BB105" s="590"/>
      <c r="BC105" s="562"/>
      <c r="BD105" s="590"/>
      <c r="BE105" s="562"/>
      <c r="BF105" s="572"/>
      <c r="BG105" s="587"/>
      <c r="BH105" s="590"/>
      <c r="BI105" s="562"/>
      <c r="BJ105" s="535">
        <f t="shared" si="11"/>
        <v>0</v>
      </c>
      <c r="BK105" s="545">
        <f t="shared" si="10"/>
        <v>0</v>
      </c>
    </row>
    <row r="106" spans="1:63" x14ac:dyDescent="0.35">
      <c r="A106" s="583"/>
      <c r="B106" s="583"/>
      <c r="C106" s="583"/>
      <c r="D106" s="661" t="s">
        <v>151</v>
      </c>
      <c r="E106" s="662"/>
      <c r="F106" s="536"/>
      <c r="G106" s="573"/>
      <c r="H106" s="536"/>
      <c r="I106" s="573"/>
      <c r="J106" s="536"/>
      <c r="K106" s="573"/>
      <c r="L106" s="536"/>
      <c r="M106" s="573"/>
      <c r="N106" s="536"/>
      <c r="O106" s="573"/>
      <c r="P106" s="572"/>
      <c r="Q106" s="587"/>
      <c r="R106" s="572"/>
      <c r="S106" s="587"/>
      <c r="T106" s="536"/>
      <c r="U106" s="573"/>
      <c r="V106" s="536"/>
      <c r="W106" s="573"/>
      <c r="X106" s="536"/>
      <c r="Y106" s="573"/>
      <c r="Z106" s="536"/>
      <c r="AA106" s="573"/>
      <c r="AB106" s="536"/>
      <c r="AC106" s="573"/>
      <c r="AD106" s="572"/>
      <c r="AE106" s="587"/>
      <c r="AF106" s="536"/>
      <c r="AG106" s="573"/>
      <c r="AH106" s="536"/>
      <c r="AI106" s="573"/>
      <c r="AJ106" s="536"/>
      <c r="AK106" s="573"/>
      <c r="AL106" s="536"/>
      <c r="AM106" s="573"/>
      <c r="AN106" s="536"/>
      <c r="AO106" s="573"/>
      <c r="AP106" s="536"/>
      <c r="AQ106" s="573"/>
      <c r="AR106" s="572"/>
      <c r="AS106" s="587"/>
      <c r="AT106" s="536"/>
      <c r="AU106" s="573"/>
      <c r="AV106" s="536"/>
      <c r="AW106" s="573"/>
      <c r="AX106" s="536"/>
      <c r="AY106" s="573"/>
      <c r="AZ106" s="536"/>
      <c r="BA106" s="573"/>
      <c r="BB106" s="536"/>
      <c r="BC106" s="573"/>
      <c r="BD106" s="536"/>
      <c r="BE106" s="573"/>
      <c r="BF106" s="572"/>
      <c r="BG106" s="587"/>
      <c r="BH106" s="536"/>
      <c r="BI106" s="573"/>
      <c r="BJ106" s="535">
        <f t="shared" si="11"/>
        <v>0</v>
      </c>
      <c r="BK106" s="545"/>
    </row>
    <row r="107" spans="1:63" x14ac:dyDescent="0.35">
      <c r="A107" s="583"/>
      <c r="B107" s="583"/>
      <c r="C107" s="583"/>
      <c r="D107" s="655" t="s">
        <v>152</v>
      </c>
      <c r="E107" s="656"/>
      <c r="F107" s="588"/>
      <c r="G107" s="574"/>
      <c r="H107" s="588"/>
      <c r="I107" s="574"/>
      <c r="J107" s="588"/>
      <c r="K107" s="574"/>
      <c r="L107" s="588"/>
      <c r="M107" s="574"/>
      <c r="N107" s="588"/>
      <c r="O107" s="574"/>
      <c r="P107" s="572"/>
      <c r="Q107" s="587"/>
      <c r="R107" s="572"/>
      <c r="S107" s="587"/>
      <c r="T107" s="588"/>
      <c r="U107" s="574"/>
      <c r="V107" s="588"/>
      <c r="W107" s="574"/>
      <c r="X107" s="588"/>
      <c r="Y107" s="574"/>
      <c r="Z107" s="588"/>
      <c r="AA107" s="574"/>
      <c r="AB107" s="588"/>
      <c r="AC107" s="574"/>
      <c r="AD107" s="572"/>
      <c r="AE107" s="587"/>
      <c r="AF107" s="588"/>
      <c r="AG107" s="574"/>
      <c r="AH107" s="588"/>
      <c r="AI107" s="574"/>
      <c r="AJ107" s="588"/>
      <c r="AK107" s="574"/>
      <c r="AL107" s="588"/>
      <c r="AM107" s="574"/>
      <c r="AN107" s="588"/>
      <c r="AO107" s="574"/>
      <c r="AP107" s="588"/>
      <c r="AQ107" s="574"/>
      <c r="AR107" s="572"/>
      <c r="AS107" s="587"/>
      <c r="AT107" s="588"/>
      <c r="AU107" s="574"/>
      <c r="AV107" s="588"/>
      <c r="AW107" s="574"/>
      <c r="AX107" s="588"/>
      <c r="AY107" s="574"/>
      <c r="AZ107" s="588"/>
      <c r="BA107" s="574"/>
      <c r="BB107" s="588"/>
      <c r="BC107" s="574"/>
      <c r="BD107" s="588"/>
      <c r="BE107" s="574"/>
      <c r="BF107" s="572"/>
      <c r="BG107" s="587"/>
      <c r="BH107" s="588"/>
      <c r="BI107" s="574"/>
      <c r="BJ107" s="535">
        <f t="shared" si="11"/>
        <v>0</v>
      </c>
      <c r="BK107" s="545"/>
    </row>
    <row r="108" spans="1:63" s="531" customFormat="1" x14ac:dyDescent="0.35">
      <c r="A108" s="551"/>
      <c r="B108" s="551"/>
      <c r="C108" s="551"/>
      <c r="D108" s="657" t="s">
        <v>1041</v>
      </c>
      <c r="E108" s="658"/>
      <c r="F108" s="513">
        <v>6</v>
      </c>
      <c r="G108" s="557"/>
      <c r="H108" s="513"/>
      <c r="I108" s="557"/>
      <c r="J108" s="513"/>
      <c r="K108" s="557"/>
      <c r="L108" s="513"/>
      <c r="M108" s="557"/>
      <c r="N108" s="513"/>
      <c r="O108" s="557"/>
      <c r="P108" s="513"/>
      <c r="Q108" s="540"/>
      <c r="R108" s="513"/>
      <c r="S108" s="540"/>
      <c r="T108" s="513"/>
      <c r="U108" s="557"/>
      <c r="V108" s="513">
        <v>6</v>
      </c>
      <c r="W108" s="557"/>
      <c r="X108" s="513"/>
      <c r="Y108" s="557"/>
      <c r="Z108" s="513">
        <v>6</v>
      </c>
      <c r="AA108" s="557"/>
      <c r="AB108" s="513">
        <v>6</v>
      </c>
      <c r="AC108" s="557"/>
      <c r="AD108" s="513"/>
      <c r="AE108" s="540"/>
      <c r="AF108" s="513">
        <v>6</v>
      </c>
      <c r="AG108" s="557"/>
      <c r="AH108" s="513"/>
      <c r="AI108" s="557"/>
      <c r="AJ108" s="513"/>
      <c r="AK108" s="557"/>
      <c r="AL108" s="513"/>
      <c r="AM108" s="557"/>
      <c r="AN108" s="513"/>
      <c r="AO108" s="557"/>
      <c r="AP108" s="513"/>
      <c r="AQ108" s="557"/>
      <c r="AR108" s="513"/>
      <c r="AS108" s="540"/>
      <c r="AT108" s="513"/>
      <c r="AU108" s="557"/>
      <c r="AV108" s="513"/>
      <c r="AW108" s="557"/>
      <c r="AX108" s="513"/>
      <c r="AY108" s="557"/>
      <c r="AZ108" s="513"/>
      <c r="BA108" s="557"/>
      <c r="BB108" s="513"/>
      <c r="BC108" s="557"/>
      <c r="BD108" s="513"/>
      <c r="BE108" s="557"/>
      <c r="BF108" s="513"/>
      <c r="BG108" s="540"/>
      <c r="BH108" s="513"/>
      <c r="BI108" s="557"/>
      <c r="BJ108" s="535">
        <f t="shared" si="11"/>
        <v>30</v>
      </c>
      <c r="BK108" s="591"/>
    </row>
    <row r="109" spans="1:63" s="531" customFormat="1" x14ac:dyDescent="0.35">
      <c r="A109" s="551"/>
      <c r="B109" s="551"/>
      <c r="C109" s="551"/>
      <c r="D109" s="657" t="s">
        <v>154</v>
      </c>
      <c r="E109" s="658"/>
      <c r="F109" s="530"/>
      <c r="G109" s="530"/>
      <c r="H109" s="530"/>
      <c r="I109" s="537"/>
      <c r="J109" s="530"/>
      <c r="K109" s="537"/>
      <c r="L109" s="530"/>
      <c r="M109" s="537"/>
      <c r="N109" s="530"/>
      <c r="O109" s="537"/>
      <c r="P109" s="572"/>
      <c r="Q109" s="587"/>
      <c r="R109" s="572"/>
      <c r="S109" s="587"/>
      <c r="T109" s="530"/>
      <c r="U109" s="537"/>
      <c r="V109" s="530"/>
      <c r="W109" s="537"/>
      <c r="X109" s="530"/>
      <c r="Y109" s="537"/>
      <c r="Z109" s="530"/>
      <c r="AA109" s="537"/>
      <c r="AB109" s="530"/>
      <c r="AC109" s="537"/>
      <c r="AD109" s="572"/>
      <c r="AE109" s="587"/>
      <c r="AF109" s="530"/>
      <c r="AG109" s="537"/>
      <c r="AH109" s="530"/>
      <c r="AI109" s="537"/>
      <c r="AJ109" s="530"/>
      <c r="AK109" s="537"/>
      <c r="AL109" s="530"/>
      <c r="AM109" s="537"/>
      <c r="AN109" s="530"/>
      <c r="AO109" s="537"/>
      <c r="AP109" s="530"/>
      <c r="AQ109" s="537"/>
      <c r="AR109" s="572"/>
      <c r="AS109" s="587"/>
      <c r="AT109" s="530"/>
      <c r="AU109" s="537"/>
      <c r="AV109" s="530"/>
      <c r="AW109" s="537"/>
      <c r="AX109" s="530"/>
      <c r="AY109" s="537"/>
      <c r="AZ109" s="530"/>
      <c r="BA109" s="537"/>
      <c r="BB109" s="530"/>
      <c r="BC109" s="537"/>
      <c r="BD109" s="530"/>
      <c r="BE109" s="537"/>
      <c r="BF109" s="572"/>
      <c r="BG109" s="587"/>
      <c r="BH109" s="530"/>
      <c r="BI109" s="537"/>
      <c r="BJ109" s="535">
        <f t="shared" si="11"/>
        <v>0</v>
      </c>
      <c r="BK109" s="591"/>
    </row>
    <row r="110" spans="1:63" s="531" customFormat="1" x14ac:dyDescent="0.35">
      <c r="A110" s="551"/>
      <c r="B110" s="551"/>
      <c r="C110" s="551"/>
      <c r="D110" s="657" t="s">
        <v>155</v>
      </c>
      <c r="E110" s="658"/>
      <c r="F110" s="530">
        <f t="shared" ref="F110:BI110" si="12">(F108*60)+F109</f>
        <v>360</v>
      </c>
      <c r="G110" s="530">
        <f>(G108*60)+G109</f>
        <v>0</v>
      </c>
      <c r="H110" s="530">
        <f>(H108*60)+H109</f>
        <v>0</v>
      </c>
      <c r="I110" s="537">
        <f t="shared" si="12"/>
        <v>0</v>
      </c>
      <c r="J110" s="530">
        <f t="shared" si="12"/>
        <v>0</v>
      </c>
      <c r="K110" s="537">
        <f t="shared" si="12"/>
        <v>0</v>
      </c>
      <c r="L110" s="530">
        <f t="shared" si="12"/>
        <v>0</v>
      </c>
      <c r="M110" s="537">
        <f t="shared" si="12"/>
        <v>0</v>
      </c>
      <c r="N110" s="530">
        <f t="shared" si="12"/>
        <v>0</v>
      </c>
      <c r="O110" s="537">
        <f t="shared" si="12"/>
        <v>0</v>
      </c>
      <c r="P110" s="572">
        <f t="shared" si="12"/>
        <v>0</v>
      </c>
      <c r="Q110" s="587">
        <f t="shared" si="12"/>
        <v>0</v>
      </c>
      <c r="R110" s="572">
        <f t="shared" si="12"/>
        <v>0</v>
      </c>
      <c r="S110" s="587">
        <f t="shared" si="12"/>
        <v>0</v>
      </c>
      <c r="T110" s="530">
        <f t="shared" si="12"/>
        <v>0</v>
      </c>
      <c r="U110" s="537">
        <f t="shared" si="12"/>
        <v>0</v>
      </c>
      <c r="V110" s="530">
        <f t="shared" si="12"/>
        <v>360</v>
      </c>
      <c r="W110" s="537">
        <f t="shared" si="12"/>
        <v>0</v>
      </c>
      <c r="X110" s="530">
        <f t="shared" si="12"/>
        <v>0</v>
      </c>
      <c r="Y110" s="537">
        <f t="shared" si="12"/>
        <v>0</v>
      </c>
      <c r="Z110" s="530">
        <f t="shared" si="12"/>
        <v>360</v>
      </c>
      <c r="AA110" s="537">
        <f t="shared" si="12"/>
        <v>0</v>
      </c>
      <c r="AB110" s="530">
        <f t="shared" si="12"/>
        <v>360</v>
      </c>
      <c r="AC110" s="537">
        <f t="shared" si="12"/>
        <v>0</v>
      </c>
      <c r="AD110" s="572">
        <f t="shared" si="12"/>
        <v>0</v>
      </c>
      <c r="AE110" s="587">
        <f t="shared" si="12"/>
        <v>0</v>
      </c>
      <c r="AF110" s="530">
        <f t="shared" si="12"/>
        <v>360</v>
      </c>
      <c r="AG110" s="537">
        <f t="shared" si="12"/>
        <v>0</v>
      </c>
      <c r="AH110" s="530">
        <f t="shared" si="12"/>
        <v>0</v>
      </c>
      <c r="AI110" s="537">
        <f t="shared" si="12"/>
        <v>0</v>
      </c>
      <c r="AJ110" s="530">
        <f t="shared" si="12"/>
        <v>0</v>
      </c>
      <c r="AK110" s="537">
        <f t="shared" si="12"/>
        <v>0</v>
      </c>
      <c r="AL110" s="530">
        <f t="shared" si="12"/>
        <v>0</v>
      </c>
      <c r="AM110" s="537">
        <f t="shared" si="12"/>
        <v>0</v>
      </c>
      <c r="AN110" s="530">
        <f t="shared" si="12"/>
        <v>0</v>
      </c>
      <c r="AO110" s="537">
        <f t="shared" si="12"/>
        <v>0</v>
      </c>
      <c r="AP110" s="530">
        <f t="shared" si="12"/>
        <v>0</v>
      </c>
      <c r="AQ110" s="537">
        <f t="shared" si="12"/>
        <v>0</v>
      </c>
      <c r="AR110" s="572">
        <f t="shared" si="12"/>
        <v>0</v>
      </c>
      <c r="AS110" s="587">
        <f t="shared" si="12"/>
        <v>0</v>
      </c>
      <c r="AT110" s="530">
        <f t="shared" si="12"/>
        <v>0</v>
      </c>
      <c r="AU110" s="537">
        <f t="shared" si="12"/>
        <v>0</v>
      </c>
      <c r="AV110" s="530">
        <f t="shared" si="12"/>
        <v>0</v>
      </c>
      <c r="AW110" s="537">
        <f t="shared" si="12"/>
        <v>0</v>
      </c>
      <c r="AX110" s="530">
        <f t="shared" si="12"/>
        <v>0</v>
      </c>
      <c r="AY110" s="537">
        <f t="shared" si="12"/>
        <v>0</v>
      </c>
      <c r="AZ110" s="530">
        <f t="shared" si="12"/>
        <v>0</v>
      </c>
      <c r="BA110" s="537">
        <f t="shared" si="12"/>
        <v>0</v>
      </c>
      <c r="BB110" s="530">
        <f t="shared" si="12"/>
        <v>0</v>
      </c>
      <c r="BC110" s="537">
        <f t="shared" si="12"/>
        <v>0</v>
      </c>
      <c r="BD110" s="530">
        <f t="shared" si="12"/>
        <v>0</v>
      </c>
      <c r="BE110" s="537">
        <f t="shared" si="12"/>
        <v>0</v>
      </c>
      <c r="BF110" s="572">
        <f t="shared" si="12"/>
        <v>0</v>
      </c>
      <c r="BG110" s="587">
        <f t="shared" si="12"/>
        <v>0</v>
      </c>
      <c r="BH110" s="530">
        <f t="shared" si="12"/>
        <v>0</v>
      </c>
      <c r="BI110" s="537">
        <f t="shared" si="12"/>
        <v>0</v>
      </c>
      <c r="BJ110" s="535">
        <f t="shared" si="11"/>
        <v>1800</v>
      </c>
      <c r="BK110" s="591"/>
    </row>
    <row r="111" spans="1:63" s="531" customFormat="1" x14ac:dyDescent="0.35">
      <c r="A111" s="551"/>
      <c r="B111" s="551"/>
      <c r="C111" s="551"/>
      <c r="D111" s="657" t="s">
        <v>156</v>
      </c>
      <c r="E111" s="658"/>
      <c r="F111" s="530">
        <f t="shared" ref="F111:BI111" si="13">F110-F112</f>
        <v>156</v>
      </c>
      <c r="G111" s="530">
        <f>G110-G112</f>
        <v>0</v>
      </c>
      <c r="H111" s="530">
        <f>H110-H112</f>
        <v>0</v>
      </c>
      <c r="I111" s="537">
        <f t="shared" si="13"/>
        <v>0</v>
      </c>
      <c r="J111" s="530">
        <f t="shared" si="13"/>
        <v>0</v>
      </c>
      <c r="K111" s="537">
        <f t="shared" si="13"/>
        <v>0</v>
      </c>
      <c r="L111" s="530">
        <f t="shared" si="13"/>
        <v>0</v>
      </c>
      <c r="M111" s="537">
        <f t="shared" si="13"/>
        <v>0</v>
      </c>
      <c r="N111" s="530">
        <f t="shared" si="13"/>
        <v>0</v>
      </c>
      <c r="O111" s="537">
        <f t="shared" si="13"/>
        <v>0</v>
      </c>
      <c r="P111" s="588">
        <f t="shared" si="13"/>
        <v>0</v>
      </c>
      <c r="Q111" s="586">
        <f t="shared" si="13"/>
        <v>0</v>
      </c>
      <c r="R111" s="588">
        <f t="shared" si="13"/>
        <v>0</v>
      </c>
      <c r="S111" s="586">
        <f t="shared" si="13"/>
        <v>0</v>
      </c>
      <c r="T111" s="530">
        <f t="shared" si="13"/>
        <v>0</v>
      </c>
      <c r="U111" s="537">
        <f t="shared" si="13"/>
        <v>0</v>
      </c>
      <c r="V111" s="530">
        <f t="shared" si="13"/>
        <v>140</v>
      </c>
      <c r="W111" s="537">
        <f t="shared" si="13"/>
        <v>0</v>
      </c>
      <c r="X111" s="530">
        <f t="shared" si="13"/>
        <v>0</v>
      </c>
      <c r="Y111" s="537">
        <f t="shared" si="13"/>
        <v>0</v>
      </c>
      <c r="Z111" s="530">
        <f t="shared" si="13"/>
        <v>240</v>
      </c>
      <c r="AA111" s="537">
        <f t="shared" si="13"/>
        <v>0</v>
      </c>
      <c r="AB111" s="530">
        <f t="shared" si="13"/>
        <v>215</v>
      </c>
      <c r="AC111" s="537">
        <f t="shared" si="13"/>
        <v>0</v>
      </c>
      <c r="AD111" s="588">
        <f t="shared" si="13"/>
        <v>0</v>
      </c>
      <c r="AE111" s="586">
        <f t="shared" si="13"/>
        <v>0</v>
      </c>
      <c r="AF111" s="530">
        <f t="shared" si="13"/>
        <v>300</v>
      </c>
      <c r="AG111" s="537">
        <f t="shared" si="13"/>
        <v>0</v>
      </c>
      <c r="AH111" s="530">
        <f t="shared" si="13"/>
        <v>0</v>
      </c>
      <c r="AI111" s="537">
        <f t="shared" si="13"/>
        <v>0</v>
      </c>
      <c r="AJ111" s="530">
        <f t="shared" si="13"/>
        <v>0</v>
      </c>
      <c r="AK111" s="537">
        <f t="shared" si="13"/>
        <v>0</v>
      </c>
      <c r="AL111" s="530">
        <f t="shared" si="13"/>
        <v>0</v>
      </c>
      <c r="AM111" s="537">
        <f t="shared" si="13"/>
        <v>0</v>
      </c>
      <c r="AN111" s="530">
        <f t="shared" si="13"/>
        <v>0</v>
      </c>
      <c r="AO111" s="537">
        <f t="shared" si="13"/>
        <v>0</v>
      </c>
      <c r="AP111" s="530">
        <f t="shared" si="13"/>
        <v>0</v>
      </c>
      <c r="AQ111" s="537">
        <f t="shared" si="13"/>
        <v>0</v>
      </c>
      <c r="AR111" s="588">
        <f t="shared" si="13"/>
        <v>0</v>
      </c>
      <c r="AS111" s="586">
        <f t="shared" si="13"/>
        <v>0</v>
      </c>
      <c r="AT111" s="530">
        <f t="shared" si="13"/>
        <v>0</v>
      </c>
      <c r="AU111" s="537">
        <f t="shared" si="13"/>
        <v>0</v>
      </c>
      <c r="AV111" s="530">
        <f t="shared" si="13"/>
        <v>0</v>
      </c>
      <c r="AW111" s="537">
        <f t="shared" si="13"/>
        <v>0</v>
      </c>
      <c r="AX111" s="530">
        <f t="shared" si="13"/>
        <v>0</v>
      </c>
      <c r="AY111" s="537">
        <f t="shared" si="13"/>
        <v>0</v>
      </c>
      <c r="AZ111" s="530">
        <f t="shared" si="13"/>
        <v>0</v>
      </c>
      <c r="BA111" s="537">
        <f t="shared" si="13"/>
        <v>0</v>
      </c>
      <c r="BB111" s="530">
        <f t="shared" si="13"/>
        <v>0</v>
      </c>
      <c r="BC111" s="537">
        <f t="shared" si="13"/>
        <v>0</v>
      </c>
      <c r="BD111" s="530">
        <f t="shared" si="13"/>
        <v>0</v>
      </c>
      <c r="BE111" s="537">
        <f t="shared" si="13"/>
        <v>0</v>
      </c>
      <c r="BF111" s="588">
        <f t="shared" si="13"/>
        <v>0</v>
      </c>
      <c r="BG111" s="586">
        <f t="shared" si="13"/>
        <v>0</v>
      </c>
      <c r="BH111" s="530">
        <f t="shared" si="13"/>
        <v>0</v>
      </c>
      <c r="BI111" s="537">
        <f t="shared" si="13"/>
        <v>0</v>
      </c>
      <c r="BJ111" s="535">
        <f t="shared" si="11"/>
        <v>1051</v>
      </c>
      <c r="BK111" s="591"/>
    </row>
    <row r="112" spans="1:63" s="531" customFormat="1" x14ac:dyDescent="0.35">
      <c r="A112" s="529"/>
      <c r="B112" s="529"/>
      <c r="C112" s="529"/>
      <c r="D112" s="659" t="s">
        <v>157</v>
      </c>
      <c r="E112" s="660"/>
      <c r="F112" s="553">
        <f t="shared" ref="F112:BI112" si="14">SUM(F113:F114)</f>
        <v>204</v>
      </c>
      <c r="G112" s="553">
        <f>SUM(G113:G114)</f>
        <v>0</v>
      </c>
      <c r="H112" s="553">
        <f>SUM(H113:H114)</f>
        <v>0</v>
      </c>
      <c r="I112" s="560">
        <f t="shared" si="14"/>
        <v>0</v>
      </c>
      <c r="J112" s="553">
        <f t="shared" si="14"/>
        <v>0</v>
      </c>
      <c r="K112" s="560">
        <f t="shared" si="14"/>
        <v>0</v>
      </c>
      <c r="L112" s="553">
        <f t="shared" si="14"/>
        <v>0</v>
      </c>
      <c r="M112" s="560">
        <f t="shared" si="14"/>
        <v>0</v>
      </c>
      <c r="N112" s="553">
        <f t="shared" si="14"/>
        <v>0</v>
      </c>
      <c r="O112" s="560">
        <f t="shared" si="14"/>
        <v>0</v>
      </c>
      <c r="P112" s="572">
        <f t="shared" si="14"/>
        <v>0</v>
      </c>
      <c r="Q112" s="587">
        <f t="shared" si="14"/>
        <v>0</v>
      </c>
      <c r="R112" s="572">
        <f t="shared" si="14"/>
        <v>0</v>
      </c>
      <c r="S112" s="587">
        <f t="shared" si="14"/>
        <v>0</v>
      </c>
      <c r="T112" s="553">
        <f t="shared" si="14"/>
        <v>0</v>
      </c>
      <c r="U112" s="560">
        <f t="shared" si="14"/>
        <v>0</v>
      </c>
      <c r="V112" s="553">
        <f t="shared" si="14"/>
        <v>220</v>
      </c>
      <c r="W112" s="560">
        <f t="shared" si="14"/>
        <v>0</v>
      </c>
      <c r="X112" s="553">
        <f t="shared" si="14"/>
        <v>0</v>
      </c>
      <c r="Y112" s="560">
        <f t="shared" si="14"/>
        <v>0</v>
      </c>
      <c r="Z112" s="553">
        <f t="shared" si="14"/>
        <v>120</v>
      </c>
      <c r="AA112" s="560">
        <f t="shared" si="14"/>
        <v>0</v>
      </c>
      <c r="AB112" s="553">
        <f t="shared" si="14"/>
        <v>145</v>
      </c>
      <c r="AC112" s="560">
        <f t="shared" si="14"/>
        <v>0</v>
      </c>
      <c r="AD112" s="572">
        <f t="shared" si="14"/>
        <v>0</v>
      </c>
      <c r="AE112" s="587">
        <f t="shared" si="14"/>
        <v>0</v>
      </c>
      <c r="AF112" s="553">
        <f t="shared" si="14"/>
        <v>60</v>
      </c>
      <c r="AG112" s="560">
        <f t="shared" si="14"/>
        <v>0</v>
      </c>
      <c r="AH112" s="553">
        <f t="shared" si="14"/>
        <v>0</v>
      </c>
      <c r="AI112" s="560">
        <f t="shared" si="14"/>
        <v>0</v>
      </c>
      <c r="AJ112" s="553">
        <f t="shared" si="14"/>
        <v>0</v>
      </c>
      <c r="AK112" s="560">
        <f t="shared" si="14"/>
        <v>0</v>
      </c>
      <c r="AL112" s="553">
        <f t="shared" si="14"/>
        <v>0</v>
      </c>
      <c r="AM112" s="560">
        <f t="shared" si="14"/>
        <v>0</v>
      </c>
      <c r="AN112" s="553">
        <f t="shared" si="14"/>
        <v>0</v>
      </c>
      <c r="AO112" s="560">
        <f t="shared" si="14"/>
        <v>0</v>
      </c>
      <c r="AP112" s="553">
        <f t="shared" si="14"/>
        <v>0</v>
      </c>
      <c r="AQ112" s="560">
        <f t="shared" si="14"/>
        <v>0</v>
      </c>
      <c r="AR112" s="572">
        <f t="shared" si="14"/>
        <v>0</v>
      </c>
      <c r="AS112" s="587">
        <f t="shared" si="14"/>
        <v>0</v>
      </c>
      <c r="AT112" s="553">
        <f t="shared" si="14"/>
        <v>0</v>
      </c>
      <c r="AU112" s="560">
        <f t="shared" si="14"/>
        <v>0</v>
      </c>
      <c r="AV112" s="553">
        <f t="shared" si="14"/>
        <v>0</v>
      </c>
      <c r="AW112" s="560">
        <f t="shared" si="14"/>
        <v>0</v>
      </c>
      <c r="AX112" s="553">
        <f t="shared" si="14"/>
        <v>0</v>
      </c>
      <c r="AY112" s="560">
        <f t="shared" si="14"/>
        <v>0</v>
      </c>
      <c r="AZ112" s="553">
        <f t="shared" si="14"/>
        <v>0</v>
      </c>
      <c r="BA112" s="560">
        <f t="shared" si="14"/>
        <v>0</v>
      </c>
      <c r="BB112" s="553">
        <f t="shared" si="14"/>
        <v>0</v>
      </c>
      <c r="BC112" s="560">
        <f t="shared" si="14"/>
        <v>0</v>
      </c>
      <c r="BD112" s="553">
        <f t="shared" si="14"/>
        <v>0</v>
      </c>
      <c r="BE112" s="560">
        <f t="shared" si="14"/>
        <v>0</v>
      </c>
      <c r="BF112" s="572">
        <f t="shared" si="14"/>
        <v>0</v>
      </c>
      <c r="BG112" s="587">
        <f t="shared" si="14"/>
        <v>0</v>
      </c>
      <c r="BH112" s="553">
        <f t="shared" si="14"/>
        <v>0</v>
      </c>
      <c r="BI112" s="560">
        <f t="shared" si="14"/>
        <v>0</v>
      </c>
      <c r="BJ112" s="535">
        <f t="shared" si="11"/>
        <v>749</v>
      </c>
      <c r="BK112" s="591"/>
    </row>
    <row r="113" spans="1:63" s="531" customFormat="1" x14ac:dyDescent="0.35">
      <c r="A113" s="579"/>
      <c r="B113" s="579"/>
      <c r="C113" s="579"/>
      <c r="D113" s="665" t="s">
        <v>158</v>
      </c>
      <c r="E113" s="666"/>
      <c r="F113" s="513">
        <f>3.4*60</f>
        <v>204</v>
      </c>
      <c r="G113" s="513"/>
      <c r="H113" s="513"/>
      <c r="I113" s="557"/>
      <c r="J113" s="513"/>
      <c r="K113" s="557"/>
      <c r="L113" s="513"/>
      <c r="M113" s="557"/>
      <c r="N113" s="513"/>
      <c r="O113" s="557"/>
      <c r="P113" s="513"/>
      <c r="Q113" s="540"/>
      <c r="R113" s="513"/>
      <c r="S113" s="540"/>
      <c r="T113" s="513"/>
      <c r="U113" s="557"/>
      <c r="V113" s="513">
        <v>220</v>
      </c>
      <c r="W113" s="557"/>
      <c r="X113" s="513"/>
      <c r="Y113" s="557"/>
      <c r="Z113" s="513">
        <v>120</v>
      </c>
      <c r="AA113" s="557"/>
      <c r="AB113" s="513">
        <v>145</v>
      </c>
      <c r="AC113" s="557"/>
      <c r="AD113" s="513"/>
      <c r="AE113" s="540"/>
      <c r="AF113" s="513">
        <v>60</v>
      </c>
      <c r="AG113" s="557"/>
      <c r="AH113" s="513"/>
      <c r="AI113" s="557"/>
      <c r="AJ113" s="513"/>
      <c r="AK113" s="557"/>
      <c r="AL113" s="513"/>
      <c r="AM113" s="557"/>
      <c r="AN113" s="513"/>
      <c r="AO113" s="557"/>
      <c r="AP113" s="513"/>
      <c r="AQ113" s="557"/>
      <c r="AR113" s="513"/>
      <c r="AS113" s="540"/>
      <c r="AT113" s="513"/>
      <c r="AU113" s="557"/>
      <c r="AV113" s="513"/>
      <c r="AW113" s="557"/>
      <c r="AX113" s="513"/>
      <c r="AY113" s="557"/>
      <c r="AZ113" s="513"/>
      <c r="BA113" s="557"/>
      <c r="BB113" s="513"/>
      <c r="BC113" s="557"/>
      <c r="BD113" s="513"/>
      <c r="BE113" s="557"/>
      <c r="BF113" s="513"/>
      <c r="BG113" s="540"/>
      <c r="BH113" s="513"/>
      <c r="BI113" s="557"/>
      <c r="BJ113" s="535">
        <f t="shared" si="11"/>
        <v>749</v>
      </c>
      <c r="BK113" s="591"/>
    </row>
    <row r="114" spans="1:63" s="531" customFormat="1" x14ac:dyDescent="0.35">
      <c r="A114" s="579"/>
      <c r="B114" s="579"/>
      <c r="C114" s="579"/>
      <c r="D114" s="665" t="s">
        <v>161</v>
      </c>
      <c r="E114" s="666"/>
      <c r="F114" s="513"/>
      <c r="G114" s="513"/>
      <c r="H114" s="513"/>
      <c r="I114" s="557"/>
      <c r="J114" s="513"/>
      <c r="K114" s="557"/>
      <c r="L114" s="513"/>
      <c r="M114" s="557"/>
      <c r="N114" s="513"/>
      <c r="O114" s="557"/>
      <c r="P114" s="513"/>
      <c r="Q114" s="540"/>
      <c r="R114" s="513"/>
      <c r="S114" s="540"/>
      <c r="T114" s="513"/>
      <c r="U114" s="557"/>
      <c r="V114" s="513"/>
      <c r="W114" s="557"/>
      <c r="X114" s="513"/>
      <c r="Y114" s="557"/>
      <c r="Z114" s="513"/>
      <c r="AA114" s="557"/>
      <c r="AB114" s="513"/>
      <c r="AC114" s="557"/>
      <c r="AD114" s="513"/>
      <c r="AE114" s="540"/>
      <c r="AF114" s="513"/>
      <c r="AG114" s="557"/>
      <c r="AH114" s="513"/>
      <c r="AI114" s="557"/>
      <c r="AJ114" s="513"/>
      <c r="AK114" s="557"/>
      <c r="AL114" s="513"/>
      <c r="AM114" s="557"/>
      <c r="AN114" s="513"/>
      <c r="AO114" s="557"/>
      <c r="AP114" s="513"/>
      <c r="AQ114" s="557"/>
      <c r="AR114" s="513"/>
      <c r="AS114" s="540"/>
      <c r="AT114" s="513"/>
      <c r="AU114" s="557"/>
      <c r="AV114" s="513"/>
      <c r="AW114" s="557"/>
      <c r="AX114" s="513"/>
      <c r="AY114" s="557"/>
      <c r="AZ114" s="513"/>
      <c r="BA114" s="557"/>
      <c r="BB114" s="513"/>
      <c r="BC114" s="557"/>
      <c r="BD114" s="513"/>
      <c r="BE114" s="557"/>
      <c r="BF114" s="513"/>
      <c r="BG114" s="540"/>
      <c r="BH114" s="513"/>
      <c r="BI114" s="557"/>
      <c r="BJ114" s="535">
        <f t="shared" si="11"/>
        <v>0</v>
      </c>
      <c r="BK114" s="591"/>
    </row>
    <row r="115" spans="1:63" x14ac:dyDescent="0.35">
      <c r="A115" s="518"/>
      <c r="B115" s="518"/>
      <c r="C115" s="518"/>
      <c r="D115" s="667" t="s">
        <v>162</v>
      </c>
      <c r="E115" s="668"/>
      <c r="F115" s="536">
        <f>F110-F112-F27</f>
        <v>156</v>
      </c>
      <c r="G115" s="536"/>
      <c r="H115" s="536"/>
      <c r="I115" s="536"/>
      <c r="J115" s="536"/>
      <c r="K115" s="536"/>
      <c r="L115" s="536"/>
      <c r="M115" s="536"/>
      <c r="N115" s="536"/>
      <c r="O115" s="536"/>
      <c r="P115" s="536"/>
      <c r="Q115" s="536"/>
      <c r="R115" s="536"/>
      <c r="S115" s="536"/>
      <c r="T115" s="536"/>
      <c r="U115" s="536"/>
      <c r="V115" s="536">
        <f>V110-V112-V27</f>
        <v>140</v>
      </c>
      <c r="W115" s="536"/>
      <c r="X115" s="536"/>
      <c r="Y115" s="536"/>
      <c r="Z115" s="536">
        <f>Z110-Z112-Z27</f>
        <v>240</v>
      </c>
      <c r="AA115" s="536"/>
      <c r="AB115" s="536">
        <f>AB110-AB112-AB27</f>
        <v>160</v>
      </c>
      <c r="AC115" s="536"/>
      <c r="AD115" s="536"/>
      <c r="AE115" s="536"/>
      <c r="AF115" s="536">
        <f>AF110-AF112-AF27</f>
        <v>250</v>
      </c>
      <c r="AG115" s="536"/>
      <c r="AH115" s="536"/>
      <c r="AI115" s="536"/>
      <c r="AJ115" s="536"/>
      <c r="AK115" s="536"/>
      <c r="AL115" s="536"/>
      <c r="AM115" s="536"/>
      <c r="AN115" s="536"/>
      <c r="AO115" s="536"/>
      <c r="AP115" s="536"/>
      <c r="AQ115" s="536"/>
      <c r="AR115" s="536"/>
      <c r="AS115" s="536"/>
      <c r="AT115" s="536"/>
      <c r="AU115" s="536"/>
      <c r="AV115" s="536"/>
      <c r="AW115" s="536"/>
      <c r="AX115" s="536"/>
      <c r="AY115" s="536"/>
      <c r="AZ115" s="536"/>
      <c r="BA115" s="536"/>
      <c r="BB115" s="536"/>
      <c r="BC115" s="536"/>
      <c r="BD115" s="536"/>
      <c r="BE115" s="536"/>
      <c r="BF115" s="536"/>
      <c r="BG115" s="536"/>
      <c r="BH115" s="536"/>
      <c r="BI115" s="536"/>
      <c r="BJ115" s="509">
        <f>BJ110-BJ112-BJ27</f>
        <v>946</v>
      </c>
      <c r="BK115" s="545"/>
    </row>
    <row r="116" spans="1:63" x14ac:dyDescent="0.35">
      <c r="A116" s="518"/>
      <c r="B116" s="518"/>
      <c r="C116" s="518"/>
      <c r="D116" s="667" t="s">
        <v>163</v>
      </c>
      <c r="E116" s="668"/>
      <c r="F116" s="547">
        <f>IFERROR(SUMPRODUCT(F5:F16/$E$5:$E$16),0)</f>
        <v>142.67741935483872</v>
      </c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>
        <f>IFERROR(SUMPRODUCT(V5:V16/$E$5:$E$16),0)</f>
        <v>135</v>
      </c>
      <c r="W116" s="547"/>
      <c r="X116" s="547"/>
      <c r="Y116" s="547"/>
      <c r="Z116" s="547">
        <f>IFERROR(SUMPRODUCT(Z5:Z16/$E$5:$E$16),0)</f>
        <v>224.61290322580646</v>
      </c>
      <c r="AA116" s="547"/>
      <c r="AB116" s="547">
        <f>IFERROR(SUMPRODUCT(AB5:AB16/$E$5:$E$16),0)</f>
        <v>136.93548387096774</v>
      </c>
      <c r="AC116" s="547"/>
      <c r="AD116" s="547"/>
      <c r="AE116" s="547"/>
      <c r="AF116" s="547">
        <f>IFERROR(SUMPRODUCT(AF5:AF16/$E$5:$E$16),0)</f>
        <v>227.74193548387098</v>
      </c>
      <c r="AG116" s="547"/>
      <c r="AH116" s="547"/>
      <c r="AI116" s="547"/>
      <c r="AJ116" s="547"/>
      <c r="AK116" s="547"/>
      <c r="AL116" s="547"/>
      <c r="AM116" s="547"/>
      <c r="AN116" s="547"/>
      <c r="AO116" s="547"/>
      <c r="AP116" s="547"/>
      <c r="AQ116" s="547"/>
      <c r="AR116" s="547"/>
      <c r="AS116" s="547"/>
      <c r="AT116" s="547"/>
      <c r="AU116" s="547"/>
      <c r="AV116" s="547"/>
      <c r="AW116" s="547"/>
      <c r="AX116" s="547"/>
      <c r="AY116" s="547"/>
      <c r="AZ116" s="547"/>
      <c r="BA116" s="547"/>
      <c r="BB116" s="547"/>
      <c r="BC116" s="547"/>
      <c r="BD116" s="547"/>
      <c r="BE116" s="547"/>
      <c r="BF116" s="547"/>
      <c r="BG116" s="547"/>
      <c r="BH116" s="547"/>
      <c r="BI116" s="547"/>
      <c r="BJ116" s="509">
        <f>IFERROR(SUMPRODUCT(BJ5:BJ16/$E$5:$E$16),0)</f>
        <v>613.9032258064517</v>
      </c>
      <c r="BK116" s="545"/>
    </row>
    <row r="117" spans="1:63" x14ac:dyDescent="0.35">
      <c r="A117" s="518"/>
      <c r="B117" s="518"/>
      <c r="C117" s="518"/>
      <c r="D117" s="667" t="s">
        <v>164</v>
      </c>
      <c r="E117" s="668"/>
      <c r="F117" s="547">
        <f>F115-F116</f>
        <v>13.322580645161281</v>
      </c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>
        <f>V115-V116</f>
        <v>5</v>
      </c>
      <c r="W117" s="547"/>
      <c r="X117" s="547"/>
      <c r="Y117" s="547"/>
      <c r="Z117" s="547">
        <f>Z115-Z116</f>
        <v>15.387096774193537</v>
      </c>
      <c r="AA117" s="547"/>
      <c r="AB117" s="547">
        <f>AB115-AB116</f>
        <v>23.064516129032256</v>
      </c>
      <c r="AC117" s="547"/>
      <c r="AD117" s="547"/>
      <c r="AE117" s="547"/>
      <c r="AF117" s="547">
        <f>AF115-AF116</f>
        <v>22.258064516129025</v>
      </c>
      <c r="AG117" s="547"/>
      <c r="AH117" s="547"/>
      <c r="AI117" s="547"/>
      <c r="AJ117" s="547"/>
      <c r="AK117" s="547"/>
      <c r="AL117" s="547"/>
      <c r="AM117" s="547"/>
      <c r="AN117" s="547"/>
      <c r="AO117" s="547"/>
      <c r="AP117" s="547"/>
      <c r="AQ117" s="547"/>
      <c r="AR117" s="547"/>
      <c r="AS117" s="547"/>
      <c r="AT117" s="547"/>
      <c r="AU117" s="547"/>
      <c r="AV117" s="547"/>
      <c r="AW117" s="547"/>
      <c r="AX117" s="547"/>
      <c r="AY117" s="547"/>
      <c r="AZ117" s="547"/>
      <c r="BA117" s="547"/>
      <c r="BB117" s="547"/>
      <c r="BC117" s="547"/>
      <c r="BD117" s="547"/>
      <c r="BE117" s="547"/>
      <c r="BF117" s="547"/>
      <c r="BG117" s="547"/>
      <c r="BH117" s="547"/>
      <c r="BI117" s="547"/>
      <c r="BJ117" s="509">
        <f>BJ115-BJ116</f>
        <v>332.0967741935483</v>
      </c>
      <c r="BK117" s="545"/>
    </row>
    <row r="118" spans="1:63" x14ac:dyDescent="0.35">
      <c r="A118" s="518"/>
      <c r="B118" s="518"/>
      <c r="C118" s="518"/>
      <c r="D118" s="667" t="s">
        <v>165</v>
      </c>
      <c r="E118" s="668"/>
      <c r="F118" s="547">
        <f>SUM(F5:F17)/(F111-F27)</f>
        <v>28.352564102564102</v>
      </c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>
        <f>SUM(V5:V17)/(V111-V27)</f>
        <v>29.892857142857142</v>
      </c>
      <c r="W118" s="547"/>
      <c r="X118" s="547"/>
      <c r="Y118" s="547"/>
      <c r="Z118" s="547">
        <f>SUM(Z5:Z17)/(Z111-Z27)</f>
        <v>29.012499999999999</v>
      </c>
      <c r="AA118" s="547"/>
      <c r="AB118" s="547">
        <f>SUM(AB5:AB17)/(AB111-AB27)</f>
        <v>26.53125</v>
      </c>
      <c r="AC118" s="547"/>
      <c r="AD118" s="547"/>
      <c r="AE118" s="547"/>
      <c r="AF118" s="547">
        <f>SUM(AF5:AF17)/(AF111-AF27)</f>
        <v>28.24</v>
      </c>
      <c r="AG118" s="547"/>
      <c r="AH118" s="547"/>
      <c r="AI118" s="547"/>
      <c r="AJ118" s="547"/>
      <c r="AK118" s="547"/>
      <c r="AL118" s="547"/>
      <c r="AM118" s="547"/>
      <c r="AN118" s="547"/>
      <c r="AO118" s="547"/>
      <c r="AP118" s="547"/>
      <c r="AQ118" s="547"/>
      <c r="AR118" s="547"/>
      <c r="AS118" s="547"/>
      <c r="AT118" s="547"/>
      <c r="AU118" s="547"/>
      <c r="AV118" s="547"/>
      <c r="AW118" s="547"/>
      <c r="AX118" s="547"/>
      <c r="AY118" s="547"/>
      <c r="AZ118" s="547"/>
      <c r="BA118" s="547"/>
      <c r="BB118" s="547"/>
      <c r="BC118" s="547"/>
      <c r="BD118" s="547"/>
      <c r="BE118" s="547"/>
      <c r="BF118" s="547"/>
      <c r="BG118" s="547"/>
      <c r="BH118" s="547"/>
      <c r="BI118" s="547"/>
      <c r="BJ118" s="582">
        <f>SUM(BJ5:BJ17)/(BJ111-BJ27)</f>
        <v>20.117336152219874</v>
      </c>
      <c r="BK118" s="545"/>
    </row>
    <row r="119" spans="1:63" x14ac:dyDescent="0.35">
      <c r="A119" s="581"/>
      <c r="B119" s="581"/>
      <c r="C119" s="581"/>
      <c r="D119" s="663" t="s">
        <v>166</v>
      </c>
      <c r="E119" s="664"/>
      <c r="F119" s="580">
        <f>(F111-F27)/F111</f>
        <v>1</v>
      </c>
      <c r="G119" s="580"/>
      <c r="H119" s="580"/>
      <c r="I119" s="580"/>
      <c r="J119" s="580"/>
      <c r="K119" s="580"/>
      <c r="L119" s="580"/>
      <c r="M119" s="580"/>
      <c r="N119" s="580"/>
      <c r="O119" s="580"/>
      <c r="P119" s="580"/>
      <c r="Q119" s="580"/>
      <c r="R119" s="580"/>
      <c r="S119" s="580"/>
      <c r="T119" s="580"/>
      <c r="U119" s="580"/>
      <c r="V119" s="580">
        <f>(V111-V27)/V111</f>
        <v>1</v>
      </c>
      <c r="W119" s="580"/>
      <c r="X119" s="580"/>
      <c r="Y119" s="580"/>
      <c r="Z119" s="580">
        <f>(Z111-Z27)/Z111</f>
        <v>1</v>
      </c>
      <c r="AA119" s="580"/>
      <c r="AB119" s="580">
        <f>(AB111-AB27)/AB111</f>
        <v>0.7441860465116279</v>
      </c>
      <c r="AC119" s="580"/>
      <c r="AD119" s="580"/>
      <c r="AE119" s="580"/>
      <c r="AF119" s="580">
        <f>(AF111-AF27)/AF111</f>
        <v>0.83333333333333337</v>
      </c>
      <c r="AG119" s="580"/>
      <c r="AH119" s="580"/>
      <c r="AI119" s="580"/>
      <c r="AJ119" s="580"/>
      <c r="AK119" s="580"/>
      <c r="AL119" s="580"/>
      <c r="AM119" s="580"/>
      <c r="AN119" s="580"/>
      <c r="AO119" s="580"/>
      <c r="AP119" s="580"/>
      <c r="AQ119" s="580"/>
      <c r="AR119" s="580"/>
      <c r="AS119" s="580"/>
      <c r="AT119" s="580"/>
      <c r="AU119" s="580"/>
      <c r="AV119" s="580"/>
      <c r="AW119" s="580"/>
      <c r="AX119" s="580"/>
      <c r="AY119" s="580"/>
      <c r="AZ119" s="580"/>
      <c r="BA119" s="580"/>
      <c r="BB119" s="580"/>
      <c r="BC119" s="580"/>
      <c r="BD119" s="580"/>
      <c r="BE119" s="580"/>
      <c r="BF119" s="580"/>
      <c r="BG119" s="580"/>
      <c r="BH119" s="580"/>
      <c r="BI119" s="580"/>
      <c r="BJ119" s="593">
        <f>(BJ111-BJ27)/BJ111</f>
        <v>0.90009514747859187</v>
      </c>
      <c r="BK119" s="545"/>
    </row>
    <row r="120" spans="1:63" x14ac:dyDescent="0.35">
      <c r="A120" s="581"/>
      <c r="B120" s="581"/>
      <c r="C120" s="581"/>
      <c r="D120" s="663" t="s">
        <v>167</v>
      </c>
      <c r="E120" s="664"/>
      <c r="F120" s="580">
        <f>F116/F115</f>
        <v>0.91459884201819697</v>
      </c>
      <c r="G120" s="580"/>
      <c r="H120" s="580"/>
      <c r="I120" s="580"/>
      <c r="J120" s="580"/>
      <c r="K120" s="580"/>
      <c r="L120" s="580"/>
      <c r="M120" s="580"/>
      <c r="N120" s="580"/>
      <c r="O120" s="580"/>
      <c r="P120" s="580"/>
      <c r="Q120" s="580"/>
      <c r="R120" s="580"/>
      <c r="S120" s="580"/>
      <c r="T120" s="580"/>
      <c r="U120" s="580"/>
      <c r="V120" s="580">
        <f>V116/V115</f>
        <v>0.9642857142857143</v>
      </c>
      <c r="W120" s="580"/>
      <c r="X120" s="580"/>
      <c r="Y120" s="580"/>
      <c r="Z120" s="580">
        <f>Z116/Z115</f>
        <v>0.93588709677419357</v>
      </c>
      <c r="AA120" s="580"/>
      <c r="AB120" s="580">
        <f>AB116/AB115</f>
        <v>0.85584677419354838</v>
      </c>
      <c r="AC120" s="580"/>
      <c r="AD120" s="580"/>
      <c r="AE120" s="580"/>
      <c r="AF120" s="580">
        <f>AF116/AF115</f>
        <v>0.91096774193548391</v>
      </c>
      <c r="AG120" s="580"/>
      <c r="AH120" s="580"/>
      <c r="AI120" s="580"/>
      <c r="AJ120" s="580"/>
      <c r="AK120" s="580"/>
      <c r="AL120" s="580"/>
      <c r="AM120" s="580"/>
      <c r="AN120" s="580"/>
      <c r="AO120" s="580"/>
      <c r="AP120" s="580"/>
      <c r="AQ120" s="580"/>
      <c r="AR120" s="580"/>
      <c r="AS120" s="580"/>
      <c r="AT120" s="580"/>
      <c r="AU120" s="580"/>
      <c r="AV120" s="580"/>
      <c r="AW120" s="580"/>
      <c r="AX120" s="580"/>
      <c r="AY120" s="580"/>
      <c r="AZ120" s="580"/>
      <c r="BA120" s="580"/>
      <c r="BB120" s="580"/>
      <c r="BC120" s="580"/>
      <c r="BD120" s="580"/>
      <c r="BE120" s="580"/>
      <c r="BF120" s="580"/>
      <c r="BG120" s="580"/>
      <c r="BH120" s="580"/>
      <c r="BI120" s="580"/>
      <c r="BJ120" s="593">
        <f>BJ116/BJ115</f>
        <v>0.6489463274909637</v>
      </c>
      <c r="BK120" s="545"/>
    </row>
    <row r="121" spans="1:63" x14ac:dyDescent="0.35">
      <c r="A121" s="581"/>
      <c r="B121" s="581"/>
      <c r="C121" s="581"/>
      <c r="D121" s="663" t="s">
        <v>168</v>
      </c>
      <c r="E121" s="664"/>
      <c r="F121" s="580">
        <f>SUM(F5:F16)/(SUM(F5:F17))</f>
        <v>1</v>
      </c>
      <c r="G121" s="580"/>
      <c r="H121" s="580"/>
      <c r="I121" s="580"/>
      <c r="J121" s="580"/>
      <c r="K121" s="580"/>
      <c r="L121" s="580"/>
      <c r="M121" s="580"/>
      <c r="N121" s="580"/>
      <c r="O121" s="580"/>
      <c r="P121" s="580"/>
      <c r="Q121" s="580"/>
      <c r="R121" s="580"/>
      <c r="S121" s="580"/>
      <c r="T121" s="580"/>
      <c r="U121" s="580"/>
      <c r="V121" s="580">
        <f>SUM(V5:V16)/(SUM(V5:V17))</f>
        <v>1</v>
      </c>
      <c r="W121" s="580"/>
      <c r="X121" s="580"/>
      <c r="Y121" s="580"/>
      <c r="Z121" s="580">
        <f>SUM(Z5:Z16)/(SUM(Z5:Z17))</f>
        <v>1</v>
      </c>
      <c r="AA121" s="580"/>
      <c r="AB121" s="580">
        <f>SUM(AB5:AB16)/(SUM(AB5:AB17))</f>
        <v>1</v>
      </c>
      <c r="AC121" s="580"/>
      <c r="AD121" s="580"/>
      <c r="AE121" s="580"/>
      <c r="AF121" s="580">
        <f>SUM(AF5:AF16)/(SUM(AF5:AF17))</f>
        <v>1</v>
      </c>
      <c r="AG121" s="580"/>
      <c r="AH121" s="580"/>
      <c r="AI121" s="580"/>
      <c r="AJ121" s="580"/>
      <c r="AK121" s="580"/>
      <c r="AL121" s="580"/>
      <c r="AM121" s="580"/>
      <c r="AN121" s="580"/>
      <c r="AO121" s="580"/>
      <c r="AP121" s="580"/>
      <c r="AQ121" s="580"/>
      <c r="AR121" s="580"/>
      <c r="AS121" s="580"/>
      <c r="AT121" s="580"/>
      <c r="AU121" s="580"/>
      <c r="AV121" s="580"/>
      <c r="AW121" s="580"/>
      <c r="AX121" s="580"/>
      <c r="AY121" s="580"/>
      <c r="AZ121" s="580"/>
      <c r="BA121" s="580"/>
      <c r="BB121" s="580"/>
      <c r="BC121" s="580"/>
      <c r="BD121" s="580"/>
      <c r="BE121" s="580"/>
      <c r="BF121" s="580"/>
      <c r="BG121" s="580"/>
      <c r="BH121" s="580"/>
      <c r="BI121" s="580"/>
      <c r="BJ121" s="593">
        <f>SUM(BJ5:BJ16)/(SUM(BJ5:BJ17))</f>
        <v>1</v>
      </c>
      <c r="BK121" s="545"/>
    </row>
    <row r="122" spans="1:63" ht="24" thickBot="1" x14ac:dyDescent="0.4">
      <c r="A122" s="581"/>
      <c r="B122" s="581"/>
      <c r="C122" s="581"/>
      <c r="D122" s="663" t="s">
        <v>169</v>
      </c>
      <c r="E122" s="664"/>
      <c r="F122" s="541">
        <f>F121*F120*F119</f>
        <v>0.91459884201819697</v>
      </c>
      <c r="G122" s="541"/>
      <c r="H122" s="541"/>
      <c r="I122" s="541"/>
      <c r="J122" s="541"/>
      <c r="K122" s="541"/>
      <c r="L122" s="541"/>
      <c r="M122" s="541"/>
      <c r="N122" s="541"/>
      <c r="O122" s="541"/>
      <c r="P122" s="541"/>
      <c r="Q122" s="541"/>
      <c r="R122" s="541"/>
      <c r="S122" s="541"/>
      <c r="T122" s="541"/>
      <c r="U122" s="541"/>
      <c r="V122" s="541">
        <f>V121*V120*V119</f>
        <v>0.9642857142857143</v>
      </c>
      <c r="W122" s="541"/>
      <c r="X122" s="541"/>
      <c r="Y122" s="541"/>
      <c r="Z122" s="541">
        <f>Z121*Z120*Z119</f>
        <v>0.93588709677419357</v>
      </c>
      <c r="AA122" s="541"/>
      <c r="AB122" s="541">
        <f>AB121*AB120*AB119</f>
        <v>0.63690922730682664</v>
      </c>
      <c r="AC122" s="541"/>
      <c r="AD122" s="541"/>
      <c r="AE122" s="541"/>
      <c r="AF122" s="541">
        <f>AF121*AF120*AF119</f>
        <v>0.75913978494623657</v>
      </c>
      <c r="AG122" s="541"/>
      <c r="AH122" s="541"/>
      <c r="AI122" s="541"/>
      <c r="AJ122" s="541"/>
      <c r="AK122" s="541"/>
      <c r="AL122" s="541"/>
      <c r="AM122" s="541"/>
      <c r="AN122" s="541"/>
      <c r="AO122" s="541"/>
      <c r="AP122" s="541"/>
      <c r="AQ122" s="541"/>
      <c r="AR122" s="541"/>
      <c r="AS122" s="541"/>
      <c r="AT122" s="541"/>
      <c r="AU122" s="541"/>
      <c r="AV122" s="541"/>
      <c r="AW122" s="541"/>
      <c r="AX122" s="541"/>
      <c r="AY122" s="541"/>
      <c r="AZ122" s="541"/>
      <c r="BA122" s="541"/>
      <c r="BB122" s="541"/>
      <c r="BC122" s="541"/>
      <c r="BD122" s="541"/>
      <c r="BE122" s="541"/>
      <c r="BF122" s="541"/>
      <c r="BG122" s="541"/>
      <c r="BH122" s="541"/>
      <c r="BI122" s="541"/>
      <c r="BJ122" s="594">
        <f>BJ121*BJ120*BJ119</f>
        <v>0.58411344034866952</v>
      </c>
      <c r="BK122" s="545"/>
    </row>
    <row r="123" spans="1:63" ht="17.25" customHeight="1" x14ac:dyDescent="0.35"/>
    <row r="259" spans="8:8" x14ac:dyDescent="0.35">
      <c r="H259" s="505" t="s">
        <v>170</v>
      </c>
    </row>
    <row r="260" spans="8:8" x14ac:dyDescent="0.35">
      <c r="H260" s="505" t="s">
        <v>171</v>
      </c>
    </row>
    <row r="261" spans="8:8" x14ac:dyDescent="0.35">
      <c r="H261" s="505" t="s">
        <v>172</v>
      </c>
    </row>
    <row r="262" spans="8:8" x14ac:dyDescent="0.35">
      <c r="H262" s="505" t="s">
        <v>173</v>
      </c>
    </row>
    <row r="263" spans="8:8" x14ac:dyDescent="0.35">
      <c r="H263" s="505" t="s">
        <v>174</v>
      </c>
    </row>
    <row r="264" spans="8:8" x14ac:dyDescent="0.35">
      <c r="H264" s="505" t="s">
        <v>175</v>
      </c>
    </row>
    <row r="265" spans="8:8" x14ac:dyDescent="0.35">
      <c r="H265" s="505" t="s">
        <v>176</v>
      </c>
    </row>
    <row r="266" spans="8:8" x14ac:dyDescent="0.35">
      <c r="H266" s="505" t="s">
        <v>177</v>
      </c>
    </row>
    <row r="267" spans="8:8" x14ac:dyDescent="0.35">
      <c r="H267" s="505" t="s">
        <v>178</v>
      </c>
    </row>
    <row r="268" spans="8:8" x14ac:dyDescent="0.35">
      <c r="H268" s="505" t="s">
        <v>179</v>
      </c>
    </row>
    <row r="269" spans="8:8" x14ac:dyDescent="0.35">
      <c r="H269" s="505" t="s">
        <v>180</v>
      </c>
    </row>
    <row r="270" spans="8:8" x14ac:dyDescent="0.35">
      <c r="H270" s="505" t="s">
        <v>181</v>
      </c>
    </row>
    <row r="271" spans="8:8" x14ac:dyDescent="0.35">
      <c r="H271" s="505" t="s">
        <v>182</v>
      </c>
    </row>
    <row r="272" spans="8:8" x14ac:dyDescent="0.35">
      <c r="H272" s="505" t="s">
        <v>183</v>
      </c>
    </row>
    <row r="273" spans="8:8" x14ac:dyDescent="0.35">
      <c r="H273" s="505" t="s">
        <v>184</v>
      </c>
    </row>
    <row r="274" spans="8:8" x14ac:dyDescent="0.35">
      <c r="H274" s="505" t="s">
        <v>185</v>
      </c>
    </row>
    <row r="275" spans="8:8" x14ac:dyDescent="0.35">
      <c r="H275" s="505" t="s">
        <v>186</v>
      </c>
    </row>
    <row r="276" spans="8:8" x14ac:dyDescent="0.35">
      <c r="H276" s="505" t="s">
        <v>187</v>
      </c>
    </row>
    <row r="277" spans="8:8" x14ac:dyDescent="0.35">
      <c r="H277" s="505" t="s">
        <v>188</v>
      </c>
    </row>
    <row r="278" spans="8:8" x14ac:dyDescent="0.35">
      <c r="H278" s="505" t="s">
        <v>189</v>
      </c>
    </row>
    <row r="279" spans="8:8" x14ac:dyDescent="0.35">
      <c r="H279" s="505" t="s">
        <v>190</v>
      </c>
    </row>
    <row r="280" spans="8:8" x14ac:dyDescent="0.35">
      <c r="H280" s="505" t="s">
        <v>191</v>
      </c>
    </row>
    <row r="281" spans="8:8" x14ac:dyDescent="0.35">
      <c r="H281" s="505" t="s">
        <v>192</v>
      </c>
    </row>
    <row r="282" spans="8:8" x14ac:dyDescent="0.35">
      <c r="H282" s="505" t="s">
        <v>193</v>
      </c>
    </row>
    <row r="283" spans="8:8" x14ac:dyDescent="0.35">
      <c r="H283" s="505" t="s">
        <v>194</v>
      </c>
    </row>
    <row r="284" spans="8:8" x14ac:dyDescent="0.35">
      <c r="H284" s="505" t="s">
        <v>195</v>
      </c>
    </row>
    <row r="285" spans="8:8" x14ac:dyDescent="0.35">
      <c r="H285" s="505" t="s">
        <v>196</v>
      </c>
    </row>
    <row r="286" spans="8:8" x14ac:dyDescent="0.35">
      <c r="H286" s="505" t="s">
        <v>197</v>
      </c>
    </row>
    <row r="287" spans="8:8" x14ac:dyDescent="0.35">
      <c r="H287" s="505" t="s">
        <v>198</v>
      </c>
    </row>
    <row r="288" spans="8:8" x14ac:dyDescent="0.35">
      <c r="H288" s="505" t="s">
        <v>199</v>
      </c>
    </row>
    <row r="289" spans="8:8" x14ac:dyDescent="0.35">
      <c r="H289" s="505" t="s">
        <v>200</v>
      </c>
    </row>
    <row r="290" spans="8:8" x14ac:dyDescent="0.35">
      <c r="H290" s="505" t="s">
        <v>201</v>
      </c>
    </row>
    <row r="291" spans="8:8" x14ac:dyDescent="0.35">
      <c r="H291" s="505" t="s">
        <v>202</v>
      </c>
    </row>
    <row r="292" spans="8:8" x14ac:dyDescent="0.35">
      <c r="H292" s="505" t="s">
        <v>203</v>
      </c>
    </row>
    <row r="293" spans="8:8" x14ac:dyDescent="0.35">
      <c r="H293" s="505" t="s">
        <v>204</v>
      </c>
    </row>
    <row r="294" spans="8:8" x14ac:dyDescent="0.35">
      <c r="H294" s="505" t="s">
        <v>205</v>
      </c>
    </row>
    <row r="295" spans="8:8" x14ac:dyDescent="0.35">
      <c r="H295" s="505" t="s">
        <v>206</v>
      </c>
    </row>
    <row r="296" spans="8:8" x14ac:dyDescent="0.35">
      <c r="H296" s="505" t="s">
        <v>207</v>
      </c>
    </row>
    <row r="297" spans="8:8" x14ac:dyDescent="0.35">
      <c r="H297" s="505" t="s">
        <v>208</v>
      </c>
    </row>
    <row r="298" spans="8:8" x14ac:dyDescent="0.35">
      <c r="H298" s="505" t="s">
        <v>209</v>
      </c>
    </row>
    <row r="299" spans="8:8" x14ac:dyDescent="0.35">
      <c r="H299" s="505" t="s">
        <v>210</v>
      </c>
    </row>
    <row r="300" spans="8:8" x14ac:dyDescent="0.35">
      <c r="H300" s="505" t="s">
        <v>211</v>
      </c>
    </row>
    <row r="301" spans="8:8" x14ac:dyDescent="0.35">
      <c r="H301" s="505" t="s">
        <v>212</v>
      </c>
    </row>
    <row r="302" spans="8:8" x14ac:dyDescent="0.35">
      <c r="H302" s="505" t="s">
        <v>213</v>
      </c>
    </row>
    <row r="303" spans="8:8" x14ac:dyDescent="0.35">
      <c r="H303" s="505" t="s">
        <v>214</v>
      </c>
    </row>
    <row r="304" spans="8:8" x14ac:dyDescent="0.35">
      <c r="H304" s="505" t="s">
        <v>215</v>
      </c>
    </row>
    <row r="305" spans="8:8" x14ac:dyDescent="0.35">
      <c r="H305" s="505" t="s">
        <v>216</v>
      </c>
    </row>
    <row r="306" spans="8:8" x14ac:dyDescent="0.35">
      <c r="H306" s="505" t="s">
        <v>217</v>
      </c>
    </row>
    <row r="307" spans="8:8" x14ac:dyDescent="0.35">
      <c r="H307" s="505" t="s">
        <v>218</v>
      </c>
    </row>
    <row r="308" spans="8:8" x14ac:dyDescent="0.35">
      <c r="H308" s="505" t="s">
        <v>219</v>
      </c>
    </row>
    <row r="309" spans="8:8" x14ac:dyDescent="0.35">
      <c r="H309" s="505" t="s">
        <v>220</v>
      </c>
    </row>
    <row r="310" spans="8:8" x14ac:dyDescent="0.35">
      <c r="H310" s="505" t="s">
        <v>221</v>
      </c>
    </row>
    <row r="311" spans="8:8" x14ac:dyDescent="0.35">
      <c r="H311" s="505" t="s">
        <v>222</v>
      </c>
    </row>
    <row r="312" spans="8:8" x14ac:dyDescent="0.35">
      <c r="H312" s="505" t="s">
        <v>223</v>
      </c>
    </row>
    <row r="313" spans="8:8" x14ac:dyDescent="0.35">
      <c r="H313" s="505" t="s">
        <v>224</v>
      </c>
    </row>
    <row r="314" spans="8:8" x14ac:dyDescent="0.35">
      <c r="H314" s="505" t="s">
        <v>225</v>
      </c>
    </row>
  </sheetData>
  <autoFilter ref="A28:BK122" xr:uid="{00000000-0009-0000-0000-000018000000}"/>
  <mergeCells count="136">
    <mergeCell ref="BF2:BG2"/>
    <mergeCell ref="BH2:BI2"/>
    <mergeCell ref="C3:E3"/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  <mergeCell ref="Z2:AA2"/>
    <mergeCell ref="BB2:BC2"/>
    <mergeCell ref="BD2:BE2"/>
    <mergeCell ref="C2:E2"/>
    <mergeCell ref="F2:G2"/>
    <mergeCell ref="H2:I2"/>
    <mergeCell ref="J2:K2"/>
    <mergeCell ref="L2:M2"/>
    <mergeCell ref="N2:O2"/>
    <mergeCell ref="AF2:AG2"/>
    <mergeCell ref="AH2:AI2"/>
    <mergeCell ref="AJ2:AK2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107:E107"/>
    <mergeCell ref="D108:E108"/>
    <mergeCell ref="D109:E109"/>
    <mergeCell ref="D110:E110"/>
    <mergeCell ref="D111:E111"/>
    <mergeCell ref="D112:E112"/>
    <mergeCell ref="D101:E101"/>
    <mergeCell ref="D102:E102"/>
    <mergeCell ref="D103:E103"/>
    <mergeCell ref="D104:E104"/>
    <mergeCell ref="D105:E105"/>
    <mergeCell ref="D106:E106"/>
    <mergeCell ref="D119:E119"/>
    <mergeCell ref="D120:E120"/>
    <mergeCell ref="D121:E121"/>
    <mergeCell ref="D122:E122"/>
    <mergeCell ref="D113:E113"/>
    <mergeCell ref="D114:E114"/>
    <mergeCell ref="D115:E115"/>
    <mergeCell ref="D116:E116"/>
    <mergeCell ref="D117:E117"/>
    <mergeCell ref="D118:E118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E175-4AE5-4886-AAC7-3B5E4B2F07C9}">
  <sheetPr>
    <tabColor rgb="FF00B050"/>
  </sheetPr>
  <dimension ref="A1:BK324"/>
  <sheetViews>
    <sheetView zoomScale="70" zoomScaleNormal="70" workbookViewId="0">
      <pane xSplit="5" ySplit="26" topLeftCell="F115" activePane="bottomRight" state="frozen"/>
      <selection pane="topRight"/>
      <selection pane="bottomLeft"/>
      <selection pane="bottomRight" activeCell="G126" sqref="G126"/>
    </sheetView>
  </sheetViews>
  <sheetFormatPr defaultColWidth="9" defaultRowHeight="15" x14ac:dyDescent="0.25"/>
  <cols>
    <col min="1" max="3" width="15.7109375" customWidth="1"/>
    <col min="4" max="4" width="61.7109375" customWidth="1"/>
    <col min="5" max="5" width="7.85546875" style="63" customWidth="1"/>
    <col min="6" max="13" width="8.28515625" customWidth="1"/>
    <col min="14" max="17" width="7.42578125" customWidth="1"/>
    <col min="18" max="27" width="8.28515625" customWidth="1"/>
    <col min="28" max="29" width="7.42578125" customWidth="1"/>
    <col min="30" max="41" width="8.28515625" customWidth="1"/>
    <col min="42" max="43" width="7.42578125" customWidth="1"/>
    <col min="44" max="51" width="8.28515625" customWidth="1"/>
    <col min="52" max="52" width="11" bestFit="1" customWidth="1"/>
    <col min="53" max="57" width="8.28515625" customWidth="1"/>
    <col min="58" max="59" width="7.42578125" customWidth="1"/>
    <col min="60" max="61" width="8.28515625" customWidth="1"/>
    <col min="62" max="62" width="12.140625" customWidth="1"/>
    <col min="65" max="65" width="9.7109375" customWidth="1"/>
  </cols>
  <sheetData>
    <row r="1" spans="1:63" ht="15.75" thickBot="1" x14ac:dyDescent="0.3">
      <c r="F1" s="26">
        <f>SUM(F5:F26)</f>
        <v>912</v>
      </c>
      <c r="G1" s="26">
        <f t="shared" ref="G1:BJ1" si="0">SUM(G5:G26)</f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  <c r="AJ1" s="26">
        <f t="shared" si="0"/>
        <v>0</v>
      </c>
      <c r="AK1" s="26">
        <f t="shared" si="0"/>
        <v>0</v>
      </c>
      <c r="AL1" s="26">
        <f t="shared" si="0"/>
        <v>0</v>
      </c>
      <c r="AM1" s="26">
        <f t="shared" si="0"/>
        <v>0</v>
      </c>
      <c r="AN1" s="26">
        <f t="shared" si="0"/>
        <v>0</v>
      </c>
      <c r="AO1" s="26">
        <f t="shared" si="0"/>
        <v>0</v>
      </c>
      <c r="AP1" s="26">
        <f t="shared" si="0"/>
        <v>0</v>
      </c>
      <c r="AQ1" s="26">
        <f t="shared" si="0"/>
        <v>0</v>
      </c>
      <c r="AR1" s="26">
        <f t="shared" si="0"/>
        <v>0</v>
      </c>
      <c r="AS1" s="26">
        <f t="shared" si="0"/>
        <v>0</v>
      </c>
      <c r="AT1" s="26">
        <f t="shared" si="0"/>
        <v>0</v>
      </c>
      <c r="AU1" s="26">
        <f t="shared" si="0"/>
        <v>0</v>
      </c>
      <c r="AV1" s="26">
        <f t="shared" si="0"/>
        <v>0</v>
      </c>
      <c r="AW1" s="26">
        <f t="shared" si="0"/>
        <v>0</v>
      </c>
      <c r="AX1" s="26">
        <f t="shared" si="0"/>
        <v>0</v>
      </c>
      <c r="AY1" s="26">
        <f t="shared" si="0"/>
        <v>0</v>
      </c>
      <c r="AZ1" s="26">
        <f t="shared" si="0"/>
        <v>0</v>
      </c>
      <c r="BA1" s="26">
        <f t="shared" si="0"/>
        <v>0</v>
      </c>
      <c r="BB1" s="26">
        <f t="shared" si="0"/>
        <v>0</v>
      </c>
      <c r="BC1" s="26">
        <f t="shared" si="0"/>
        <v>0</v>
      </c>
      <c r="BD1" s="26">
        <f t="shared" si="0"/>
        <v>0</v>
      </c>
      <c r="BE1" s="26">
        <f t="shared" si="0"/>
        <v>0</v>
      </c>
      <c r="BF1" s="26">
        <f t="shared" si="0"/>
        <v>0</v>
      </c>
      <c r="BG1" s="26">
        <f t="shared" si="0"/>
        <v>0</v>
      </c>
      <c r="BH1" s="26">
        <f t="shared" si="0"/>
        <v>0</v>
      </c>
      <c r="BI1" s="26">
        <f t="shared" si="0"/>
        <v>0</v>
      </c>
      <c r="BJ1" s="26">
        <f t="shared" si="0"/>
        <v>912</v>
      </c>
    </row>
    <row r="2" spans="1:63" ht="24" customHeight="1" x14ac:dyDescent="0.25">
      <c r="A2" s="64"/>
      <c r="B2" s="64"/>
      <c r="C2" s="699" t="s">
        <v>0</v>
      </c>
      <c r="D2" s="700"/>
      <c r="E2" s="700"/>
      <c r="F2" s="788">
        <v>46082</v>
      </c>
      <c r="G2" s="789"/>
      <c r="H2" s="788">
        <v>46083</v>
      </c>
      <c r="I2" s="789"/>
      <c r="J2" s="788">
        <v>46084</v>
      </c>
      <c r="K2" s="789"/>
      <c r="L2" s="788">
        <v>46085</v>
      </c>
      <c r="M2" s="789"/>
      <c r="N2" s="788">
        <v>46086</v>
      </c>
      <c r="O2" s="789"/>
      <c r="P2" s="788">
        <v>46087</v>
      </c>
      <c r="Q2" s="789"/>
      <c r="R2" s="788">
        <v>46088</v>
      </c>
      <c r="S2" s="789"/>
      <c r="T2" s="788">
        <v>46089</v>
      </c>
      <c r="U2" s="789"/>
      <c r="V2" s="788">
        <v>46090</v>
      </c>
      <c r="W2" s="789"/>
      <c r="X2" s="788">
        <v>46091</v>
      </c>
      <c r="Y2" s="789"/>
      <c r="Z2" s="788">
        <v>46092</v>
      </c>
      <c r="AA2" s="789"/>
      <c r="AB2" s="788">
        <v>46093</v>
      </c>
      <c r="AC2" s="789"/>
      <c r="AD2" s="788">
        <v>46094</v>
      </c>
      <c r="AE2" s="789"/>
      <c r="AF2" s="788">
        <v>46095</v>
      </c>
      <c r="AG2" s="789"/>
      <c r="AH2" s="788">
        <v>46096</v>
      </c>
      <c r="AI2" s="789"/>
      <c r="AJ2" s="788">
        <v>46097</v>
      </c>
      <c r="AK2" s="789"/>
      <c r="AL2" s="788">
        <v>46098</v>
      </c>
      <c r="AM2" s="789"/>
      <c r="AN2" s="788">
        <v>46099</v>
      </c>
      <c r="AO2" s="789"/>
      <c r="AP2" s="788">
        <v>46100</v>
      </c>
      <c r="AQ2" s="789"/>
      <c r="AR2" s="788">
        <v>46101</v>
      </c>
      <c r="AS2" s="789"/>
      <c r="AT2" s="788">
        <v>46102</v>
      </c>
      <c r="AU2" s="789"/>
      <c r="AV2" s="788">
        <v>46103</v>
      </c>
      <c r="AW2" s="789"/>
      <c r="AX2" s="788">
        <v>46104</v>
      </c>
      <c r="AY2" s="789"/>
      <c r="AZ2" s="788">
        <v>46105</v>
      </c>
      <c r="BA2" s="789"/>
      <c r="BB2" s="788">
        <v>46106</v>
      </c>
      <c r="BC2" s="789"/>
      <c r="BD2" s="788">
        <v>46107</v>
      </c>
      <c r="BE2" s="789"/>
      <c r="BF2" s="788">
        <v>46108</v>
      </c>
      <c r="BG2" s="789"/>
      <c r="BH2" s="788">
        <v>46109</v>
      </c>
      <c r="BI2" s="789"/>
      <c r="BJ2" s="27"/>
    </row>
    <row r="3" spans="1:63" ht="24" customHeight="1" x14ac:dyDescent="0.25">
      <c r="A3" s="64"/>
      <c r="B3" s="64"/>
      <c r="C3" s="699" t="s">
        <v>1</v>
      </c>
      <c r="D3" s="700"/>
      <c r="E3" s="700"/>
      <c r="F3" s="65" t="s">
        <v>2</v>
      </c>
      <c r="G3" s="66" t="s">
        <v>3</v>
      </c>
      <c r="H3" s="65" t="s">
        <v>2</v>
      </c>
      <c r="I3" s="66" t="s">
        <v>3</v>
      </c>
      <c r="J3" s="65" t="s">
        <v>2</v>
      </c>
      <c r="K3" s="66" t="s">
        <v>3</v>
      </c>
      <c r="L3" s="65" t="s">
        <v>2</v>
      </c>
      <c r="M3" s="66" t="s">
        <v>3</v>
      </c>
      <c r="N3" s="65" t="s">
        <v>2</v>
      </c>
      <c r="O3" s="66" t="s">
        <v>3</v>
      </c>
      <c r="P3" s="65" t="s">
        <v>2</v>
      </c>
      <c r="Q3" s="82" t="s">
        <v>3</v>
      </c>
      <c r="R3" s="65" t="s">
        <v>2</v>
      </c>
      <c r="S3" s="82" t="s">
        <v>3</v>
      </c>
      <c r="T3" s="65" t="s">
        <v>2</v>
      </c>
      <c r="U3" s="66" t="s">
        <v>3</v>
      </c>
      <c r="V3" s="65" t="s">
        <v>2</v>
      </c>
      <c r="W3" s="66" t="s">
        <v>3</v>
      </c>
      <c r="X3" s="65" t="s">
        <v>2</v>
      </c>
      <c r="Y3" s="66" t="s">
        <v>3</v>
      </c>
      <c r="Z3" s="65" t="s">
        <v>2</v>
      </c>
      <c r="AA3" s="66" t="s">
        <v>3</v>
      </c>
      <c r="AB3" s="65" t="s">
        <v>2</v>
      </c>
      <c r="AC3" s="66" t="s">
        <v>3</v>
      </c>
      <c r="AD3" s="65" t="s">
        <v>2</v>
      </c>
      <c r="AE3" s="82" t="s">
        <v>3</v>
      </c>
      <c r="AF3" s="65" t="s">
        <v>2</v>
      </c>
      <c r="AG3" s="66" t="s">
        <v>3</v>
      </c>
      <c r="AH3" s="65" t="s">
        <v>2</v>
      </c>
      <c r="AI3" s="66" t="s">
        <v>3</v>
      </c>
      <c r="AJ3" s="65" t="s">
        <v>2</v>
      </c>
      <c r="AK3" s="66" t="s">
        <v>3</v>
      </c>
      <c r="AL3" s="65" t="s">
        <v>2</v>
      </c>
      <c r="AM3" s="66" t="s">
        <v>3</v>
      </c>
      <c r="AN3" s="65" t="s">
        <v>2</v>
      </c>
      <c r="AO3" s="66" t="s">
        <v>3</v>
      </c>
      <c r="AP3" s="65" t="s">
        <v>2</v>
      </c>
      <c r="AQ3" s="66" t="s">
        <v>3</v>
      </c>
      <c r="AR3" s="65" t="s">
        <v>2</v>
      </c>
      <c r="AS3" s="82" t="s">
        <v>3</v>
      </c>
      <c r="AT3" s="65" t="s">
        <v>2</v>
      </c>
      <c r="AU3" s="66" t="s">
        <v>3</v>
      </c>
      <c r="AV3" s="65" t="s">
        <v>2</v>
      </c>
      <c r="AW3" s="66" t="s">
        <v>3</v>
      </c>
      <c r="AX3" s="65" t="s">
        <v>2</v>
      </c>
      <c r="AY3" s="66" t="s">
        <v>3</v>
      </c>
      <c r="AZ3" s="65" t="s">
        <v>2</v>
      </c>
      <c r="BA3" s="66" t="s">
        <v>3</v>
      </c>
      <c r="BB3" s="65" t="s">
        <v>2</v>
      </c>
      <c r="BC3" s="66" t="s">
        <v>3</v>
      </c>
      <c r="BD3" s="65" t="s">
        <v>2</v>
      </c>
      <c r="BE3" s="66" t="s">
        <v>3</v>
      </c>
      <c r="BF3" s="65" t="s">
        <v>2</v>
      </c>
      <c r="BG3" s="66" t="s">
        <v>3</v>
      </c>
      <c r="BH3" s="65" t="s">
        <v>2</v>
      </c>
      <c r="BI3" s="66" t="s">
        <v>3</v>
      </c>
      <c r="BJ3" s="27"/>
    </row>
    <row r="4" spans="1:63" ht="15.75" x14ac:dyDescent="0.25">
      <c r="A4" s="5"/>
      <c r="B4" s="5"/>
      <c r="C4" s="5" t="s">
        <v>4</v>
      </c>
      <c r="D4" s="6" t="s">
        <v>5</v>
      </c>
      <c r="E4" s="67" t="s">
        <v>6</v>
      </c>
      <c r="F4" s="405" t="s">
        <v>12</v>
      </c>
      <c r="G4" s="406"/>
      <c r="H4" s="405" t="s">
        <v>13</v>
      </c>
      <c r="I4" s="406"/>
      <c r="J4" s="405" t="s">
        <v>7</v>
      </c>
      <c r="K4" s="406"/>
      <c r="L4" s="405" t="s">
        <v>8</v>
      </c>
      <c r="M4" s="406"/>
      <c r="N4" s="405" t="s">
        <v>9</v>
      </c>
      <c r="O4" s="406"/>
      <c r="P4" s="405" t="s">
        <v>10</v>
      </c>
      <c r="Q4" s="406"/>
      <c r="R4" s="405" t="s">
        <v>11</v>
      </c>
      <c r="S4" s="406"/>
      <c r="T4" s="405" t="s">
        <v>12</v>
      </c>
      <c r="U4" s="406"/>
      <c r="V4" s="405" t="s">
        <v>13</v>
      </c>
      <c r="W4" s="406"/>
      <c r="X4" s="405" t="s">
        <v>7</v>
      </c>
      <c r="Y4" s="383"/>
      <c r="Z4" s="382" t="s">
        <v>8</v>
      </c>
      <c r="AA4" s="383"/>
      <c r="AB4" s="382" t="s">
        <v>9</v>
      </c>
      <c r="AC4" s="383"/>
      <c r="AD4" s="405" t="s">
        <v>10</v>
      </c>
      <c r="AE4" s="406"/>
      <c r="AF4" s="382" t="s">
        <v>11</v>
      </c>
      <c r="AG4" s="383"/>
      <c r="AH4" s="382" t="s">
        <v>12</v>
      </c>
      <c r="AI4" s="383"/>
      <c r="AJ4" s="382" t="s">
        <v>13</v>
      </c>
      <c r="AK4" s="383"/>
      <c r="AL4" s="382" t="s">
        <v>7</v>
      </c>
      <c r="AM4" s="383"/>
      <c r="AN4" s="382" t="s">
        <v>8</v>
      </c>
      <c r="AO4" s="383"/>
      <c r="AP4" s="382" t="s">
        <v>9</v>
      </c>
      <c r="AQ4" s="383"/>
      <c r="AR4" s="405" t="s">
        <v>10</v>
      </c>
      <c r="AS4" s="406"/>
      <c r="AT4" s="382" t="s">
        <v>11</v>
      </c>
      <c r="AU4" s="383"/>
      <c r="AV4" s="382" t="s">
        <v>12</v>
      </c>
      <c r="AW4" s="383"/>
      <c r="AX4" s="693" t="s">
        <v>13</v>
      </c>
      <c r="AY4" s="694"/>
      <c r="AZ4" s="693" t="s">
        <v>7</v>
      </c>
      <c r="BA4" s="694"/>
      <c r="BB4" s="693" t="s">
        <v>8</v>
      </c>
      <c r="BC4" s="694"/>
      <c r="BD4" s="693" t="s">
        <v>9</v>
      </c>
      <c r="BE4" s="694"/>
      <c r="BF4" s="382" t="s">
        <v>10</v>
      </c>
      <c r="BG4" s="383"/>
      <c r="BH4" s="693" t="s">
        <v>1037</v>
      </c>
      <c r="BI4" s="694"/>
    </row>
    <row r="5" spans="1:63" ht="15.75" x14ac:dyDescent="0.25">
      <c r="A5" s="9"/>
      <c r="B5" s="9"/>
      <c r="C5" s="9">
        <f>VLOOKUP(D5,Products!B:D,2,FALSE)</f>
        <v>41816002</v>
      </c>
      <c r="D5" s="10" t="s">
        <v>733</v>
      </c>
      <c r="E5" s="68">
        <v>10</v>
      </c>
      <c r="F5" s="69">
        <v>912</v>
      </c>
      <c r="G5" s="70"/>
      <c r="H5" s="69"/>
      <c r="I5" s="70"/>
      <c r="J5" s="69"/>
      <c r="K5" s="70"/>
      <c r="L5" s="69"/>
      <c r="M5" s="70"/>
      <c r="N5" s="71"/>
      <c r="O5" s="83"/>
      <c r="P5" s="71"/>
      <c r="Q5" s="83"/>
      <c r="R5" s="69"/>
      <c r="S5" s="70"/>
      <c r="T5" s="69"/>
      <c r="U5" s="70"/>
      <c r="V5" s="69"/>
      <c r="W5" s="70"/>
      <c r="X5" s="69"/>
      <c r="Y5" s="70"/>
      <c r="Z5" s="69"/>
      <c r="AA5" s="70"/>
      <c r="AB5" s="71"/>
      <c r="AC5" s="83"/>
      <c r="AD5" s="69"/>
      <c r="AE5" s="70"/>
      <c r="AF5" s="69"/>
      <c r="AG5" s="70"/>
      <c r="AH5" s="69"/>
      <c r="AI5" s="70"/>
      <c r="AJ5" s="69"/>
      <c r="AK5" s="70"/>
      <c r="AL5" s="69"/>
      <c r="AM5" s="70"/>
      <c r="AN5" s="69"/>
      <c r="AO5" s="70"/>
      <c r="AP5" s="71"/>
      <c r="AQ5" s="83"/>
      <c r="AR5" s="69"/>
      <c r="AS5" s="70"/>
      <c r="AT5" s="69"/>
      <c r="AU5" s="70"/>
      <c r="AV5" s="69"/>
      <c r="AW5" s="70"/>
      <c r="AX5" s="69"/>
      <c r="AY5" s="70"/>
      <c r="AZ5" s="69"/>
      <c r="BA5" s="70"/>
      <c r="BB5" s="69"/>
      <c r="BC5" s="70"/>
      <c r="BD5" s="69"/>
      <c r="BE5" s="70"/>
      <c r="BF5" s="71"/>
      <c r="BG5" s="83"/>
      <c r="BH5" s="69"/>
      <c r="BI5" s="70"/>
      <c r="BJ5" s="28">
        <f t="shared" ref="BJ5:BJ36" si="1">SUM(F5:BI5)</f>
        <v>912</v>
      </c>
      <c r="BK5" s="29">
        <f t="shared" ref="BK5:BK36" si="2">COUNT(F5:BI5)</f>
        <v>1</v>
      </c>
    </row>
    <row r="6" spans="1:63" ht="18.75" x14ac:dyDescent="0.25">
      <c r="A6" s="9"/>
      <c r="B6" s="9"/>
      <c r="C6" s="9" t="e">
        <f>VLOOKUP(D6,Products!B:D,2,FALSE)</f>
        <v>#N/A</v>
      </c>
      <c r="D6" s="379"/>
      <c r="E6" s="68">
        <v>1</v>
      </c>
      <c r="F6" s="72"/>
      <c r="G6" s="73"/>
      <c r="H6" s="72"/>
      <c r="I6" s="73"/>
      <c r="J6" s="72"/>
      <c r="K6" s="73"/>
      <c r="L6" s="72"/>
      <c r="M6" s="73"/>
      <c r="N6" s="71"/>
      <c r="O6" s="83"/>
      <c r="P6" s="71"/>
      <c r="Q6" s="83"/>
      <c r="R6" s="72"/>
      <c r="S6" s="73"/>
      <c r="T6" s="72"/>
      <c r="U6" s="73"/>
      <c r="V6" s="72"/>
      <c r="W6" s="73"/>
      <c r="X6" s="72"/>
      <c r="Y6" s="73"/>
      <c r="Z6" s="72"/>
      <c r="AA6" s="73"/>
      <c r="AB6" s="71"/>
      <c r="AC6" s="83"/>
      <c r="AD6" s="72"/>
      <c r="AE6" s="73"/>
      <c r="AF6" s="72"/>
      <c r="AG6" s="73"/>
      <c r="AH6" s="72"/>
      <c r="AI6" s="73"/>
      <c r="AJ6" s="72"/>
      <c r="AK6" s="73"/>
      <c r="AL6" s="72"/>
      <c r="AM6" s="73"/>
      <c r="AN6" s="72"/>
      <c r="AO6" s="73"/>
      <c r="AP6" s="71"/>
      <c r="AQ6" s="83"/>
      <c r="AR6" s="72"/>
      <c r="AS6" s="73"/>
      <c r="AT6" s="72"/>
      <c r="AU6" s="73"/>
      <c r="AV6" s="72"/>
      <c r="AW6" s="73"/>
      <c r="AX6" s="72"/>
      <c r="AY6" s="73"/>
      <c r="AZ6" s="72"/>
      <c r="BA6" s="73"/>
      <c r="BB6" s="72"/>
      <c r="BC6" s="73"/>
      <c r="BD6" s="72"/>
      <c r="BE6" s="73"/>
      <c r="BF6" s="71"/>
      <c r="BG6" s="83"/>
      <c r="BH6" s="72"/>
      <c r="BI6" s="73"/>
      <c r="BJ6" s="28">
        <f t="shared" si="1"/>
        <v>0</v>
      </c>
      <c r="BK6" s="29">
        <f t="shared" si="2"/>
        <v>0</v>
      </c>
    </row>
    <row r="7" spans="1:63" ht="15.75" x14ac:dyDescent="0.25">
      <c r="A7" s="9"/>
      <c r="B7" s="9"/>
      <c r="C7" s="9" t="e">
        <f>VLOOKUP(D7,Products!B:D,2,FALSE)</f>
        <v>#N/A</v>
      </c>
      <c r="D7" s="10"/>
      <c r="E7" s="68">
        <v>1</v>
      </c>
      <c r="F7" s="72"/>
      <c r="G7" s="73"/>
      <c r="H7" s="72"/>
      <c r="I7" s="73"/>
      <c r="J7" s="72"/>
      <c r="K7" s="73"/>
      <c r="L7" s="72"/>
      <c r="M7" s="73"/>
      <c r="N7" s="71"/>
      <c r="O7" s="83"/>
      <c r="P7" s="71"/>
      <c r="Q7" s="83"/>
      <c r="R7" s="72"/>
      <c r="S7" s="73"/>
      <c r="T7" s="72"/>
      <c r="U7" s="73"/>
      <c r="V7" s="72"/>
      <c r="W7" s="73"/>
      <c r="X7" s="72"/>
      <c r="Y7" s="73"/>
      <c r="Z7" s="72"/>
      <c r="AA7" s="73"/>
      <c r="AB7" s="71"/>
      <c r="AC7" s="83"/>
      <c r="AD7" s="72"/>
      <c r="AE7" s="73"/>
      <c r="AF7" s="72"/>
      <c r="AG7" s="73"/>
      <c r="AH7" s="72"/>
      <c r="AI7" s="73"/>
      <c r="AJ7" s="72"/>
      <c r="AK7" s="73"/>
      <c r="AL7" s="72"/>
      <c r="AM7" s="73"/>
      <c r="AN7" s="72"/>
      <c r="AO7" s="73"/>
      <c r="AP7" s="71"/>
      <c r="AQ7" s="83"/>
      <c r="AR7" s="72"/>
      <c r="AS7" s="73"/>
      <c r="AT7" s="72"/>
      <c r="AU7" s="73"/>
      <c r="AV7" s="72"/>
      <c r="AW7" s="73"/>
      <c r="AX7" s="72"/>
      <c r="AY7" s="73"/>
      <c r="AZ7" s="72"/>
      <c r="BA7" s="73"/>
      <c r="BB7" s="72"/>
      <c r="BC7" s="73"/>
      <c r="BD7" s="72"/>
      <c r="BE7" s="73"/>
      <c r="BF7" s="71"/>
      <c r="BG7" s="83"/>
      <c r="BH7" s="72"/>
      <c r="BI7" s="73"/>
      <c r="BJ7" s="28">
        <f t="shared" si="1"/>
        <v>0</v>
      </c>
      <c r="BK7" s="29">
        <f t="shared" si="2"/>
        <v>0</v>
      </c>
    </row>
    <row r="8" spans="1:63" ht="15.75" x14ac:dyDescent="0.25">
      <c r="A8" s="9"/>
      <c r="B8" s="9"/>
      <c r="C8" s="9" t="e">
        <f>VLOOKUP(D8,Products!B:D,2,FALSE)</f>
        <v>#N/A</v>
      </c>
      <c r="D8" s="381"/>
      <c r="E8" s="68">
        <v>1</v>
      </c>
      <c r="F8" s="72"/>
      <c r="G8" s="73"/>
      <c r="H8" s="72"/>
      <c r="I8" s="73"/>
      <c r="J8" s="72"/>
      <c r="K8" s="73"/>
      <c r="L8" s="72"/>
      <c r="M8" s="73"/>
      <c r="N8" s="71"/>
      <c r="O8" s="83"/>
      <c r="P8" s="71"/>
      <c r="Q8" s="83"/>
      <c r="R8" s="72"/>
      <c r="S8" s="73"/>
      <c r="T8" s="72"/>
      <c r="U8" s="73"/>
      <c r="V8" s="72"/>
      <c r="W8" s="73"/>
      <c r="X8" s="72"/>
      <c r="Y8" s="73"/>
      <c r="Z8" s="72"/>
      <c r="AA8" s="73"/>
      <c r="AB8" s="71"/>
      <c r="AC8" s="83"/>
      <c r="AD8" s="72"/>
      <c r="AE8" s="73"/>
      <c r="AF8" s="72"/>
      <c r="AG8" s="73"/>
      <c r="AH8" s="72"/>
      <c r="AI8" s="73"/>
      <c r="AJ8" s="72"/>
      <c r="AK8" s="73"/>
      <c r="AL8" s="72"/>
      <c r="AM8" s="73"/>
      <c r="AN8" s="72"/>
      <c r="AO8" s="73"/>
      <c r="AP8" s="71"/>
      <c r="AQ8" s="83"/>
      <c r="AR8" s="72"/>
      <c r="AS8" s="73"/>
      <c r="AT8" s="72"/>
      <c r="AU8" s="73"/>
      <c r="AV8" s="72"/>
      <c r="AW8" s="73"/>
      <c r="AX8" s="72"/>
      <c r="AY8" s="73"/>
      <c r="AZ8" s="72"/>
      <c r="BA8" s="73"/>
      <c r="BB8" s="72"/>
      <c r="BC8" s="73"/>
      <c r="BD8" s="72"/>
      <c r="BE8" s="73"/>
      <c r="BF8" s="71"/>
      <c r="BG8" s="83"/>
      <c r="BH8" s="72"/>
      <c r="BI8" s="73"/>
      <c r="BJ8" s="28">
        <f t="shared" si="1"/>
        <v>0</v>
      </c>
      <c r="BK8" s="29">
        <f t="shared" si="2"/>
        <v>0</v>
      </c>
    </row>
    <row r="9" spans="1:63" ht="15.75" x14ac:dyDescent="0.25">
      <c r="A9" s="9"/>
      <c r="B9" s="9"/>
      <c r="C9" s="9" t="e">
        <f>VLOOKUP(D9,Products!B:D,2,FALSE)</f>
        <v>#N/A</v>
      </c>
      <c r="D9" s="10"/>
      <c r="E9" s="68">
        <v>1</v>
      </c>
      <c r="F9" s="72"/>
      <c r="G9" s="73"/>
      <c r="H9" s="72"/>
      <c r="I9" s="73"/>
      <c r="J9" s="72"/>
      <c r="K9" s="73"/>
      <c r="L9" s="72"/>
      <c r="M9" s="73"/>
      <c r="N9" s="71"/>
      <c r="O9" s="83"/>
      <c r="P9" s="71"/>
      <c r="Q9" s="83"/>
      <c r="R9" s="72"/>
      <c r="S9" s="73"/>
      <c r="T9" s="72"/>
      <c r="U9" s="73"/>
      <c r="V9" s="72"/>
      <c r="W9" s="73"/>
      <c r="X9" s="72"/>
      <c r="Y9" s="73"/>
      <c r="Z9" s="72"/>
      <c r="AA9" s="73"/>
      <c r="AB9" s="71"/>
      <c r="AC9" s="83"/>
      <c r="AD9" s="72"/>
      <c r="AE9" s="73"/>
      <c r="AF9" s="72"/>
      <c r="AG9" s="73"/>
      <c r="AH9" s="72"/>
      <c r="AI9" s="73"/>
      <c r="AJ9" s="72"/>
      <c r="AK9" s="73"/>
      <c r="AL9" s="72"/>
      <c r="AM9" s="73"/>
      <c r="AN9" s="72"/>
      <c r="AO9" s="73"/>
      <c r="AP9" s="71"/>
      <c r="AQ9" s="83"/>
      <c r="AR9" s="72"/>
      <c r="AS9" s="73"/>
      <c r="AT9" s="72"/>
      <c r="AU9" s="73"/>
      <c r="AV9" s="72"/>
      <c r="AW9" s="73"/>
      <c r="AX9" s="72"/>
      <c r="AY9" s="73"/>
      <c r="AZ9" s="72"/>
      <c r="BA9" s="73"/>
      <c r="BB9" s="72"/>
      <c r="BC9" s="73"/>
      <c r="BD9" s="72"/>
      <c r="BE9" s="73"/>
      <c r="BF9" s="71"/>
      <c r="BG9" s="83"/>
      <c r="BH9" s="72"/>
      <c r="BI9" s="73"/>
      <c r="BJ9" s="28">
        <f t="shared" si="1"/>
        <v>0</v>
      </c>
      <c r="BK9" s="29">
        <f t="shared" si="2"/>
        <v>0</v>
      </c>
    </row>
    <row r="10" spans="1:63" ht="15.75" customHeight="1" x14ac:dyDescent="0.25">
      <c r="A10" s="9"/>
      <c r="B10" s="9"/>
      <c r="C10" s="9" t="e">
        <f>VLOOKUP(D10,Products!B:D,2,FALSE)</f>
        <v>#N/A</v>
      </c>
      <c r="D10" s="10"/>
      <c r="E10" s="68">
        <v>1</v>
      </c>
      <c r="F10" s="72"/>
      <c r="G10" s="73"/>
      <c r="H10" s="72"/>
      <c r="I10" s="73"/>
      <c r="J10" s="72"/>
      <c r="K10" s="73"/>
      <c r="L10" s="72"/>
      <c r="M10" s="73"/>
      <c r="N10" s="71"/>
      <c r="O10" s="83"/>
      <c r="P10" s="71"/>
      <c r="Q10" s="83"/>
      <c r="R10" s="72"/>
      <c r="S10" s="73"/>
      <c r="T10" s="72"/>
      <c r="U10" s="73"/>
      <c r="V10" s="72"/>
      <c r="W10" s="73"/>
      <c r="X10" s="72"/>
      <c r="Y10" s="73"/>
      <c r="Z10" s="72"/>
      <c r="AA10" s="73"/>
      <c r="AB10" s="71"/>
      <c r="AC10" s="83"/>
      <c r="AD10" s="72"/>
      <c r="AE10" s="73"/>
      <c r="AF10" s="72"/>
      <c r="AG10" s="73"/>
      <c r="AH10" s="72"/>
      <c r="AI10" s="73"/>
      <c r="AJ10" s="72"/>
      <c r="AK10" s="73"/>
      <c r="AL10" s="72"/>
      <c r="AM10" s="73"/>
      <c r="AN10" s="72"/>
      <c r="AO10" s="73"/>
      <c r="AP10" s="71"/>
      <c r="AQ10" s="83"/>
      <c r="AR10" s="72"/>
      <c r="AS10" s="73"/>
      <c r="AT10" s="72"/>
      <c r="AU10" s="73"/>
      <c r="AV10" s="72"/>
      <c r="AW10" s="73"/>
      <c r="AX10" s="72"/>
      <c r="AY10" s="73"/>
      <c r="AZ10" s="72"/>
      <c r="BA10" s="73"/>
      <c r="BB10" s="72"/>
      <c r="BC10" s="73"/>
      <c r="BD10" s="72"/>
      <c r="BE10" s="73"/>
      <c r="BF10" s="71"/>
      <c r="BG10" s="83"/>
      <c r="BH10" s="72"/>
      <c r="BI10" s="73"/>
      <c r="BJ10" s="28">
        <f t="shared" si="1"/>
        <v>0</v>
      </c>
      <c r="BK10" s="29">
        <f t="shared" si="2"/>
        <v>0</v>
      </c>
    </row>
    <row r="11" spans="1:63" ht="15.75" customHeight="1" x14ac:dyDescent="0.25">
      <c r="A11" s="9"/>
      <c r="B11" s="9"/>
      <c r="C11" s="9" t="e">
        <f>VLOOKUP(D11,Products!B:D,2,FALSE)</f>
        <v>#N/A</v>
      </c>
      <c r="D11" s="10"/>
      <c r="E11" s="68">
        <v>1</v>
      </c>
      <c r="F11" s="72"/>
      <c r="G11" s="73"/>
      <c r="H11" s="72"/>
      <c r="I11" s="73"/>
      <c r="J11" s="72"/>
      <c r="K11" s="73"/>
      <c r="L11" s="72"/>
      <c r="M11" s="73"/>
      <c r="N11" s="71"/>
      <c r="O11" s="83"/>
      <c r="P11" s="71"/>
      <c r="Q11" s="83"/>
      <c r="R11" s="72"/>
      <c r="S11" s="73"/>
      <c r="T11" s="72"/>
      <c r="U11" s="73"/>
      <c r="V11" s="72"/>
      <c r="W11" s="73"/>
      <c r="X11" s="72"/>
      <c r="Y11" s="73"/>
      <c r="Z11" s="72"/>
      <c r="AA11" s="73"/>
      <c r="AB11" s="71"/>
      <c r="AC11" s="83"/>
      <c r="AD11" s="72"/>
      <c r="AE11" s="73"/>
      <c r="AF11" s="72"/>
      <c r="AG11" s="73"/>
      <c r="AH11" s="72"/>
      <c r="AI11" s="73"/>
      <c r="AJ11" s="72"/>
      <c r="AK11" s="73"/>
      <c r="AL11" s="72"/>
      <c r="AM11" s="73"/>
      <c r="AN11" s="72"/>
      <c r="AO11" s="73"/>
      <c r="AP11" s="71"/>
      <c r="AQ11" s="83"/>
      <c r="AR11" s="72"/>
      <c r="AS11" s="73"/>
      <c r="AT11" s="72"/>
      <c r="AU11" s="73"/>
      <c r="AV11" s="72"/>
      <c r="AW11" s="73"/>
      <c r="AX11" s="72"/>
      <c r="AY11" s="73"/>
      <c r="AZ11" s="72"/>
      <c r="BA11" s="73"/>
      <c r="BB11" s="72"/>
      <c r="BC11" s="73"/>
      <c r="BD11" s="72"/>
      <c r="BE11" s="73"/>
      <c r="BF11" s="71"/>
      <c r="BG11" s="83"/>
      <c r="BH11" s="72"/>
      <c r="BI11" s="73"/>
      <c r="BJ11" s="28">
        <f t="shared" si="1"/>
        <v>0</v>
      </c>
      <c r="BK11" s="29">
        <f t="shared" si="2"/>
        <v>0</v>
      </c>
    </row>
    <row r="12" spans="1:63" ht="15.75" customHeight="1" x14ac:dyDescent="0.25">
      <c r="A12" s="9"/>
      <c r="B12" s="9"/>
      <c r="C12" s="9" t="e">
        <f>VLOOKUP(D12,Products!B:D,2,FALSE)</f>
        <v>#N/A</v>
      </c>
      <c r="D12" s="10"/>
      <c r="E12" s="68">
        <v>1</v>
      </c>
      <c r="F12" s="72"/>
      <c r="G12" s="73"/>
      <c r="H12" s="72"/>
      <c r="I12" s="73"/>
      <c r="J12" s="72"/>
      <c r="K12" s="73"/>
      <c r="L12" s="72"/>
      <c r="M12" s="73"/>
      <c r="N12" s="71"/>
      <c r="O12" s="83"/>
      <c r="P12" s="71"/>
      <c r="Q12" s="83"/>
      <c r="R12" s="72"/>
      <c r="S12" s="73"/>
      <c r="T12" s="72"/>
      <c r="U12" s="73"/>
      <c r="V12" s="72"/>
      <c r="W12" s="73"/>
      <c r="X12" s="72"/>
      <c r="Y12" s="73"/>
      <c r="Z12" s="72"/>
      <c r="AA12" s="73"/>
      <c r="AB12" s="71"/>
      <c r="AC12" s="83"/>
      <c r="AD12" s="72"/>
      <c r="AE12" s="73"/>
      <c r="AF12" s="72"/>
      <c r="AG12" s="73"/>
      <c r="AH12" s="72"/>
      <c r="AI12" s="73"/>
      <c r="AJ12" s="72"/>
      <c r="AK12" s="73"/>
      <c r="AL12" s="72"/>
      <c r="AM12" s="73"/>
      <c r="AN12" s="72"/>
      <c r="AO12" s="73"/>
      <c r="AP12" s="71"/>
      <c r="AQ12" s="83"/>
      <c r="AR12" s="72"/>
      <c r="AS12" s="73"/>
      <c r="AT12" s="72"/>
      <c r="AU12" s="73"/>
      <c r="AV12" s="72"/>
      <c r="AW12" s="73"/>
      <c r="AX12" s="72"/>
      <c r="AY12" s="73"/>
      <c r="AZ12" s="72"/>
      <c r="BA12" s="73"/>
      <c r="BB12" s="72"/>
      <c r="BC12" s="73"/>
      <c r="BD12" s="72"/>
      <c r="BE12" s="73"/>
      <c r="BF12" s="71"/>
      <c r="BG12" s="83"/>
      <c r="BH12" s="72"/>
      <c r="BI12" s="73"/>
      <c r="BJ12" s="28">
        <f t="shared" si="1"/>
        <v>0</v>
      </c>
      <c r="BK12" s="29">
        <f t="shared" si="2"/>
        <v>0</v>
      </c>
    </row>
    <row r="13" spans="1:63" ht="8.25" customHeight="1" x14ac:dyDescent="0.25">
      <c r="A13" s="9"/>
      <c r="B13" s="9"/>
      <c r="C13" s="9" t="e">
        <f>VLOOKUP(D13,Products!B:D,2,FALSE)</f>
        <v>#N/A</v>
      </c>
      <c r="D13" s="10"/>
      <c r="E13" s="68">
        <v>1</v>
      </c>
      <c r="F13" s="72"/>
      <c r="G13" s="73"/>
      <c r="H13" s="72"/>
      <c r="I13" s="73"/>
      <c r="J13" s="72"/>
      <c r="K13" s="73"/>
      <c r="L13" s="72"/>
      <c r="M13" s="73"/>
      <c r="N13" s="71"/>
      <c r="O13" s="83"/>
      <c r="P13" s="71"/>
      <c r="Q13" s="83"/>
      <c r="R13" s="72"/>
      <c r="S13" s="73"/>
      <c r="T13" s="72"/>
      <c r="U13" s="73"/>
      <c r="V13" s="72"/>
      <c r="W13" s="73"/>
      <c r="X13" s="72"/>
      <c r="Y13" s="73"/>
      <c r="Z13" s="72"/>
      <c r="AA13" s="73"/>
      <c r="AB13" s="71"/>
      <c r="AC13" s="83"/>
      <c r="AD13" s="72"/>
      <c r="AE13" s="73"/>
      <c r="AF13" s="72"/>
      <c r="AG13" s="73"/>
      <c r="AH13" s="72"/>
      <c r="AI13" s="73"/>
      <c r="AJ13" s="72"/>
      <c r="AK13" s="73"/>
      <c r="AL13" s="72"/>
      <c r="AM13" s="73"/>
      <c r="AN13" s="72"/>
      <c r="AO13" s="73"/>
      <c r="AP13" s="71"/>
      <c r="AQ13" s="83"/>
      <c r="AR13" s="72"/>
      <c r="AS13" s="73"/>
      <c r="AT13" s="72"/>
      <c r="AU13" s="73"/>
      <c r="AV13" s="72"/>
      <c r="AW13" s="73"/>
      <c r="AX13" s="72"/>
      <c r="AY13" s="73"/>
      <c r="AZ13" s="72"/>
      <c r="BA13" s="73"/>
      <c r="BB13" s="72"/>
      <c r="BC13" s="73"/>
      <c r="BD13" s="72"/>
      <c r="BE13" s="73"/>
      <c r="BF13" s="71"/>
      <c r="BG13" s="83"/>
      <c r="BH13" s="72"/>
      <c r="BI13" s="73"/>
      <c r="BJ13" s="28">
        <f t="shared" si="1"/>
        <v>0</v>
      </c>
      <c r="BK13" s="29">
        <f t="shared" si="2"/>
        <v>0</v>
      </c>
    </row>
    <row r="14" spans="1:63" ht="15.75" hidden="1" customHeight="1" x14ac:dyDescent="0.25">
      <c r="A14" s="9"/>
      <c r="B14" s="9"/>
      <c r="C14" s="9" t="e">
        <f>VLOOKUP(D14,Products!B:D,2,FALSE)</f>
        <v>#N/A</v>
      </c>
      <c r="D14" s="10"/>
      <c r="E14" s="68">
        <v>1</v>
      </c>
      <c r="F14" s="72"/>
      <c r="G14" s="73"/>
      <c r="H14" s="72"/>
      <c r="I14" s="73"/>
      <c r="J14" s="72"/>
      <c r="K14" s="73"/>
      <c r="L14" s="72"/>
      <c r="M14" s="73"/>
      <c r="N14" s="71"/>
      <c r="O14" s="83"/>
      <c r="P14" s="71"/>
      <c r="Q14" s="83"/>
      <c r="R14" s="72"/>
      <c r="S14" s="73"/>
      <c r="T14" s="72"/>
      <c r="U14" s="73"/>
      <c r="V14" s="72"/>
      <c r="W14" s="73"/>
      <c r="X14" s="72"/>
      <c r="Y14" s="73"/>
      <c r="Z14" s="72"/>
      <c r="AA14" s="73"/>
      <c r="AB14" s="71"/>
      <c r="AC14" s="83"/>
      <c r="AD14" s="72"/>
      <c r="AE14" s="73"/>
      <c r="AF14" s="72"/>
      <c r="AG14" s="73"/>
      <c r="AH14" s="72"/>
      <c r="AI14" s="73"/>
      <c r="AJ14" s="72"/>
      <c r="AK14" s="73"/>
      <c r="AL14" s="72"/>
      <c r="AM14" s="73"/>
      <c r="AN14" s="72"/>
      <c r="AO14" s="73"/>
      <c r="AP14" s="71"/>
      <c r="AQ14" s="83"/>
      <c r="AR14" s="72"/>
      <c r="AS14" s="73"/>
      <c r="AT14" s="72"/>
      <c r="AU14" s="73"/>
      <c r="AV14" s="72"/>
      <c r="AW14" s="73"/>
      <c r="AX14" s="72"/>
      <c r="AY14" s="73"/>
      <c r="AZ14" s="72"/>
      <c r="BA14" s="73"/>
      <c r="BB14" s="72"/>
      <c r="BC14" s="73"/>
      <c r="BD14" s="72"/>
      <c r="BE14" s="73"/>
      <c r="BF14" s="71"/>
      <c r="BG14" s="83"/>
      <c r="BH14" s="72"/>
      <c r="BI14" s="73"/>
      <c r="BJ14" s="28">
        <f t="shared" si="1"/>
        <v>0</v>
      </c>
      <c r="BK14" s="29">
        <f t="shared" si="2"/>
        <v>0</v>
      </c>
    </row>
    <row r="15" spans="1:63" ht="15.75" hidden="1" customHeight="1" x14ac:dyDescent="0.25">
      <c r="A15" s="9"/>
      <c r="B15" s="9"/>
      <c r="C15" s="9" t="e">
        <f>VLOOKUP(D15,Products!B:D,2,FALSE)</f>
        <v>#N/A</v>
      </c>
      <c r="D15" s="10"/>
      <c r="E15" s="68">
        <v>1</v>
      </c>
      <c r="F15" s="72"/>
      <c r="G15" s="73"/>
      <c r="H15" s="72"/>
      <c r="I15" s="73"/>
      <c r="J15" s="72"/>
      <c r="K15" s="73"/>
      <c r="L15" s="72"/>
      <c r="M15" s="73"/>
      <c r="N15" s="71"/>
      <c r="O15" s="83"/>
      <c r="P15" s="71"/>
      <c r="Q15" s="83"/>
      <c r="R15" s="72"/>
      <c r="S15" s="73"/>
      <c r="T15" s="72"/>
      <c r="U15" s="73"/>
      <c r="V15" s="72"/>
      <c r="W15" s="73"/>
      <c r="X15" s="72"/>
      <c r="Y15" s="73"/>
      <c r="Z15" s="72"/>
      <c r="AA15" s="73"/>
      <c r="AB15" s="71"/>
      <c r="AC15" s="83"/>
      <c r="AD15" s="72"/>
      <c r="AE15" s="73"/>
      <c r="AF15" s="72"/>
      <c r="AG15" s="73"/>
      <c r="AH15" s="72"/>
      <c r="AI15" s="73"/>
      <c r="AJ15" s="72"/>
      <c r="AK15" s="73"/>
      <c r="AL15" s="72"/>
      <c r="AM15" s="73"/>
      <c r="AN15" s="72"/>
      <c r="AO15" s="73"/>
      <c r="AP15" s="71"/>
      <c r="AQ15" s="83"/>
      <c r="AR15" s="72"/>
      <c r="AS15" s="73"/>
      <c r="AT15" s="72"/>
      <c r="AU15" s="73"/>
      <c r="AV15" s="72"/>
      <c r="AW15" s="73"/>
      <c r="AX15" s="72"/>
      <c r="AY15" s="73"/>
      <c r="AZ15" s="72"/>
      <c r="BA15" s="73"/>
      <c r="BB15" s="72"/>
      <c r="BC15" s="73"/>
      <c r="BD15" s="72"/>
      <c r="BE15" s="73"/>
      <c r="BF15" s="71"/>
      <c r="BG15" s="83"/>
      <c r="BH15" s="72"/>
      <c r="BI15" s="73"/>
      <c r="BJ15" s="28">
        <f t="shared" si="1"/>
        <v>0</v>
      </c>
      <c r="BK15" s="29">
        <f t="shared" si="2"/>
        <v>0</v>
      </c>
    </row>
    <row r="16" spans="1:63" ht="15.75" hidden="1" customHeight="1" x14ac:dyDescent="0.25">
      <c r="A16" s="9"/>
      <c r="B16" s="9"/>
      <c r="C16" s="9" t="e">
        <f>VLOOKUP(D16,Products!B:D,2,FALSE)</f>
        <v>#N/A</v>
      </c>
      <c r="D16" s="10"/>
      <c r="E16" s="68">
        <v>1</v>
      </c>
      <c r="F16" s="72"/>
      <c r="G16" s="73"/>
      <c r="H16" s="72"/>
      <c r="I16" s="73"/>
      <c r="J16" s="72"/>
      <c r="K16" s="73"/>
      <c r="L16" s="72"/>
      <c r="M16" s="73"/>
      <c r="N16" s="71"/>
      <c r="O16" s="83"/>
      <c r="P16" s="71"/>
      <c r="Q16" s="83"/>
      <c r="R16" s="72"/>
      <c r="S16" s="73"/>
      <c r="T16" s="72"/>
      <c r="U16" s="73"/>
      <c r="V16" s="72"/>
      <c r="W16" s="73"/>
      <c r="X16" s="72"/>
      <c r="Y16" s="73"/>
      <c r="Z16" s="72"/>
      <c r="AA16" s="73"/>
      <c r="AB16" s="71"/>
      <c r="AC16" s="83"/>
      <c r="AD16" s="72"/>
      <c r="AE16" s="73"/>
      <c r="AF16" s="72"/>
      <c r="AG16" s="73"/>
      <c r="AH16" s="72"/>
      <c r="AI16" s="73"/>
      <c r="AJ16" s="72"/>
      <c r="AK16" s="73"/>
      <c r="AL16" s="72"/>
      <c r="AM16" s="73"/>
      <c r="AN16" s="72"/>
      <c r="AO16" s="73"/>
      <c r="AP16" s="71"/>
      <c r="AQ16" s="83"/>
      <c r="AR16" s="72"/>
      <c r="AS16" s="73"/>
      <c r="AT16" s="72"/>
      <c r="AU16" s="73"/>
      <c r="AV16" s="72"/>
      <c r="AW16" s="73"/>
      <c r="AX16" s="72"/>
      <c r="AY16" s="73"/>
      <c r="AZ16" s="72"/>
      <c r="BA16" s="73"/>
      <c r="BB16" s="72"/>
      <c r="BC16" s="73"/>
      <c r="BD16" s="72"/>
      <c r="BE16" s="73"/>
      <c r="BF16" s="71"/>
      <c r="BG16" s="83"/>
      <c r="BH16" s="72"/>
      <c r="BI16" s="73"/>
      <c r="BJ16" s="28">
        <f t="shared" si="1"/>
        <v>0</v>
      </c>
      <c r="BK16" s="29">
        <f t="shared" si="2"/>
        <v>0</v>
      </c>
    </row>
    <row r="17" spans="1:63" ht="15.75" hidden="1" customHeight="1" x14ac:dyDescent="0.25">
      <c r="A17" s="9"/>
      <c r="B17" s="9"/>
      <c r="C17" s="9" t="e">
        <f>VLOOKUP(D17,Products!B:D,2,FALSE)</f>
        <v>#N/A</v>
      </c>
      <c r="D17" s="10"/>
      <c r="E17" s="68">
        <v>1</v>
      </c>
      <c r="F17" s="72"/>
      <c r="G17" s="73"/>
      <c r="H17" s="72"/>
      <c r="I17" s="73"/>
      <c r="J17" s="72"/>
      <c r="K17" s="73"/>
      <c r="L17" s="72"/>
      <c r="M17" s="73"/>
      <c r="N17" s="71"/>
      <c r="O17" s="83"/>
      <c r="P17" s="71"/>
      <c r="Q17" s="83"/>
      <c r="R17" s="72"/>
      <c r="S17" s="73"/>
      <c r="T17" s="72"/>
      <c r="U17" s="73"/>
      <c r="V17" s="72"/>
      <c r="W17" s="73"/>
      <c r="X17" s="72"/>
      <c r="Y17" s="73"/>
      <c r="Z17" s="72"/>
      <c r="AA17" s="73"/>
      <c r="AB17" s="71"/>
      <c r="AC17" s="83"/>
      <c r="AD17" s="72"/>
      <c r="AE17" s="73"/>
      <c r="AF17" s="72"/>
      <c r="AG17" s="73"/>
      <c r="AH17" s="72"/>
      <c r="AI17" s="73"/>
      <c r="AJ17" s="72"/>
      <c r="AK17" s="73"/>
      <c r="AL17" s="72"/>
      <c r="AM17" s="73"/>
      <c r="AN17" s="72"/>
      <c r="AO17" s="73"/>
      <c r="AP17" s="71"/>
      <c r="AQ17" s="83"/>
      <c r="AR17" s="72"/>
      <c r="AS17" s="73"/>
      <c r="AT17" s="72"/>
      <c r="AU17" s="73"/>
      <c r="AV17" s="72"/>
      <c r="AW17" s="73"/>
      <c r="AX17" s="72"/>
      <c r="AY17" s="73"/>
      <c r="AZ17" s="72"/>
      <c r="BA17" s="73"/>
      <c r="BB17" s="72"/>
      <c r="BC17" s="73"/>
      <c r="BD17" s="72"/>
      <c r="BE17" s="73"/>
      <c r="BF17" s="71"/>
      <c r="BG17" s="83"/>
      <c r="BH17" s="72"/>
      <c r="BI17" s="73"/>
      <c r="BJ17" s="28">
        <f t="shared" si="1"/>
        <v>0</v>
      </c>
      <c r="BK17" s="29">
        <f t="shared" si="2"/>
        <v>0</v>
      </c>
    </row>
    <row r="18" spans="1:63" ht="15.75" hidden="1" customHeight="1" x14ac:dyDescent="0.25">
      <c r="A18" s="9"/>
      <c r="B18" s="9"/>
      <c r="C18" s="9" t="e">
        <f>VLOOKUP(D18,Products!B:D,2,FALSE)</f>
        <v>#N/A</v>
      </c>
      <c r="D18" s="14"/>
      <c r="E18" s="68">
        <v>1</v>
      </c>
      <c r="F18" s="72"/>
      <c r="G18" s="73"/>
      <c r="H18" s="72"/>
      <c r="I18" s="73"/>
      <c r="J18" s="72"/>
      <c r="K18" s="73"/>
      <c r="L18" s="72"/>
      <c r="M18" s="73"/>
      <c r="N18" s="71"/>
      <c r="O18" s="83"/>
      <c r="P18" s="71"/>
      <c r="Q18" s="83"/>
      <c r="R18" s="72"/>
      <c r="S18" s="73"/>
      <c r="T18" s="72"/>
      <c r="U18" s="73"/>
      <c r="V18" s="72"/>
      <c r="W18" s="73"/>
      <c r="X18" s="72"/>
      <c r="Y18" s="73"/>
      <c r="Z18" s="72"/>
      <c r="AA18" s="73"/>
      <c r="AB18" s="71"/>
      <c r="AC18" s="83"/>
      <c r="AD18" s="72"/>
      <c r="AE18" s="73"/>
      <c r="AF18" s="72"/>
      <c r="AG18" s="73"/>
      <c r="AH18" s="72"/>
      <c r="AI18" s="73"/>
      <c r="AJ18" s="72"/>
      <c r="AK18" s="73"/>
      <c r="AL18" s="72"/>
      <c r="AM18" s="73"/>
      <c r="AN18" s="72"/>
      <c r="AO18" s="73"/>
      <c r="AP18" s="71"/>
      <c r="AQ18" s="83"/>
      <c r="AR18" s="72"/>
      <c r="AS18" s="73"/>
      <c r="AT18" s="72"/>
      <c r="AU18" s="73"/>
      <c r="AV18" s="72"/>
      <c r="AW18" s="73"/>
      <c r="AX18" s="72"/>
      <c r="AY18" s="73"/>
      <c r="AZ18" s="72"/>
      <c r="BA18" s="73"/>
      <c r="BB18" s="72"/>
      <c r="BC18" s="73"/>
      <c r="BD18" s="72"/>
      <c r="BE18" s="73"/>
      <c r="BF18" s="71"/>
      <c r="BG18" s="83"/>
      <c r="BH18" s="72"/>
      <c r="BI18" s="73"/>
      <c r="BJ18" s="28">
        <f t="shared" si="1"/>
        <v>0</v>
      </c>
      <c r="BK18" s="29">
        <f t="shared" si="2"/>
        <v>0</v>
      </c>
    </row>
    <row r="19" spans="1:63" ht="15.75" hidden="1" customHeight="1" x14ac:dyDescent="0.25">
      <c r="A19" s="9"/>
      <c r="B19" s="9"/>
      <c r="C19" s="9" t="e">
        <f>VLOOKUP(D19,Products!B:D,2,FALSE)</f>
        <v>#N/A</v>
      </c>
      <c r="D19" s="14" t="s">
        <v>17</v>
      </c>
      <c r="E19" s="68">
        <v>1</v>
      </c>
      <c r="F19" s="72"/>
      <c r="G19" s="73"/>
      <c r="H19" s="72"/>
      <c r="I19" s="73"/>
      <c r="J19" s="72"/>
      <c r="K19" s="73"/>
      <c r="L19" s="72"/>
      <c r="M19" s="73"/>
      <c r="N19" s="71"/>
      <c r="O19" s="83"/>
      <c r="P19" s="71"/>
      <c r="Q19" s="83"/>
      <c r="R19" s="72"/>
      <c r="S19" s="73"/>
      <c r="T19" s="72"/>
      <c r="U19" s="73"/>
      <c r="V19" s="72"/>
      <c r="W19" s="73"/>
      <c r="X19" s="72"/>
      <c r="Y19" s="73"/>
      <c r="Z19" s="72"/>
      <c r="AA19" s="73"/>
      <c r="AB19" s="71"/>
      <c r="AC19" s="83"/>
      <c r="AD19" s="72"/>
      <c r="AE19" s="73"/>
      <c r="AF19" s="72"/>
      <c r="AG19" s="73"/>
      <c r="AH19" s="72"/>
      <c r="AI19" s="73"/>
      <c r="AJ19" s="72"/>
      <c r="AK19" s="73"/>
      <c r="AL19" s="72"/>
      <c r="AM19" s="73"/>
      <c r="AN19" s="72"/>
      <c r="AO19" s="73"/>
      <c r="AP19" s="71"/>
      <c r="AQ19" s="83"/>
      <c r="AR19" s="72"/>
      <c r="AS19" s="73"/>
      <c r="AT19" s="72"/>
      <c r="AU19" s="73"/>
      <c r="AV19" s="72"/>
      <c r="AW19" s="73"/>
      <c r="AX19" s="72"/>
      <c r="AY19" s="73"/>
      <c r="AZ19" s="72"/>
      <c r="BA19" s="73"/>
      <c r="BB19" s="72"/>
      <c r="BC19" s="73"/>
      <c r="BD19" s="72"/>
      <c r="BE19" s="73"/>
      <c r="BF19" s="71"/>
      <c r="BG19" s="83"/>
      <c r="BH19" s="72"/>
      <c r="BI19" s="73"/>
      <c r="BJ19" s="28">
        <f t="shared" si="1"/>
        <v>0</v>
      </c>
      <c r="BK19" s="29">
        <f t="shared" si="2"/>
        <v>0</v>
      </c>
    </row>
    <row r="20" spans="1:63" ht="15.75" hidden="1" customHeight="1" x14ac:dyDescent="0.25">
      <c r="A20" s="9"/>
      <c r="B20" s="9"/>
      <c r="C20" s="9" t="e">
        <f>VLOOKUP(D20,Products!B:D,2,FALSE)</f>
        <v>#N/A</v>
      </c>
      <c r="D20" s="14"/>
      <c r="E20" s="74">
        <v>1</v>
      </c>
      <c r="F20" s="72"/>
      <c r="G20" s="73"/>
      <c r="H20" s="72"/>
      <c r="I20" s="73"/>
      <c r="J20" s="72"/>
      <c r="K20" s="73"/>
      <c r="L20" s="72"/>
      <c r="M20" s="73"/>
      <c r="N20" s="71"/>
      <c r="O20" s="83"/>
      <c r="P20" s="71"/>
      <c r="Q20" s="83"/>
      <c r="R20" s="72"/>
      <c r="S20" s="73"/>
      <c r="T20" s="72"/>
      <c r="U20" s="73"/>
      <c r="V20" s="72"/>
      <c r="W20" s="73"/>
      <c r="X20" s="72"/>
      <c r="Y20" s="73"/>
      <c r="Z20" s="72"/>
      <c r="AA20" s="73"/>
      <c r="AB20" s="71"/>
      <c r="AC20" s="83"/>
      <c r="AD20" s="72"/>
      <c r="AE20" s="73"/>
      <c r="AF20" s="72"/>
      <c r="AG20" s="73"/>
      <c r="AH20" s="72"/>
      <c r="AI20" s="73"/>
      <c r="AJ20" s="72"/>
      <c r="AK20" s="73"/>
      <c r="AL20" s="72"/>
      <c r="AM20" s="73"/>
      <c r="AN20" s="72"/>
      <c r="AO20" s="73"/>
      <c r="AP20" s="71"/>
      <c r="AQ20" s="83"/>
      <c r="AR20" s="72"/>
      <c r="AS20" s="73"/>
      <c r="AT20" s="72"/>
      <c r="AU20" s="73"/>
      <c r="AV20" s="72"/>
      <c r="AW20" s="73"/>
      <c r="AX20" s="72"/>
      <c r="AY20" s="73"/>
      <c r="AZ20" s="72"/>
      <c r="BA20" s="73"/>
      <c r="BB20" s="72"/>
      <c r="BC20" s="73"/>
      <c r="BD20" s="72"/>
      <c r="BE20" s="73"/>
      <c r="BF20" s="71"/>
      <c r="BG20" s="83"/>
      <c r="BH20" s="72"/>
      <c r="BI20" s="73"/>
      <c r="BJ20" s="28">
        <f t="shared" si="1"/>
        <v>0</v>
      </c>
      <c r="BK20" s="29">
        <f t="shared" si="2"/>
        <v>0</v>
      </c>
    </row>
    <row r="21" spans="1:63" ht="15.75" hidden="1" customHeight="1" x14ac:dyDescent="0.25">
      <c r="A21" s="9"/>
      <c r="B21" s="9"/>
      <c r="C21" s="9" t="e">
        <f>VLOOKUP(D21,Products!B:D,2,FALSE)</f>
        <v>#N/A</v>
      </c>
      <c r="D21" s="14"/>
      <c r="E21" s="74">
        <v>1</v>
      </c>
      <c r="F21" s="72"/>
      <c r="G21" s="73"/>
      <c r="H21" s="72"/>
      <c r="I21" s="73"/>
      <c r="J21" s="72"/>
      <c r="K21" s="73"/>
      <c r="L21" s="72"/>
      <c r="M21" s="73"/>
      <c r="N21" s="71"/>
      <c r="O21" s="83"/>
      <c r="P21" s="71"/>
      <c r="Q21" s="83"/>
      <c r="R21" s="72"/>
      <c r="S21" s="73"/>
      <c r="T21" s="72"/>
      <c r="U21" s="73"/>
      <c r="V21" s="72"/>
      <c r="W21" s="73"/>
      <c r="X21" s="72"/>
      <c r="Y21" s="73"/>
      <c r="Z21" s="72"/>
      <c r="AA21" s="73"/>
      <c r="AB21" s="71"/>
      <c r="AC21" s="83"/>
      <c r="AD21" s="72"/>
      <c r="AE21" s="73"/>
      <c r="AF21" s="72"/>
      <c r="AG21" s="73"/>
      <c r="AH21" s="72"/>
      <c r="AI21" s="73"/>
      <c r="AJ21" s="72"/>
      <c r="AK21" s="73"/>
      <c r="AL21" s="72"/>
      <c r="AM21" s="73"/>
      <c r="AN21" s="72"/>
      <c r="AO21" s="73"/>
      <c r="AP21" s="71"/>
      <c r="AQ21" s="83"/>
      <c r="AR21" s="72"/>
      <c r="AS21" s="73"/>
      <c r="AT21" s="72"/>
      <c r="AU21" s="73"/>
      <c r="AV21" s="72"/>
      <c r="AW21" s="73"/>
      <c r="AX21" s="72"/>
      <c r="AY21" s="73"/>
      <c r="AZ21" s="72"/>
      <c r="BA21" s="73"/>
      <c r="BB21" s="72"/>
      <c r="BC21" s="73"/>
      <c r="BD21" s="72"/>
      <c r="BE21" s="73"/>
      <c r="BF21" s="71"/>
      <c r="BG21" s="83"/>
      <c r="BH21" s="72"/>
      <c r="BI21" s="73"/>
      <c r="BJ21" s="28">
        <f t="shared" si="1"/>
        <v>0</v>
      </c>
      <c r="BK21" s="29">
        <f t="shared" si="2"/>
        <v>0</v>
      </c>
    </row>
    <row r="22" spans="1:63" ht="15.75" hidden="1" customHeight="1" x14ac:dyDescent="0.25">
      <c r="A22" s="9"/>
      <c r="B22" s="9"/>
      <c r="C22" s="9" t="e">
        <f>VLOOKUP(D22,Products!B:D,2,FALSE)</f>
        <v>#N/A</v>
      </c>
      <c r="D22" s="14"/>
      <c r="E22" s="74">
        <v>1</v>
      </c>
      <c r="F22" s="72"/>
      <c r="G22" s="73"/>
      <c r="H22" s="72"/>
      <c r="I22" s="73"/>
      <c r="J22" s="72"/>
      <c r="K22" s="73"/>
      <c r="L22" s="72"/>
      <c r="M22" s="73"/>
      <c r="N22" s="71"/>
      <c r="O22" s="83"/>
      <c r="P22" s="71"/>
      <c r="Q22" s="83"/>
      <c r="R22" s="72"/>
      <c r="S22" s="73"/>
      <c r="T22" s="72"/>
      <c r="U22" s="73"/>
      <c r="V22" s="72"/>
      <c r="W22" s="73"/>
      <c r="X22" s="72"/>
      <c r="Y22" s="73"/>
      <c r="Z22" s="72"/>
      <c r="AA22" s="73"/>
      <c r="AB22" s="71"/>
      <c r="AC22" s="83"/>
      <c r="AD22" s="72"/>
      <c r="AE22" s="73"/>
      <c r="AF22" s="72"/>
      <c r="AG22" s="73"/>
      <c r="AH22" s="72"/>
      <c r="AI22" s="73"/>
      <c r="AJ22" s="72"/>
      <c r="AK22" s="73"/>
      <c r="AL22" s="72"/>
      <c r="AM22" s="73"/>
      <c r="AN22" s="72"/>
      <c r="AO22" s="73"/>
      <c r="AP22" s="71"/>
      <c r="AQ22" s="83"/>
      <c r="AR22" s="72"/>
      <c r="AS22" s="73"/>
      <c r="AT22" s="72"/>
      <c r="AU22" s="73"/>
      <c r="AV22" s="72"/>
      <c r="AW22" s="73"/>
      <c r="AX22" s="72"/>
      <c r="AY22" s="73"/>
      <c r="AZ22" s="72"/>
      <c r="BA22" s="73"/>
      <c r="BB22" s="72"/>
      <c r="BC22" s="73"/>
      <c r="BD22" s="72"/>
      <c r="BE22" s="73"/>
      <c r="BF22" s="71"/>
      <c r="BG22" s="83"/>
      <c r="BH22" s="72"/>
      <c r="BI22" s="73"/>
      <c r="BJ22" s="28">
        <f t="shared" si="1"/>
        <v>0</v>
      </c>
      <c r="BK22" s="29">
        <f t="shared" si="2"/>
        <v>0</v>
      </c>
    </row>
    <row r="23" spans="1:63" ht="15.75" hidden="1" customHeight="1" x14ac:dyDescent="0.25">
      <c r="A23" s="9"/>
      <c r="B23" s="9"/>
      <c r="C23" s="9" t="e">
        <f>VLOOKUP(D23,Products!B:D,2,FALSE)</f>
        <v>#N/A</v>
      </c>
      <c r="D23" s="14"/>
      <c r="E23" s="74">
        <v>1</v>
      </c>
      <c r="F23" s="72"/>
      <c r="G23" s="73"/>
      <c r="H23" s="72"/>
      <c r="I23" s="73"/>
      <c r="J23" s="72"/>
      <c r="K23" s="73"/>
      <c r="L23" s="72"/>
      <c r="M23" s="73"/>
      <c r="N23" s="71"/>
      <c r="O23" s="83"/>
      <c r="P23" s="71"/>
      <c r="Q23" s="83"/>
      <c r="R23" s="72"/>
      <c r="S23" s="73"/>
      <c r="T23" s="72"/>
      <c r="U23" s="73"/>
      <c r="V23" s="72"/>
      <c r="W23" s="73"/>
      <c r="X23" s="72"/>
      <c r="Y23" s="73"/>
      <c r="Z23" s="72"/>
      <c r="AA23" s="73"/>
      <c r="AB23" s="71"/>
      <c r="AC23" s="83"/>
      <c r="AD23" s="72"/>
      <c r="AE23" s="73"/>
      <c r="AF23" s="72"/>
      <c r="AG23" s="73"/>
      <c r="AH23" s="72"/>
      <c r="AI23" s="73"/>
      <c r="AJ23" s="72"/>
      <c r="AK23" s="73"/>
      <c r="AL23" s="72"/>
      <c r="AM23" s="73"/>
      <c r="AN23" s="72"/>
      <c r="AO23" s="73"/>
      <c r="AP23" s="71"/>
      <c r="AQ23" s="83"/>
      <c r="AR23" s="72"/>
      <c r="AS23" s="73"/>
      <c r="AT23" s="72"/>
      <c r="AU23" s="73"/>
      <c r="AV23" s="72"/>
      <c r="AW23" s="73"/>
      <c r="AX23" s="72"/>
      <c r="AY23" s="73"/>
      <c r="AZ23" s="72"/>
      <c r="BA23" s="73"/>
      <c r="BB23" s="72"/>
      <c r="BC23" s="73"/>
      <c r="BD23" s="72"/>
      <c r="BE23" s="73"/>
      <c r="BF23" s="71"/>
      <c r="BG23" s="83"/>
      <c r="BH23" s="72"/>
      <c r="BI23" s="73"/>
      <c r="BJ23" s="28">
        <f t="shared" si="1"/>
        <v>0</v>
      </c>
      <c r="BK23" s="29">
        <f t="shared" si="2"/>
        <v>0</v>
      </c>
    </row>
    <row r="24" spans="1:63" ht="15.75" hidden="1" customHeight="1" x14ac:dyDescent="0.25">
      <c r="A24" s="9"/>
      <c r="B24" s="9"/>
      <c r="C24" s="9" t="e">
        <f>VLOOKUP(D24,Products!B:D,2,FALSE)</f>
        <v>#N/A</v>
      </c>
      <c r="D24" s="14"/>
      <c r="E24" s="74">
        <v>1</v>
      </c>
      <c r="F24" s="72"/>
      <c r="G24" s="73"/>
      <c r="H24" s="72"/>
      <c r="I24" s="73"/>
      <c r="J24" s="72"/>
      <c r="K24" s="73"/>
      <c r="L24" s="72"/>
      <c r="M24" s="73"/>
      <c r="N24" s="71"/>
      <c r="O24" s="83"/>
      <c r="P24" s="71"/>
      <c r="Q24" s="83"/>
      <c r="R24" s="72"/>
      <c r="S24" s="73"/>
      <c r="T24" s="72"/>
      <c r="U24" s="73"/>
      <c r="V24" s="72"/>
      <c r="W24" s="73"/>
      <c r="X24" s="72"/>
      <c r="Y24" s="73"/>
      <c r="Z24" s="72"/>
      <c r="AA24" s="73"/>
      <c r="AB24" s="71"/>
      <c r="AC24" s="83"/>
      <c r="AD24" s="72"/>
      <c r="AE24" s="73"/>
      <c r="AF24" s="72"/>
      <c r="AG24" s="73"/>
      <c r="AH24" s="72"/>
      <c r="AI24" s="73"/>
      <c r="AJ24" s="72"/>
      <c r="AK24" s="73"/>
      <c r="AL24" s="72"/>
      <c r="AM24" s="73"/>
      <c r="AN24" s="72"/>
      <c r="AO24" s="73"/>
      <c r="AP24" s="71"/>
      <c r="AQ24" s="83"/>
      <c r="AR24" s="72"/>
      <c r="AS24" s="73"/>
      <c r="AT24" s="72"/>
      <c r="AU24" s="73"/>
      <c r="AV24" s="72"/>
      <c r="AW24" s="73"/>
      <c r="AX24" s="72"/>
      <c r="AY24" s="73"/>
      <c r="AZ24" s="72"/>
      <c r="BA24" s="73"/>
      <c r="BB24" s="72"/>
      <c r="BC24" s="73"/>
      <c r="BD24" s="72"/>
      <c r="BE24" s="73"/>
      <c r="BF24" s="71"/>
      <c r="BG24" s="83"/>
      <c r="BH24" s="72"/>
      <c r="BI24" s="73"/>
      <c r="BJ24" s="28">
        <f t="shared" si="1"/>
        <v>0</v>
      </c>
      <c r="BK24" s="29">
        <f t="shared" si="2"/>
        <v>0</v>
      </c>
    </row>
    <row r="25" spans="1:63" ht="15.75" hidden="1" customHeight="1" x14ac:dyDescent="0.25">
      <c r="A25" s="9"/>
      <c r="B25" s="9"/>
      <c r="C25" s="9" t="e">
        <f>VLOOKUP(D25,Products!B:D,2,FALSE)</f>
        <v>#N/A</v>
      </c>
      <c r="D25" s="14"/>
      <c r="E25" s="74">
        <v>1</v>
      </c>
      <c r="F25" s="72"/>
      <c r="G25" s="73"/>
      <c r="H25" s="72"/>
      <c r="I25" s="73"/>
      <c r="J25" s="72"/>
      <c r="K25" s="73"/>
      <c r="L25" s="72"/>
      <c r="M25" s="73"/>
      <c r="N25" s="71"/>
      <c r="O25" s="83"/>
      <c r="P25" s="71"/>
      <c r="Q25" s="83"/>
      <c r="R25" s="72"/>
      <c r="S25" s="73"/>
      <c r="T25" s="72"/>
      <c r="U25" s="73"/>
      <c r="V25" s="72"/>
      <c r="W25" s="73"/>
      <c r="X25" s="72"/>
      <c r="Y25" s="73"/>
      <c r="Z25" s="72"/>
      <c r="AA25" s="73"/>
      <c r="AB25" s="71"/>
      <c r="AC25" s="83"/>
      <c r="AD25" s="72"/>
      <c r="AE25" s="73"/>
      <c r="AF25" s="72"/>
      <c r="AG25" s="73"/>
      <c r="AH25" s="72"/>
      <c r="AI25" s="73"/>
      <c r="AJ25" s="72"/>
      <c r="AK25" s="73"/>
      <c r="AL25" s="72"/>
      <c r="AM25" s="73"/>
      <c r="AN25" s="72"/>
      <c r="AO25" s="73"/>
      <c r="AP25" s="71"/>
      <c r="AQ25" s="83"/>
      <c r="AR25" s="72"/>
      <c r="AS25" s="73"/>
      <c r="AT25" s="72"/>
      <c r="AU25" s="73"/>
      <c r="AV25" s="72"/>
      <c r="AW25" s="73"/>
      <c r="AX25" s="72"/>
      <c r="AY25" s="73"/>
      <c r="AZ25" s="72"/>
      <c r="BA25" s="73"/>
      <c r="BB25" s="72"/>
      <c r="BC25" s="73"/>
      <c r="BD25" s="72"/>
      <c r="BE25" s="73"/>
      <c r="BF25" s="71"/>
      <c r="BG25" s="83"/>
      <c r="BH25" s="72"/>
      <c r="BI25" s="73"/>
      <c r="BJ25" s="28">
        <f t="shared" si="1"/>
        <v>0</v>
      </c>
      <c r="BK25" s="29">
        <f t="shared" si="2"/>
        <v>0</v>
      </c>
    </row>
    <row r="26" spans="1:63" ht="15.75" hidden="1" customHeight="1" x14ac:dyDescent="0.25">
      <c r="A26" s="9"/>
      <c r="B26" s="9"/>
      <c r="C26" s="9" t="e">
        <f>VLOOKUP(D26,Products!B:D,2,FALSE)</f>
        <v>#N/A</v>
      </c>
      <c r="D26" s="14"/>
      <c r="E26" s="74">
        <v>1</v>
      </c>
      <c r="F26" s="72"/>
      <c r="G26" s="73"/>
      <c r="H26" s="72"/>
      <c r="I26" s="73"/>
      <c r="J26" s="72"/>
      <c r="K26" s="73"/>
      <c r="L26" s="72"/>
      <c r="M26" s="73"/>
      <c r="N26" s="71"/>
      <c r="O26" s="83"/>
      <c r="P26" s="71"/>
      <c r="Q26" s="83"/>
      <c r="R26" s="72"/>
      <c r="S26" s="73"/>
      <c r="T26" s="72"/>
      <c r="U26" s="73"/>
      <c r="V26" s="72"/>
      <c r="W26" s="73"/>
      <c r="X26" s="72"/>
      <c r="Y26" s="73"/>
      <c r="Z26" s="72"/>
      <c r="AA26" s="73"/>
      <c r="AB26" s="71"/>
      <c r="AC26" s="83"/>
      <c r="AD26" s="72"/>
      <c r="AE26" s="73"/>
      <c r="AF26" s="72"/>
      <c r="AG26" s="73"/>
      <c r="AH26" s="72"/>
      <c r="AI26" s="73"/>
      <c r="AJ26" s="72"/>
      <c r="AK26" s="73"/>
      <c r="AL26" s="72"/>
      <c r="AM26" s="73"/>
      <c r="AN26" s="72"/>
      <c r="AO26" s="73"/>
      <c r="AP26" s="71"/>
      <c r="AQ26" s="83"/>
      <c r="AR26" s="72"/>
      <c r="AS26" s="73"/>
      <c r="AT26" s="72"/>
      <c r="AU26" s="73"/>
      <c r="AV26" s="72"/>
      <c r="AW26" s="73"/>
      <c r="AX26" s="72"/>
      <c r="AY26" s="73"/>
      <c r="AZ26" s="72"/>
      <c r="BA26" s="73"/>
      <c r="BB26" s="72"/>
      <c r="BC26" s="73"/>
      <c r="BD26" s="72"/>
      <c r="BE26" s="73"/>
      <c r="BF26" s="71"/>
      <c r="BG26" s="83"/>
      <c r="BH26" s="72"/>
      <c r="BI26" s="73"/>
      <c r="BJ26" s="28">
        <f t="shared" si="1"/>
        <v>0</v>
      </c>
      <c r="BK26" s="29">
        <f t="shared" si="2"/>
        <v>0</v>
      </c>
    </row>
    <row r="27" spans="1:63" ht="30" customHeight="1" x14ac:dyDescent="0.25">
      <c r="A27" s="9"/>
      <c r="B27" s="9"/>
      <c r="C27" s="9"/>
      <c r="D27" s="695" t="s">
        <v>18</v>
      </c>
      <c r="E27" s="786"/>
      <c r="F27" s="75">
        <f>SUM(F28:F36)</f>
        <v>0</v>
      </c>
      <c r="G27" s="76">
        <f t="shared" ref="G27:BI27" si="3">SUM(G28:G36)</f>
        <v>0</v>
      </c>
      <c r="H27" s="75">
        <f t="shared" si="3"/>
        <v>0</v>
      </c>
      <c r="I27" s="76">
        <f t="shared" si="3"/>
        <v>0</v>
      </c>
      <c r="J27" s="75">
        <f t="shared" si="3"/>
        <v>0</v>
      </c>
      <c r="K27" s="76">
        <f t="shared" si="3"/>
        <v>0</v>
      </c>
      <c r="L27" s="75">
        <f t="shared" si="3"/>
        <v>0</v>
      </c>
      <c r="M27" s="76">
        <f t="shared" si="3"/>
        <v>0</v>
      </c>
      <c r="N27" s="75">
        <f t="shared" si="3"/>
        <v>0</v>
      </c>
      <c r="O27" s="84">
        <f t="shared" si="3"/>
        <v>0</v>
      </c>
      <c r="P27" s="75">
        <f t="shared" si="3"/>
        <v>0</v>
      </c>
      <c r="Q27" s="84">
        <f t="shared" si="3"/>
        <v>0</v>
      </c>
      <c r="R27" s="75">
        <f t="shared" si="3"/>
        <v>0</v>
      </c>
      <c r="S27" s="76"/>
      <c r="T27" s="75"/>
      <c r="U27" s="76"/>
      <c r="V27" s="75"/>
      <c r="W27" s="76"/>
      <c r="X27" s="75"/>
      <c r="Y27" s="76"/>
      <c r="Z27" s="75"/>
      <c r="AA27" s="76"/>
      <c r="AB27" s="75"/>
      <c r="AC27" s="84"/>
      <c r="AD27" s="75"/>
      <c r="AE27" s="76"/>
      <c r="AF27" s="75"/>
      <c r="AG27" s="76"/>
      <c r="AH27" s="75"/>
      <c r="AI27" s="76"/>
      <c r="AJ27" s="75"/>
      <c r="AK27" s="76"/>
      <c r="AL27" s="75"/>
      <c r="AM27" s="76"/>
      <c r="AN27" s="75"/>
      <c r="AO27" s="76"/>
      <c r="AP27" s="75">
        <f t="shared" si="3"/>
        <v>0</v>
      </c>
      <c r="AQ27" s="84">
        <f t="shared" si="3"/>
        <v>0</v>
      </c>
      <c r="AR27" s="75">
        <f t="shared" si="3"/>
        <v>0</v>
      </c>
      <c r="AS27" s="76">
        <f t="shared" si="3"/>
        <v>0</v>
      </c>
      <c r="AT27" s="75">
        <f t="shared" si="3"/>
        <v>0</v>
      </c>
      <c r="AU27" s="76">
        <f t="shared" si="3"/>
        <v>0</v>
      </c>
      <c r="AV27" s="75">
        <f t="shared" si="3"/>
        <v>0</v>
      </c>
      <c r="AW27" s="76">
        <f t="shared" si="3"/>
        <v>0</v>
      </c>
      <c r="AX27" s="75">
        <f t="shared" si="3"/>
        <v>0</v>
      </c>
      <c r="AY27" s="76">
        <f t="shared" si="3"/>
        <v>0</v>
      </c>
      <c r="AZ27" s="75">
        <f t="shared" si="3"/>
        <v>0</v>
      </c>
      <c r="BA27" s="76">
        <f t="shared" si="3"/>
        <v>0</v>
      </c>
      <c r="BB27" s="75">
        <f t="shared" si="3"/>
        <v>0</v>
      </c>
      <c r="BC27" s="76">
        <f t="shared" si="3"/>
        <v>0</v>
      </c>
      <c r="BD27" s="75">
        <f t="shared" si="3"/>
        <v>0</v>
      </c>
      <c r="BE27" s="76">
        <f t="shared" si="3"/>
        <v>0</v>
      </c>
      <c r="BF27" s="75">
        <f t="shared" si="3"/>
        <v>0</v>
      </c>
      <c r="BG27" s="84">
        <f t="shared" si="3"/>
        <v>0</v>
      </c>
      <c r="BH27" s="75">
        <f t="shared" si="3"/>
        <v>0</v>
      </c>
      <c r="BI27" s="76">
        <f t="shared" si="3"/>
        <v>0</v>
      </c>
      <c r="BJ27" s="28">
        <f t="shared" si="1"/>
        <v>0</v>
      </c>
      <c r="BK27" s="29">
        <f t="shared" si="2"/>
        <v>33</v>
      </c>
    </row>
    <row r="28" spans="1:63" ht="15.75" x14ac:dyDescent="0.25">
      <c r="A28" s="18"/>
      <c r="B28" s="18"/>
      <c r="C28" s="18"/>
      <c r="D28" s="687" t="s">
        <v>19</v>
      </c>
      <c r="E28" s="787"/>
      <c r="F28" s="72"/>
      <c r="G28" s="73"/>
      <c r="H28" s="72"/>
      <c r="I28" s="73"/>
      <c r="J28" s="72"/>
      <c r="K28" s="73"/>
      <c r="L28" s="72"/>
      <c r="M28" s="73"/>
      <c r="N28" s="71"/>
      <c r="O28" s="83"/>
      <c r="P28" s="71"/>
      <c r="Q28" s="83"/>
      <c r="R28" s="72"/>
      <c r="S28" s="73"/>
      <c r="T28" s="72"/>
      <c r="U28" s="73"/>
      <c r="V28" s="72"/>
      <c r="W28" s="73"/>
      <c r="X28" s="72"/>
      <c r="Y28" s="73"/>
      <c r="Z28" s="72"/>
      <c r="AA28" s="73"/>
      <c r="AB28" s="71"/>
      <c r="AC28" s="83"/>
      <c r="AD28" s="72"/>
      <c r="AE28" s="73"/>
      <c r="AF28" s="72"/>
      <c r="AG28" s="73"/>
      <c r="AH28" s="72"/>
      <c r="AI28" s="73"/>
      <c r="AJ28" s="72"/>
      <c r="AK28" s="73"/>
      <c r="AL28" s="72"/>
      <c r="AM28" s="73"/>
      <c r="AN28" s="72"/>
      <c r="AO28" s="73"/>
      <c r="AP28" s="71"/>
      <c r="AQ28" s="83"/>
      <c r="AR28" s="72"/>
      <c r="AS28" s="73"/>
      <c r="AT28" s="72"/>
      <c r="AU28" s="73"/>
      <c r="AV28" s="72"/>
      <c r="AW28" s="73"/>
      <c r="AX28" s="72"/>
      <c r="AY28" s="73"/>
      <c r="AZ28" s="72"/>
      <c r="BA28" s="73"/>
      <c r="BB28" s="72"/>
      <c r="BC28" s="73"/>
      <c r="BD28" s="72"/>
      <c r="BE28" s="73"/>
      <c r="BF28" s="71"/>
      <c r="BG28" s="83"/>
      <c r="BH28" s="72"/>
      <c r="BI28" s="73"/>
      <c r="BJ28" s="28">
        <f t="shared" si="1"/>
        <v>0</v>
      </c>
      <c r="BK28" s="29">
        <f t="shared" si="2"/>
        <v>0</v>
      </c>
    </row>
    <row r="29" spans="1:63" ht="15.75" x14ac:dyDescent="0.25">
      <c r="A29" s="18"/>
      <c r="B29" s="18"/>
      <c r="C29" s="18"/>
      <c r="D29" s="689" t="s">
        <v>20</v>
      </c>
      <c r="E29" s="784"/>
      <c r="F29" s="72"/>
      <c r="G29" s="73"/>
      <c r="H29" s="72"/>
      <c r="I29" s="73"/>
      <c r="J29" s="72"/>
      <c r="K29" s="73"/>
      <c r="L29" s="72"/>
      <c r="M29" s="73"/>
      <c r="N29" s="71"/>
      <c r="O29" s="83"/>
      <c r="P29" s="71"/>
      <c r="Q29" s="83"/>
      <c r="R29" s="72"/>
      <c r="S29" s="73"/>
      <c r="T29" s="72"/>
      <c r="U29" s="73"/>
      <c r="V29" s="72"/>
      <c r="W29" s="73"/>
      <c r="X29" s="72"/>
      <c r="Y29" s="73"/>
      <c r="Z29" s="72"/>
      <c r="AA29" s="73"/>
      <c r="AB29" s="71"/>
      <c r="AC29" s="83"/>
      <c r="AD29" s="72"/>
      <c r="AE29" s="73"/>
      <c r="AF29" s="72"/>
      <c r="AG29" s="73"/>
      <c r="AH29" s="72"/>
      <c r="AI29" s="73"/>
      <c r="AJ29" s="72"/>
      <c r="AK29" s="73"/>
      <c r="AL29" s="72"/>
      <c r="AM29" s="73"/>
      <c r="AN29" s="72"/>
      <c r="AO29" s="73"/>
      <c r="AP29" s="71"/>
      <c r="AQ29" s="83"/>
      <c r="AR29" s="72"/>
      <c r="AS29" s="73"/>
      <c r="AT29" s="72"/>
      <c r="AU29" s="73"/>
      <c r="AV29" s="72"/>
      <c r="AW29" s="73"/>
      <c r="AX29" s="72"/>
      <c r="AY29" s="73"/>
      <c r="AZ29" s="72"/>
      <c r="BA29" s="73"/>
      <c r="BB29" s="72"/>
      <c r="BC29" s="73"/>
      <c r="BD29" s="72"/>
      <c r="BE29" s="73"/>
      <c r="BF29" s="71"/>
      <c r="BG29" s="83"/>
      <c r="BH29" s="72"/>
      <c r="BI29" s="73"/>
      <c r="BJ29" s="28">
        <f t="shared" si="1"/>
        <v>0</v>
      </c>
      <c r="BK29" s="29">
        <f t="shared" si="2"/>
        <v>0</v>
      </c>
    </row>
    <row r="30" spans="1:63" ht="15.75" x14ac:dyDescent="0.25">
      <c r="A30" s="18"/>
      <c r="B30" s="18"/>
      <c r="C30" s="18"/>
      <c r="D30" s="689" t="s">
        <v>21</v>
      </c>
      <c r="E30" s="784"/>
      <c r="F30" s="72"/>
      <c r="G30" s="73"/>
      <c r="H30" s="72"/>
      <c r="I30" s="73"/>
      <c r="J30" s="72"/>
      <c r="K30" s="73"/>
      <c r="L30" s="72"/>
      <c r="M30" s="73"/>
      <c r="N30" s="71"/>
      <c r="O30" s="83"/>
      <c r="P30" s="71"/>
      <c r="Q30" s="83"/>
      <c r="R30" s="72"/>
      <c r="S30" s="73"/>
      <c r="T30" s="72"/>
      <c r="U30" s="73"/>
      <c r="V30" s="72"/>
      <c r="W30" s="73"/>
      <c r="X30" s="72"/>
      <c r="Y30" s="73"/>
      <c r="Z30" s="72"/>
      <c r="AA30" s="73"/>
      <c r="AB30" s="71"/>
      <c r="AC30" s="83"/>
      <c r="AD30" s="72"/>
      <c r="AE30" s="73"/>
      <c r="AF30" s="72"/>
      <c r="AG30" s="73"/>
      <c r="AH30" s="72"/>
      <c r="AI30" s="73"/>
      <c r="AJ30" s="72"/>
      <c r="AK30" s="73"/>
      <c r="AL30" s="72"/>
      <c r="AM30" s="73"/>
      <c r="AN30" s="72"/>
      <c r="AO30" s="73"/>
      <c r="AP30" s="71"/>
      <c r="AQ30" s="83"/>
      <c r="AR30" s="72"/>
      <c r="AS30" s="73"/>
      <c r="AT30" s="72"/>
      <c r="AU30" s="73"/>
      <c r="AV30" s="72"/>
      <c r="AW30" s="73"/>
      <c r="AX30" s="72"/>
      <c r="AY30" s="73"/>
      <c r="AZ30" s="72"/>
      <c r="BA30" s="73"/>
      <c r="BB30" s="72"/>
      <c r="BC30" s="73"/>
      <c r="BD30" s="72"/>
      <c r="BE30" s="73"/>
      <c r="BF30" s="71"/>
      <c r="BG30" s="83"/>
      <c r="BH30" s="72"/>
      <c r="BI30" s="73"/>
      <c r="BJ30" s="28">
        <f t="shared" si="1"/>
        <v>0</v>
      </c>
      <c r="BK30" s="29">
        <f t="shared" si="2"/>
        <v>0</v>
      </c>
    </row>
    <row r="31" spans="1:63" ht="15.75" x14ac:dyDescent="0.25">
      <c r="A31" s="18"/>
      <c r="B31" s="18"/>
      <c r="C31" s="18"/>
      <c r="D31" s="689"/>
      <c r="E31" s="784"/>
      <c r="F31" s="72"/>
      <c r="G31" s="73"/>
      <c r="H31" s="72"/>
      <c r="I31" s="73"/>
      <c r="J31" s="72"/>
      <c r="K31" s="73"/>
      <c r="L31" s="72"/>
      <c r="M31" s="73"/>
      <c r="N31" s="71"/>
      <c r="O31" s="83"/>
      <c r="P31" s="71"/>
      <c r="Q31" s="83"/>
      <c r="R31" s="72"/>
      <c r="S31" s="73"/>
      <c r="T31" s="72"/>
      <c r="U31" s="73"/>
      <c r="V31" s="72"/>
      <c r="W31" s="73"/>
      <c r="X31" s="72"/>
      <c r="Y31" s="73"/>
      <c r="Z31" s="72"/>
      <c r="AA31" s="73"/>
      <c r="AB31" s="71"/>
      <c r="AC31" s="83"/>
      <c r="AD31" s="72"/>
      <c r="AE31" s="73"/>
      <c r="AF31" s="72"/>
      <c r="AG31" s="73"/>
      <c r="AH31" s="72"/>
      <c r="AI31" s="73"/>
      <c r="AJ31" s="72"/>
      <c r="AK31" s="73"/>
      <c r="AL31" s="72"/>
      <c r="AM31" s="73"/>
      <c r="AN31" s="72"/>
      <c r="AO31" s="73"/>
      <c r="AP31" s="71"/>
      <c r="AQ31" s="83"/>
      <c r="AR31" s="72"/>
      <c r="AS31" s="73"/>
      <c r="AT31" s="72"/>
      <c r="AU31" s="73"/>
      <c r="AV31" s="72"/>
      <c r="AW31" s="73"/>
      <c r="AX31" s="72"/>
      <c r="AY31" s="73"/>
      <c r="AZ31" s="72"/>
      <c r="BA31" s="73"/>
      <c r="BB31" s="72"/>
      <c r="BC31" s="73"/>
      <c r="BD31" s="72"/>
      <c r="BE31" s="73"/>
      <c r="BF31" s="71"/>
      <c r="BG31" s="83"/>
      <c r="BH31" s="72"/>
      <c r="BI31" s="73"/>
      <c r="BJ31" s="28">
        <f t="shared" si="1"/>
        <v>0</v>
      </c>
      <c r="BK31" s="29">
        <f t="shared" si="2"/>
        <v>0</v>
      </c>
    </row>
    <row r="32" spans="1:63" ht="15.75" x14ac:dyDescent="0.25">
      <c r="A32" s="18"/>
      <c r="B32" s="18"/>
      <c r="C32" s="18"/>
      <c r="D32" s="687" t="s">
        <v>22</v>
      </c>
      <c r="E32" s="787"/>
      <c r="F32" s="72"/>
      <c r="G32" s="73"/>
      <c r="H32" s="72"/>
      <c r="I32" s="73"/>
      <c r="J32" s="72"/>
      <c r="K32" s="73"/>
      <c r="L32" s="72"/>
      <c r="M32" s="73"/>
      <c r="N32" s="71"/>
      <c r="O32" s="83"/>
      <c r="P32" s="71"/>
      <c r="Q32" s="83"/>
      <c r="R32" s="72"/>
      <c r="S32" s="73"/>
      <c r="T32" s="72"/>
      <c r="U32" s="73"/>
      <c r="V32" s="72"/>
      <c r="W32" s="73"/>
      <c r="X32" s="72"/>
      <c r="Y32" s="73"/>
      <c r="Z32" s="72"/>
      <c r="AA32" s="73"/>
      <c r="AB32" s="71"/>
      <c r="AC32" s="83"/>
      <c r="AD32" s="72"/>
      <c r="AE32" s="73"/>
      <c r="AF32" s="72"/>
      <c r="AG32" s="73"/>
      <c r="AH32" s="72"/>
      <c r="AI32" s="73"/>
      <c r="AJ32" s="72"/>
      <c r="AK32" s="73"/>
      <c r="AL32" s="72"/>
      <c r="AM32" s="73"/>
      <c r="AN32" s="72"/>
      <c r="AO32" s="73"/>
      <c r="AP32" s="71"/>
      <c r="AQ32" s="83"/>
      <c r="AR32" s="72"/>
      <c r="AS32" s="73"/>
      <c r="AT32" s="72"/>
      <c r="AU32" s="73"/>
      <c r="AV32" s="72"/>
      <c r="AW32" s="73"/>
      <c r="AX32" s="72"/>
      <c r="AY32" s="73"/>
      <c r="AZ32" s="72"/>
      <c r="BA32" s="73"/>
      <c r="BB32" s="72"/>
      <c r="BC32" s="73"/>
      <c r="BD32" s="72"/>
      <c r="BE32" s="73"/>
      <c r="BF32" s="71"/>
      <c r="BG32" s="83"/>
      <c r="BH32" s="72"/>
      <c r="BI32" s="73"/>
      <c r="BJ32" s="28">
        <f t="shared" si="1"/>
        <v>0</v>
      </c>
      <c r="BK32" s="29">
        <f t="shared" si="2"/>
        <v>0</v>
      </c>
    </row>
    <row r="33" spans="1:63" ht="15.75" x14ac:dyDescent="0.25">
      <c r="A33" s="18"/>
      <c r="B33" s="18"/>
      <c r="C33" s="18"/>
      <c r="D33" s="689" t="s">
        <v>20</v>
      </c>
      <c r="E33" s="784"/>
      <c r="F33" s="72"/>
      <c r="G33" s="73"/>
      <c r="H33" s="72"/>
      <c r="I33" s="73"/>
      <c r="J33" s="72"/>
      <c r="K33" s="73"/>
      <c r="L33" s="72"/>
      <c r="M33" s="73"/>
      <c r="N33" s="71"/>
      <c r="O33" s="83"/>
      <c r="P33" s="71"/>
      <c r="Q33" s="83"/>
      <c r="R33" s="72"/>
      <c r="S33" s="73"/>
      <c r="T33" s="72"/>
      <c r="U33" s="73"/>
      <c r="V33" s="72"/>
      <c r="W33" s="73"/>
      <c r="X33" s="72"/>
      <c r="Y33" s="73"/>
      <c r="Z33" s="72"/>
      <c r="AA33" s="73"/>
      <c r="AB33" s="71"/>
      <c r="AC33" s="83"/>
      <c r="AD33" s="72"/>
      <c r="AE33" s="73"/>
      <c r="AF33" s="72"/>
      <c r="AG33" s="73"/>
      <c r="AH33" s="72"/>
      <c r="AI33" s="73"/>
      <c r="AJ33" s="72"/>
      <c r="AK33" s="73"/>
      <c r="AL33" s="72"/>
      <c r="AM33" s="73"/>
      <c r="AN33" s="72"/>
      <c r="AO33" s="73"/>
      <c r="AP33" s="71"/>
      <c r="AQ33" s="83"/>
      <c r="AR33" s="72"/>
      <c r="AS33" s="73"/>
      <c r="AT33" s="72"/>
      <c r="AU33" s="73"/>
      <c r="AV33" s="72"/>
      <c r="AW33" s="73"/>
      <c r="AX33" s="72"/>
      <c r="AY33" s="73"/>
      <c r="AZ33" s="72"/>
      <c r="BA33" s="73"/>
      <c r="BB33" s="72"/>
      <c r="BC33" s="73"/>
      <c r="BD33" s="72"/>
      <c r="BE33" s="73"/>
      <c r="BF33" s="71"/>
      <c r="BG33" s="83"/>
      <c r="BH33" s="72"/>
      <c r="BI33" s="73"/>
      <c r="BJ33" s="28">
        <f t="shared" si="1"/>
        <v>0</v>
      </c>
      <c r="BK33" s="29">
        <f t="shared" si="2"/>
        <v>0</v>
      </c>
    </row>
    <row r="34" spans="1:63" ht="15.75" x14ac:dyDescent="0.25">
      <c r="A34" s="18"/>
      <c r="B34" s="18"/>
      <c r="C34" s="18"/>
      <c r="D34" s="689" t="s">
        <v>21</v>
      </c>
      <c r="E34" s="784"/>
      <c r="F34" s="72"/>
      <c r="G34" s="73"/>
      <c r="H34" s="72"/>
      <c r="I34" s="73"/>
      <c r="J34" s="72"/>
      <c r="K34" s="73"/>
      <c r="L34" s="72"/>
      <c r="M34" s="73"/>
      <c r="N34" s="71"/>
      <c r="O34" s="83"/>
      <c r="P34" s="71"/>
      <c r="Q34" s="83"/>
      <c r="R34" s="72"/>
      <c r="S34" s="73"/>
      <c r="T34" s="72"/>
      <c r="U34" s="73"/>
      <c r="V34" s="72"/>
      <c r="W34" s="73"/>
      <c r="X34" s="72"/>
      <c r="Y34" s="73"/>
      <c r="Z34" s="72"/>
      <c r="AA34" s="73"/>
      <c r="AB34" s="71"/>
      <c r="AC34" s="83"/>
      <c r="AD34" s="72"/>
      <c r="AE34" s="73"/>
      <c r="AF34" s="72"/>
      <c r="AG34" s="73"/>
      <c r="AH34" s="72"/>
      <c r="AI34" s="73"/>
      <c r="AJ34" s="72"/>
      <c r="AK34" s="73"/>
      <c r="AL34" s="72"/>
      <c r="AM34" s="73"/>
      <c r="AN34" s="72"/>
      <c r="AO34" s="73"/>
      <c r="AP34" s="71"/>
      <c r="AQ34" s="83"/>
      <c r="AR34" s="72"/>
      <c r="AS34" s="73"/>
      <c r="AT34" s="72"/>
      <c r="AU34" s="73"/>
      <c r="AV34" s="72"/>
      <c r="AW34" s="73"/>
      <c r="AX34" s="72"/>
      <c r="AY34" s="73"/>
      <c r="AZ34" s="72"/>
      <c r="BA34" s="73"/>
      <c r="BB34" s="72"/>
      <c r="BC34" s="73"/>
      <c r="BD34" s="72"/>
      <c r="BE34" s="73"/>
      <c r="BF34" s="71"/>
      <c r="BG34" s="83"/>
      <c r="BH34" s="72"/>
      <c r="BI34" s="73"/>
      <c r="BJ34" s="28">
        <f t="shared" si="1"/>
        <v>0</v>
      </c>
      <c r="BK34" s="29">
        <f t="shared" si="2"/>
        <v>0</v>
      </c>
    </row>
    <row r="35" spans="1:63" ht="15.75" x14ac:dyDescent="0.25">
      <c r="A35" s="18"/>
      <c r="B35" s="18"/>
      <c r="C35" s="18"/>
      <c r="D35" s="689" t="s">
        <v>23</v>
      </c>
      <c r="E35" s="784"/>
      <c r="F35" s="72"/>
      <c r="G35" s="73"/>
      <c r="H35" s="72"/>
      <c r="I35" s="73"/>
      <c r="J35" s="72"/>
      <c r="K35" s="73"/>
      <c r="L35" s="72"/>
      <c r="M35" s="73"/>
      <c r="N35" s="71"/>
      <c r="O35" s="83"/>
      <c r="P35" s="71"/>
      <c r="Q35" s="83"/>
      <c r="R35" s="72"/>
      <c r="S35" s="73"/>
      <c r="T35" s="72"/>
      <c r="U35" s="73"/>
      <c r="V35" s="72"/>
      <c r="W35" s="73"/>
      <c r="X35" s="72"/>
      <c r="Y35" s="73"/>
      <c r="Z35" s="72"/>
      <c r="AA35" s="73"/>
      <c r="AB35" s="71"/>
      <c r="AC35" s="83"/>
      <c r="AD35" s="72"/>
      <c r="AE35" s="73"/>
      <c r="AF35" s="72"/>
      <c r="AG35" s="73"/>
      <c r="AH35" s="72"/>
      <c r="AI35" s="73"/>
      <c r="AJ35" s="72"/>
      <c r="AK35" s="73"/>
      <c r="AL35" s="72"/>
      <c r="AM35" s="73"/>
      <c r="AN35" s="72"/>
      <c r="AO35" s="73"/>
      <c r="AP35" s="71"/>
      <c r="AQ35" s="83"/>
      <c r="AR35" s="72"/>
      <c r="AS35" s="73"/>
      <c r="AT35" s="72"/>
      <c r="AU35" s="73"/>
      <c r="AV35" s="72"/>
      <c r="AW35" s="73"/>
      <c r="AX35" s="72"/>
      <c r="AY35" s="73"/>
      <c r="AZ35" s="72"/>
      <c r="BA35" s="73"/>
      <c r="BB35" s="72"/>
      <c r="BC35" s="73"/>
      <c r="BD35" s="72"/>
      <c r="BE35" s="73"/>
      <c r="BF35" s="71"/>
      <c r="BG35" s="83"/>
      <c r="BH35" s="72"/>
      <c r="BI35" s="73"/>
      <c r="BJ35" s="28">
        <f t="shared" si="1"/>
        <v>0</v>
      </c>
      <c r="BK35" s="29">
        <f t="shared" si="2"/>
        <v>0</v>
      </c>
    </row>
    <row r="36" spans="1:63" ht="15.75" x14ac:dyDescent="0.25">
      <c r="A36" s="18"/>
      <c r="B36" s="18"/>
      <c r="C36" s="18"/>
      <c r="D36" s="689"/>
      <c r="E36" s="784"/>
      <c r="F36" s="72"/>
      <c r="G36" s="73"/>
      <c r="H36" s="72"/>
      <c r="I36" s="73"/>
      <c r="J36" s="72"/>
      <c r="K36" s="73"/>
      <c r="L36" s="72"/>
      <c r="M36" s="73"/>
      <c r="N36" s="71"/>
      <c r="O36" s="83"/>
      <c r="P36" s="71"/>
      <c r="Q36" s="83"/>
      <c r="R36" s="72"/>
      <c r="S36" s="73"/>
      <c r="T36" s="72"/>
      <c r="U36" s="73"/>
      <c r="V36" s="72"/>
      <c r="W36" s="73"/>
      <c r="X36" s="72"/>
      <c r="Y36" s="73"/>
      <c r="Z36" s="72"/>
      <c r="AA36" s="73"/>
      <c r="AB36" s="71"/>
      <c r="AC36" s="83"/>
      <c r="AD36" s="72"/>
      <c r="AE36" s="73"/>
      <c r="AF36" s="72"/>
      <c r="AG36" s="73"/>
      <c r="AH36" s="72"/>
      <c r="AI36" s="73"/>
      <c r="AJ36" s="72"/>
      <c r="AK36" s="73"/>
      <c r="AL36" s="72"/>
      <c r="AM36" s="73"/>
      <c r="AN36" s="72"/>
      <c r="AO36" s="73"/>
      <c r="AP36" s="71"/>
      <c r="AQ36" s="83"/>
      <c r="AR36" s="72"/>
      <c r="AS36" s="73"/>
      <c r="AT36" s="72"/>
      <c r="AU36" s="73"/>
      <c r="AV36" s="72"/>
      <c r="AW36" s="73"/>
      <c r="AX36" s="72"/>
      <c r="AY36" s="73"/>
      <c r="AZ36" s="72"/>
      <c r="BA36" s="73"/>
      <c r="BB36" s="72"/>
      <c r="BC36" s="73"/>
      <c r="BD36" s="72"/>
      <c r="BE36" s="73"/>
      <c r="BF36" s="71"/>
      <c r="BG36" s="83"/>
      <c r="BH36" s="72"/>
      <c r="BI36" s="73"/>
      <c r="BJ36" s="28">
        <f t="shared" si="1"/>
        <v>0</v>
      </c>
      <c r="BK36" s="29">
        <f t="shared" si="2"/>
        <v>0</v>
      </c>
    </row>
    <row r="37" spans="1:63" ht="30.75" customHeight="1" x14ac:dyDescent="0.25">
      <c r="A37" s="18"/>
      <c r="B37" s="18"/>
      <c r="C37" s="18"/>
      <c r="D37" s="691" t="s">
        <v>24</v>
      </c>
      <c r="E37" s="785"/>
      <c r="F37" s="71">
        <f>SUM(F38:F115)</f>
        <v>0</v>
      </c>
      <c r="G37" s="77">
        <f>SUM(G38:G115)</f>
        <v>0</v>
      </c>
      <c r="H37" s="71">
        <f t="shared" ref="H37:BI37" si="4">SUM(H38:H115)</f>
        <v>0</v>
      </c>
      <c r="I37" s="77">
        <f t="shared" si="4"/>
        <v>0</v>
      </c>
      <c r="J37" s="71">
        <f t="shared" si="4"/>
        <v>0</v>
      </c>
      <c r="K37" s="77">
        <f t="shared" si="4"/>
        <v>0</v>
      </c>
      <c r="L37" s="71">
        <f t="shared" si="4"/>
        <v>0</v>
      </c>
      <c r="M37" s="77">
        <f t="shared" si="4"/>
        <v>0</v>
      </c>
      <c r="N37" s="71">
        <f t="shared" si="4"/>
        <v>0</v>
      </c>
      <c r="O37" s="83">
        <f t="shared" si="4"/>
        <v>0</v>
      </c>
      <c r="P37" s="71">
        <f t="shared" si="4"/>
        <v>0</v>
      </c>
      <c r="Q37" s="83">
        <f t="shared" si="4"/>
        <v>0</v>
      </c>
      <c r="R37" s="71">
        <f t="shared" si="4"/>
        <v>0</v>
      </c>
      <c r="S37" s="77"/>
      <c r="T37" s="71"/>
      <c r="U37" s="77"/>
      <c r="V37" s="71"/>
      <c r="W37" s="77"/>
      <c r="X37" s="71"/>
      <c r="Y37" s="77"/>
      <c r="Z37" s="71"/>
      <c r="AA37" s="77"/>
      <c r="AB37" s="71"/>
      <c r="AC37" s="83"/>
      <c r="AD37" s="71"/>
      <c r="AE37" s="77"/>
      <c r="AF37" s="71"/>
      <c r="AG37" s="77"/>
      <c r="AH37" s="71"/>
      <c r="AI37" s="77"/>
      <c r="AJ37" s="71"/>
      <c r="AK37" s="77"/>
      <c r="AL37" s="71"/>
      <c r="AM37" s="77"/>
      <c r="AN37" s="71"/>
      <c r="AO37" s="77"/>
      <c r="AP37" s="71">
        <f t="shared" si="4"/>
        <v>0</v>
      </c>
      <c r="AQ37" s="83">
        <f t="shared" si="4"/>
        <v>0</v>
      </c>
      <c r="AR37" s="71">
        <f t="shared" si="4"/>
        <v>0</v>
      </c>
      <c r="AS37" s="77">
        <f t="shared" si="4"/>
        <v>0</v>
      </c>
      <c r="AT37" s="71">
        <f t="shared" si="4"/>
        <v>0</v>
      </c>
      <c r="AU37" s="77">
        <f t="shared" si="4"/>
        <v>0</v>
      </c>
      <c r="AV37" s="71">
        <f t="shared" si="4"/>
        <v>0</v>
      </c>
      <c r="AW37" s="77">
        <f t="shared" si="4"/>
        <v>0</v>
      </c>
      <c r="AX37" s="71">
        <f t="shared" si="4"/>
        <v>0</v>
      </c>
      <c r="AY37" s="77">
        <f t="shared" si="4"/>
        <v>0</v>
      </c>
      <c r="AZ37" s="71">
        <f t="shared" si="4"/>
        <v>0</v>
      </c>
      <c r="BA37" s="77">
        <f t="shared" si="4"/>
        <v>0</v>
      </c>
      <c r="BB37" s="71">
        <f t="shared" si="4"/>
        <v>0</v>
      </c>
      <c r="BC37" s="77">
        <f t="shared" si="4"/>
        <v>0</v>
      </c>
      <c r="BD37" s="71">
        <f t="shared" si="4"/>
        <v>0</v>
      </c>
      <c r="BE37" s="77">
        <f t="shared" si="4"/>
        <v>0</v>
      </c>
      <c r="BF37" s="71">
        <f t="shared" si="4"/>
        <v>0</v>
      </c>
      <c r="BG37" s="83">
        <f t="shared" si="4"/>
        <v>0</v>
      </c>
      <c r="BH37" s="71">
        <f t="shared" si="4"/>
        <v>0</v>
      </c>
      <c r="BI37" s="77">
        <f t="shared" si="4"/>
        <v>0</v>
      </c>
      <c r="BJ37" s="28">
        <f t="shared" ref="BJ37:BJ68" si="5">SUM(F37:BI37)</f>
        <v>0</v>
      </c>
      <c r="BK37" s="29">
        <f t="shared" ref="BK37:BK68" si="6">COUNT(F37:BI37)</f>
        <v>33</v>
      </c>
    </row>
    <row r="38" spans="1:63" ht="16.5" customHeight="1" x14ac:dyDescent="0.35">
      <c r="A38" s="20"/>
      <c r="B38" s="20"/>
      <c r="C38" s="78">
        <f>SUM(BJ39:BJ58)</f>
        <v>0</v>
      </c>
      <c r="D38" s="685" t="s">
        <v>25</v>
      </c>
      <c r="E38" s="753"/>
      <c r="F38" s="79"/>
      <c r="G38" s="80"/>
      <c r="H38" s="79"/>
      <c r="I38" s="80"/>
      <c r="J38" s="79"/>
      <c r="K38" s="80"/>
      <c r="L38" s="79"/>
      <c r="M38" s="80"/>
      <c r="N38" s="71"/>
      <c r="O38" s="83"/>
      <c r="P38" s="71"/>
      <c r="Q38" s="83"/>
      <c r="R38" s="79"/>
      <c r="S38" s="80"/>
      <c r="T38" s="79"/>
      <c r="U38" s="80"/>
      <c r="V38" s="79"/>
      <c r="W38" s="80"/>
      <c r="X38" s="79"/>
      <c r="Y38" s="80"/>
      <c r="Z38" s="79"/>
      <c r="AA38" s="80"/>
      <c r="AB38" s="71"/>
      <c r="AC38" s="83"/>
      <c r="AD38" s="79"/>
      <c r="AE38" s="80"/>
      <c r="AF38" s="79"/>
      <c r="AG38" s="80"/>
      <c r="AH38" s="79"/>
      <c r="AI38" s="80"/>
      <c r="AJ38" s="79"/>
      <c r="AK38" s="80"/>
      <c r="AL38" s="79"/>
      <c r="AM38" s="80"/>
      <c r="AN38" s="79"/>
      <c r="AO38" s="80"/>
      <c r="AP38" s="71"/>
      <c r="AQ38" s="83"/>
      <c r="AR38" s="79"/>
      <c r="AS38" s="80"/>
      <c r="AT38" s="79"/>
      <c r="AU38" s="80"/>
      <c r="AV38" s="79"/>
      <c r="AW38" s="80"/>
      <c r="AX38" s="79"/>
      <c r="AY38" s="80"/>
      <c r="AZ38" s="79"/>
      <c r="BA38" s="80"/>
      <c r="BB38" s="79"/>
      <c r="BC38" s="80"/>
      <c r="BD38" s="79"/>
      <c r="BE38" s="80"/>
      <c r="BF38" s="71"/>
      <c r="BG38" s="83"/>
      <c r="BH38" s="79"/>
      <c r="BI38" s="80"/>
      <c r="BJ38" s="28">
        <f t="shared" si="5"/>
        <v>0</v>
      </c>
      <c r="BK38" s="29">
        <f t="shared" si="6"/>
        <v>0</v>
      </c>
    </row>
    <row r="39" spans="1:63" ht="16.5" customHeight="1" x14ac:dyDescent="0.35">
      <c r="A39" s="20"/>
      <c r="B39" s="81" t="s">
        <v>26</v>
      </c>
      <c r="C39" s="20" t="s">
        <v>27</v>
      </c>
      <c r="D39" s="683" t="s">
        <v>28</v>
      </c>
      <c r="E39" s="782"/>
      <c r="F39" s="79"/>
      <c r="G39" s="80"/>
      <c r="H39" s="79"/>
      <c r="I39" s="80"/>
      <c r="J39" s="79"/>
      <c r="K39" s="80"/>
      <c r="L39" s="79"/>
      <c r="M39" s="80"/>
      <c r="N39" s="71"/>
      <c r="O39" s="83"/>
      <c r="P39" s="71"/>
      <c r="Q39" s="83"/>
      <c r="R39" s="79"/>
      <c r="S39" s="80"/>
      <c r="T39" s="79"/>
      <c r="U39" s="80"/>
      <c r="V39" s="79"/>
      <c r="W39" s="80"/>
      <c r="X39" s="79"/>
      <c r="Y39" s="80"/>
      <c r="Z39" s="79"/>
      <c r="AA39" s="80"/>
      <c r="AB39" s="71"/>
      <c r="AC39" s="83"/>
      <c r="AD39" s="79"/>
      <c r="AE39" s="80"/>
      <c r="AF39" s="79"/>
      <c r="AG39" s="80"/>
      <c r="AH39" s="79"/>
      <c r="AI39" s="80"/>
      <c r="AJ39" s="79"/>
      <c r="AK39" s="80"/>
      <c r="AL39" s="79"/>
      <c r="AM39" s="80"/>
      <c r="AN39" s="79"/>
      <c r="AO39" s="80"/>
      <c r="AP39" s="71"/>
      <c r="AQ39" s="83"/>
      <c r="AR39" s="79"/>
      <c r="AS39" s="80"/>
      <c r="AT39" s="79"/>
      <c r="AU39" s="80"/>
      <c r="AV39" s="79"/>
      <c r="AW39" s="80"/>
      <c r="AX39" s="79"/>
      <c r="AY39" s="80"/>
      <c r="AZ39" s="79"/>
      <c r="BA39" s="80"/>
      <c r="BB39" s="79"/>
      <c r="BC39" s="80"/>
      <c r="BD39" s="79"/>
      <c r="BE39" s="80"/>
      <c r="BF39" s="71"/>
      <c r="BG39" s="83"/>
      <c r="BH39" s="79"/>
      <c r="BI39" s="80"/>
      <c r="BJ39" s="28">
        <f t="shared" si="5"/>
        <v>0</v>
      </c>
      <c r="BK39" s="29">
        <f t="shared" si="6"/>
        <v>0</v>
      </c>
    </row>
    <row r="40" spans="1:63" ht="15" customHeight="1" x14ac:dyDescent="0.35">
      <c r="A40" s="24"/>
      <c r="B40" s="81" t="s">
        <v>29</v>
      </c>
      <c r="C40" s="24" t="s">
        <v>30</v>
      </c>
      <c r="D40" s="683" t="s">
        <v>31</v>
      </c>
      <c r="E40" s="782"/>
      <c r="F40" s="79"/>
      <c r="G40" s="80"/>
      <c r="H40" s="79"/>
      <c r="I40" s="80"/>
      <c r="J40" s="79"/>
      <c r="K40" s="80"/>
      <c r="L40" s="79"/>
      <c r="M40" s="80"/>
      <c r="N40" s="71"/>
      <c r="O40" s="83"/>
      <c r="P40" s="71"/>
      <c r="Q40" s="83"/>
      <c r="R40" s="79"/>
      <c r="S40" s="80"/>
      <c r="T40" s="79"/>
      <c r="U40" s="80"/>
      <c r="V40" s="79"/>
      <c r="W40" s="80"/>
      <c r="X40" s="79"/>
      <c r="Y40" s="80"/>
      <c r="Z40" s="79"/>
      <c r="AA40" s="80"/>
      <c r="AB40" s="71"/>
      <c r="AC40" s="83"/>
      <c r="AD40" s="79"/>
      <c r="AE40" s="80"/>
      <c r="AF40" s="79"/>
      <c r="AG40" s="80"/>
      <c r="AH40" s="79"/>
      <c r="AI40" s="80"/>
      <c r="AJ40" s="79"/>
      <c r="AK40" s="80"/>
      <c r="AL40" s="79"/>
      <c r="AM40" s="80"/>
      <c r="AN40" s="79"/>
      <c r="AO40" s="80"/>
      <c r="AP40" s="71"/>
      <c r="AQ40" s="83"/>
      <c r="AR40" s="79"/>
      <c r="AS40" s="80"/>
      <c r="AT40" s="79"/>
      <c r="AU40" s="80"/>
      <c r="AV40" s="79"/>
      <c r="AW40" s="80"/>
      <c r="AX40" s="79"/>
      <c r="AY40" s="80"/>
      <c r="AZ40" s="79"/>
      <c r="BA40" s="80"/>
      <c r="BB40" s="79"/>
      <c r="BC40" s="80"/>
      <c r="BD40" s="79"/>
      <c r="BE40" s="80"/>
      <c r="BF40" s="71"/>
      <c r="BG40" s="83"/>
      <c r="BH40" s="79"/>
      <c r="BI40" s="80"/>
      <c r="BJ40" s="28">
        <f t="shared" si="5"/>
        <v>0</v>
      </c>
      <c r="BK40" s="29">
        <f t="shared" si="6"/>
        <v>0</v>
      </c>
    </row>
    <row r="41" spans="1:63" ht="15" customHeight="1" x14ac:dyDescent="0.35">
      <c r="A41" s="24"/>
      <c r="B41" s="81" t="s">
        <v>26</v>
      </c>
      <c r="C41" s="24" t="s">
        <v>32</v>
      </c>
      <c r="D41" s="683" t="s">
        <v>33</v>
      </c>
      <c r="E41" s="782"/>
      <c r="F41" s="79"/>
      <c r="G41" s="80"/>
      <c r="H41" s="79"/>
      <c r="I41" s="80"/>
      <c r="J41" s="79"/>
      <c r="K41" s="80"/>
      <c r="L41" s="79"/>
      <c r="M41" s="80"/>
      <c r="N41" s="71"/>
      <c r="O41" s="83"/>
      <c r="P41" s="71"/>
      <c r="Q41" s="83"/>
      <c r="R41" s="79"/>
      <c r="S41" s="80"/>
      <c r="T41" s="79"/>
      <c r="U41" s="80"/>
      <c r="V41" s="79"/>
      <c r="W41" s="80"/>
      <c r="X41" s="79"/>
      <c r="Y41" s="80"/>
      <c r="Z41" s="79"/>
      <c r="AA41" s="80"/>
      <c r="AB41" s="71"/>
      <c r="AC41" s="83"/>
      <c r="AD41" s="79"/>
      <c r="AE41" s="80"/>
      <c r="AF41" s="79"/>
      <c r="AG41" s="80"/>
      <c r="AH41" s="79"/>
      <c r="AI41" s="80"/>
      <c r="AJ41" s="79"/>
      <c r="AK41" s="80"/>
      <c r="AL41" s="79"/>
      <c r="AM41" s="80"/>
      <c r="AN41" s="79"/>
      <c r="AO41" s="80"/>
      <c r="AP41" s="71"/>
      <c r="AQ41" s="83"/>
      <c r="AR41" s="79"/>
      <c r="AS41" s="80"/>
      <c r="AT41" s="79"/>
      <c r="AU41" s="80"/>
      <c r="AV41" s="79"/>
      <c r="AW41" s="80"/>
      <c r="AX41" s="79"/>
      <c r="AY41" s="80"/>
      <c r="AZ41" s="79"/>
      <c r="BA41" s="80"/>
      <c r="BB41" s="79"/>
      <c r="BC41" s="80"/>
      <c r="BD41" s="79"/>
      <c r="BE41" s="80"/>
      <c r="BF41" s="71"/>
      <c r="BG41" s="83"/>
      <c r="BH41" s="79"/>
      <c r="BI41" s="80"/>
      <c r="BJ41" s="28">
        <f t="shared" si="5"/>
        <v>0</v>
      </c>
      <c r="BK41" s="29">
        <f t="shared" si="6"/>
        <v>0</v>
      </c>
    </row>
    <row r="42" spans="1:63" ht="15" customHeight="1" x14ac:dyDescent="0.35">
      <c r="A42" s="24"/>
      <c r="B42" s="81" t="s">
        <v>26</v>
      </c>
      <c r="C42" s="24" t="s">
        <v>34</v>
      </c>
      <c r="D42" s="683" t="s">
        <v>35</v>
      </c>
      <c r="E42" s="782"/>
      <c r="F42" s="79"/>
      <c r="G42" s="80"/>
      <c r="H42" s="79"/>
      <c r="I42" s="80"/>
      <c r="J42" s="79"/>
      <c r="K42" s="80"/>
      <c r="L42" s="79"/>
      <c r="M42" s="80"/>
      <c r="N42" s="71"/>
      <c r="O42" s="83"/>
      <c r="P42" s="71"/>
      <c r="Q42" s="83"/>
      <c r="R42" s="79"/>
      <c r="S42" s="80"/>
      <c r="T42" s="79"/>
      <c r="U42" s="80"/>
      <c r="V42" s="79"/>
      <c r="W42" s="80"/>
      <c r="X42" s="79"/>
      <c r="Y42" s="80"/>
      <c r="Z42" s="79"/>
      <c r="AA42" s="80"/>
      <c r="AB42" s="71"/>
      <c r="AC42" s="83"/>
      <c r="AD42" s="79"/>
      <c r="AE42" s="80"/>
      <c r="AF42" s="79"/>
      <c r="AG42" s="80"/>
      <c r="AH42" s="79"/>
      <c r="AI42" s="80"/>
      <c r="AJ42" s="79"/>
      <c r="AK42" s="80"/>
      <c r="AL42" s="79"/>
      <c r="AM42" s="80"/>
      <c r="AN42" s="79"/>
      <c r="AO42" s="80"/>
      <c r="AP42" s="71"/>
      <c r="AQ42" s="83"/>
      <c r="AR42" s="79"/>
      <c r="AS42" s="80"/>
      <c r="AT42" s="79"/>
      <c r="AU42" s="80"/>
      <c r="AV42" s="79"/>
      <c r="AW42" s="80"/>
      <c r="AX42" s="79"/>
      <c r="AY42" s="80"/>
      <c r="AZ42" s="79"/>
      <c r="BA42" s="80"/>
      <c r="BB42" s="79"/>
      <c r="BC42" s="80"/>
      <c r="BD42" s="79"/>
      <c r="BE42" s="80"/>
      <c r="BF42" s="71"/>
      <c r="BG42" s="83"/>
      <c r="BH42" s="79"/>
      <c r="BI42" s="80"/>
      <c r="BJ42" s="28">
        <f t="shared" si="5"/>
        <v>0</v>
      </c>
      <c r="BK42" s="29">
        <f t="shared" si="6"/>
        <v>0</v>
      </c>
    </row>
    <row r="43" spans="1:63" ht="15" customHeight="1" x14ac:dyDescent="0.35">
      <c r="A43" s="24"/>
      <c r="B43" s="81" t="s">
        <v>26</v>
      </c>
      <c r="C43" s="24" t="s">
        <v>36</v>
      </c>
      <c r="D43" s="683" t="s">
        <v>37</v>
      </c>
      <c r="E43" s="782"/>
      <c r="F43" s="79"/>
      <c r="G43" s="80"/>
      <c r="H43" s="79"/>
      <c r="I43" s="80"/>
      <c r="J43" s="79"/>
      <c r="K43" s="80"/>
      <c r="L43" s="79"/>
      <c r="M43" s="80"/>
      <c r="N43" s="71"/>
      <c r="O43" s="83"/>
      <c r="P43" s="71"/>
      <c r="Q43" s="83"/>
      <c r="R43" s="79"/>
      <c r="S43" s="80"/>
      <c r="T43" s="79"/>
      <c r="U43" s="80"/>
      <c r="V43" s="79"/>
      <c r="W43" s="80"/>
      <c r="X43" s="79"/>
      <c r="Y43" s="80"/>
      <c r="Z43" s="79"/>
      <c r="AA43" s="80"/>
      <c r="AB43" s="71"/>
      <c r="AC43" s="83"/>
      <c r="AD43" s="79"/>
      <c r="AE43" s="80"/>
      <c r="AF43" s="79"/>
      <c r="AG43" s="80"/>
      <c r="AH43" s="79"/>
      <c r="AI43" s="80"/>
      <c r="AJ43" s="79"/>
      <c r="AK43" s="80"/>
      <c r="AL43" s="79"/>
      <c r="AM43" s="80"/>
      <c r="AN43" s="79"/>
      <c r="AO43" s="80"/>
      <c r="AP43" s="71"/>
      <c r="AQ43" s="83"/>
      <c r="AR43" s="79"/>
      <c r="AS43" s="80"/>
      <c r="AT43" s="79"/>
      <c r="AU43" s="80"/>
      <c r="AV43" s="79"/>
      <c r="AW43" s="80"/>
      <c r="AX43" s="79"/>
      <c r="AY43" s="80"/>
      <c r="AZ43" s="79"/>
      <c r="BA43" s="80"/>
      <c r="BB43" s="79"/>
      <c r="BC43" s="80"/>
      <c r="BD43" s="79"/>
      <c r="BE43" s="80"/>
      <c r="BF43" s="71"/>
      <c r="BG43" s="83"/>
      <c r="BH43" s="79"/>
      <c r="BI43" s="80"/>
      <c r="BJ43" s="28">
        <f t="shared" si="5"/>
        <v>0</v>
      </c>
      <c r="BK43" s="29">
        <f t="shared" si="6"/>
        <v>0</v>
      </c>
    </row>
    <row r="44" spans="1:63" ht="15" customHeight="1" x14ac:dyDescent="0.35">
      <c r="A44" s="24"/>
      <c r="B44" s="81" t="s">
        <v>26</v>
      </c>
      <c r="C44" s="20" t="s">
        <v>38</v>
      </c>
      <c r="D44" s="683" t="s">
        <v>39</v>
      </c>
      <c r="E44" s="782"/>
      <c r="F44" s="79"/>
      <c r="G44" s="80"/>
      <c r="H44" s="79"/>
      <c r="I44" s="80"/>
      <c r="J44" s="79"/>
      <c r="K44" s="80"/>
      <c r="L44" s="79"/>
      <c r="M44" s="80"/>
      <c r="N44" s="71"/>
      <c r="O44" s="83"/>
      <c r="P44" s="71"/>
      <c r="Q44" s="83"/>
      <c r="R44" s="79"/>
      <c r="S44" s="80"/>
      <c r="T44" s="79"/>
      <c r="U44" s="80"/>
      <c r="V44" s="79"/>
      <c r="W44" s="80"/>
      <c r="X44" s="79"/>
      <c r="Y44" s="80"/>
      <c r="Z44" s="79"/>
      <c r="AA44" s="80"/>
      <c r="AB44" s="71"/>
      <c r="AC44" s="83"/>
      <c r="AD44" s="79"/>
      <c r="AE44" s="80"/>
      <c r="AF44" s="79"/>
      <c r="AG44" s="80"/>
      <c r="AH44" s="79"/>
      <c r="AI44" s="80"/>
      <c r="AJ44" s="79"/>
      <c r="AK44" s="80"/>
      <c r="AL44" s="79"/>
      <c r="AM44" s="80"/>
      <c r="AN44" s="79"/>
      <c r="AO44" s="80"/>
      <c r="AP44" s="71"/>
      <c r="AQ44" s="83"/>
      <c r="AR44" s="79"/>
      <c r="AS44" s="80"/>
      <c r="AT44" s="79"/>
      <c r="AU44" s="80"/>
      <c r="AV44" s="79"/>
      <c r="AW44" s="80"/>
      <c r="AX44" s="79"/>
      <c r="AY44" s="80"/>
      <c r="AZ44" s="79"/>
      <c r="BA44" s="80"/>
      <c r="BB44" s="79"/>
      <c r="BC44" s="80"/>
      <c r="BD44" s="79"/>
      <c r="BE44" s="80"/>
      <c r="BF44" s="71"/>
      <c r="BG44" s="83"/>
      <c r="BH44" s="79"/>
      <c r="BI44" s="80"/>
      <c r="BJ44" s="28">
        <f t="shared" si="5"/>
        <v>0</v>
      </c>
      <c r="BK44" s="29">
        <f t="shared" si="6"/>
        <v>0</v>
      </c>
    </row>
    <row r="45" spans="1:63" ht="15" customHeight="1" x14ac:dyDescent="0.35">
      <c r="A45" s="24"/>
      <c r="B45" s="81" t="s">
        <v>26</v>
      </c>
      <c r="C45" s="24" t="s">
        <v>40</v>
      </c>
      <c r="D45" s="683" t="s">
        <v>41</v>
      </c>
      <c r="E45" s="782"/>
      <c r="F45" s="79"/>
      <c r="G45" s="80"/>
      <c r="H45" s="79"/>
      <c r="I45" s="80"/>
      <c r="J45" s="79"/>
      <c r="K45" s="80"/>
      <c r="L45" s="79"/>
      <c r="M45" s="80"/>
      <c r="N45" s="71"/>
      <c r="O45" s="83"/>
      <c r="P45" s="71"/>
      <c r="Q45" s="83"/>
      <c r="R45" s="79"/>
      <c r="S45" s="80"/>
      <c r="T45" s="79"/>
      <c r="U45" s="80"/>
      <c r="V45" s="79"/>
      <c r="W45" s="80"/>
      <c r="X45" s="79"/>
      <c r="Y45" s="80"/>
      <c r="Z45" s="79"/>
      <c r="AA45" s="80"/>
      <c r="AB45" s="71"/>
      <c r="AC45" s="83"/>
      <c r="AD45" s="79"/>
      <c r="AE45" s="80"/>
      <c r="AF45" s="79"/>
      <c r="AG45" s="80"/>
      <c r="AH45" s="79"/>
      <c r="AI45" s="80"/>
      <c r="AJ45" s="79"/>
      <c r="AK45" s="80"/>
      <c r="AL45" s="79"/>
      <c r="AM45" s="80"/>
      <c r="AN45" s="79"/>
      <c r="AO45" s="80"/>
      <c r="AP45" s="71"/>
      <c r="AQ45" s="83"/>
      <c r="AR45" s="79"/>
      <c r="AS45" s="80"/>
      <c r="AT45" s="79"/>
      <c r="AU45" s="80"/>
      <c r="AV45" s="79"/>
      <c r="AW45" s="80"/>
      <c r="AX45" s="79"/>
      <c r="AY45" s="80"/>
      <c r="AZ45" s="79"/>
      <c r="BA45" s="80"/>
      <c r="BB45" s="79"/>
      <c r="BC45" s="80"/>
      <c r="BD45" s="79"/>
      <c r="BE45" s="80"/>
      <c r="BF45" s="71"/>
      <c r="BG45" s="83"/>
      <c r="BH45" s="79"/>
      <c r="BI45" s="80"/>
      <c r="BJ45" s="28">
        <f t="shared" si="5"/>
        <v>0</v>
      </c>
      <c r="BK45" s="29">
        <f t="shared" si="6"/>
        <v>0</v>
      </c>
    </row>
    <row r="46" spans="1:63" ht="15" customHeight="1" x14ac:dyDescent="0.35">
      <c r="A46" s="24"/>
      <c r="B46" s="81" t="s">
        <v>26</v>
      </c>
      <c r="C46" s="20" t="s">
        <v>42</v>
      </c>
      <c r="D46" s="683" t="s">
        <v>43</v>
      </c>
      <c r="E46" s="782"/>
      <c r="F46" s="79"/>
      <c r="G46" s="80"/>
      <c r="H46" s="79"/>
      <c r="I46" s="80"/>
      <c r="J46" s="79"/>
      <c r="K46" s="80"/>
      <c r="L46" s="79"/>
      <c r="M46" s="80"/>
      <c r="N46" s="71"/>
      <c r="O46" s="83"/>
      <c r="P46" s="71"/>
      <c r="Q46" s="83"/>
      <c r="R46" s="79"/>
      <c r="S46" s="80"/>
      <c r="T46" s="79"/>
      <c r="U46" s="80"/>
      <c r="V46" s="79"/>
      <c r="W46" s="80"/>
      <c r="X46" s="79"/>
      <c r="Y46" s="80"/>
      <c r="Z46" s="79"/>
      <c r="AA46" s="80"/>
      <c r="AB46" s="71"/>
      <c r="AC46" s="83"/>
      <c r="AD46" s="79"/>
      <c r="AE46" s="80"/>
      <c r="AF46" s="79"/>
      <c r="AG46" s="80"/>
      <c r="AH46" s="79"/>
      <c r="AI46" s="80"/>
      <c r="AJ46" s="79"/>
      <c r="AK46" s="80"/>
      <c r="AL46" s="79"/>
      <c r="AM46" s="80"/>
      <c r="AN46" s="79"/>
      <c r="AO46" s="80"/>
      <c r="AP46" s="71"/>
      <c r="AQ46" s="83"/>
      <c r="AR46" s="79"/>
      <c r="AS46" s="80"/>
      <c r="AT46" s="79"/>
      <c r="AU46" s="80"/>
      <c r="AV46" s="79"/>
      <c r="AW46" s="80"/>
      <c r="AX46" s="79"/>
      <c r="AY46" s="80"/>
      <c r="AZ46" s="79"/>
      <c r="BA46" s="80"/>
      <c r="BB46" s="79"/>
      <c r="BC46" s="80"/>
      <c r="BD46" s="79"/>
      <c r="BE46" s="80"/>
      <c r="BF46" s="71"/>
      <c r="BG46" s="83"/>
      <c r="BH46" s="79"/>
      <c r="BI46" s="80"/>
      <c r="BJ46" s="28">
        <f t="shared" si="5"/>
        <v>0</v>
      </c>
      <c r="BK46" s="29">
        <f t="shared" si="6"/>
        <v>0</v>
      </c>
    </row>
    <row r="47" spans="1:63" ht="15" customHeight="1" x14ac:dyDescent="0.35">
      <c r="A47" s="24"/>
      <c r="B47" s="81" t="s">
        <v>44</v>
      </c>
      <c r="C47" s="24" t="s">
        <v>45</v>
      </c>
      <c r="D47" s="683" t="s">
        <v>43</v>
      </c>
      <c r="E47" s="782"/>
      <c r="F47" s="79"/>
      <c r="G47" s="80"/>
      <c r="H47" s="79"/>
      <c r="I47" s="80"/>
      <c r="J47" s="79"/>
      <c r="K47" s="80"/>
      <c r="L47" s="79"/>
      <c r="M47" s="80"/>
      <c r="N47" s="71"/>
      <c r="O47" s="83"/>
      <c r="P47" s="71"/>
      <c r="Q47" s="83"/>
      <c r="R47" s="79"/>
      <c r="S47" s="80"/>
      <c r="T47" s="79"/>
      <c r="U47" s="80"/>
      <c r="V47" s="79"/>
      <c r="W47" s="80"/>
      <c r="X47" s="79"/>
      <c r="Y47" s="80"/>
      <c r="Z47" s="79"/>
      <c r="AA47" s="80"/>
      <c r="AB47" s="71"/>
      <c r="AC47" s="83"/>
      <c r="AD47" s="79"/>
      <c r="AE47" s="80"/>
      <c r="AF47" s="79"/>
      <c r="AG47" s="80"/>
      <c r="AH47" s="79"/>
      <c r="AI47" s="80"/>
      <c r="AJ47" s="79"/>
      <c r="AK47" s="80"/>
      <c r="AL47" s="79"/>
      <c r="AM47" s="80"/>
      <c r="AN47" s="79"/>
      <c r="AO47" s="80"/>
      <c r="AP47" s="71"/>
      <c r="AQ47" s="83"/>
      <c r="AR47" s="79"/>
      <c r="AS47" s="80"/>
      <c r="AT47" s="79"/>
      <c r="AU47" s="80"/>
      <c r="AV47" s="79"/>
      <c r="AW47" s="80"/>
      <c r="AX47" s="79"/>
      <c r="AY47" s="80"/>
      <c r="AZ47" s="79"/>
      <c r="BA47" s="80"/>
      <c r="BB47" s="79"/>
      <c r="BC47" s="80"/>
      <c r="BD47" s="79"/>
      <c r="BE47" s="80"/>
      <c r="BF47" s="71"/>
      <c r="BG47" s="83"/>
      <c r="BH47" s="79"/>
      <c r="BI47" s="80"/>
      <c r="BJ47" s="28">
        <f t="shared" si="5"/>
        <v>0</v>
      </c>
      <c r="BK47" s="29">
        <f t="shared" si="6"/>
        <v>0</v>
      </c>
    </row>
    <row r="48" spans="1:63" ht="15" customHeight="1" x14ac:dyDescent="0.35">
      <c r="A48" s="24"/>
      <c r="B48" s="81" t="s">
        <v>46</v>
      </c>
      <c r="C48" s="24" t="s">
        <v>47</v>
      </c>
      <c r="D48" s="683" t="s">
        <v>48</v>
      </c>
      <c r="E48" s="782"/>
      <c r="F48" s="79"/>
      <c r="G48" s="80"/>
      <c r="H48" s="79"/>
      <c r="I48" s="80"/>
      <c r="J48" s="79"/>
      <c r="K48" s="80"/>
      <c r="L48" s="79"/>
      <c r="M48" s="80"/>
      <c r="N48" s="71"/>
      <c r="O48" s="83"/>
      <c r="P48" s="71"/>
      <c r="Q48" s="83"/>
      <c r="R48" s="79"/>
      <c r="S48" s="80"/>
      <c r="T48" s="79"/>
      <c r="U48" s="80"/>
      <c r="V48" s="79"/>
      <c r="W48" s="80"/>
      <c r="X48" s="79"/>
      <c r="Y48" s="80"/>
      <c r="Z48" s="79"/>
      <c r="AA48" s="80"/>
      <c r="AB48" s="71"/>
      <c r="AC48" s="83"/>
      <c r="AD48" s="79"/>
      <c r="AE48" s="80"/>
      <c r="AF48" s="79"/>
      <c r="AG48" s="80"/>
      <c r="AH48" s="79"/>
      <c r="AI48" s="80"/>
      <c r="AJ48" s="79"/>
      <c r="AK48" s="80"/>
      <c r="AL48" s="79"/>
      <c r="AM48" s="80"/>
      <c r="AN48" s="79"/>
      <c r="AO48" s="80"/>
      <c r="AP48" s="71"/>
      <c r="AQ48" s="83"/>
      <c r="AR48" s="79"/>
      <c r="AS48" s="80"/>
      <c r="AT48" s="79"/>
      <c r="AU48" s="80"/>
      <c r="AV48" s="79"/>
      <c r="AW48" s="80"/>
      <c r="AX48" s="79"/>
      <c r="AY48" s="80"/>
      <c r="AZ48" s="79"/>
      <c r="BA48" s="80"/>
      <c r="BB48" s="79"/>
      <c r="BC48" s="80"/>
      <c r="BD48" s="79"/>
      <c r="BE48" s="80"/>
      <c r="BF48" s="71"/>
      <c r="BG48" s="83"/>
      <c r="BH48" s="79"/>
      <c r="BI48" s="80"/>
      <c r="BJ48" s="28">
        <f t="shared" si="5"/>
        <v>0</v>
      </c>
      <c r="BK48" s="29">
        <f t="shared" si="6"/>
        <v>0</v>
      </c>
    </row>
    <row r="49" spans="1:63" ht="15" customHeight="1" x14ac:dyDescent="0.35">
      <c r="A49" s="24"/>
      <c r="B49" s="81" t="s">
        <v>26</v>
      </c>
      <c r="C49" s="24" t="s">
        <v>49</v>
      </c>
      <c r="D49" s="683" t="s">
        <v>50</v>
      </c>
      <c r="E49" s="782"/>
      <c r="F49" s="79"/>
      <c r="G49" s="80"/>
      <c r="H49" s="79"/>
      <c r="I49" s="80"/>
      <c r="J49" s="79"/>
      <c r="K49" s="80"/>
      <c r="L49" s="79"/>
      <c r="M49" s="80"/>
      <c r="N49" s="71"/>
      <c r="O49" s="83"/>
      <c r="P49" s="71"/>
      <c r="Q49" s="83"/>
      <c r="R49" s="79"/>
      <c r="S49" s="80"/>
      <c r="T49" s="79"/>
      <c r="U49" s="80"/>
      <c r="V49" s="79"/>
      <c r="W49" s="80"/>
      <c r="X49" s="79"/>
      <c r="Y49" s="80"/>
      <c r="Z49" s="79"/>
      <c r="AA49" s="80"/>
      <c r="AB49" s="71"/>
      <c r="AC49" s="83"/>
      <c r="AD49" s="79"/>
      <c r="AE49" s="80"/>
      <c r="AF49" s="79"/>
      <c r="AG49" s="80"/>
      <c r="AH49" s="79"/>
      <c r="AI49" s="80"/>
      <c r="AJ49" s="79"/>
      <c r="AK49" s="80"/>
      <c r="AL49" s="79"/>
      <c r="AM49" s="80"/>
      <c r="AN49" s="79"/>
      <c r="AO49" s="80"/>
      <c r="AP49" s="71"/>
      <c r="AQ49" s="83"/>
      <c r="AR49" s="79"/>
      <c r="AS49" s="80"/>
      <c r="AT49" s="79"/>
      <c r="AU49" s="80"/>
      <c r="AV49" s="79"/>
      <c r="AW49" s="80"/>
      <c r="AX49" s="79"/>
      <c r="AY49" s="80"/>
      <c r="AZ49" s="79"/>
      <c r="BA49" s="80"/>
      <c r="BB49" s="79"/>
      <c r="BC49" s="80"/>
      <c r="BD49" s="79"/>
      <c r="BE49" s="80"/>
      <c r="BF49" s="71"/>
      <c r="BG49" s="83"/>
      <c r="BH49" s="79"/>
      <c r="BI49" s="80"/>
      <c r="BJ49" s="28">
        <f t="shared" si="5"/>
        <v>0</v>
      </c>
      <c r="BK49" s="29">
        <f t="shared" si="6"/>
        <v>0</v>
      </c>
    </row>
    <row r="50" spans="1:63" ht="15" customHeight="1" x14ac:dyDescent="0.35">
      <c r="A50" s="24"/>
      <c r="B50" s="81" t="s">
        <v>26</v>
      </c>
      <c r="C50" s="20" t="s">
        <v>51</v>
      </c>
      <c r="D50" s="683" t="s">
        <v>52</v>
      </c>
      <c r="E50" s="782"/>
      <c r="F50" s="79"/>
      <c r="G50" s="80"/>
      <c r="H50" s="79"/>
      <c r="I50" s="80"/>
      <c r="J50" s="79"/>
      <c r="K50" s="80"/>
      <c r="L50" s="79"/>
      <c r="M50" s="80"/>
      <c r="N50" s="71"/>
      <c r="O50" s="83"/>
      <c r="P50" s="71"/>
      <c r="Q50" s="83"/>
      <c r="R50" s="79"/>
      <c r="S50" s="80"/>
      <c r="T50" s="79"/>
      <c r="U50" s="80"/>
      <c r="V50" s="79"/>
      <c r="W50" s="80"/>
      <c r="X50" s="79"/>
      <c r="Y50" s="80"/>
      <c r="Z50" s="79"/>
      <c r="AA50" s="80"/>
      <c r="AB50" s="71"/>
      <c r="AC50" s="83"/>
      <c r="AD50" s="79"/>
      <c r="AE50" s="80"/>
      <c r="AF50" s="79"/>
      <c r="AG50" s="80"/>
      <c r="AH50" s="79"/>
      <c r="AI50" s="80"/>
      <c r="AJ50" s="79"/>
      <c r="AK50" s="80"/>
      <c r="AL50" s="79"/>
      <c r="AM50" s="80"/>
      <c r="AN50" s="79"/>
      <c r="AO50" s="80"/>
      <c r="AP50" s="71"/>
      <c r="AQ50" s="83"/>
      <c r="AR50" s="79"/>
      <c r="AS50" s="80"/>
      <c r="AT50" s="79"/>
      <c r="AU50" s="80"/>
      <c r="AV50" s="79"/>
      <c r="AW50" s="80"/>
      <c r="AX50" s="79"/>
      <c r="AY50" s="80"/>
      <c r="AZ50" s="79"/>
      <c r="BA50" s="80"/>
      <c r="BB50" s="79"/>
      <c r="BC50" s="80"/>
      <c r="BD50" s="79"/>
      <c r="BE50" s="80"/>
      <c r="BF50" s="71"/>
      <c r="BG50" s="83"/>
      <c r="BH50" s="79"/>
      <c r="BI50" s="80"/>
      <c r="BJ50" s="28">
        <f t="shared" si="5"/>
        <v>0</v>
      </c>
      <c r="BK50" s="29">
        <f t="shared" si="6"/>
        <v>0</v>
      </c>
    </row>
    <row r="51" spans="1:63" ht="15" customHeight="1" x14ac:dyDescent="0.35">
      <c r="A51" s="24"/>
      <c r="B51" s="81" t="s">
        <v>26</v>
      </c>
      <c r="C51" s="24" t="s">
        <v>53</v>
      </c>
      <c r="D51" s="683" t="s">
        <v>54</v>
      </c>
      <c r="E51" s="782"/>
      <c r="F51" s="79"/>
      <c r="G51" s="80"/>
      <c r="H51" s="79"/>
      <c r="I51" s="80"/>
      <c r="J51" s="79"/>
      <c r="K51" s="80"/>
      <c r="L51" s="79"/>
      <c r="M51" s="80"/>
      <c r="N51" s="71"/>
      <c r="O51" s="83"/>
      <c r="P51" s="71"/>
      <c r="Q51" s="83"/>
      <c r="R51" s="79"/>
      <c r="S51" s="80"/>
      <c r="T51" s="79"/>
      <c r="U51" s="80"/>
      <c r="V51" s="79"/>
      <c r="W51" s="80"/>
      <c r="X51" s="79"/>
      <c r="Y51" s="80"/>
      <c r="Z51" s="79"/>
      <c r="AA51" s="80"/>
      <c r="AB51" s="71"/>
      <c r="AC51" s="83"/>
      <c r="AD51" s="79"/>
      <c r="AE51" s="80"/>
      <c r="AF51" s="79"/>
      <c r="AG51" s="80"/>
      <c r="AH51" s="79"/>
      <c r="AI51" s="80"/>
      <c r="AJ51" s="79"/>
      <c r="AK51" s="80"/>
      <c r="AL51" s="79"/>
      <c r="AM51" s="80"/>
      <c r="AN51" s="79"/>
      <c r="AO51" s="80"/>
      <c r="AP51" s="71"/>
      <c r="AQ51" s="83"/>
      <c r="AR51" s="79"/>
      <c r="AS51" s="80"/>
      <c r="AT51" s="79"/>
      <c r="AU51" s="80"/>
      <c r="AV51" s="79"/>
      <c r="AW51" s="80"/>
      <c r="AX51" s="79"/>
      <c r="AY51" s="80"/>
      <c r="AZ51" s="79"/>
      <c r="BA51" s="80"/>
      <c r="BB51" s="79"/>
      <c r="BC51" s="80"/>
      <c r="BD51" s="79"/>
      <c r="BE51" s="80"/>
      <c r="BF51" s="71"/>
      <c r="BG51" s="83"/>
      <c r="BH51" s="79"/>
      <c r="BI51" s="80"/>
      <c r="BJ51" s="28">
        <f t="shared" si="5"/>
        <v>0</v>
      </c>
      <c r="BK51" s="29">
        <f t="shared" si="6"/>
        <v>0</v>
      </c>
    </row>
    <row r="52" spans="1:63" ht="15" customHeight="1" x14ac:dyDescent="0.35">
      <c r="A52" s="24"/>
      <c r="B52" s="81" t="s">
        <v>26</v>
      </c>
      <c r="C52" s="20" t="s">
        <v>55</v>
      </c>
      <c r="D52" s="683" t="s">
        <v>56</v>
      </c>
      <c r="E52" s="782"/>
      <c r="F52" s="79"/>
      <c r="G52" s="80"/>
      <c r="H52" s="79"/>
      <c r="I52" s="80"/>
      <c r="J52" s="79"/>
      <c r="K52" s="80"/>
      <c r="L52" s="79"/>
      <c r="M52" s="80"/>
      <c r="N52" s="71"/>
      <c r="O52" s="83"/>
      <c r="P52" s="71"/>
      <c r="Q52" s="83"/>
      <c r="R52" s="79"/>
      <c r="S52" s="80"/>
      <c r="T52" s="79"/>
      <c r="U52" s="80"/>
      <c r="V52" s="79"/>
      <c r="W52" s="80"/>
      <c r="X52" s="79"/>
      <c r="Y52" s="80"/>
      <c r="Z52" s="79"/>
      <c r="AA52" s="80"/>
      <c r="AB52" s="71"/>
      <c r="AC52" s="83"/>
      <c r="AD52" s="79"/>
      <c r="AE52" s="80"/>
      <c r="AF52" s="79"/>
      <c r="AG52" s="80"/>
      <c r="AH52" s="79"/>
      <c r="AI52" s="80"/>
      <c r="AJ52" s="79"/>
      <c r="AK52" s="80"/>
      <c r="AL52" s="79"/>
      <c r="AM52" s="80"/>
      <c r="AN52" s="79"/>
      <c r="AO52" s="80"/>
      <c r="AP52" s="71"/>
      <c r="AQ52" s="83"/>
      <c r="AR52" s="79"/>
      <c r="AS52" s="80"/>
      <c r="AT52" s="79"/>
      <c r="AU52" s="80"/>
      <c r="AV52" s="79"/>
      <c r="AW52" s="80"/>
      <c r="AX52" s="79"/>
      <c r="AY52" s="80"/>
      <c r="AZ52" s="79"/>
      <c r="BA52" s="80"/>
      <c r="BB52" s="79"/>
      <c r="BC52" s="80"/>
      <c r="BD52" s="79"/>
      <c r="BE52" s="80"/>
      <c r="BF52" s="71"/>
      <c r="BG52" s="83"/>
      <c r="BH52" s="79"/>
      <c r="BI52" s="80"/>
      <c r="BJ52" s="28">
        <f t="shared" si="5"/>
        <v>0</v>
      </c>
      <c r="BK52" s="29">
        <f t="shared" si="6"/>
        <v>0</v>
      </c>
    </row>
    <row r="53" spans="1:63" ht="15" customHeight="1" x14ac:dyDescent="0.35">
      <c r="A53" s="24"/>
      <c r="B53" s="81" t="s">
        <v>26</v>
      </c>
      <c r="C53" s="24" t="s">
        <v>57</v>
      </c>
      <c r="D53" s="683" t="s">
        <v>58</v>
      </c>
      <c r="E53" s="782"/>
      <c r="F53" s="79"/>
      <c r="G53" s="80"/>
      <c r="H53" s="79"/>
      <c r="I53" s="80"/>
      <c r="J53" s="79"/>
      <c r="K53" s="80"/>
      <c r="L53" s="79"/>
      <c r="M53" s="80"/>
      <c r="N53" s="71"/>
      <c r="O53" s="83"/>
      <c r="P53" s="71"/>
      <c r="Q53" s="83"/>
      <c r="R53" s="79"/>
      <c r="S53" s="80"/>
      <c r="T53" s="79"/>
      <c r="U53" s="80"/>
      <c r="V53" s="79"/>
      <c r="W53" s="80"/>
      <c r="X53" s="79"/>
      <c r="Y53" s="80"/>
      <c r="Z53" s="79"/>
      <c r="AA53" s="80"/>
      <c r="AB53" s="71"/>
      <c r="AC53" s="83"/>
      <c r="AD53" s="79"/>
      <c r="AE53" s="80"/>
      <c r="AF53" s="79"/>
      <c r="AG53" s="80"/>
      <c r="AH53" s="79"/>
      <c r="AI53" s="80"/>
      <c r="AJ53" s="79"/>
      <c r="AK53" s="80"/>
      <c r="AL53" s="79"/>
      <c r="AM53" s="80"/>
      <c r="AN53" s="79"/>
      <c r="AO53" s="80"/>
      <c r="AP53" s="71"/>
      <c r="AQ53" s="83"/>
      <c r="AR53" s="79"/>
      <c r="AS53" s="80"/>
      <c r="AT53" s="79"/>
      <c r="AU53" s="80"/>
      <c r="AV53" s="79"/>
      <c r="AW53" s="80"/>
      <c r="AX53" s="79"/>
      <c r="AY53" s="80"/>
      <c r="AZ53" s="79"/>
      <c r="BA53" s="80"/>
      <c r="BB53" s="79"/>
      <c r="BC53" s="80"/>
      <c r="BD53" s="79"/>
      <c r="BE53" s="80"/>
      <c r="BF53" s="71"/>
      <c r="BG53" s="83"/>
      <c r="BH53" s="79"/>
      <c r="BI53" s="80"/>
      <c r="BJ53" s="28">
        <f t="shared" si="5"/>
        <v>0</v>
      </c>
      <c r="BK53" s="29">
        <f t="shared" si="6"/>
        <v>0</v>
      </c>
    </row>
    <row r="54" spans="1:63" ht="15" customHeight="1" x14ac:dyDescent="0.35">
      <c r="A54" s="24"/>
      <c r="B54" s="81" t="s">
        <v>29</v>
      </c>
      <c r="C54" s="24" t="s">
        <v>59</v>
      </c>
      <c r="D54" s="683" t="s">
        <v>60</v>
      </c>
      <c r="E54" s="782"/>
      <c r="F54" s="79"/>
      <c r="G54" s="80"/>
      <c r="H54" s="79"/>
      <c r="I54" s="80"/>
      <c r="J54" s="79"/>
      <c r="K54" s="80"/>
      <c r="L54" s="79"/>
      <c r="M54" s="80"/>
      <c r="N54" s="71"/>
      <c r="O54" s="83"/>
      <c r="P54" s="71"/>
      <c r="Q54" s="83"/>
      <c r="R54" s="79"/>
      <c r="S54" s="80"/>
      <c r="T54" s="79"/>
      <c r="U54" s="80"/>
      <c r="V54" s="79"/>
      <c r="W54" s="80"/>
      <c r="X54" s="79"/>
      <c r="Y54" s="80"/>
      <c r="Z54" s="79"/>
      <c r="AA54" s="80"/>
      <c r="AB54" s="71"/>
      <c r="AC54" s="83"/>
      <c r="AD54" s="79"/>
      <c r="AE54" s="80"/>
      <c r="AF54" s="79"/>
      <c r="AG54" s="80"/>
      <c r="AH54" s="79"/>
      <c r="AI54" s="80"/>
      <c r="AJ54" s="79"/>
      <c r="AK54" s="80"/>
      <c r="AL54" s="79"/>
      <c r="AM54" s="80"/>
      <c r="AN54" s="79"/>
      <c r="AO54" s="80"/>
      <c r="AP54" s="71"/>
      <c r="AQ54" s="83"/>
      <c r="AR54" s="79"/>
      <c r="AS54" s="80"/>
      <c r="AT54" s="79"/>
      <c r="AU54" s="80"/>
      <c r="AV54" s="79"/>
      <c r="AW54" s="80"/>
      <c r="AX54" s="79"/>
      <c r="AY54" s="80"/>
      <c r="AZ54" s="79"/>
      <c r="BA54" s="80"/>
      <c r="BB54" s="79"/>
      <c r="BC54" s="80"/>
      <c r="BD54" s="79"/>
      <c r="BE54" s="80"/>
      <c r="BF54" s="71"/>
      <c r="BG54" s="83"/>
      <c r="BH54" s="79"/>
      <c r="BI54" s="80"/>
      <c r="BJ54" s="28">
        <f t="shared" si="5"/>
        <v>0</v>
      </c>
      <c r="BK54" s="29">
        <f t="shared" si="6"/>
        <v>0</v>
      </c>
    </row>
    <row r="55" spans="1:63" ht="15" customHeight="1" x14ac:dyDescent="0.35">
      <c r="A55" s="24"/>
      <c r="B55" s="81" t="s">
        <v>46</v>
      </c>
      <c r="C55" s="24" t="s">
        <v>61</v>
      </c>
      <c r="D55" s="683" t="s">
        <v>62</v>
      </c>
      <c r="E55" s="782"/>
      <c r="F55" s="79"/>
      <c r="G55" s="80"/>
      <c r="H55" s="79"/>
      <c r="I55" s="80"/>
      <c r="J55" s="79"/>
      <c r="K55" s="80"/>
      <c r="L55" s="79"/>
      <c r="M55" s="80"/>
      <c r="N55" s="71"/>
      <c r="O55" s="83"/>
      <c r="P55" s="71"/>
      <c r="Q55" s="83"/>
      <c r="R55" s="79"/>
      <c r="S55" s="80"/>
      <c r="T55" s="79"/>
      <c r="U55" s="80"/>
      <c r="V55" s="79"/>
      <c r="W55" s="80"/>
      <c r="X55" s="79"/>
      <c r="Y55" s="80"/>
      <c r="Z55" s="79"/>
      <c r="AA55" s="80"/>
      <c r="AB55" s="71"/>
      <c r="AC55" s="83"/>
      <c r="AD55" s="79"/>
      <c r="AE55" s="80"/>
      <c r="AF55" s="79"/>
      <c r="AG55" s="80"/>
      <c r="AH55" s="79"/>
      <c r="AI55" s="80"/>
      <c r="AJ55" s="79"/>
      <c r="AK55" s="80"/>
      <c r="AL55" s="79"/>
      <c r="AM55" s="80"/>
      <c r="AN55" s="79"/>
      <c r="AO55" s="80"/>
      <c r="AP55" s="71"/>
      <c r="AQ55" s="83"/>
      <c r="AR55" s="79"/>
      <c r="AS55" s="80"/>
      <c r="AT55" s="79"/>
      <c r="AU55" s="80"/>
      <c r="AV55" s="79"/>
      <c r="AW55" s="80"/>
      <c r="AX55" s="79"/>
      <c r="AY55" s="80"/>
      <c r="AZ55" s="79"/>
      <c r="BA55" s="80"/>
      <c r="BB55" s="79"/>
      <c r="BC55" s="80"/>
      <c r="BD55" s="79"/>
      <c r="BE55" s="80"/>
      <c r="BF55" s="71"/>
      <c r="BG55" s="83"/>
      <c r="BH55" s="79"/>
      <c r="BI55" s="80"/>
      <c r="BJ55" s="28">
        <f t="shared" si="5"/>
        <v>0</v>
      </c>
      <c r="BK55" s="29">
        <f t="shared" si="6"/>
        <v>0</v>
      </c>
    </row>
    <row r="56" spans="1:63" ht="15" customHeight="1" x14ac:dyDescent="0.35">
      <c r="A56" s="24"/>
      <c r="B56" s="81" t="s">
        <v>26</v>
      </c>
      <c r="C56" s="20" t="s">
        <v>63</v>
      </c>
      <c r="D56" s="683" t="s">
        <v>64</v>
      </c>
      <c r="E56" s="782"/>
      <c r="F56" s="79"/>
      <c r="G56" s="80"/>
      <c r="H56" s="79"/>
      <c r="I56" s="80"/>
      <c r="J56" s="79"/>
      <c r="K56" s="80"/>
      <c r="L56" s="79"/>
      <c r="M56" s="80"/>
      <c r="N56" s="71"/>
      <c r="O56" s="83"/>
      <c r="P56" s="71"/>
      <c r="Q56" s="83"/>
      <c r="R56" s="79"/>
      <c r="S56" s="80"/>
      <c r="T56" s="79"/>
      <c r="U56" s="80"/>
      <c r="V56" s="79"/>
      <c r="W56" s="80"/>
      <c r="X56" s="79"/>
      <c r="Y56" s="80"/>
      <c r="Z56" s="79"/>
      <c r="AA56" s="80"/>
      <c r="AB56" s="71"/>
      <c r="AC56" s="83"/>
      <c r="AD56" s="79"/>
      <c r="AE56" s="80"/>
      <c r="AF56" s="79"/>
      <c r="AG56" s="80"/>
      <c r="AH56" s="79"/>
      <c r="AI56" s="80"/>
      <c r="AJ56" s="79"/>
      <c r="AK56" s="80"/>
      <c r="AL56" s="79"/>
      <c r="AM56" s="80"/>
      <c r="AN56" s="79"/>
      <c r="AO56" s="80"/>
      <c r="AP56" s="71"/>
      <c r="AQ56" s="83"/>
      <c r="AR56" s="79"/>
      <c r="AS56" s="80"/>
      <c r="AT56" s="79"/>
      <c r="AU56" s="80"/>
      <c r="AV56" s="79"/>
      <c r="AW56" s="80"/>
      <c r="AX56" s="79"/>
      <c r="AY56" s="80"/>
      <c r="AZ56" s="79"/>
      <c r="BA56" s="80"/>
      <c r="BB56" s="79"/>
      <c r="BC56" s="80"/>
      <c r="BD56" s="79"/>
      <c r="BE56" s="80"/>
      <c r="BF56" s="71"/>
      <c r="BG56" s="83"/>
      <c r="BH56" s="79"/>
      <c r="BI56" s="80"/>
      <c r="BJ56" s="28">
        <f t="shared" si="5"/>
        <v>0</v>
      </c>
      <c r="BK56" s="29">
        <f t="shared" si="6"/>
        <v>0</v>
      </c>
    </row>
    <row r="57" spans="1:63" ht="15" customHeight="1" x14ac:dyDescent="0.35">
      <c r="A57" s="24"/>
      <c r="B57" s="81" t="s">
        <v>29</v>
      </c>
      <c r="C57" s="24" t="s">
        <v>65</v>
      </c>
      <c r="D57" s="683" t="s">
        <v>66</v>
      </c>
      <c r="E57" s="782"/>
      <c r="F57" s="79"/>
      <c r="G57" s="80"/>
      <c r="H57" s="79"/>
      <c r="I57" s="80"/>
      <c r="J57" s="79"/>
      <c r="K57" s="80"/>
      <c r="L57" s="79"/>
      <c r="M57" s="80"/>
      <c r="N57" s="71"/>
      <c r="O57" s="83"/>
      <c r="P57" s="71"/>
      <c r="Q57" s="83"/>
      <c r="R57" s="79"/>
      <c r="S57" s="80"/>
      <c r="T57" s="79"/>
      <c r="U57" s="80"/>
      <c r="V57" s="79"/>
      <c r="W57" s="80"/>
      <c r="X57" s="79"/>
      <c r="Y57" s="80"/>
      <c r="Z57" s="79"/>
      <c r="AA57" s="80"/>
      <c r="AB57" s="71"/>
      <c r="AC57" s="83"/>
      <c r="AD57" s="79"/>
      <c r="AE57" s="80"/>
      <c r="AF57" s="79"/>
      <c r="AG57" s="80"/>
      <c r="AH57" s="79"/>
      <c r="AI57" s="80"/>
      <c r="AJ57" s="79"/>
      <c r="AK57" s="80"/>
      <c r="AL57" s="79"/>
      <c r="AM57" s="80"/>
      <c r="AN57" s="79"/>
      <c r="AO57" s="80"/>
      <c r="AP57" s="71"/>
      <c r="AQ57" s="83"/>
      <c r="AR57" s="79"/>
      <c r="AS57" s="80"/>
      <c r="AT57" s="79"/>
      <c r="AU57" s="80"/>
      <c r="AV57" s="79"/>
      <c r="AW57" s="80"/>
      <c r="AX57" s="79"/>
      <c r="AY57" s="80"/>
      <c r="AZ57" s="79"/>
      <c r="BA57" s="80"/>
      <c r="BB57" s="79"/>
      <c r="BC57" s="80"/>
      <c r="BD57" s="79"/>
      <c r="BE57" s="80"/>
      <c r="BF57" s="71"/>
      <c r="BG57" s="83"/>
      <c r="BH57" s="79"/>
      <c r="BI57" s="80"/>
      <c r="BJ57" s="28">
        <f t="shared" si="5"/>
        <v>0</v>
      </c>
      <c r="BK57" s="29">
        <f t="shared" si="6"/>
        <v>0</v>
      </c>
    </row>
    <row r="58" spans="1:63" ht="15" customHeight="1" x14ac:dyDescent="0.35">
      <c r="A58" s="24"/>
      <c r="B58" s="81" t="s">
        <v>26</v>
      </c>
      <c r="C58" s="24" t="s">
        <v>67</v>
      </c>
      <c r="D58" s="683" t="s">
        <v>68</v>
      </c>
      <c r="E58" s="782"/>
      <c r="F58" s="79"/>
      <c r="G58" s="80"/>
      <c r="H58" s="79"/>
      <c r="I58" s="80"/>
      <c r="J58" s="79"/>
      <c r="K58" s="80"/>
      <c r="L58" s="79"/>
      <c r="M58" s="80"/>
      <c r="N58" s="71"/>
      <c r="O58" s="83"/>
      <c r="P58" s="71"/>
      <c r="Q58" s="83"/>
      <c r="R58" s="79"/>
      <c r="S58" s="80"/>
      <c r="T58" s="79"/>
      <c r="U58" s="80"/>
      <c r="V58" s="79"/>
      <c r="W58" s="80"/>
      <c r="X58" s="79"/>
      <c r="Y58" s="80"/>
      <c r="Z58" s="79"/>
      <c r="AA58" s="80"/>
      <c r="AB58" s="71"/>
      <c r="AC58" s="83"/>
      <c r="AD58" s="79"/>
      <c r="AE58" s="80"/>
      <c r="AF58" s="79"/>
      <c r="AG58" s="80"/>
      <c r="AH58" s="79"/>
      <c r="AI58" s="80"/>
      <c r="AJ58" s="79"/>
      <c r="AK58" s="80"/>
      <c r="AL58" s="79"/>
      <c r="AM58" s="80"/>
      <c r="AN58" s="79"/>
      <c r="AO58" s="80"/>
      <c r="AP58" s="71"/>
      <c r="AQ58" s="83"/>
      <c r="AR58" s="79"/>
      <c r="AS58" s="80"/>
      <c r="AT58" s="79"/>
      <c r="AU58" s="80"/>
      <c r="AV58" s="79"/>
      <c r="AW58" s="80"/>
      <c r="AX58" s="79"/>
      <c r="AY58" s="80"/>
      <c r="AZ58" s="79"/>
      <c r="BA58" s="80"/>
      <c r="BB58" s="79"/>
      <c r="BC58" s="80"/>
      <c r="BD58" s="79"/>
      <c r="BE58" s="80"/>
      <c r="BF58" s="71"/>
      <c r="BG58" s="83"/>
      <c r="BH58" s="79"/>
      <c r="BI58" s="80"/>
      <c r="BJ58" s="28">
        <f t="shared" si="5"/>
        <v>0</v>
      </c>
      <c r="BK58" s="29">
        <f t="shared" si="6"/>
        <v>0</v>
      </c>
    </row>
    <row r="59" spans="1:63" ht="15" customHeight="1" x14ac:dyDescent="0.35">
      <c r="A59" s="24"/>
      <c r="B59" s="81" t="s">
        <v>29</v>
      </c>
      <c r="C59" s="24" t="s">
        <v>69</v>
      </c>
      <c r="D59" s="683" t="s">
        <v>70</v>
      </c>
      <c r="E59" s="782"/>
      <c r="F59" s="79"/>
      <c r="G59" s="80"/>
      <c r="H59" s="79"/>
      <c r="I59" s="80"/>
      <c r="J59" s="79"/>
      <c r="K59" s="80"/>
      <c r="L59" s="79"/>
      <c r="M59" s="80"/>
      <c r="N59" s="71"/>
      <c r="O59" s="83"/>
      <c r="P59" s="71"/>
      <c r="Q59" s="83"/>
      <c r="R59" s="79"/>
      <c r="S59" s="80"/>
      <c r="T59" s="79"/>
      <c r="U59" s="80"/>
      <c r="V59" s="79"/>
      <c r="W59" s="80"/>
      <c r="X59" s="79"/>
      <c r="Y59" s="80"/>
      <c r="Z59" s="79"/>
      <c r="AA59" s="80"/>
      <c r="AB59" s="71"/>
      <c r="AC59" s="83"/>
      <c r="AD59" s="79"/>
      <c r="AE59" s="80"/>
      <c r="AF59" s="79"/>
      <c r="AG59" s="80"/>
      <c r="AH59" s="79"/>
      <c r="AI59" s="80"/>
      <c r="AJ59" s="79"/>
      <c r="AK59" s="80"/>
      <c r="AL59" s="79"/>
      <c r="AM59" s="80"/>
      <c r="AN59" s="79"/>
      <c r="AO59" s="80"/>
      <c r="AP59" s="71"/>
      <c r="AQ59" s="83"/>
      <c r="AR59" s="79"/>
      <c r="AS59" s="80"/>
      <c r="AT59" s="79"/>
      <c r="AU59" s="80"/>
      <c r="AV59" s="79"/>
      <c r="AW59" s="80"/>
      <c r="AX59" s="79"/>
      <c r="AY59" s="80"/>
      <c r="AZ59" s="79"/>
      <c r="BA59" s="80"/>
      <c r="BB59" s="79"/>
      <c r="BC59" s="80"/>
      <c r="BD59" s="79"/>
      <c r="BE59" s="80"/>
      <c r="BF59" s="71"/>
      <c r="BG59" s="83"/>
      <c r="BH59" s="79"/>
      <c r="BI59" s="80"/>
      <c r="BJ59" s="28">
        <f t="shared" si="5"/>
        <v>0</v>
      </c>
      <c r="BK59" s="29">
        <f t="shared" si="6"/>
        <v>0</v>
      </c>
    </row>
    <row r="60" spans="1:63" ht="15" customHeight="1" x14ac:dyDescent="0.35">
      <c r="A60" s="24"/>
      <c r="B60" s="81" t="s">
        <v>29</v>
      </c>
      <c r="C60" s="24" t="s">
        <v>71</v>
      </c>
      <c r="D60" s="683" t="s">
        <v>72</v>
      </c>
      <c r="E60" s="782"/>
      <c r="F60" s="79"/>
      <c r="G60" s="80"/>
      <c r="H60" s="79"/>
      <c r="I60" s="80"/>
      <c r="J60" s="79"/>
      <c r="K60" s="80"/>
      <c r="L60" s="79"/>
      <c r="M60" s="80"/>
      <c r="N60" s="71"/>
      <c r="O60" s="83"/>
      <c r="P60" s="71"/>
      <c r="Q60" s="83"/>
      <c r="R60" s="79"/>
      <c r="S60" s="80"/>
      <c r="T60" s="79"/>
      <c r="U60" s="80"/>
      <c r="V60" s="79"/>
      <c r="W60" s="80"/>
      <c r="X60" s="79"/>
      <c r="Y60" s="80"/>
      <c r="Z60" s="79"/>
      <c r="AA60" s="80"/>
      <c r="AB60" s="71"/>
      <c r="AC60" s="83"/>
      <c r="AD60" s="79"/>
      <c r="AE60" s="80"/>
      <c r="AF60" s="79"/>
      <c r="AG60" s="80"/>
      <c r="AH60" s="79"/>
      <c r="AI60" s="80"/>
      <c r="AJ60" s="79"/>
      <c r="AK60" s="80"/>
      <c r="AL60" s="79"/>
      <c r="AM60" s="80"/>
      <c r="AN60" s="79"/>
      <c r="AO60" s="80"/>
      <c r="AP60" s="71"/>
      <c r="AQ60" s="83"/>
      <c r="AR60" s="79"/>
      <c r="AS60" s="80"/>
      <c r="AT60" s="79"/>
      <c r="AU60" s="80"/>
      <c r="AV60" s="79"/>
      <c r="AW60" s="80"/>
      <c r="AX60" s="79"/>
      <c r="AY60" s="80"/>
      <c r="AZ60" s="79"/>
      <c r="BA60" s="80"/>
      <c r="BB60" s="79"/>
      <c r="BC60" s="80"/>
      <c r="BD60" s="79"/>
      <c r="BE60" s="80"/>
      <c r="BF60" s="71"/>
      <c r="BG60" s="83"/>
      <c r="BH60" s="79"/>
      <c r="BI60" s="80"/>
      <c r="BJ60" s="28">
        <f t="shared" si="5"/>
        <v>0</v>
      </c>
      <c r="BK60" s="29">
        <f t="shared" si="6"/>
        <v>0</v>
      </c>
    </row>
    <row r="61" spans="1:63" ht="15" customHeight="1" x14ac:dyDescent="0.35">
      <c r="A61" s="24"/>
      <c r="B61" s="81" t="s">
        <v>29</v>
      </c>
      <c r="C61" s="24" t="s">
        <v>73</v>
      </c>
      <c r="D61" s="683" t="s">
        <v>74</v>
      </c>
      <c r="E61" s="782"/>
      <c r="F61" s="79"/>
      <c r="G61" s="80"/>
      <c r="H61" s="79"/>
      <c r="I61" s="80"/>
      <c r="J61" s="79"/>
      <c r="K61" s="80"/>
      <c r="L61" s="79"/>
      <c r="M61" s="80"/>
      <c r="N61" s="71"/>
      <c r="O61" s="83"/>
      <c r="P61" s="71"/>
      <c r="Q61" s="83"/>
      <c r="R61" s="79"/>
      <c r="S61" s="80"/>
      <c r="T61" s="79"/>
      <c r="U61" s="80"/>
      <c r="V61" s="79"/>
      <c r="W61" s="80"/>
      <c r="X61" s="79"/>
      <c r="Y61" s="80"/>
      <c r="Z61" s="79"/>
      <c r="AA61" s="80"/>
      <c r="AB61" s="71"/>
      <c r="AC61" s="83"/>
      <c r="AD61" s="79"/>
      <c r="AE61" s="80"/>
      <c r="AF61" s="79"/>
      <c r="AG61" s="80"/>
      <c r="AH61" s="79"/>
      <c r="AI61" s="80"/>
      <c r="AJ61" s="79"/>
      <c r="AK61" s="80"/>
      <c r="AL61" s="79"/>
      <c r="AM61" s="80"/>
      <c r="AN61" s="79"/>
      <c r="AO61" s="80"/>
      <c r="AP61" s="71"/>
      <c r="AQ61" s="83"/>
      <c r="AR61" s="79"/>
      <c r="AS61" s="80"/>
      <c r="AT61" s="79"/>
      <c r="AU61" s="80"/>
      <c r="AV61" s="79"/>
      <c r="AW61" s="80"/>
      <c r="AX61" s="79"/>
      <c r="AY61" s="80"/>
      <c r="AZ61" s="79"/>
      <c r="BA61" s="80"/>
      <c r="BB61" s="79"/>
      <c r="BC61" s="80"/>
      <c r="BD61" s="79"/>
      <c r="BE61" s="80"/>
      <c r="BF61" s="71"/>
      <c r="BG61" s="83"/>
      <c r="BH61" s="79"/>
      <c r="BI61" s="80"/>
      <c r="BJ61" s="28">
        <f t="shared" si="5"/>
        <v>0</v>
      </c>
      <c r="BK61" s="29">
        <f t="shared" si="6"/>
        <v>0</v>
      </c>
    </row>
    <row r="62" spans="1:63" ht="15" customHeight="1" x14ac:dyDescent="0.35">
      <c r="A62" s="24"/>
      <c r="B62" s="81" t="s">
        <v>29</v>
      </c>
      <c r="C62" s="24" t="s">
        <v>75</v>
      </c>
      <c r="D62" s="683" t="s">
        <v>76</v>
      </c>
      <c r="E62" s="782"/>
      <c r="F62" s="79"/>
      <c r="G62" s="80"/>
      <c r="H62" s="79"/>
      <c r="I62" s="80"/>
      <c r="J62" s="79"/>
      <c r="K62" s="80"/>
      <c r="L62" s="79"/>
      <c r="M62" s="80"/>
      <c r="N62" s="71"/>
      <c r="O62" s="83"/>
      <c r="P62" s="71"/>
      <c r="Q62" s="83"/>
      <c r="R62" s="79"/>
      <c r="S62" s="80"/>
      <c r="T62" s="79"/>
      <c r="U62" s="80"/>
      <c r="V62" s="79"/>
      <c r="W62" s="80"/>
      <c r="X62" s="79"/>
      <c r="Y62" s="80"/>
      <c r="Z62" s="79"/>
      <c r="AA62" s="80"/>
      <c r="AB62" s="71"/>
      <c r="AC62" s="83"/>
      <c r="AD62" s="79"/>
      <c r="AE62" s="80"/>
      <c r="AF62" s="79"/>
      <c r="AG62" s="80"/>
      <c r="AH62" s="79"/>
      <c r="AI62" s="80"/>
      <c r="AJ62" s="79"/>
      <c r="AK62" s="80"/>
      <c r="AL62" s="79"/>
      <c r="AM62" s="80"/>
      <c r="AN62" s="79"/>
      <c r="AO62" s="80"/>
      <c r="AP62" s="71"/>
      <c r="AQ62" s="83"/>
      <c r="AR62" s="79"/>
      <c r="AS62" s="80"/>
      <c r="AT62" s="79"/>
      <c r="AU62" s="80"/>
      <c r="AV62" s="79"/>
      <c r="AW62" s="80"/>
      <c r="AX62" s="79"/>
      <c r="AY62" s="80"/>
      <c r="AZ62" s="79"/>
      <c r="BA62" s="80"/>
      <c r="BB62" s="79"/>
      <c r="BC62" s="80"/>
      <c r="BD62" s="79"/>
      <c r="BE62" s="80"/>
      <c r="BF62" s="71"/>
      <c r="BG62" s="83"/>
      <c r="BH62" s="79"/>
      <c r="BI62" s="80"/>
      <c r="BJ62" s="28">
        <f t="shared" si="5"/>
        <v>0</v>
      </c>
      <c r="BK62" s="29">
        <f t="shared" si="6"/>
        <v>0</v>
      </c>
    </row>
    <row r="63" spans="1:63" ht="15" customHeight="1" x14ac:dyDescent="0.35">
      <c r="A63" s="24"/>
      <c r="B63" s="81" t="s">
        <v>26</v>
      </c>
      <c r="C63" s="20" t="s">
        <v>77</v>
      </c>
      <c r="D63" s="683" t="s">
        <v>78</v>
      </c>
      <c r="E63" s="782"/>
      <c r="F63" s="79"/>
      <c r="G63" s="80"/>
      <c r="H63" s="79"/>
      <c r="I63" s="80"/>
      <c r="J63" s="79"/>
      <c r="K63" s="80"/>
      <c r="L63" s="79"/>
      <c r="M63" s="80"/>
      <c r="N63" s="71"/>
      <c r="O63" s="83"/>
      <c r="P63" s="71"/>
      <c r="Q63" s="83"/>
      <c r="R63" s="79"/>
      <c r="S63" s="80"/>
      <c r="T63" s="79"/>
      <c r="U63" s="80"/>
      <c r="V63" s="79"/>
      <c r="W63" s="80"/>
      <c r="X63" s="79"/>
      <c r="Y63" s="80"/>
      <c r="Z63" s="79"/>
      <c r="AA63" s="80"/>
      <c r="AB63" s="71"/>
      <c r="AC63" s="83"/>
      <c r="AD63" s="79"/>
      <c r="AE63" s="80"/>
      <c r="AF63" s="79"/>
      <c r="AG63" s="80"/>
      <c r="AH63" s="79"/>
      <c r="AI63" s="80"/>
      <c r="AJ63" s="79"/>
      <c r="AK63" s="80"/>
      <c r="AL63" s="79"/>
      <c r="AM63" s="80"/>
      <c r="AN63" s="79"/>
      <c r="AO63" s="80"/>
      <c r="AP63" s="71"/>
      <c r="AQ63" s="83"/>
      <c r="AR63" s="79"/>
      <c r="AS63" s="80"/>
      <c r="AT63" s="79"/>
      <c r="AU63" s="80"/>
      <c r="AV63" s="79"/>
      <c r="AW63" s="80"/>
      <c r="AX63" s="79"/>
      <c r="AY63" s="80"/>
      <c r="AZ63" s="79"/>
      <c r="BA63" s="80"/>
      <c r="BB63" s="79"/>
      <c r="BC63" s="80"/>
      <c r="BD63" s="79"/>
      <c r="BE63" s="80"/>
      <c r="BF63" s="71"/>
      <c r="BG63" s="83"/>
      <c r="BH63" s="79"/>
      <c r="BI63" s="80"/>
      <c r="BJ63" s="28">
        <f t="shared" si="5"/>
        <v>0</v>
      </c>
      <c r="BK63" s="29">
        <f t="shared" si="6"/>
        <v>0</v>
      </c>
    </row>
    <row r="64" spans="1:63" ht="15" customHeight="1" x14ac:dyDescent="0.35">
      <c r="A64" s="24"/>
      <c r="B64" s="81" t="s">
        <v>29</v>
      </c>
      <c r="C64" s="24" t="s">
        <v>79</v>
      </c>
      <c r="D64" s="683" t="s">
        <v>80</v>
      </c>
      <c r="E64" s="782"/>
      <c r="F64" s="79"/>
      <c r="G64" s="80"/>
      <c r="H64" s="79"/>
      <c r="I64" s="80"/>
      <c r="J64" s="79"/>
      <c r="K64" s="80"/>
      <c r="L64" s="79"/>
      <c r="M64" s="80"/>
      <c r="N64" s="71"/>
      <c r="O64" s="83"/>
      <c r="P64" s="71"/>
      <c r="Q64" s="83"/>
      <c r="R64" s="79"/>
      <c r="S64" s="80"/>
      <c r="T64" s="79"/>
      <c r="U64" s="80"/>
      <c r="V64" s="79"/>
      <c r="W64" s="80"/>
      <c r="X64" s="79"/>
      <c r="Y64" s="80"/>
      <c r="Z64" s="79"/>
      <c r="AA64" s="80"/>
      <c r="AB64" s="71"/>
      <c r="AC64" s="83"/>
      <c r="AD64" s="79"/>
      <c r="AE64" s="80"/>
      <c r="AF64" s="79"/>
      <c r="AG64" s="80"/>
      <c r="AH64" s="79"/>
      <c r="AI64" s="80"/>
      <c r="AJ64" s="79"/>
      <c r="AK64" s="80"/>
      <c r="AL64" s="79"/>
      <c r="AM64" s="80"/>
      <c r="AN64" s="79"/>
      <c r="AO64" s="80"/>
      <c r="AP64" s="71"/>
      <c r="AQ64" s="83"/>
      <c r="AR64" s="79"/>
      <c r="AS64" s="80"/>
      <c r="AT64" s="79"/>
      <c r="AU64" s="80"/>
      <c r="AV64" s="79"/>
      <c r="AW64" s="80"/>
      <c r="AX64" s="79"/>
      <c r="AY64" s="80"/>
      <c r="AZ64" s="79"/>
      <c r="BA64" s="80"/>
      <c r="BB64" s="79"/>
      <c r="BC64" s="80"/>
      <c r="BD64" s="79"/>
      <c r="BE64" s="80"/>
      <c r="BF64" s="71"/>
      <c r="BG64" s="83"/>
      <c r="BH64" s="79"/>
      <c r="BI64" s="80"/>
      <c r="BJ64" s="28">
        <f t="shared" si="5"/>
        <v>0</v>
      </c>
      <c r="BK64" s="29">
        <f t="shared" si="6"/>
        <v>0</v>
      </c>
    </row>
    <row r="65" spans="1:63" ht="15" customHeight="1" x14ac:dyDescent="0.35">
      <c r="A65" s="24"/>
      <c r="B65" s="81" t="s">
        <v>46</v>
      </c>
      <c r="C65" s="24" t="s">
        <v>81</v>
      </c>
      <c r="D65" s="683" t="s">
        <v>82</v>
      </c>
      <c r="E65" s="782"/>
      <c r="F65" s="79"/>
      <c r="G65" s="80"/>
      <c r="H65" s="79"/>
      <c r="I65" s="80"/>
      <c r="J65" s="79"/>
      <c r="K65" s="80"/>
      <c r="L65" s="79"/>
      <c r="M65" s="80"/>
      <c r="N65" s="71"/>
      <c r="O65" s="83"/>
      <c r="P65" s="71"/>
      <c r="Q65" s="83"/>
      <c r="R65" s="79"/>
      <c r="S65" s="80"/>
      <c r="T65" s="79"/>
      <c r="U65" s="80"/>
      <c r="V65" s="79"/>
      <c r="W65" s="80"/>
      <c r="X65" s="79"/>
      <c r="Y65" s="80"/>
      <c r="Z65" s="79"/>
      <c r="AA65" s="80"/>
      <c r="AB65" s="71"/>
      <c r="AC65" s="83"/>
      <c r="AD65" s="79"/>
      <c r="AE65" s="80"/>
      <c r="AF65" s="79"/>
      <c r="AG65" s="80"/>
      <c r="AH65" s="79"/>
      <c r="AI65" s="80"/>
      <c r="AJ65" s="79"/>
      <c r="AK65" s="80"/>
      <c r="AL65" s="79"/>
      <c r="AM65" s="80"/>
      <c r="AN65" s="79"/>
      <c r="AO65" s="80"/>
      <c r="AP65" s="71"/>
      <c r="AQ65" s="83"/>
      <c r="AR65" s="79"/>
      <c r="AS65" s="80"/>
      <c r="AT65" s="79"/>
      <c r="AU65" s="80"/>
      <c r="AV65" s="79"/>
      <c r="AW65" s="80"/>
      <c r="AX65" s="79"/>
      <c r="AY65" s="80"/>
      <c r="AZ65" s="79"/>
      <c r="BA65" s="80"/>
      <c r="BB65" s="79"/>
      <c r="BC65" s="80"/>
      <c r="BD65" s="79"/>
      <c r="BE65" s="80"/>
      <c r="BF65" s="71"/>
      <c r="BG65" s="83"/>
      <c r="BH65" s="79"/>
      <c r="BI65" s="80"/>
      <c r="BJ65" s="28">
        <f t="shared" si="5"/>
        <v>0</v>
      </c>
      <c r="BK65" s="29">
        <f t="shared" si="6"/>
        <v>0</v>
      </c>
    </row>
    <row r="66" spans="1:63" ht="15" customHeight="1" x14ac:dyDescent="0.35">
      <c r="A66" s="24"/>
      <c r="B66" s="24"/>
      <c r="C66" s="24"/>
      <c r="D66" s="683"/>
      <c r="E66" s="782"/>
      <c r="F66" s="79"/>
      <c r="G66" s="80"/>
      <c r="H66" s="79"/>
      <c r="I66" s="80"/>
      <c r="J66" s="79"/>
      <c r="K66" s="80"/>
      <c r="L66" s="79"/>
      <c r="M66" s="80"/>
      <c r="N66" s="71"/>
      <c r="O66" s="83"/>
      <c r="P66" s="71"/>
      <c r="Q66" s="83"/>
      <c r="R66" s="79"/>
      <c r="S66" s="80"/>
      <c r="T66" s="79"/>
      <c r="U66" s="80"/>
      <c r="V66" s="79"/>
      <c r="W66" s="80"/>
      <c r="X66" s="79"/>
      <c r="Y66" s="80"/>
      <c r="Z66" s="79"/>
      <c r="AA66" s="80"/>
      <c r="AB66" s="71"/>
      <c r="AC66" s="83"/>
      <c r="AD66" s="79"/>
      <c r="AE66" s="80"/>
      <c r="AF66" s="79"/>
      <c r="AG66" s="80"/>
      <c r="AH66" s="79"/>
      <c r="AI66" s="80"/>
      <c r="AJ66" s="79"/>
      <c r="AK66" s="80"/>
      <c r="AL66" s="79"/>
      <c r="AM66" s="80"/>
      <c r="AN66" s="79"/>
      <c r="AO66" s="80"/>
      <c r="AP66" s="71"/>
      <c r="AQ66" s="83"/>
      <c r="AR66" s="79"/>
      <c r="AS66" s="80"/>
      <c r="AT66" s="79"/>
      <c r="AU66" s="80"/>
      <c r="AV66" s="79"/>
      <c r="AW66" s="80"/>
      <c r="AX66" s="79"/>
      <c r="AY66" s="80"/>
      <c r="AZ66" s="79"/>
      <c r="BA66" s="80"/>
      <c r="BB66" s="79"/>
      <c r="BC66" s="80"/>
      <c r="BD66" s="79"/>
      <c r="BE66" s="80"/>
      <c r="BF66" s="71"/>
      <c r="BG66" s="83"/>
      <c r="BH66" s="79"/>
      <c r="BI66" s="80"/>
      <c r="BJ66" s="28">
        <f t="shared" si="5"/>
        <v>0</v>
      </c>
      <c r="BK66" s="29">
        <f t="shared" si="6"/>
        <v>0</v>
      </c>
    </row>
    <row r="67" spans="1:63" ht="16.5" customHeight="1" x14ac:dyDescent="0.35">
      <c r="A67" s="24"/>
      <c r="B67" s="24"/>
      <c r="C67" s="24">
        <f>SUM(BJ69:BJ93)</f>
        <v>0</v>
      </c>
      <c r="D67" s="685" t="s">
        <v>83</v>
      </c>
      <c r="E67" s="753"/>
      <c r="F67" s="79"/>
      <c r="G67" s="80"/>
      <c r="H67" s="79"/>
      <c r="I67" s="80"/>
      <c r="J67" s="79"/>
      <c r="K67" s="80"/>
      <c r="L67" s="79"/>
      <c r="M67" s="80"/>
      <c r="N67" s="71"/>
      <c r="O67" s="83"/>
      <c r="P67" s="71"/>
      <c r="Q67" s="83"/>
      <c r="R67" s="79"/>
      <c r="S67" s="80"/>
      <c r="T67" s="79"/>
      <c r="U67" s="80"/>
      <c r="V67" s="79"/>
      <c r="W67" s="80"/>
      <c r="X67" s="79"/>
      <c r="Y67" s="80"/>
      <c r="Z67" s="79"/>
      <c r="AA67" s="80"/>
      <c r="AB67" s="71"/>
      <c r="AC67" s="83"/>
      <c r="AD67" s="79"/>
      <c r="AE67" s="80"/>
      <c r="AF67" s="79"/>
      <c r="AG67" s="80"/>
      <c r="AH67" s="79"/>
      <c r="AI67" s="80"/>
      <c r="AJ67" s="79"/>
      <c r="AK67" s="80"/>
      <c r="AL67" s="79"/>
      <c r="AM67" s="80"/>
      <c r="AN67" s="79"/>
      <c r="AO67" s="80"/>
      <c r="AP67" s="71"/>
      <c r="AQ67" s="83"/>
      <c r="AR67" s="79"/>
      <c r="AS67" s="80"/>
      <c r="AT67" s="79"/>
      <c r="AU67" s="80"/>
      <c r="AV67" s="79"/>
      <c r="AW67" s="80"/>
      <c r="AX67" s="79"/>
      <c r="AY67" s="80"/>
      <c r="AZ67" s="79"/>
      <c r="BA67" s="80"/>
      <c r="BB67" s="79"/>
      <c r="BC67" s="80"/>
      <c r="BD67" s="79"/>
      <c r="BE67" s="80"/>
      <c r="BF67" s="71"/>
      <c r="BG67" s="83"/>
      <c r="BH67" s="79"/>
      <c r="BI67" s="80"/>
      <c r="BJ67" s="28">
        <f t="shared" si="5"/>
        <v>0</v>
      </c>
      <c r="BK67" s="29">
        <f t="shared" si="6"/>
        <v>0</v>
      </c>
    </row>
    <row r="68" spans="1:63" ht="15" customHeight="1" x14ac:dyDescent="0.35">
      <c r="A68" s="24"/>
      <c r="B68" s="81" t="s">
        <v>29</v>
      </c>
      <c r="C68" s="24" t="s">
        <v>84</v>
      </c>
      <c r="D68" s="683" t="s">
        <v>43</v>
      </c>
      <c r="E68" s="782"/>
      <c r="F68" s="79"/>
      <c r="G68" s="80"/>
      <c r="H68" s="79"/>
      <c r="I68" s="80"/>
      <c r="J68" s="79"/>
      <c r="K68" s="80"/>
      <c r="L68" s="79"/>
      <c r="M68" s="80"/>
      <c r="N68" s="71"/>
      <c r="O68" s="83"/>
      <c r="P68" s="71"/>
      <c r="Q68" s="83"/>
      <c r="R68" s="79"/>
      <c r="S68" s="80"/>
      <c r="T68" s="79"/>
      <c r="U68" s="80"/>
      <c r="V68" s="79"/>
      <c r="W68" s="80"/>
      <c r="X68" s="79"/>
      <c r="Y68" s="80"/>
      <c r="Z68" s="79"/>
      <c r="AA68" s="80"/>
      <c r="AB68" s="71"/>
      <c r="AC68" s="83"/>
      <c r="AD68" s="79"/>
      <c r="AE68" s="80"/>
      <c r="AF68" s="79"/>
      <c r="AG68" s="80"/>
      <c r="AH68" s="79"/>
      <c r="AI68" s="80"/>
      <c r="AJ68" s="79"/>
      <c r="AK68" s="80"/>
      <c r="AL68" s="79"/>
      <c r="AM68" s="80"/>
      <c r="AN68" s="79"/>
      <c r="AO68" s="80"/>
      <c r="AP68" s="71"/>
      <c r="AQ68" s="83"/>
      <c r="AR68" s="79"/>
      <c r="AS68" s="80"/>
      <c r="AT68" s="79"/>
      <c r="AU68" s="80"/>
      <c r="AV68" s="79"/>
      <c r="AW68" s="80"/>
      <c r="AX68" s="79"/>
      <c r="AY68" s="80"/>
      <c r="AZ68" s="79"/>
      <c r="BA68" s="80"/>
      <c r="BB68" s="79"/>
      <c r="BC68" s="80"/>
      <c r="BD68" s="79"/>
      <c r="BE68" s="80"/>
      <c r="BF68" s="71"/>
      <c r="BG68" s="83"/>
      <c r="BH68" s="79"/>
      <c r="BI68" s="80"/>
      <c r="BJ68" s="28">
        <f t="shared" si="5"/>
        <v>0</v>
      </c>
      <c r="BK68" s="29">
        <f t="shared" si="6"/>
        <v>0</v>
      </c>
    </row>
    <row r="69" spans="1:63" ht="15" customHeight="1" x14ac:dyDescent="0.35">
      <c r="A69" s="24"/>
      <c r="B69" s="81" t="s">
        <v>85</v>
      </c>
      <c r="C69" s="24" t="s">
        <v>86</v>
      </c>
      <c r="D69" s="683" t="s">
        <v>87</v>
      </c>
      <c r="E69" s="782"/>
      <c r="F69" s="79"/>
      <c r="G69" s="80"/>
      <c r="H69" s="79"/>
      <c r="I69" s="80"/>
      <c r="J69" s="79"/>
      <c r="K69" s="80"/>
      <c r="L69" s="79"/>
      <c r="M69" s="80"/>
      <c r="N69" s="71"/>
      <c r="O69" s="83"/>
      <c r="P69" s="71"/>
      <c r="Q69" s="83"/>
      <c r="R69" s="79"/>
      <c r="S69" s="80"/>
      <c r="T69" s="79"/>
      <c r="U69" s="80"/>
      <c r="V69" s="79"/>
      <c r="W69" s="80"/>
      <c r="X69" s="79"/>
      <c r="Y69" s="80"/>
      <c r="Z69" s="79"/>
      <c r="AA69" s="80"/>
      <c r="AB69" s="71"/>
      <c r="AC69" s="83"/>
      <c r="AD69" s="79"/>
      <c r="AE69" s="80"/>
      <c r="AF69" s="79"/>
      <c r="AG69" s="80"/>
      <c r="AH69" s="79"/>
      <c r="AI69" s="80"/>
      <c r="AJ69" s="79"/>
      <c r="AK69" s="80"/>
      <c r="AL69" s="79"/>
      <c r="AM69" s="80"/>
      <c r="AN69" s="79"/>
      <c r="AO69" s="80"/>
      <c r="AP69" s="71"/>
      <c r="AQ69" s="83"/>
      <c r="AR69" s="79"/>
      <c r="AS69" s="80"/>
      <c r="AT69" s="79"/>
      <c r="AU69" s="80"/>
      <c r="AV69" s="79"/>
      <c r="AW69" s="80"/>
      <c r="AX69" s="79"/>
      <c r="AY69" s="80"/>
      <c r="AZ69" s="79"/>
      <c r="BA69" s="80"/>
      <c r="BB69" s="79"/>
      <c r="BC69" s="80"/>
      <c r="BD69" s="79"/>
      <c r="BE69" s="80"/>
      <c r="BF69" s="71"/>
      <c r="BG69" s="83"/>
      <c r="BH69" s="79"/>
      <c r="BI69" s="80"/>
      <c r="BJ69" s="28">
        <f t="shared" ref="BJ69:BJ100" si="7">SUM(F69:BI69)</f>
        <v>0</v>
      </c>
      <c r="BK69" s="29">
        <f t="shared" ref="BK69:BK90" si="8">COUNT(F69:BI69)</f>
        <v>0</v>
      </c>
    </row>
    <row r="70" spans="1:63" ht="15" customHeight="1" x14ac:dyDescent="0.35">
      <c r="A70" s="24"/>
      <c r="B70" s="81" t="s">
        <v>85</v>
      </c>
      <c r="C70" s="24" t="s">
        <v>88</v>
      </c>
      <c r="D70" s="683" t="s">
        <v>89</v>
      </c>
      <c r="E70" s="782"/>
      <c r="F70" s="79"/>
      <c r="G70" s="80"/>
      <c r="H70" s="79"/>
      <c r="I70" s="80"/>
      <c r="J70" s="79"/>
      <c r="K70" s="80"/>
      <c r="L70" s="79"/>
      <c r="M70" s="80"/>
      <c r="N70" s="71"/>
      <c r="O70" s="83"/>
      <c r="P70" s="71"/>
      <c r="Q70" s="83"/>
      <c r="R70" s="79"/>
      <c r="S70" s="80"/>
      <c r="T70" s="79"/>
      <c r="U70" s="80"/>
      <c r="V70" s="79"/>
      <c r="W70" s="80"/>
      <c r="X70" s="79"/>
      <c r="Y70" s="80"/>
      <c r="Z70" s="79"/>
      <c r="AA70" s="80"/>
      <c r="AB70" s="71"/>
      <c r="AC70" s="83"/>
      <c r="AD70" s="79"/>
      <c r="AE70" s="80"/>
      <c r="AF70" s="79"/>
      <c r="AG70" s="80"/>
      <c r="AH70" s="79"/>
      <c r="AI70" s="80"/>
      <c r="AJ70" s="79"/>
      <c r="AK70" s="80"/>
      <c r="AL70" s="79"/>
      <c r="AM70" s="80"/>
      <c r="AN70" s="79"/>
      <c r="AO70" s="80"/>
      <c r="AP70" s="71"/>
      <c r="AQ70" s="83"/>
      <c r="AR70" s="79"/>
      <c r="AS70" s="80"/>
      <c r="AT70" s="79"/>
      <c r="AU70" s="80"/>
      <c r="AV70" s="79"/>
      <c r="AW70" s="80"/>
      <c r="AX70" s="79"/>
      <c r="AY70" s="80"/>
      <c r="AZ70" s="79"/>
      <c r="BA70" s="80"/>
      <c r="BB70" s="79"/>
      <c r="BC70" s="80"/>
      <c r="BD70" s="79"/>
      <c r="BE70" s="80"/>
      <c r="BF70" s="71"/>
      <c r="BG70" s="83"/>
      <c r="BH70" s="79"/>
      <c r="BI70" s="80"/>
      <c r="BJ70" s="28">
        <f t="shared" si="7"/>
        <v>0</v>
      </c>
      <c r="BK70" s="29">
        <f t="shared" si="8"/>
        <v>0</v>
      </c>
    </row>
    <row r="71" spans="1:63" ht="15" customHeight="1" x14ac:dyDescent="0.35">
      <c r="A71" s="24"/>
      <c r="B71" s="81" t="s">
        <v>85</v>
      </c>
      <c r="C71" s="24" t="s">
        <v>90</v>
      </c>
      <c r="D71" s="683" t="s">
        <v>91</v>
      </c>
      <c r="E71" s="782"/>
      <c r="F71" s="79"/>
      <c r="G71" s="80"/>
      <c r="H71" s="79"/>
      <c r="I71" s="80"/>
      <c r="J71" s="79"/>
      <c r="K71" s="80"/>
      <c r="L71" s="79"/>
      <c r="M71" s="80"/>
      <c r="N71" s="71"/>
      <c r="O71" s="83"/>
      <c r="P71" s="71"/>
      <c r="Q71" s="83"/>
      <c r="R71" s="79"/>
      <c r="S71" s="80"/>
      <c r="T71" s="79"/>
      <c r="U71" s="80"/>
      <c r="V71" s="79"/>
      <c r="W71" s="80"/>
      <c r="X71" s="79"/>
      <c r="Y71" s="80"/>
      <c r="Z71" s="79"/>
      <c r="AA71" s="80"/>
      <c r="AB71" s="71"/>
      <c r="AC71" s="83"/>
      <c r="AD71" s="79"/>
      <c r="AE71" s="80"/>
      <c r="AF71" s="79"/>
      <c r="AG71" s="80"/>
      <c r="AH71" s="79"/>
      <c r="AI71" s="80"/>
      <c r="AJ71" s="79"/>
      <c r="AK71" s="80"/>
      <c r="AL71" s="79"/>
      <c r="AM71" s="80"/>
      <c r="AN71" s="79"/>
      <c r="AO71" s="80"/>
      <c r="AP71" s="71"/>
      <c r="AQ71" s="83"/>
      <c r="AR71" s="79"/>
      <c r="AS71" s="80"/>
      <c r="AT71" s="79"/>
      <c r="AU71" s="80"/>
      <c r="AV71" s="79"/>
      <c r="AW71" s="80"/>
      <c r="AX71" s="79"/>
      <c r="AY71" s="80"/>
      <c r="AZ71" s="79"/>
      <c r="BA71" s="80"/>
      <c r="BB71" s="79"/>
      <c r="BC71" s="80"/>
      <c r="BD71" s="79"/>
      <c r="BE71" s="80"/>
      <c r="BF71" s="71"/>
      <c r="BG71" s="83"/>
      <c r="BH71" s="79"/>
      <c r="BI71" s="80"/>
      <c r="BJ71" s="28">
        <f t="shared" si="7"/>
        <v>0</v>
      </c>
      <c r="BK71" s="29">
        <f t="shared" si="8"/>
        <v>0</v>
      </c>
    </row>
    <row r="72" spans="1:63" ht="15" customHeight="1" x14ac:dyDescent="0.35">
      <c r="A72" s="24"/>
      <c r="B72" s="81" t="s">
        <v>85</v>
      </c>
      <c r="C72" s="24" t="s">
        <v>92</v>
      </c>
      <c r="D72" s="683" t="s">
        <v>93</v>
      </c>
      <c r="E72" s="782"/>
      <c r="F72" s="79"/>
      <c r="G72" s="80"/>
      <c r="H72" s="79"/>
      <c r="I72" s="80"/>
      <c r="J72" s="79"/>
      <c r="K72" s="80"/>
      <c r="L72" s="79"/>
      <c r="M72" s="80"/>
      <c r="N72" s="71"/>
      <c r="O72" s="83"/>
      <c r="P72" s="71"/>
      <c r="Q72" s="83"/>
      <c r="R72" s="79"/>
      <c r="S72" s="80"/>
      <c r="T72" s="79"/>
      <c r="U72" s="80"/>
      <c r="V72" s="79"/>
      <c r="W72" s="80"/>
      <c r="X72" s="79"/>
      <c r="Y72" s="80"/>
      <c r="Z72" s="79"/>
      <c r="AA72" s="80"/>
      <c r="AB72" s="71"/>
      <c r="AC72" s="83"/>
      <c r="AD72" s="79"/>
      <c r="AE72" s="80"/>
      <c r="AF72" s="79"/>
      <c r="AG72" s="80"/>
      <c r="AH72" s="79"/>
      <c r="AI72" s="80"/>
      <c r="AJ72" s="79"/>
      <c r="AK72" s="80"/>
      <c r="AL72" s="79"/>
      <c r="AM72" s="80"/>
      <c r="AN72" s="79"/>
      <c r="AO72" s="80"/>
      <c r="AP72" s="71"/>
      <c r="AQ72" s="83"/>
      <c r="AR72" s="79"/>
      <c r="AS72" s="80"/>
      <c r="AT72" s="79"/>
      <c r="AU72" s="80"/>
      <c r="AV72" s="79"/>
      <c r="AW72" s="80"/>
      <c r="AX72" s="79"/>
      <c r="AY72" s="80"/>
      <c r="AZ72" s="79"/>
      <c r="BA72" s="80"/>
      <c r="BB72" s="79"/>
      <c r="BC72" s="80"/>
      <c r="BD72" s="79"/>
      <c r="BE72" s="80"/>
      <c r="BF72" s="71"/>
      <c r="BG72" s="83"/>
      <c r="BH72" s="79"/>
      <c r="BI72" s="80"/>
      <c r="BJ72" s="28">
        <f t="shared" si="7"/>
        <v>0</v>
      </c>
      <c r="BK72" s="29">
        <f t="shared" si="8"/>
        <v>0</v>
      </c>
    </row>
    <row r="73" spans="1:63" ht="15" customHeight="1" x14ac:dyDescent="0.35">
      <c r="A73" s="24"/>
      <c r="B73" s="81" t="s">
        <v>85</v>
      </c>
      <c r="C73" s="24" t="s">
        <v>94</v>
      </c>
      <c r="D73" s="683" t="s">
        <v>95</v>
      </c>
      <c r="E73" s="782"/>
      <c r="F73" s="79"/>
      <c r="G73" s="80"/>
      <c r="H73" s="79"/>
      <c r="I73" s="80"/>
      <c r="J73" s="79"/>
      <c r="K73" s="80"/>
      <c r="L73" s="79"/>
      <c r="M73" s="80"/>
      <c r="N73" s="71"/>
      <c r="O73" s="83"/>
      <c r="P73" s="71"/>
      <c r="Q73" s="83"/>
      <c r="R73" s="79"/>
      <c r="S73" s="80"/>
      <c r="T73" s="79"/>
      <c r="U73" s="80"/>
      <c r="V73" s="79"/>
      <c r="W73" s="80"/>
      <c r="X73" s="79"/>
      <c r="Y73" s="80"/>
      <c r="Z73" s="79"/>
      <c r="AA73" s="80"/>
      <c r="AB73" s="71"/>
      <c r="AC73" s="83"/>
      <c r="AD73" s="79"/>
      <c r="AE73" s="80"/>
      <c r="AF73" s="79"/>
      <c r="AG73" s="80"/>
      <c r="AH73" s="79"/>
      <c r="AI73" s="80"/>
      <c r="AJ73" s="79"/>
      <c r="AK73" s="80"/>
      <c r="AL73" s="79"/>
      <c r="AM73" s="80"/>
      <c r="AN73" s="79"/>
      <c r="AO73" s="80"/>
      <c r="AP73" s="71"/>
      <c r="AQ73" s="83"/>
      <c r="AR73" s="79"/>
      <c r="AS73" s="80"/>
      <c r="AT73" s="79"/>
      <c r="AU73" s="80"/>
      <c r="AV73" s="79"/>
      <c r="AW73" s="80"/>
      <c r="AX73" s="79"/>
      <c r="AY73" s="80"/>
      <c r="AZ73" s="79"/>
      <c r="BA73" s="80"/>
      <c r="BB73" s="79"/>
      <c r="BC73" s="80"/>
      <c r="BD73" s="79"/>
      <c r="BE73" s="80"/>
      <c r="BF73" s="71"/>
      <c r="BG73" s="83"/>
      <c r="BH73" s="79"/>
      <c r="BI73" s="80"/>
      <c r="BJ73" s="28">
        <f t="shared" si="7"/>
        <v>0</v>
      </c>
      <c r="BK73" s="29">
        <f t="shared" si="8"/>
        <v>0</v>
      </c>
    </row>
    <row r="74" spans="1:63" ht="15" customHeight="1" x14ac:dyDescent="0.35">
      <c r="A74" s="24"/>
      <c r="B74" s="81" t="s">
        <v>85</v>
      </c>
      <c r="C74" s="24" t="s">
        <v>96</v>
      </c>
      <c r="D74" s="683" t="s">
        <v>245</v>
      </c>
      <c r="E74" s="782"/>
      <c r="F74" s="79"/>
      <c r="G74" s="80"/>
      <c r="H74" s="79"/>
      <c r="I74" s="80"/>
      <c r="J74" s="79"/>
      <c r="K74" s="80"/>
      <c r="L74" s="79"/>
      <c r="M74" s="80"/>
      <c r="N74" s="71"/>
      <c r="O74" s="83"/>
      <c r="P74" s="71"/>
      <c r="Q74" s="83"/>
      <c r="R74" s="79"/>
      <c r="S74" s="80"/>
      <c r="T74" s="79"/>
      <c r="U74" s="80"/>
      <c r="V74" s="79"/>
      <c r="W74" s="80"/>
      <c r="X74" s="79"/>
      <c r="Y74" s="80"/>
      <c r="Z74" s="79"/>
      <c r="AA74" s="80"/>
      <c r="AB74" s="71"/>
      <c r="AC74" s="83"/>
      <c r="AD74" s="79"/>
      <c r="AE74" s="80"/>
      <c r="AF74" s="79"/>
      <c r="AG74" s="80"/>
      <c r="AH74" s="79"/>
      <c r="AI74" s="80"/>
      <c r="AJ74" s="79"/>
      <c r="AK74" s="80"/>
      <c r="AL74" s="79"/>
      <c r="AM74" s="80"/>
      <c r="AN74" s="79"/>
      <c r="AO74" s="80"/>
      <c r="AP74" s="71"/>
      <c r="AQ74" s="83"/>
      <c r="AR74" s="79"/>
      <c r="AS74" s="80"/>
      <c r="AT74" s="79"/>
      <c r="AU74" s="80"/>
      <c r="AV74" s="79"/>
      <c r="AW74" s="80"/>
      <c r="AX74" s="79"/>
      <c r="AY74" s="80"/>
      <c r="AZ74" s="79"/>
      <c r="BA74" s="80"/>
      <c r="BB74" s="79"/>
      <c r="BC74" s="80"/>
      <c r="BD74" s="79"/>
      <c r="BE74" s="80"/>
      <c r="BF74" s="71"/>
      <c r="BG74" s="83"/>
      <c r="BH74" s="79"/>
      <c r="BI74" s="80"/>
      <c r="BJ74" s="28">
        <f t="shared" si="7"/>
        <v>0</v>
      </c>
      <c r="BK74" s="29">
        <f t="shared" si="8"/>
        <v>0</v>
      </c>
    </row>
    <row r="75" spans="1:63" ht="15" customHeight="1" x14ac:dyDescent="0.35">
      <c r="A75" s="24"/>
      <c r="B75" s="81" t="s">
        <v>85</v>
      </c>
      <c r="C75" s="24" t="s">
        <v>98</v>
      </c>
      <c r="D75" s="683" t="s">
        <v>99</v>
      </c>
      <c r="E75" s="782"/>
      <c r="F75" s="79"/>
      <c r="G75" s="80"/>
      <c r="H75" s="79"/>
      <c r="I75" s="80"/>
      <c r="J75" s="79"/>
      <c r="K75" s="80"/>
      <c r="L75" s="79"/>
      <c r="M75" s="80"/>
      <c r="N75" s="71"/>
      <c r="O75" s="83"/>
      <c r="P75" s="71"/>
      <c r="Q75" s="83"/>
      <c r="R75" s="79"/>
      <c r="S75" s="80"/>
      <c r="T75" s="79"/>
      <c r="U75" s="80"/>
      <c r="V75" s="79"/>
      <c r="W75" s="80"/>
      <c r="X75" s="79"/>
      <c r="Y75" s="80"/>
      <c r="Z75" s="79"/>
      <c r="AA75" s="80"/>
      <c r="AB75" s="71"/>
      <c r="AC75" s="83"/>
      <c r="AD75" s="79"/>
      <c r="AE75" s="80"/>
      <c r="AF75" s="79"/>
      <c r="AG75" s="80"/>
      <c r="AH75" s="79"/>
      <c r="AI75" s="80"/>
      <c r="AJ75" s="79"/>
      <c r="AK75" s="80"/>
      <c r="AL75" s="79"/>
      <c r="AM75" s="80"/>
      <c r="AN75" s="79"/>
      <c r="AO75" s="80"/>
      <c r="AP75" s="71"/>
      <c r="AQ75" s="83"/>
      <c r="AR75" s="79"/>
      <c r="AS75" s="80"/>
      <c r="AT75" s="79"/>
      <c r="AU75" s="80"/>
      <c r="AV75" s="79"/>
      <c r="AW75" s="80"/>
      <c r="AX75" s="79"/>
      <c r="AY75" s="80"/>
      <c r="AZ75" s="79"/>
      <c r="BA75" s="80"/>
      <c r="BB75" s="79"/>
      <c r="BC75" s="80"/>
      <c r="BD75" s="79"/>
      <c r="BE75" s="80"/>
      <c r="BF75" s="71"/>
      <c r="BG75" s="83"/>
      <c r="BH75" s="79"/>
      <c r="BI75" s="80"/>
      <c r="BJ75" s="28">
        <f t="shared" si="7"/>
        <v>0</v>
      </c>
      <c r="BK75" s="29">
        <f t="shared" si="8"/>
        <v>0</v>
      </c>
    </row>
    <row r="76" spans="1:63" ht="15" customHeight="1" x14ac:dyDescent="0.35">
      <c r="A76" s="24"/>
      <c r="B76" s="81" t="s">
        <v>85</v>
      </c>
      <c r="C76" s="24" t="s">
        <v>100</v>
      </c>
      <c r="D76" s="683" t="s">
        <v>101</v>
      </c>
      <c r="E76" s="782"/>
      <c r="F76" s="79"/>
      <c r="G76" s="80"/>
      <c r="H76" s="79"/>
      <c r="I76" s="80"/>
      <c r="J76" s="79"/>
      <c r="K76" s="80"/>
      <c r="L76" s="79"/>
      <c r="M76" s="80"/>
      <c r="N76" s="71"/>
      <c r="O76" s="83"/>
      <c r="P76" s="71"/>
      <c r="Q76" s="83"/>
      <c r="R76" s="79"/>
      <c r="S76" s="80"/>
      <c r="T76" s="79"/>
      <c r="U76" s="80"/>
      <c r="V76" s="79"/>
      <c r="W76" s="80"/>
      <c r="X76" s="79"/>
      <c r="Y76" s="80"/>
      <c r="Z76" s="79"/>
      <c r="AA76" s="80"/>
      <c r="AB76" s="71"/>
      <c r="AC76" s="83"/>
      <c r="AD76" s="79"/>
      <c r="AE76" s="80"/>
      <c r="AF76" s="79"/>
      <c r="AG76" s="80"/>
      <c r="AH76" s="79"/>
      <c r="AI76" s="80"/>
      <c r="AJ76" s="79"/>
      <c r="AK76" s="80"/>
      <c r="AL76" s="79"/>
      <c r="AM76" s="80"/>
      <c r="AN76" s="79"/>
      <c r="AO76" s="80"/>
      <c r="AP76" s="71"/>
      <c r="AQ76" s="83"/>
      <c r="AR76" s="79"/>
      <c r="AS76" s="80"/>
      <c r="AT76" s="79"/>
      <c r="AU76" s="80"/>
      <c r="AV76" s="79"/>
      <c r="AW76" s="80"/>
      <c r="AX76" s="79"/>
      <c r="AY76" s="80"/>
      <c r="AZ76" s="79"/>
      <c r="BA76" s="80"/>
      <c r="BB76" s="79"/>
      <c r="BC76" s="80"/>
      <c r="BD76" s="79"/>
      <c r="BE76" s="80"/>
      <c r="BF76" s="71"/>
      <c r="BG76" s="83"/>
      <c r="BH76" s="79"/>
      <c r="BI76" s="80"/>
      <c r="BJ76" s="28">
        <f t="shared" si="7"/>
        <v>0</v>
      </c>
      <c r="BK76" s="29">
        <f t="shared" si="8"/>
        <v>0</v>
      </c>
    </row>
    <row r="77" spans="1:63" ht="15" customHeight="1" x14ac:dyDescent="0.35">
      <c r="A77" s="24"/>
      <c r="B77" s="81" t="s">
        <v>29</v>
      </c>
      <c r="C77" s="24" t="s">
        <v>102</v>
      </c>
      <c r="D77" s="683" t="s">
        <v>103</v>
      </c>
      <c r="E77" s="782"/>
      <c r="F77" s="79"/>
      <c r="G77" s="80"/>
      <c r="H77" s="79"/>
      <c r="I77" s="80"/>
      <c r="J77" s="79"/>
      <c r="K77" s="80"/>
      <c r="L77" s="79"/>
      <c r="M77" s="80"/>
      <c r="N77" s="71"/>
      <c r="O77" s="83"/>
      <c r="P77" s="71"/>
      <c r="Q77" s="83"/>
      <c r="R77" s="79"/>
      <c r="S77" s="80"/>
      <c r="T77" s="79"/>
      <c r="U77" s="80"/>
      <c r="V77" s="79"/>
      <c r="W77" s="80"/>
      <c r="X77" s="79"/>
      <c r="Y77" s="80"/>
      <c r="Z77" s="79"/>
      <c r="AA77" s="80"/>
      <c r="AB77" s="71"/>
      <c r="AC77" s="83"/>
      <c r="AD77" s="79"/>
      <c r="AE77" s="80"/>
      <c r="AF77" s="79"/>
      <c r="AG77" s="80"/>
      <c r="AH77" s="79"/>
      <c r="AI77" s="80"/>
      <c r="AJ77" s="79"/>
      <c r="AK77" s="80"/>
      <c r="AL77" s="79"/>
      <c r="AM77" s="80"/>
      <c r="AN77" s="79"/>
      <c r="AO77" s="80"/>
      <c r="AP77" s="71"/>
      <c r="AQ77" s="83"/>
      <c r="AR77" s="79"/>
      <c r="AS77" s="80"/>
      <c r="AT77" s="79"/>
      <c r="AU77" s="80"/>
      <c r="AV77" s="79"/>
      <c r="AW77" s="80"/>
      <c r="AX77" s="79"/>
      <c r="AY77" s="80"/>
      <c r="AZ77" s="79"/>
      <c r="BA77" s="80"/>
      <c r="BB77" s="79"/>
      <c r="BC77" s="80"/>
      <c r="BD77" s="79"/>
      <c r="BE77" s="80"/>
      <c r="BF77" s="71"/>
      <c r="BG77" s="83"/>
      <c r="BH77" s="79"/>
      <c r="BI77" s="80"/>
      <c r="BJ77" s="28">
        <f t="shared" si="7"/>
        <v>0</v>
      </c>
      <c r="BK77" s="29">
        <f t="shared" si="8"/>
        <v>0</v>
      </c>
    </row>
    <row r="78" spans="1:63" ht="15" customHeight="1" x14ac:dyDescent="0.35">
      <c r="A78" s="24"/>
      <c r="B78" s="81" t="s">
        <v>104</v>
      </c>
      <c r="C78" s="24" t="s">
        <v>105</v>
      </c>
      <c r="D78" s="683" t="s">
        <v>106</v>
      </c>
      <c r="E78" s="782"/>
      <c r="F78" s="79"/>
      <c r="G78" s="80"/>
      <c r="H78" s="79"/>
      <c r="I78" s="80"/>
      <c r="J78" s="79"/>
      <c r="K78" s="80"/>
      <c r="L78" s="79"/>
      <c r="M78" s="80"/>
      <c r="N78" s="71"/>
      <c r="O78" s="83"/>
      <c r="P78" s="71"/>
      <c r="Q78" s="83"/>
      <c r="R78" s="79"/>
      <c r="S78" s="80"/>
      <c r="T78" s="79"/>
      <c r="U78" s="80"/>
      <c r="V78" s="79"/>
      <c r="W78" s="80"/>
      <c r="X78" s="79"/>
      <c r="Y78" s="80"/>
      <c r="Z78" s="79"/>
      <c r="AA78" s="80"/>
      <c r="AB78" s="71"/>
      <c r="AC78" s="83"/>
      <c r="AD78" s="79"/>
      <c r="AE78" s="80"/>
      <c r="AF78" s="79"/>
      <c r="AG78" s="80"/>
      <c r="AH78" s="79"/>
      <c r="AI78" s="80"/>
      <c r="AJ78" s="79"/>
      <c r="AK78" s="80"/>
      <c r="AL78" s="79"/>
      <c r="AM78" s="80"/>
      <c r="AN78" s="79"/>
      <c r="AO78" s="80"/>
      <c r="AP78" s="71"/>
      <c r="AQ78" s="83"/>
      <c r="AR78" s="79"/>
      <c r="AS78" s="80"/>
      <c r="AT78" s="79"/>
      <c r="AU78" s="80"/>
      <c r="AV78" s="79"/>
      <c r="AW78" s="80"/>
      <c r="AX78" s="79"/>
      <c r="AY78" s="80"/>
      <c r="AZ78" s="79"/>
      <c r="BA78" s="80"/>
      <c r="BB78" s="79"/>
      <c r="BC78" s="80"/>
      <c r="BD78" s="79"/>
      <c r="BE78" s="80"/>
      <c r="BF78" s="71"/>
      <c r="BG78" s="83"/>
      <c r="BH78" s="79"/>
      <c r="BI78" s="80"/>
      <c r="BJ78" s="28">
        <f t="shared" si="7"/>
        <v>0</v>
      </c>
      <c r="BK78" s="29">
        <f t="shared" si="8"/>
        <v>0</v>
      </c>
    </row>
    <row r="79" spans="1:63" ht="15" customHeight="1" x14ac:dyDescent="0.35">
      <c r="A79" s="24"/>
      <c r="B79" s="81" t="s">
        <v>85</v>
      </c>
      <c r="C79" s="24" t="s">
        <v>107</v>
      </c>
      <c r="D79" s="683" t="s">
        <v>108</v>
      </c>
      <c r="E79" s="782"/>
      <c r="F79" s="79"/>
      <c r="G79" s="80"/>
      <c r="H79" s="79"/>
      <c r="I79" s="80"/>
      <c r="J79" s="79"/>
      <c r="K79" s="80"/>
      <c r="L79" s="79"/>
      <c r="M79" s="80"/>
      <c r="N79" s="71"/>
      <c r="O79" s="83"/>
      <c r="P79" s="71"/>
      <c r="Q79" s="83"/>
      <c r="R79" s="79"/>
      <c r="S79" s="80"/>
      <c r="T79" s="79"/>
      <c r="U79" s="80"/>
      <c r="V79" s="79"/>
      <c r="W79" s="80"/>
      <c r="X79" s="79"/>
      <c r="Y79" s="80"/>
      <c r="Z79" s="79"/>
      <c r="AA79" s="80"/>
      <c r="AB79" s="71"/>
      <c r="AC79" s="83"/>
      <c r="AD79" s="79"/>
      <c r="AE79" s="80"/>
      <c r="AF79" s="79"/>
      <c r="AG79" s="80"/>
      <c r="AH79" s="79"/>
      <c r="AI79" s="80"/>
      <c r="AJ79" s="79"/>
      <c r="AK79" s="80"/>
      <c r="AL79" s="79"/>
      <c r="AM79" s="80"/>
      <c r="AN79" s="79"/>
      <c r="AO79" s="80"/>
      <c r="AP79" s="71"/>
      <c r="AQ79" s="83"/>
      <c r="AR79" s="79"/>
      <c r="AS79" s="80"/>
      <c r="AT79" s="79"/>
      <c r="AU79" s="80"/>
      <c r="AV79" s="79"/>
      <c r="AW79" s="80"/>
      <c r="AX79" s="79"/>
      <c r="AY79" s="80"/>
      <c r="AZ79" s="79"/>
      <c r="BA79" s="80"/>
      <c r="BB79" s="79"/>
      <c r="BC79" s="80"/>
      <c r="BD79" s="79"/>
      <c r="BE79" s="80"/>
      <c r="BF79" s="71"/>
      <c r="BG79" s="83"/>
      <c r="BH79" s="79"/>
      <c r="BI79" s="80"/>
      <c r="BJ79" s="28">
        <f t="shared" si="7"/>
        <v>0</v>
      </c>
      <c r="BK79" s="29">
        <f t="shared" si="8"/>
        <v>0</v>
      </c>
    </row>
    <row r="80" spans="1:63" ht="15" customHeight="1" x14ac:dyDescent="0.35">
      <c r="A80" s="24"/>
      <c r="B80" s="81" t="s">
        <v>109</v>
      </c>
      <c r="C80" s="24" t="s">
        <v>110</v>
      </c>
      <c r="D80" s="683" t="s">
        <v>111</v>
      </c>
      <c r="E80" s="782"/>
      <c r="F80" s="79"/>
      <c r="G80" s="80"/>
      <c r="H80" s="79"/>
      <c r="I80" s="80"/>
      <c r="J80" s="79"/>
      <c r="K80" s="80"/>
      <c r="L80" s="79"/>
      <c r="M80" s="80"/>
      <c r="N80" s="71"/>
      <c r="O80" s="83"/>
      <c r="P80" s="71"/>
      <c r="Q80" s="83"/>
      <c r="R80" s="79"/>
      <c r="S80" s="80"/>
      <c r="T80" s="79"/>
      <c r="U80" s="80"/>
      <c r="V80" s="79"/>
      <c r="W80" s="80"/>
      <c r="X80" s="79"/>
      <c r="Y80" s="80"/>
      <c r="Z80" s="79"/>
      <c r="AA80" s="80"/>
      <c r="AB80" s="71"/>
      <c r="AC80" s="83"/>
      <c r="AD80" s="79"/>
      <c r="AE80" s="80"/>
      <c r="AF80" s="79"/>
      <c r="AG80" s="80"/>
      <c r="AH80" s="79"/>
      <c r="AI80" s="80"/>
      <c r="AJ80" s="79"/>
      <c r="AK80" s="80"/>
      <c r="AL80" s="79"/>
      <c r="AM80" s="80"/>
      <c r="AN80" s="79"/>
      <c r="AO80" s="80"/>
      <c r="AP80" s="71"/>
      <c r="AQ80" s="83"/>
      <c r="AR80" s="79"/>
      <c r="AS80" s="80"/>
      <c r="AT80" s="79"/>
      <c r="AU80" s="80"/>
      <c r="AV80" s="79"/>
      <c r="AW80" s="80"/>
      <c r="AX80" s="79"/>
      <c r="AY80" s="80"/>
      <c r="AZ80" s="79"/>
      <c r="BA80" s="80"/>
      <c r="BB80" s="79"/>
      <c r="BC80" s="80"/>
      <c r="BD80" s="79"/>
      <c r="BE80" s="80"/>
      <c r="BF80" s="71"/>
      <c r="BG80" s="83"/>
      <c r="BH80" s="79"/>
      <c r="BI80" s="80"/>
      <c r="BJ80" s="28">
        <f t="shared" si="7"/>
        <v>0</v>
      </c>
      <c r="BK80" s="29">
        <f t="shared" si="8"/>
        <v>0</v>
      </c>
    </row>
    <row r="81" spans="1:63" ht="15" customHeight="1" x14ac:dyDescent="0.35">
      <c r="A81" s="24"/>
      <c r="B81" s="81" t="s">
        <v>26</v>
      </c>
      <c r="C81" s="24" t="s">
        <v>112</v>
      </c>
      <c r="D81" s="683" t="s">
        <v>54</v>
      </c>
      <c r="E81" s="782"/>
      <c r="F81" s="79"/>
      <c r="G81" s="80"/>
      <c r="H81" s="79"/>
      <c r="I81" s="80"/>
      <c r="J81" s="79"/>
      <c r="K81" s="80"/>
      <c r="L81" s="79"/>
      <c r="M81" s="80"/>
      <c r="N81" s="71"/>
      <c r="O81" s="83"/>
      <c r="P81" s="71"/>
      <c r="Q81" s="83"/>
      <c r="R81" s="79"/>
      <c r="S81" s="80"/>
      <c r="T81" s="79"/>
      <c r="U81" s="80"/>
      <c r="V81" s="79"/>
      <c r="W81" s="80"/>
      <c r="X81" s="79"/>
      <c r="Y81" s="80"/>
      <c r="Z81" s="79"/>
      <c r="AA81" s="80"/>
      <c r="AB81" s="71"/>
      <c r="AC81" s="83"/>
      <c r="AD81" s="79"/>
      <c r="AE81" s="80"/>
      <c r="AF81" s="79"/>
      <c r="AG81" s="80"/>
      <c r="AH81" s="79"/>
      <c r="AI81" s="80"/>
      <c r="AJ81" s="79"/>
      <c r="AK81" s="80"/>
      <c r="AL81" s="79"/>
      <c r="AM81" s="80"/>
      <c r="AN81" s="79"/>
      <c r="AO81" s="80"/>
      <c r="AP81" s="71"/>
      <c r="AQ81" s="83"/>
      <c r="AR81" s="79"/>
      <c r="AS81" s="80"/>
      <c r="AT81" s="79"/>
      <c r="AU81" s="80"/>
      <c r="AV81" s="79"/>
      <c r="AW81" s="80"/>
      <c r="AX81" s="79"/>
      <c r="AY81" s="80"/>
      <c r="AZ81" s="79"/>
      <c r="BA81" s="80"/>
      <c r="BB81" s="79"/>
      <c r="BC81" s="80"/>
      <c r="BD81" s="79"/>
      <c r="BE81" s="80"/>
      <c r="BF81" s="71"/>
      <c r="BG81" s="83"/>
      <c r="BH81" s="79"/>
      <c r="BI81" s="80"/>
      <c r="BJ81" s="28">
        <f t="shared" si="7"/>
        <v>0</v>
      </c>
      <c r="BK81" s="29">
        <f t="shared" si="8"/>
        <v>0</v>
      </c>
    </row>
    <row r="82" spans="1:63" ht="15" customHeight="1" x14ac:dyDescent="0.35">
      <c r="A82" s="24"/>
      <c r="B82" s="81" t="s">
        <v>29</v>
      </c>
      <c r="C82" s="24" t="s">
        <v>113</v>
      </c>
      <c r="D82" s="683" t="s">
        <v>70</v>
      </c>
      <c r="E82" s="782"/>
      <c r="F82" s="79"/>
      <c r="G82" s="80"/>
      <c r="H82" s="79"/>
      <c r="I82" s="80"/>
      <c r="J82" s="79"/>
      <c r="K82" s="80"/>
      <c r="L82" s="79"/>
      <c r="M82" s="80"/>
      <c r="N82" s="71"/>
      <c r="O82" s="83"/>
      <c r="P82" s="71"/>
      <c r="Q82" s="83"/>
      <c r="R82" s="79"/>
      <c r="S82" s="80"/>
      <c r="T82" s="79"/>
      <c r="U82" s="80"/>
      <c r="V82" s="79"/>
      <c r="W82" s="80"/>
      <c r="X82" s="79"/>
      <c r="Y82" s="80"/>
      <c r="Z82" s="79"/>
      <c r="AA82" s="80"/>
      <c r="AB82" s="71"/>
      <c r="AC82" s="83"/>
      <c r="AD82" s="79"/>
      <c r="AE82" s="80"/>
      <c r="AF82" s="79"/>
      <c r="AG82" s="80"/>
      <c r="AH82" s="79"/>
      <c r="AI82" s="80"/>
      <c r="AJ82" s="79"/>
      <c r="AK82" s="80"/>
      <c r="AL82" s="79"/>
      <c r="AM82" s="80"/>
      <c r="AN82" s="79"/>
      <c r="AO82" s="80"/>
      <c r="AP82" s="71"/>
      <c r="AQ82" s="83"/>
      <c r="AR82" s="79"/>
      <c r="AS82" s="80"/>
      <c r="AT82" s="79"/>
      <c r="AU82" s="80"/>
      <c r="AV82" s="79"/>
      <c r="AW82" s="80"/>
      <c r="AX82" s="79"/>
      <c r="AY82" s="80"/>
      <c r="AZ82" s="79"/>
      <c r="BA82" s="80"/>
      <c r="BB82" s="79"/>
      <c r="BC82" s="80"/>
      <c r="BD82" s="79"/>
      <c r="BE82" s="80"/>
      <c r="BF82" s="71"/>
      <c r="BG82" s="83"/>
      <c r="BH82" s="79"/>
      <c r="BI82" s="80"/>
      <c r="BJ82" s="28">
        <f t="shared" si="7"/>
        <v>0</v>
      </c>
      <c r="BK82" s="29">
        <f t="shared" si="8"/>
        <v>0</v>
      </c>
    </row>
    <row r="83" spans="1:63" ht="15" customHeight="1" x14ac:dyDescent="0.35">
      <c r="A83" s="24"/>
      <c r="B83" s="81" t="s">
        <v>29</v>
      </c>
      <c r="C83" s="24" t="s">
        <v>114</v>
      </c>
      <c r="D83" s="683" t="s">
        <v>72</v>
      </c>
      <c r="E83" s="782"/>
      <c r="F83" s="79"/>
      <c r="G83" s="80"/>
      <c r="H83" s="79"/>
      <c r="I83" s="80"/>
      <c r="J83" s="79"/>
      <c r="K83" s="80"/>
      <c r="L83" s="79"/>
      <c r="M83" s="80"/>
      <c r="N83" s="71"/>
      <c r="O83" s="83"/>
      <c r="P83" s="71"/>
      <c r="Q83" s="83"/>
      <c r="R83" s="79"/>
      <c r="S83" s="80"/>
      <c r="T83" s="79"/>
      <c r="U83" s="80"/>
      <c r="V83" s="79"/>
      <c r="W83" s="80"/>
      <c r="X83" s="79"/>
      <c r="Y83" s="80"/>
      <c r="Z83" s="79"/>
      <c r="AA83" s="80"/>
      <c r="AB83" s="71"/>
      <c r="AC83" s="83"/>
      <c r="AD83" s="79"/>
      <c r="AE83" s="80"/>
      <c r="AF83" s="79"/>
      <c r="AG83" s="80"/>
      <c r="AH83" s="79"/>
      <c r="AI83" s="80"/>
      <c r="AJ83" s="79"/>
      <c r="AK83" s="80"/>
      <c r="AL83" s="79"/>
      <c r="AM83" s="80"/>
      <c r="AN83" s="79"/>
      <c r="AO83" s="80"/>
      <c r="AP83" s="71"/>
      <c r="AQ83" s="83"/>
      <c r="AR83" s="79"/>
      <c r="AS83" s="80"/>
      <c r="AT83" s="79"/>
      <c r="AU83" s="80"/>
      <c r="AV83" s="79"/>
      <c r="AW83" s="80"/>
      <c r="AX83" s="79"/>
      <c r="AY83" s="80"/>
      <c r="AZ83" s="79"/>
      <c r="BA83" s="80"/>
      <c r="BB83" s="79"/>
      <c r="BC83" s="80"/>
      <c r="BD83" s="79"/>
      <c r="BE83" s="80"/>
      <c r="BF83" s="71"/>
      <c r="BG83" s="83"/>
      <c r="BH83" s="79"/>
      <c r="BI83" s="80"/>
      <c r="BJ83" s="28">
        <f t="shared" si="7"/>
        <v>0</v>
      </c>
      <c r="BK83" s="29">
        <f t="shared" si="8"/>
        <v>0</v>
      </c>
    </row>
    <row r="84" spans="1:63" ht="15" customHeight="1" x14ac:dyDescent="0.35">
      <c r="A84" s="24"/>
      <c r="B84" s="81" t="s">
        <v>44</v>
      </c>
      <c r="C84" s="24" t="s">
        <v>115</v>
      </c>
      <c r="D84" s="683" t="s">
        <v>72</v>
      </c>
      <c r="E84" s="782"/>
      <c r="F84" s="79"/>
      <c r="G84" s="80"/>
      <c r="H84" s="79"/>
      <c r="I84" s="80"/>
      <c r="J84" s="79"/>
      <c r="K84" s="80"/>
      <c r="L84" s="79"/>
      <c r="M84" s="80"/>
      <c r="N84" s="71"/>
      <c r="O84" s="83"/>
      <c r="P84" s="71"/>
      <c r="Q84" s="83"/>
      <c r="R84" s="79"/>
      <c r="S84" s="80"/>
      <c r="T84" s="79"/>
      <c r="U84" s="80"/>
      <c r="V84" s="79"/>
      <c r="W84" s="80"/>
      <c r="X84" s="79"/>
      <c r="Y84" s="80"/>
      <c r="Z84" s="79"/>
      <c r="AA84" s="80"/>
      <c r="AB84" s="71"/>
      <c r="AC84" s="83"/>
      <c r="AD84" s="79"/>
      <c r="AE84" s="80"/>
      <c r="AF84" s="79"/>
      <c r="AG84" s="80"/>
      <c r="AH84" s="79"/>
      <c r="AI84" s="80"/>
      <c r="AJ84" s="79"/>
      <c r="AK84" s="80"/>
      <c r="AL84" s="79"/>
      <c r="AM84" s="80"/>
      <c r="AN84" s="79"/>
      <c r="AO84" s="80"/>
      <c r="AP84" s="71"/>
      <c r="AQ84" s="83"/>
      <c r="AR84" s="79"/>
      <c r="AS84" s="80"/>
      <c r="AT84" s="79"/>
      <c r="AU84" s="80"/>
      <c r="AV84" s="79"/>
      <c r="AW84" s="80"/>
      <c r="AX84" s="79"/>
      <c r="AY84" s="80"/>
      <c r="AZ84" s="79"/>
      <c r="BA84" s="80"/>
      <c r="BB84" s="79"/>
      <c r="BC84" s="80"/>
      <c r="BD84" s="79"/>
      <c r="BE84" s="80"/>
      <c r="BF84" s="71"/>
      <c r="BG84" s="83"/>
      <c r="BH84" s="79"/>
      <c r="BI84" s="80"/>
      <c r="BJ84" s="28">
        <f t="shared" si="7"/>
        <v>0</v>
      </c>
      <c r="BK84" s="29">
        <f t="shared" si="8"/>
        <v>0</v>
      </c>
    </row>
    <row r="85" spans="1:63" ht="15" customHeight="1" x14ac:dyDescent="0.35">
      <c r="A85" s="24"/>
      <c r="B85" s="81" t="s">
        <v>29</v>
      </c>
      <c r="C85" s="24" t="s">
        <v>116</v>
      </c>
      <c r="D85" s="683" t="s">
        <v>74</v>
      </c>
      <c r="E85" s="782"/>
      <c r="F85" s="79"/>
      <c r="G85" s="80"/>
      <c r="H85" s="79"/>
      <c r="I85" s="80"/>
      <c r="J85" s="79"/>
      <c r="K85" s="80"/>
      <c r="L85" s="79"/>
      <c r="M85" s="80"/>
      <c r="N85" s="71"/>
      <c r="O85" s="83"/>
      <c r="P85" s="71"/>
      <c r="Q85" s="83"/>
      <c r="R85" s="79"/>
      <c r="S85" s="80"/>
      <c r="T85" s="79"/>
      <c r="U85" s="80"/>
      <c r="V85" s="79"/>
      <c r="W85" s="80"/>
      <c r="X85" s="79"/>
      <c r="Y85" s="80"/>
      <c r="Z85" s="79"/>
      <c r="AA85" s="80"/>
      <c r="AB85" s="71"/>
      <c r="AC85" s="83"/>
      <c r="AD85" s="79"/>
      <c r="AE85" s="80"/>
      <c r="AF85" s="79"/>
      <c r="AG85" s="80"/>
      <c r="AH85" s="79"/>
      <c r="AI85" s="80"/>
      <c r="AJ85" s="79"/>
      <c r="AK85" s="80"/>
      <c r="AL85" s="79"/>
      <c r="AM85" s="80"/>
      <c r="AN85" s="79"/>
      <c r="AO85" s="80"/>
      <c r="AP85" s="71"/>
      <c r="AQ85" s="83"/>
      <c r="AR85" s="79"/>
      <c r="AS85" s="80"/>
      <c r="AT85" s="79"/>
      <c r="AU85" s="80"/>
      <c r="AV85" s="79"/>
      <c r="AW85" s="80"/>
      <c r="AX85" s="79"/>
      <c r="AY85" s="80"/>
      <c r="AZ85" s="79"/>
      <c r="BA85" s="80"/>
      <c r="BB85" s="79"/>
      <c r="BC85" s="80"/>
      <c r="BD85" s="79"/>
      <c r="BE85" s="80"/>
      <c r="BF85" s="71"/>
      <c r="BG85" s="83"/>
      <c r="BH85" s="79"/>
      <c r="BI85" s="80"/>
      <c r="BJ85" s="28">
        <f t="shared" si="7"/>
        <v>0</v>
      </c>
      <c r="BK85" s="29">
        <f t="shared" si="8"/>
        <v>0</v>
      </c>
    </row>
    <row r="86" spans="1:63" ht="15" customHeight="1" x14ac:dyDescent="0.35">
      <c r="A86" s="24"/>
      <c r="B86" s="81" t="s">
        <v>29</v>
      </c>
      <c r="C86" s="24" t="s">
        <v>117</v>
      </c>
      <c r="D86" s="683" t="s">
        <v>76</v>
      </c>
      <c r="E86" s="782"/>
      <c r="F86" s="79"/>
      <c r="G86" s="80"/>
      <c r="H86" s="79"/>
      <c r="I86" s="80"/>
      <c r="J86" s="79"/>
      <c r="K86" s="80"/>
      <c r="L86" s="79"/>
      <c r="M86" s="80"/>
      <c r="N86" s="71"/>
      <c r="O86" s="83"/>
      <c r="P86" s="71"/>
      <c r="Q86" s="83"/>
      <c r="R86" s="79"/>
      <c r="S86" s="80"/>
      <c r="T86" s="79"/>
      <c r="U86" s="80"/>
      <c r="V86" s="79"/>
      <c r="W86" s="80"/>
      <c r="X86" s="79"/>
      <c r="Y86" s="80"/>
      <c r="Z86" s="79"/>
      <c r="AA86" s="80"/>
      <c r="AB86" s="71"/>
      <c r="AC86" s="83"/>
      <c r="AD86" s="79"/>
      <c r="AE86" s="80"/>
      <c r="AF86" s="79"/>
      <c r="AG86" s="80"/>
      <c r="AH86" s="79"/>
      <c r="AI86" s="80"/>
      <c r="AJ86" s="79"/>
      <c r="AK86" s="80"/>
      <c r="AL86" s="79"/>
      <c r="AM86" s="80"/>
      <c r="AN86" s="79"/>
      <c r="AO86" s="80"/>
      <c r="AP86" s="71"/>
      <c r="AQ86" s="83"/>
      <c r="AR86" s="79"/>
      <c r="AS86" s="80"/>
      <c r="AT86" s="79"/>
      <c r="AU86" s="80"/>
      <c r="AV86" s="79"/>
      <c r="AW86" s="80"/>
      <c r="AX86" s="79"/>
      <c r="AY86" s="80"/>
      <c r="AZ86" s="79"/>
      <c r="BA86" s="80"/>
      <c r="BB86" s="79"/>
      <c r="BC86" s="80"/>
      <c r="BD86" s="79"/>
      <c r="BE86" s="80"/>
      <c r="BF86" s="71"/>
      <c r="BG86" s="83"/>
      <c r="BH86" s="79"/>
      <c r="BI86" s="80"/>
      <c r="BJ86" s="28">
        <f t="shared" si="7"/>
        <v>0</v>
      </c>
      <c r="BK86" s="29">
        <f t="shared" si="8"/>
        <v>0</v>
      </c>
    </row>
    <row r="87" spans="1:63" ht="15" customHeight="1" x14ac:dyDescent="0.35">
      <c r="A87" s="24"/>
      <c r="B87" s="81" t="s">
        <v>44</v>
      </c>
      <c r="C87" s="24" t="s">
        <v>118</v>
      </c>
      <c r="D87" s="683" t="s">
        <v>76</v>
      </c>
      <c r="E87" s="782"/>
      <c r="F87" s="79"/>
      <c r="G87" s="80"/>
      <c r="H87" s="79"/>
      <c r="I87" s="80"/>
      <c r="J87" s="79"/>
      <c r="K87" s="80"/>
      <c r="L87" s="79"/>
      <c r="M87" s="80"/>
      <c r="N87" s="71"/>
      <c r="O87" s="83"/>
      <c r="P87" s="71"/>
      <c r="Q87" s="83"/>
      <c r="R87" s="79"/>
      <c r="S87" s="80"/>
      <c r="T87" s="79"/>
      <c r="U87" s="80"/>
      <c r="V87" s="79"/>
      <c r="W87" s="80"/>
      <c r="X87" s="79"/>
      <c r="Y87" s="80"/>
      <c r="Z87" s="79"/>
      <c r="AA87" s="80"/>
      <c r="AB87" s="71"/>
      <c r="AC87" s="83"/>
      <c r="AD87" s="79"/>
      <c r="AE87" s="80"/>
      <c r="AF87" s="79"/>
      <c r="AG87" s="80"/>
      <c r="AH87" s="79"/>
      <c r="AI87" s="80"/>
      <c r="AJ87" s="79"/>
      <c r="AK87" s="80"/>
      <c r="AL87" s="79"/>
      <c r="AM87" s="80"/>
      <c r="AN87" s="79"/>
      <c r="AO87" s="80"/>
      <c r="AP87" s="71"/>
      <c r="AQ87" s="83"/>
      <c r="AR87" s="79"/>
      <c r="AS87" s="80"/>
      <c r="AT87" s="79"/>
      <c r="AU87" s="80"/>
      <c r="AV87" s="79"/>
      <c r="AW87" s="80"/>
      <c r="AX87" s="79"/>
      <c r="AY87" s="80"/>
      <c r="AZ87" s="79"/>
      <c r="BA87" s="80"/>
      <c r="BB87" s="79"/>
      <c r="BC87" s="80"/>
      <c r="BD87" s="79"/>
      <c r="BE87" s="80"/>
      <c r="BF87" s="71"/>
      <c r="BG87" s="83"/>
      <c r="BH87" s="79"/>
      <c r="BI87" s="80"/>
      <c r="BJ87" s="28">
        <f t="shared" si="7"/>
        <v>0</v>
      </c>
      <c r="BK87" s="29">
        <f t="shared" si="8"/>
        <v>0</v>
      </c>
    </row>
    <row r="88" spans="1:63" ht="15" customHeight="1" x14ac:dyDescent="0.35">
      <c r="A88" s="24"/>
      <c r="B88" s="81" t="s">
        <v>109</v>
      </c>
      <c r="C88" s="24" t="s">
        <v>119</v>
      </c>
      <c r="D88" s="683" t="s">
        <v>120</v>
      </c>
      <c r="E88" s="782"/>
      <c r="F88" s="79"/>
      <c r="G88" s="80"/>
      <c r="H88" s="79"/>
      <c r="I88" s="80"/>
      <c r="J88" s="79"/>
      <c r="K88" s="80"/>
      <c r="L88" s="79"/>
      <c r="M88" s="80"/>
      <c r="N88" s="71"/>
      <c r="O88" s="83"/>
      <c r="P88" s="71"/>
      <c r="Q88" s="83"/>
      <c r="R88" s="79"/>
      <c r="S88" s="80"/>
      <c r="T88" s="79"/>
      <c r="U88" s="80"/>
      <c r="V88" s="79"/>
      <c r="W88" s="80"/>
      <c r="X88" s="79"/>
      <c r="Y88" s="80"/>
      <c r="Z88" s="79"/>
      <c r="AA88" s="80"/>
      <c r="AB88" s="71"/>
      <c r="AC88" s="83"/>
      <c r="AD88" s="79"/>
      <c r="AE88" s="80"/>
      <c r="AF88" s="79"/>
      <c r="AG88" s="80"/>
      <c r="AH88" s="79"/>
      <c r="AI88" s="80"/>
      <c r="AJ88" s="79"/>
      <c r="AK88" s="80"/>
      <c r="AL88" s="79"/>
      <c r="AM88" s="80"/>
      <c r="AN88" s="79"/>
      <c r="AO88" s="80"/>
      <c r="AP88" s="71"/>
      <c r="AQ88" s="83"/>
      <c r="AR88" s="79"/>
      <c r="AS88" s="80"/>
      <c r="AT88" s="79"/>
      <c r="AU88" s="80"/>
      <c r="AV88" s="79"/>
      <c r="AW88" s="80"/>
      <c r="AX88" s="79"/>
      <c r="AY88" s="80"/>
      <c r="AZ88" s="79"/>
      <c r="BA88" s="80"/>
      <c r="BB88" s="79"/>
      <c r="BC88" s="80"/>
      <c r="BD88" s="79"/>
      <c r="BE88" s="80"/>
      <c r="BF88" s="71"/>
      <c r="BG88" s="83"/>
      <c r="BH88" s="79"/>
      <c r="BI88" s="80"/>
      <c r="BJ88" s="28">
        <f t="shared" si="7"/>
        <v>0</v>
      </c>
      <c r="BK88" s="29">
        <f t="shared" si="8"/>
        <v>0</v>
      </c>
    </row>
    <row r="89" spans="1:63" ht="15" customHeight="1" x14ac:dyDescent="0.35">
      <c r="A89" s="24"/>
      <c r="B89" s="81" t="s">
        <v>29</v>
      </c>
      <c r="C89" s="24" t="s">
        <v>121</v>
      </c>
      <c r="D89" s="683" t="s">
        <v>122</v>
      </c>
      <c r="E89" s="782"/>
      <c r="F89" s="79"/>
      <c r="G89" s="80"/>
      <c r="H89" s="79"/>
      <c r="I89" s="80"/>
      <c r="J89" s="79"/>
      <c r="K89" s="80"/>
      <c r="L89" s="79"/>
      <c r="M89" s="80"/>
      <c r="N89" s="71"/>
      <c r="O89" s="83"/>
      <c r="P89" s="71"/>
      <c r="Q89" s="83"/>
      <c r="R89" s="79"/>
      <c r="S89" s="80"/>
      <c r="T89" s="79"/>
      <c r="U89" s="80"/>
      <c r="V89" s="79"/>
      <c r="W89" s="80"/>
      <c r="X89" s="79"/>
      <c r="Y89" s="80"/>
      <c r="Z89" s="79"/>
      <c r="AA89" s="80"/>
      <c r="AB89" s="71"/>
      <c r="AC89" s="83"/>
      <c r="AD89" s="79"/>
      <c r="AE89" s="80"/>
      <c r="AF89" s="79"/>
      <c r="AG89" s="80"/>
      <c r="AH89" s="79"/>
      <c r="AI89" s="80"/>
      <c r="AJ89" s="79"/>
      <c r="AK89" s="80"/>
      <c r="AL89" s="79"/>
      <c r="AM89" s="80"/>
      <c r="AN89" s="79"/>
      <c r="AO89" s="80"/>
      <c r="AP89" s="71"/>
      <c r="AQ89" s="83"/>
      <c r="AR89" s="79"/>
      <c r="AS89" s="80"/>
      <c r="AT89" s="79"/>
      <c r="AU89" s="80"/>
      <c r="AV89" s="79"/>
      <c r="AW89" s="80"/>
      <c r="AX89" s="79"/>
      <c r="AY89" s="80"/>
      <c r="AZ89" s="79"/>
      <c r="BA89" s="80"/>
      <c r="BB89" s="79"/>
      <c r="BC89" s="80"/>
      <c r="BD89" s="79"/>
      <c r="BE89" s="80"/>
      <c r="BF89" s="71"/>
      <c r="BG89" s="83"/>
      <c r="BH89" s="79"/>
      <c r="BI89" s="80"/>
      <c r="BJ89" s="28">
        <f t="shared" si="7"/>
        <v>0</v>
      </c>
      <c r="BK89" s="29">
        <f t="shared" si="8"/>
        <v>0</v>
      </c>
    </row>
    <row r="90" spans="1:63" ht="15" customHeight="1" x14ac:dyDescent="0.35">
      <c r="A90" s="24"/>
      <c r="B90" s="81" t="s">
        <v>109</v>
      </c>
      <c r="C90" s="24" t="s">
        <v>123</v>
      </c>
      <c r="D90" s="683" t="s">
        <v>124</v>
      </c>
      <c r="E90" s="782"/>
      <c r="F90" s="79"/>
      <c r="G90" s="80"/>
      <c r="H90" s="79"/>
      <c r="I90" s="80"/>
      <c r="J90" s="79"/>
      <c r="K90" s="80"/>
      <c r="L90" s="79"/>
      <c r="M90" s="80"/>
      <c r="N90" s="71"/>
      <c r="O90" s="83"/>
      <c r="P90" s="71"/>
      <c r="Q90" s="83"/>
      <c r="R90" s="79"/>
      <c r="S90" s="80"/>
      <c r="T90" s="79"/>
      <c r="U90" s="80"/>
      <c r="V90" s="79"/>
      <c r="W90" s="80"/>
      <c r="X90" s="79"/>
      <c r="Y90" s="80"/>
      <c r="Z90" s="79"/>
      <c r="AA90" s="80"/>
      <c r="AB90" s="71"/>
      <c r="AC90" s="83"/>
      <c r="AD90" s="79"/>
      <c r="AE90" s="80"/>
      <c r="AF90" s="79"/>
      <c r="AG90" s="80"/>
      <c r="AH90" s="79"/>
      <c r="AI90" s="80"/>
      <c r="AJ90" s="79"/>
      <c r="AK90" s="80"/>
      <c r="AL90" s="79"/>
      <c r="AM90" s="80"/>
      <c r="AN90" s="79"/>
      <c r="AO90" s="80"/>
      <c r="AP90" s="71"/>
      <c r="AQ90" s="83"/>
      <c r="AR90" s="79"/>
      <c r="AS90" s="80"/>
      <c r="AT90" s="79"/>
      <c r="AU90" s="80"/>
      <c r="AV90" s="79"/>
      <c r="AW90" s="80"/>
      <c r="AX90" s="79"/>
      <c r="AY90" s="80"/>
      <c r="AZ90" s="79"/>
      <c r="BA90" s="80"/>
      <c r="BB90" s="79"/>
      <c r="BC90" s="80"/>
      <c r="BD90" s="79"/>
      <c r="BE90" s="80"/>
      <c r="BF90" s="71"/>
      <c r="BG90" s="83"/>
      <c r="BH90" s="79"/>
      <c r="BI90" s="80"/>
      <c r="BJ90" s="28">
        <f t="shared" si="7"/>
        <v>0</v>
      </c>
      <c r="BK90" s="29">
        <f t="shared" si="8"/>
        <v>0</v>
      </c>
    </row>
    <row r="91" spans="1:63" ht="15" customHeight="1" x14ac:dyDescent="0.35">
      <c r="A91" s="24"/>
      <c r="B91" s="81" t="s">
        <v>109</v>
      </c>
      <c r="C91" s="24" t="s">
        <v>159</v>
      </c>
      <c r="D91" s="683" t="s">
        <v>160</v>
      </c>
      <c r="E91" s="782"/>
      <c r="F91" s="79"/>
      <c r="G91" s="80"/>
      <c r="H91" s="79"/>
      <c r="I91" s="80"/>
      <c r="J91" s="79"/>
      <c r="K91" s="80"/>
      <c r="L91" s="79"/>
      <c r="M91" s="80"/>
      <c r="N91" s="71"/>
      <c r="O91" s="83"/>
      <c r="P91" s="71"/>
      <c r="Q91" s="83"/>
      <c r="R91" s="79"/>
      <c r="S91" s="80"/>
      <c r="T91" s="79"/>
      <c r="U91" s="80"/>
      <c r="V91" s="79"/>
      <c r="W91" s="80"/>
      <c r="X91" s="79"/>
      <c r="Y91" s="80"/>
      <c r="Z91" s="79"/>
      <c r="AA91" s="80"/>
      <c r="AB91" s="71"/>
      <c r="AC91" s="83"/>
      <c r="AD91" s="79"/>
      <c r="AE91" s="80"/>
      <c r="AF91" s="79"/>
      <c r="AG91" s="80"/>
      <c r="AH91" s="79"/>
      <c r="AI91" s="80"/>
      <c r="AJ91" s="79"/>
      <c r="AK91" s="80"/>
      <c r="AL91" s="79"/>
      <c r="AM91" s="80"/>
      <c r="AN91" s="79"/>
      <c r="AO91" s="80"/>
      <c r="AP91" s="71"/>
      <c r="AQ91" s="83"/>
      <c r="AR91" s="79"/>
      <c r="AS91" s="80"/>
      <c r="AT91" s="79"/>
      <c r="AU91" s="80"/>
      <c r="AV91" s="79"/>
      <c r="AW91" s="80"/>
      <c r="AX91" s="79"/>
      <c r="AY91" s="80"/>
      <c r="AZ91" s="79"/>
      <c r="BA91" s="80"/>
      <c r="BB91" s="79"/>
      <c r="BC91" s="80"/>
      <c r="BD91" s="79"/>
      <c r="BE91" s="80"/>
      <c r="BF91" s="71"/>
      <c r="BG91" s="83"/>
      <c r="BH91" s="79"/>
      <c r="BI91" s="80"/>
      <c r="BJ91" s="28">
        <f t="shared" si="7"/>
        <v>0</v>
      </c>
      <c r="BK91" s="29"/>
    </row>
    <row r="92" spans="1:63" ht="15" customHeight="1" x14ac:dyDescent="0.35">
      <c r="A92" s="24"/>
      <c r="B92" s="81" t="s">
        <v>104</v>
      </c>
      <c r="C92" s="24" t="s">
        <v>125</v>
      </c>
      <c r="D92" s="683" t="s">
        <v>126</v>
      </c>
      <c r="E92" s="782"/>
      <c r="F92" s="79"/>
      <c r="G92" s="80"/>
      <c r="H92" s="79"/>
      <c r="I92" s="80"/>
      <c r="J92" s="79"/>
      <c r="K92" s="80"/>
      <c r="L92" s="79"/>
      <c r="M92" s="80"/>
      <c r="N92" s="71"/>
      <c r="O92" s="83"/>
      <c r="P92" s="71"/>
      <c r="Q92" s="83"/>
      <c r="R92" s="79"/>
      <c r="S92" s="80"/>
      <c r="T92" s="79"/>
      <c r="U92" s="80"/>
      <c r="V92" s="79"/>
      <c r="W92" s="80"/>
      <c r="X92" s="79"/>
      <c r="Y92" s="80"/>
      <c r="Z92" s="79"/>
      <c r="AA92" s="80"/>
      <c r="AB92" s="71"/>
      <c r="AC92" s="83"/>
      <c r="AD92" s="79"/>
      <c r="AE92" s="80"/>
      <c r="AF92" s="79"/>
      <c r="AG92" s="80"/>
      <c r="AH92" s="79"/>
      <c r="AI92" s="80"/>
      <c r="AJ92" s="79"/>
      <c r="AK92" s="80"/>
      <c r="AL92" s="79"/>
      <c r="AM92" s="80"/>
      <c r="AN92" s="79"/>
      <c r="AO92" s="80"/>
      <c r="AP92" s="71"/>
      <c r="AQ92" s="83"/>
      <c r="AR92" s="79"/>
      <c r="AS92" s="80"/>
      <c r="AT92" s="79"/>
      <c r="AU92" s="80"/>
      <c r="AV92" s="79"/>
      <c r="AW92" s="80"/>
      <c r="AX92" s="79"/>
      <c r="AY92" s="80"/>
      <c r="AZ92" s="79"/>
      <c r="BA92" s="80"/>
      <c r="BB92" s="79"/>
      <c r="BC92" s="80"/>
      <c r="BD92" s="79"/>
      <c r="BE92" s="80"/>
      <c r="BF92" s="71"/>
      <c r="BG92" s="83"/>
      <c r="BH92" s="79"/>
      <c r="BI92" s="80"/>
      <c r="BJ92" s="28">
        <f t="shared" si="7"/>
        <v>0</v>
      </c>
      <c r="BK92" s="29">
        <f t="shared" ref="BK92:BK115" si="9">COUNT(F92:BI92)</f>
        <v>0</v>
      </c>
    </row>
    <row r="93" spans="1:63" ht="15" customHeight="1" x14ac:dyDescent="0.35">
      <c r="A93" s="24"/>
      <c r="B93" s="81"/>
      <c r="C93" s="24"/>
      <c r="D93" s="683"/>
      <c r="E93" s="782"/>
      <c r="F93" s="79"/>
      <c r="G93" s="80"/>
      <c r="H93" s="79"/>
      <c r="I93" s="80"/>
      <c r="J93" s="79"/>
      <c r="K93" s="80"/>
      <c r="L93" s="79"/>
      <c r="M93" s="80"/>
      <c r="N93" s="71"/>
      <c r="O93" s="83"/>
      <c r="P93" s="71"/>
      <c r="Q93" s="83"/>
      <c r="R93" s="79"/>
      <c r="S93" s="80"/>
      <c r="T93" s="79"/>
      <c r="U93" s="80"/>
      <c r="V93" s="79"/>
      <c r="W93" s="80"/>
      <c r="X93" s="79"/>
      <c r="Y93" s="80"/>
      <c r="Z93" s="79"/>
      <c r="AA93" s="80"/>
      <c r="AB93" s="71"/>
      <c r="AC93" s="83"/>
      <c r="AD93" s="79"/>
      <c r="AE93" s="80"/>
      <c r="AF93" s="79"/>
      <c r="AG93" s="80"/>
      <c r="AH93" s="79"/>
      <c r="AI93" s="80"/>
      <c r="AJ93" s="79"/>
      <c r="AK93" s="80"/>
      <c r="AL93" s="79"/>
      <c r="AM93" s="80"/>
      <c r="AN93" s="79"/>
      <c r="AO93" s="80"/>
      <c r="AP93" s="71"/>
      <c r="AQ93" s="83"/>
      <c r="AR93" s="79"/>
      <c r="AS93" s="80"/>
      <c r="AT93" s="79"/>
      <c r="AU93" s="80"/>
      <c r="AV93" s="79"/>
      <c r="AW93" s="80"/>
      <c r="AX93" s="79"/>
      <c r="AY93" s="80"/>
      <c r="AZ93" s="79"/>
      <c r="BA93" s="80"/>
      <c r="BB93" s="79"/>
      <c r="BC93" s="80"/>
      <c r="BD93" s="79"/>
      <c r="BE93" s="80"/>
      <c r="BF93" s="71"/>
      <c r="BG93" s="83"/>
      <c r="BH93" s="79"/>
      <c r="BI93" s="80"/>
      <c r="BJ93" s="28">
        <f t="shared" si="7"/>
        <v>0</v>
      </c>
      <c r="BK93" s="29">
        <f t="shared" si="9"/>
        <v>0</v>
      </c>
    </row>
    <row r="94" spans="1:63" ht="15" customHeight="1" x14ac:dyDescent="0.35">
      <c r="A94" s="24"/>
      <c r="B94" s="81"/>
      <c r="C94" s="24">
        <f>SUM(BJ95:BJ97)</f>
        <v>0</v>
      </c>
      <c r="D94" s="685" t="s">
        <v>127</v>
      </c>
      <c r="E94" s="753"/>
      <c r="F94" s="79"/>
      <c r="G94" s="80"/>
      <c r="H94" s="79"/>
      <c r="I94" s="80"/>
      <c r="J94" s="79"/>
      <c r="K94" s="80"/>
      <c r="L94" s="79"/>
      <c r="M94" s="80"/>
      <c r="N94" s="71"/>
      <c r="O94" s="83"/>
      <c r="P94" s="71"/>
      <c r="Q94" s="83"/>
      <c r="R94" s="79"/>
      <c r="S94" s="80"/>
      <c r="T94" s="79"/>
      <c r="U94" s="80"/>
      <c r="V94" s="79"/>
      <c r="W94" s="80"/>
      <c r="X94" s="79"/>
      <c r="Y94" s="80"/>
      <c r="Z94" s="79"/>
      <c r="AA94" s="80"/>
      <c r="AB94" s="71"/>
      <c r="AC94" s="83"/>
      <c r="AD94" s="79"/>
      <c r="AE94" s="80"/>
      <c r="AF94" s="79"/>
      <c r="AG94" s="80"/>
      <c r="AH94" s="79"/>
      <c r="AI94" s="80"/>
      <c r="AJ94" s="79"/>
      <c r="AK94" s="80"/>
      <c r="AL94" s="79"/>
      <c r="AM94" s="80"/>
      <c r="AN94" s="79"/>
      <c r="AO94" s="80"/>
      <c r="AP94" s="71"/>
      <c r="AQ94" s="83"/>
      <c r="AR94" s="79"/>
      <c r="AS94" s="80"/>
      <c r="AT94" s="79"/>
      <c r="AU94" s="80"/>
      <c r="AV94" s="79"/>
      <c r="AW94" s="80"/>
      <c r="AX94" s="79"/>
      <c r="AY94" s="80"/>
      <c r="AZ94" s="79"/>
      <c r="BA94" s="80"/>
      <c r="BB94" s="79"/>
      <c r="BC94" s="80"/>
      <c r="BD94" s="79"/>
      <c r="BE94" s="80"/>
      <c r="BF94" s="71"/>
      <c r="BG94" s="83"/>
      <c r="BH94" s="79"/>
      <c r="BI94" s="80"/>
      <c r="BJ94" s="28">
        <f t="shared" si="7"/>
        <v>0</v>
      </c>
      <c r="BK94" s="29">
        <f t="shared" si="9"/>
        <v>0</v>
      </c>
    </row>
    <row r="95" spans="1:63" ht="15" customHeight="1" x14ac:dyDescent="0.35">
      <c r="A95" s="24"/>
      <c r="B95" s="81" t="s">
        <v>85</v>
      </c>
      <c r="C95" s="24" t="s">
        <v>128</v>
      </c>
      <c r="D95" s="683" t="s">
        <v>129</v>
      </c>
      <c r="E95" s="782"/>
      <c r="F95" s="79"/>
      <c r="G95" s="80"/>
      <c r="H95" s="79"/>
      <c r="I95" s="80"/>
      <c r="J95" s="79"/>
      <c r="K95" s="80"/>
      <c r="L95" s="79"/>
      <c r="M95" s="80"/>
      <c r="N95" s="71"/>
      <c r="O95" s="83"/>
      <c r="P95" s="71"/>
      <c r="Q95" s="83"/>
      <c r="R95" s="79"/>
      <c r="S95" s="80"/>
      <c r="T95" s="79"/>
      <c r="U95" s="80"/>
      <c r="V95" s="79"/>
      <c r="W95" s="80"/>
      <c r="X95" s="79"/>
      <c r="Y95" s="80"/>
      <c r="Z95" s="79"/>
      <c r="AA95" s="80"/>
      <c r="AB95" s="71"/>
      <c r="AC95" s="83"/>
      <c r="AD95" s="79"/>
      <c r="AE95" s="80"/>
      <c r="AF95" s="79"/>
      <c r="AG95" s="80"/>
      <c r="AH95" s="79"/>
      <c r="AI95" s="80"/>
      <c r="AJ95" s="79"/>
      <c r="AK95" s="80"/>
      <c r="AL95" s="79"/>
      <c r="AM95" s="80"/>
      <c r="AN95" s="79"/>
      <c r="AO95" s="80"/>
      <c r="AP95" s="71"/>
      <c r="AQ95" s="83"/>
      <c r="AR95" s="79"/>
      <c r="AS95" s="80"/>
      <c r="AT95" s="79"/>
      <c r="AU95" s="80"/>
      <c r="AV95" s="79"/>
      <c r="AW95" s="80"/>
      <c r="AX95" s="79"/>
      <c r="AY95" s="80"/>
      <c r="AZ95" s="79"/>
      <c r="BA95" s="80"/>
      <c r="BB95" s="79"/>
      <c r="BC95" s="80"/>
      <c r="BD95" s="79"/>
      <c r="BE95" s="80"/>
      <c r="BF95" s="71"/>
      <c r="BG95" s="83"/>
      <c r="BH95" s="79"/>
      <c r="BI95" s="80"/>
      <c r="BJ95" s="28">
        <f t="shared" si="7"/>
        <v>0</v>
      </c>
      <c r="BK95" s="29">
        <f t="shared" si="9"/>
        <v>0</v>
      </c>
    </row>
    <row r="96" spans="1:63" ht="15" customHeight="1" x14ac:dyDescent="0.35">
      <c r="A96" s="24"/>
      <c r="B96" s="81"/>
      <c r="C96" s="24"/>
      <c r="D96" s="683"/>
      <c r="E96" s="782"/>
      <c r="F96" s="79"/>
      <c r="G96" s="80"/>
      <c r="H96" s="79"/>
      <c r="I96" s="80"/>
      <c r="J96" s="79"/>
      <c r="K96" s="80"/>
      <c r="L96" s="79"/>
      <c r="M96" s="80"/>
      <c r="N96" s="71"/>
      <c r="O96" s="83"/>
      <c r="P96" s="71"/>
      <c r="Q96" s="83"/>
      <c r="R96" s="79"/>
      <c r="S96" s="80"/>
      <c r="T96" s="79"/>
      <c r="U96" s="80"/>
      <c r="V96" s="79"/>
      <c r="W96" s="80"/>
      <c r="X96" s="79"/>
      <c r="Y96" s="80"/>
      <c r="Z96" s="79"/>
      <c r="AA96" s="80"/>
      <c r="AB96" s="71"/>
      <c r="AC96" s="83"/>
      <c r="AD96" s="79"/>
      <c r="AE96" s="80"/>
      <c r="AF96" s="79"/>
      <c r="AG96" s="80"/>
      <c r="AH96" s="79"/>
      <c r="AI96" s="80"/>
      <c r="AJ96" s="79"/>
      <c r="AK96" s="80"/>
      <c r="AL96" s="79"/>
      <c r="AM96" s="80"/>
      <c r="AN96" s="79"/>
      <c r="AO96" s="80"/>
      <c r="AP96" s="71"/>
      <c r="AQ96" s="83"/>
      <c r="AR96" s="79"/>
      <c r="AS96" s="80"/>
      <c r="AT96" s="79"/>
      <c r="AU96" s="80"/>
      <c r="AV96" s="79"/>
      <c r="AW96" s="80"/>
      <c r="AX96" s="79"/>
      <c r="AY96" s="80"/>
      <c r="AZ96" s="79"/>
      <c r="BA96" s="80"/>
      <c r="BB96" s="79"/>
      <c r="BC96" s="80"/>
      <c r="BD96" s="79"/>
      <c r="BE96" s="80"/>
      <c r="BF96" s="71"/>
      <c r="BG96" s="83"/>
      <c r="BH96" s="79"/>
      <c r="BI96" s="80"/>
      <c r="BJ96" s="28">
        <f t="shared" si="7"/>
        <v>0</v>
      </c>
      <c r="BK96" s="29">
        <f t="shared" si="9"/>
        <v>0</v>
      </c>
    </row>
    <row r="97" spans="1:63" ht="15" customHeight="1" x14ac:dyDescent="0.35">
      <c r="A97" s="24"/>
      <c r="B97" s="81"/>
      <c r="C97" s="24"/>
      <c r="D97" s="683"/>
      <c r="E97" s="782"/>
      <c r="F97" s="79"/>
      <c r="G97" s="80"/>
      <c r="H97" s="79"/>
      <c r="I97" s="80"/>
      <c r="J97" s="79"/>
      <c r="K97" s="80"/>
      <c r="L97" s="79"/>
      <c r="M97" s="80"/>
      <c r="N97" s="71"/>
      <c r="O97" s="83"/>
      <c r="P97" s="71"/>
      <c r="Q97" s="83"/>
      <c r="R97" s="79"/>
      <c r="S97" s="80"/>
      <c r="T97" s="79"/>
      <c r="U97" s="80"/>
      <c r="V97" s="79"/>
      <c r="W97" s="80"/>
      <c r="X97" s="79"/>
      <c r="Y97" s="80"/>
      <c r="Z97" s="79"/>
      <c r="AA97" s="80"/>
      <c r="AB97" s="71"/>
      <c r="AC97" s="83"/>
      <c r="AD97" s="79"/>
      <c r="AE97" s="80"/>
      <c r="AF97" s="79"/>
      <c r="AG97" s="80"/>
      <c r="AH97" s="79"/>
      <c r="AI97" s="80"/>
      <c r="AJ97" s="79"/>
      <c r="AK97" s="80"/>
      <c r="AL97" s="79"/>
      <c r="AM97" s="80"/>
      <c r="AN97" s="79"/>
      <c r="AO97" s="80"/>
      <c r="AP97" s="71"/>
      <c r="AQ97" s="83"/>
      <c r="AR97" s="79"/>
      <c r="AS97" s="80"/>
      <c r="AT97" s="79"/>
      <c r="AU97" s="80"/>
      <c r="AV97" s="79"/>
      <c r="AW97" s="80"/>
      <c r="AX97" s="79"/>
      <c r="AY97" s="80"/>
      <c r="AZ97" s="79"/>
      <c r="BA97" s="80"/>
      <c r="BB97" s="79"/>
      <c r="BC97" s="80"/>
      <c r="BD97" s="79"/>
      <c r="BE97" s="80"/>
      <c r="BF97" s="71"/>
      <c r="BG97" s="83"/>
      <c r="BH97" s="79"/>
      <c r="BI97" s="80"/>
      <c r="BJ97" s="28">
        <f t="shared" si="7"/>
        <v>0</v>
      </c>
      <c r="BK97" s="29">
        <f t="shared" si="9"/>
        <v>0</v>
      </c>
    </row>
    <row r="98" spans="1:63" ht="15" customHeight="1" x14ac:dyDescent="0.35">
      <c r="A98" s="24"/>
      <c r="B98" s="81"/>
      <c r="C98" s="24">
        <f>SUM(BJ99:BJ101)</f>
        <v>0</v>
      </c>
      <c r="D98" s="685" t="s">
        <v>130</v>
      </c>
      <c r="E98" s="753"/>
      <c r="F98" s="79"/>
      <c r="G98" s="80"/>
      <c r="H98" s="79"/>
      <c r="I98" s="80"/>
      <c r="J98" s="79"/>
      <c r="K98" s="80"/>
      <c r="L98" s="79"/>
      <c r="M98" s="80"/>
      <c r="N98" s="71"/>
      <c r="O98" s="83"/>
      <c r="P98" s="71"/>
      <c r="Q98" s="83"/>
      <c r="R98" s="79"/>
      <c r="S98" s="80"/>
      <c r="T98" s="79"/>
      <c r="U98" s="80"/>
      <c r="V98" s="79"/>
      <c r="W98" s="80"/>
      <c r="X98" s="79"/>
      <c r="Y98" s="80"/>
      <c r="Z98" s="79"/>
      <c r="AA98" s="80"/>
      <c r="AB98" s="71"/>
      <c r="AC98" s="83"/>
      <c r="AD98" s="79"/>
      <c r="AE98" s="80"/>
      <c r="AF98" s="79"/>
      <c r="AG98" s="80"/>
      <c r="AH98" s="79"/>
      <c r="AI98" s="80"/>
      <c r="AJ98" s="79"/>
      <c r="AK98" s="80"/>
      <c r="AL98" s="79"/>
      <c r="AM98" s="80"/>
      <c r="AN98" s="79"/>
      <c r="AO98" s="80"/>
      <c r="AP98" s="71"/>
      <c r="AQ98" s="83"/>
      <c r="AR98" s="79"/>
      <c r="AS98" s="80"/>
      <c r="AT98" s="79"/>
      <c r="AU98" s="80"/>
      <c r="AV98" s="79"/>
      <c r="AW98" s="80"/>
      <c r="AX98" s="79"/>
      <c r="AY98" s="80"/>
      <c r="AZ98" s="79"/>
      <c r="BA98" s="80"/>
      <c r="BB98" s="79"/>
      <c r="BC98" s="80"/>
      <c r="BD98" s="79"/>
      <c r="BE98" s="80"/>
      <c r="BF98" s="71"/>
      <c r="BG98" s="83"/>
      <c r="BH98" s="79"/>
      <c r="BI98" s="80"/>
      <c r="BJ98" s="28">
        <f t="shared" si="7"/>
        <v>0</v>
      </c>
      <c r="BK98" s="29">
        <f t="shared" si="9"/>
        <v>0</v>
      </c>
    </row>
    <row r="99" spans="1:63" ht="15" customHeight="1" x14ac:dyDescent="0.35">
      <c r="A99" s="24"/>
      <c r="B99" s="81" t="s">
        <v>85</v>
      </c>
      <c r="C99" s="24" t="s">
        <v>131</v>
      </c>
      <c r="D99" s="683" t="s">
        <v>132</v>
      </c>
      <c r="E99" s="782"/>
      <c r="F99" s="79"/>
      <c r="G99" s="80"/>
      <c r="H99" s="79"/>
      <c r="I99" s="80"/>
      <c r="J99" s="79"/>
      <c r="K99" s="80"/>
      <c r="L99" s="79"/>
      <c r="M99" s="80"/>
      <c r="N99" s="71"/>
      <c r="O99" s="83"/>
      <c r="P99" s="71"/>
      <c r="Q99" s="83"/>
      <c r="R99" s="79"/>
      <c r="S99" s="80"/>
      <c r="T99" s="79"/>
      <c r="U99" s="80"/>
      <c r="V99" s="79"/>
      <c r="W99" s="80"/>
      <c r="X99" s="79"/>
      <c r="Y99" s="80"/>
      <c r="Z99" s="79"/>
      <c r="AA99" s="80"/>
      <c r="AB99" s="71"/>
      <c r="AC99" s="83"/>
      <c r="AD99" s="79"/>
      <c r="AE99" s="80"/>
      <c r="AF99" s="79"/>
      <c r="AG99" s="80"/>
      <c r="AH99" s="79"/>
      <c r="AI99" s="80"/>
      <c r="AJ99" s="79"/>
      <c r="AK99" s="80"/>
      <c r="AL99" s="79"/>
      <c r="AM99" s="80"/>
      <c r="AN99" s="79"/>
      <c r="AO99" s="80"/>
      <c r="AP99" s="71"/>
      <c r="AQ99" s="83"/>
      <c r="AR99" s="79"/>
      <c r="AS99" s="80"/>
      <c r="AT99" s="79"/>
      <c r="AU99" s="80"/>
      <c r="AV99" s="79"/>
      <c r="AW99" s="80"/>
      <c r="AX99" s="79"/>
      <c r="AY99" s="80"/>
      <c r="AZ99" s="79"/>
      <c r="BA99" s="80"/>
      <c r="BB99" s="79"/>
      <c r="BC99" s="80"/>
      <c r="BD99" s="79"/>
      <c r="BE99" s="80"/>
      <c r="BF99" s="71"/>
      <c r="BG99" s="83"/>
      <c r="BH99" s="79"/>
      <c r="BI99" s="80"/>
      <c r="BJ99" s="28">
        <f t="shared" si="7"/>
        <v>0</v>
      </c>
      <c r="BK99" s="29">
        <f t="shared" si="9"/>
        <v>0</v>
      </c>
    </row>
    <row r="100" spans="1:63" ht="15" customHeight="1" x14ac:dyDescent="0.35">
      <c r="A100" s="24"/>
      <c r="B100" s="81"/>
      <c r="C100" s="24"/>
      <c r="D100" s="683"/>
      <c r="E100" s="782"/>
      <c r="F100" s="79"/>
      <c r="G100" s="80"/>
      <c r="H100" s="79"/>
      <c r="I100" s="80"/>
      <c r="J100" s="79"/>
      <c r="K100" s="80"/>
      <c r="L100" s="79"/>
      <c r="M100" s="80"/>
      <c r="N100" s="71"/>
      <c r="O100" s="83"/>
      <c r="P100" s="71"/>
      <c r="Q100" s="83"/>
      <c r="R100" s="79"/>
      <c r="S100" s="80"/>
      <c r="T100" s="79"/>
      <c r="U100" s="80"/>
      <c r="V100" s="79"/>
      <c r="W100" s="80"/>
      <c r="X100" s="79"/>
      <c r="Y100" s="80"/>
      <c r="Z100" s="79"/>
      <c r="AA100" s="80"/>
      <c r="AB100" s="71"/>
      <c r="AC100" s="83"/>
      <c r="AD100" s="79"/>
      <c r="AE100" s="80"/>
      <c r="AF100" s="79"/>
      <c r="AG100" s="80"/>
      <c r="AH100" s="79"/>
      <c r="AI100" s="80"/>
      <c r="AJ100" s="79"/>
      <c r="AK100" s="80"/>
      <c r="AL100" s="79"/>
      <c r="AM100" s="80"/>
      <c r="AN100" s="79"/>
      <c r="AO100" s="80"/>
      <c r="AP100" s="71"/>
      <c r="AQ100" s="83"/>
      <c r="AR100" s="79"/>
      <c r="AS100" s="80"/>
      <c r="AT100" s="79"/>
      <c r="AU100" s="80"/>
      <c r="AV100" s="79"/>
      <c r="AW100" s="80"/>
      <c r="AX100" s="79"/>
      <c r="AY100" s="80"/>
      <c r="AZ100" s="79"/>
      <c r="BA100" s="80"/>
      <c r="BB100" s="79"/>
      <c r="BC100" s="80"/>
      <c r="BD100" s="79"/>
      <c r="BE100" s="80"/>
      <c r="BF100" s="71"/>
      <c r="BG100" s="83"/>
      <c r="BH100" s="79"/>
      <c r="BI100" s="80"/>
      <c r="BJ100" s="28">
        <f t="shared" si="7"/>
        <v>0</v>
      </c>
      <c r="BK100" s="29">
        <f t="shared" si="9"/>
        <v>0</v>
      </c>
    </row>
    <row r="101" spans="1:63" ht="15" customHeight="1" x14ac:dyDescent="0.35">
      <c r="A101" s="24"/>
      <c r="B101" s="81"/>
      <c r="C101" s="24"/>
      <c r="D101" s="683"/>
      <c r="E101" s="782"/>
      <c r="F101" s="79"/>
      <c r="G101" s="80"/>
      <c r="H101" s="79"/>
      <c r="I101" s="80"/>
      <c r="J101" s="79"/>
      <c r="K101" s="80"/>
      <c r="L101" s="79"/>
      <c r="M101" s="80"/>
      <c r="N101" s="71"/>
      <c r="O101" s="83"/>
      <c r="P101" s="71"/>
      <c r="Q101" s="83"/>
      <c r="R101" s="79"/>
      <c r="S101" s="80"/>
      <c r="T101" s="79"/>
      <c r="U101" s="80"/>
      <c r="V101" s="79"/>
      <c r="W101" s="80"/>
      <c r="X101" s="79"/>
      <c r="Y101" s="80"/>
      <c r="Z101" s="79"/>
      <c r="AA101" s="80"/>
      <c r="AB101" s="71"/>
      <c r="AC101" s="83"/>
      <c r="AD101" s="79"/>
      <c r="AE101" s="80"/>
      <c r="AF101" s="79"/>
      <c r="AG101" s="80"/>
      <c r="AH101" s="79"/>
      <c r="AI101" s="80"/>
      <c r="AJ101" s="79"/>
      <c r="AK101" s="80"/>
      <c r="AL101" s="79"/>
      <c r="AM101" s="80"/>
      <c r="AN101" s="79"/>
      <c r="AO101" s="80"/>
      <c r="AP101" s="71"/>
      <c r="AQ101" s="83"/>
      <c r="AR101" s="79"/>
      <c r="AS101" s="80"/>
      <c r="AT101" s="79"/>
      <c r="AU101" s="80"/>
      <c r="AV101" s="79"/>
      <c r="AW101" s="80"/>
      <c r="AX101" s="79"/>
      <c r="AY101" s="80"/>
      <c r="AZ101" s="79"/>
      <c r="BA101" s="80"/>
      <c r="BB101" s="79"/>
      <c r="BC101" s="80"/>
      <c r="BD101" s="79"/>
      <c r="BE101" s="80"/>
      <c r="BF101" s="71"/>
      <c r="BG101" s="83"/>
      <c r="BH101" s="79"/>
      <c r="BI101" s="80"/>
      <c r="BJ101" s="28">
        <f t="shared" ref="BJ101:BJ124" si="10">SUM(F101:BI101)</f>
        <v>0</v>
      </c>
      <c r="BK101" s="29">
        <f t="shared" si="9"/>
        <v>0</v>
      </c>
    </row>
    <row r="102" spans="1:63" ht="15" customHeight="1" x14ac:dyDescent="0.35">
      <c r="A102" s="24"/>
      <c r="B102" s="81"/>
      <c r="C102" s="24">
        <f>SUM(BJ103:BJ109)</f>
        <v>0</v>
      </c>
      <c r="D102" s="685" t="s">
        <v>133</v>
      </c>
      <c r="E102" s="753"/>
      <c r="F102" s="79"/>
      <c r="G102" s="80"/>
      <c r="H102" s="79"/>
      <c r="I102" s="80"/>
      <c r="J102" s="79"/>
      <c r="K102" s="80"/>
      <c r="L102" s="79"/>
      <c r="M102" s="80"/>
      <c r="N102" s="71"/>
      <c r="O102" s="83"/>
      <c r="P102" s="71"/>
      <c r="Q102" s="83"/>
      <c r="R102" s="79"/>
      <c r="S102" s="80"/>
      <c r="T102" s="79"/>
      <c r="U102" s="80"/>
      <c r="V102" s="79"/>
      <c r="W102" s="80"/>
      <c r="X102" s="79"/>
      <c r="Y102" s="80"/>
      <c r="Z102" s="79"/>
      <c r="AA102" s="80"/>
      <c r="AB102" s="71"/>
      <c r="AC102" s="83"/>
      <c r="AD102" s="79"/>
      <c r="AE102" s="80"/>
      <c r="AF102" s="79"/>
      <c r="AG102" s="80"/>
      <c r="AH102" s="79"/>
      <c r="AI102" s="80"/>
      <c r="AJ102" s="79"/>
      <c r="AK102" s="80"/>
      <c r="AL102" s="79"/>
      <c r="AM102" s="80"/>
      <c r="AN102" s="79"/>
      <c r="AO102" s="80"/>
      <c r="AP102" s="71"/>
      <c r="AQ102" s="83"/>
      <c r="AR102" s="79"/>
      <c r="AS102" s="80"/>
      <c r="AT102" s="79"/>
      <c r="AU102" s="80"/>
      <c r="AV102" s="79"/>
      <c r="AW102" s="80"/>
      <c r="AX102" s="79"/>
      <c r="AY102" s="80"/>
      <c r="AZ102" s="79"/>
      <c r="BA102" s="80"/>
      <c r="BB102" s="79"/>
      <c r="BC102" s="80"/>
      <c r="BD102" s="79"/>
      <c r="BE102" s="80"/>
      <c r="BF102" s="71"/>
      <c r="BG102" s="83"/>
      <c r="BH102" s="79"/>
      <c r="BI102" s="80"/>
      <c r="BJ102" s="28">
        <f t="shared" si="10"/>
        <v>0</v>
      </c>
      <c r="BK102" s="29">
        <f t="shared" si="9"/>
        <v>0</v>
      </c>
    </row>
    <row r="103" spans="1:63" ht="15" customHeight="1" x14ac:dyDescent="0.35">
      <c r="A103" s="24"/>
      <c r="B103" s="81" t="s">
        <v>44</v>
      </c>
      <c r="C103" s="24" t="s">
        <v>134</v>
      </c>
      <c r="D103" s="683" t="s">
        <v>135</v>
      </c>
      <c r="E103" s="782"/>
      <c r="F103" s="79"/>
      <c r="G103" s="80"/>
      <c r="H103" s="79"/>
      <c r="I103" s="80"/>
      <c r="J103" s="79"/>
      <c r="K103" s="80"/>
      <c r="L103" s="79"/>
      <c r="M103" s="80"/>
      <c r="N103" s="71"/>
      <c r="O103" s="83"/>
      <c r="P103" s="71"/>
      <c r="Q103" s="83"/>
      <c r="R103" s="79"/>
      <c r="S103" s="80"/>
      <c r="T103" s="79"/>
      <c r="U103" s="80"/>
      <c r="V103" s="79"/>
      <c r="W103" s="80"/>
      <c r="X103" s="79"/>
      <c r="Y103" s="80"/>
      <c r="Z103" s="79"/>
      <c r="AA103" s="80"/>
      <c r="AB103" s="71"/>
      <c r="AC103" s="83"/>
      <c r="AD103" s="79"/>
      <c r="AE103" s="80"/>
      <c r="AF103" s="79"/>
      <c r="AG103" s="80"/>
      <c r="AH103" s="79"/>
      <c r="AI103" s="80"/>
      <c r="AJ103" s="79"/>
      <c r="AK103" s="80"/>
      <c r="AL103" s="79"/>
      <c r="AM103" s="80"/>
      <c r="AN103" s="79"/>
      <c r="AO103" s="80"/>
      <c r="AP103" s="71"/>
      <c r="AQ103" s="83"/>
      <c r="AR103" s="79"/>
      <c r="AS103" s="80"/>
      <c r="AT103" s="79"/>
      <c r="AU103" s="80"/>
      <c r="AV103" s="79"/>
      <c r="AW103" s="80"/>
      <c r="AX103" s="79"/>
      <c r="AY103" s="80"/>
      <c r="AZ103" s="79"/>
      <c r="BA103" s="80"/>
      <c r="BB103" s="79"/>
      <c r="BC103" s="80"/>
      <c r="BD103" s="79"/>
      <c r="BE103" s="80"/>
      <c r="BF103" s="71"/>
      <c r="BG103" s="83"/>
      <c r="BH103" s="79"/>
      <c r="BI103" s="80"/>
      <c r="BJ103" s="28">
        <f t="shared" si="10"/>
        <v>0</v>
      </c>
      <c r="BK103" s="29">
        <f t="shared" si="9"/>
        <v>0</v>
      </c>
    </row>
    <row r="104" spans="1:63" ht="15" customHeight="1" x14ac:dyDescent="0.35">
      <c r="A104" s="24"/>
      <c r="B104" s="81" t="s">
        <v>44</v>
      </c>
      <c r="C104" s="24" t="s">
        <v>136</v>
      </c>
      <c r="D104" s="683" t="s">
        <v>137</v>
      </c>
      <c r="E104" s="782"/>
      <c r="F104" s="79"/>
      <c r="G104" s="80"/>
      <c r="H104" s="79"/>
      <c r="I104" s="80"/>
      <c r="J104" s="79"/>
      <c r="K104" s="80"/>
      <c r="L104" s="79"/>
      <c r="M104" s="80"/>
      <c r="N104" s="71"/>
      <c r="O104" s="83"/>
      <c r="P104" s="71"/>
      <c r="Q104" s="83"/>
      <c r="R104" s="79"/>
      <c r="S104" s="80"/>
      <c r="T104" s="79"/>
      <c r="U104" s="80"/>
      <c r="V104" s="79"/>
      <c r="W104" s="80"/>
      <c r="X104" s="79"/>
      <c r="Y104" s="80"/>
      <c r="Z104" s="79"/>
      <c r="AA104" s="80"/>
      <c r="AB104" s="71"/>
      <c r="AC104" s="83"/>
      <c r="AD104" s="79"/>
      <c r="AE104" s="80"/>
      <c r="AF104" s="79"/>
      <c r="AG104" s="80"/>
      <c r="AH104" s="79"/>
      <c r="AI104" s="80"/>
      <c r="AJ104" s="79"/>
      <c r="AK104" s="80"/>
      <c r="AL104" s="79"/>
      <c r="AM104" s="80"/>
      <c r="AN104" s="79"/>
      <c r="AO104" s="80"/>
      <c r="AP104" s="71"/>
      <c r="AQ104" s="83"/>
      <c r="AR104" s="79"/>
      <c r="AS104" s="80"/>
      <c r="AT104" s="79"/>
      <c r="AU104" s="80"/>
      <c r="AV104" s="79"/>
      <c r="AW104" s="80"/>
      <c r="AX104" s="79"/>
      <c r="AY104" s="80"/>
      <c r="AZ104" s="79"/>
      <c r="BA104" s="80"/>
      <c r="BB104" s="79"/>
      <c r="BC104" s="80"/>
      <c r="BD104" s="79"/>
      <c r="BE104" s="80"/>
      <c r="BF104" s="71"/>
      <c r="BG104" s="83"/>
      <c r="BH104" s="79"/>
      <c r="BI104" s="80"/>
      <c r="BJ104" s="28">
        <f t="shared" si="10"/>
        <v>0</v>
      </c>
      <c r="BK104" s="29">
        <f t="shared" si="9"/>
        <v>0</v>
      </c>
    </row>
    <row r="105" spans="1:63" ht="15" customHeight="1" x14ac:dyDescent="0.35">
      <c r="A105" s="24"/>
      <c r="B105" s="81" t="s">
        <v>44</v>
      </c>
      <c r="C105" s="24" t="s">
        <v>138</v>
      </c>
      <c r="D105" s="683" t="s">
        <v>139</v>
      </c>
      <c r="E105" s="782"/>
      <c r="F105" s="79"/>
      <c r="G105" s="80"/>
      <c r="H105" s="79"/>
      <c r="I105" s="80"/>
      <c r="J105" s="79"/>
      <c r="K105" s="80"/>
      <c r="L105" s="79"/>
      <c r="M105" s="80"/>
      <c r="N105" s="71"/>
      <c r="O105" s="83"/>
      <c r="P105" s="71"/>
      <c r="Q105" s="83"/>
      <c r="R105" s="79"/>
      <c r="S105" s="80"/>
      <c r="T105" s="79"/>
      <c r="U105" s="80"/>
      <c r="V105" s="79"/>
      <c r="W105" s="80"/>
      <c r="X105" s="79"/>
      <c r="Y105" s="80"/>
      <c r="Z105" s="79"/>
      <c r="AA105" s="80"/>
      <c r="AB105" s="71"/>
      <c r="AC105" s="83"/>
      <c r="AD105" s="79"/>
      <c r="AE105" s="80"/>
      <c r="AF105" s="79"/>
      <c r="AG105" s="80"/>
      <c r="AH105" s="79"/>
      <c r="AI105" s="80"/>
      <c r="AJ105" s="79"/>
      <c r="AK105" s="80"/>
      <c r="AL105" s="79"/>
      <c r="AM105" s="80"/>
      <c r="AN105" s="79"/>
      <c r="AO105" s="80"/>
      <c r="AP105" s="71"/>
      <c r="AQ105" s="83"/>
      <c r="AR105" s="79"/>
      <c r="AS105" s="80"/>
      <c r="AT105" s="79"/>
      <c r="AU105" s="80"/>
      <c r="AV105" s="79"/>
      <c r="AW105" s="80"/>
      <c r="AX105" s="79"/>
      <c r="AY105" s="80"/>
      <c r="AZ105" s="79"/>
      <c r="BA105" s="80"/>
      <c r="BB105" s="79"/>
      <c r="BC105" s="80"/>
      <c r="BD105" s="79"/>
      <c r="BE105" s="80"/>
      <c r="BF105" s="71"/>
      <c r="BG105" s="83"/>
      <c r="BH105" s="79"/>
      <c r="BI105" s="80"/>
      <c r="BJ105" s="28">
        <f t="shared" si="10"/>
        <v>0</v>
      </c>
      <c r="BK105" s="29">
        <f t="shared" si="9"/>
        <v>0</v>
      </c>
    </row>
    <row r="106" spans="1:63" ht="15.75" customHeight="1" x14ac:dyDescent="0.35">
      <c r="A106" s="24"/>
      <c r="B106" s="81" t="s">
        <v>44</v>
      </c>
      <c r="C106" s="24" t="s">
        <v>140</v>
      </c>
      <c r="D106" s="683" t="s">
        <v>141</v>
      </c>
      <c r="E106" s="782"/>
      <c r="F106" s="79"/>
      <c r="G106" s="80"/>
      <c r="H106" s="79"/>
      <c r="I106" s="80"/>
      <c r="J106" s="79"/>
      <c r="K106" s="80"/>
      <c r="L106" s="79"/>
      <c r="M106" s="80"/>
      <c r="N106" s="71"/>
      <c r="O106" s="83"/>
      <c r="P106" s="71"/>
      <c r="Q106" s="83"/>
      <c r="R106" s="79"/>
      <c r="S106" s="80"/>
      <c r="T106" s="79"/>
      <c r="U106" s="80"/>
      <c r="V106" s="79"/>
      <c r="W106" s="80"/>
      <c r="X106" s="79"/>
      <c r="Y106" s="80"/>
      <c r="Z106" s="79"/>
      <c r="AA106" s="80"/>
      <c r="AB106" s="71"/>
      <c r="AC106" s="83"/>
      <c r="AD106" s="79"/>
      <c r="AE106" s="80"/>
      <c r="AF106" s="79"/>
      <c r="AG106" s="80"/>
      <c r="AH106" s="79"/>
      <c r="AI106" s="80"/>
      <c r="AJ106" s="79"/>
      <c r="AK106" s="80"/>
      <c r="AL106" s="79"/>
      <c r="AM106" s="80"/>
      <c r="AN106" s="79"/>
      <c r="AO106" s="80"/>
      <c r="AP106" s="71"/>
      <c r="AQ106" s="83"/>
      <c r="AR106" s="79"/>
      <c r="AS106" s="80"/>
      <c r="AT106" s="79"/>
      <c r="AU106" s="80"/>
      <c r="AV106" s="79"/>
      <c r="AW106" s="80"/>
      <c r="AX106" s="79"/>
      <c r="AY106" s="80"/>
      <c r="AZ106" s="79"/>
      <c r="BA106" s="80"/>
      <c r="BB106" s="79"/>
      <c r="BC106" s="80"/>
      <c r="BD106" s="79"/>
      <c r="BE106" s="80"/>
      <c r="BF106" s="71"/>
      <c r="BG106" s="83"/>
      <c r="BH106" s="79"/>
      <c r="BI106" s="80"/>
      <c r="BJ106" s="28">
        <f t="shared" si="10"/>
        <v>0</v>
      </c>
      <c r="BK106" s="29">
        <f t="shared" si="9"/>
        <v>0</v>
      </c>
    </row>
    <row r="107" spans="1:63" ht="15" customHeight="1" x14ac:dyDescent="0.35">
      <c r="A107" s="24"/>
      <c r="B107" s="81" t="s">
        <v>44</v>
      </c>
      <c r="C107" s="24" t="s">
        <v>142</v>
      </c>
      <c r="D107" s="683" t="s">
        <v>143</v>
      </c>
      <c r="E107" s="782"/>
      <c r="F107" s="79"/>
      <c r="G107" s="80"/>
      <c r="H107" s="79"/>
      <c r="I107" s="80"/>
      <c r="J107" s="79"/>
      <c r="K107" s="80"/>
      <c r="L107" s="79"/>
      <c r="M107" s="80"/>
      <c r="N107" s="71"/>
      <c r="O107" s="83"/>
      <c r="P107" s="71"/>
      <c r="Q107" s="83"/>
      <c r="R107" s="79"/>
      <c r="S107" s="80"/>
      <c r="T107" s="79"/>
      <c r="U107" s="80"/>
      <c r="V107" s="79"/>
      <c r="W107" s="80"/>
      <c r="X107" s="79"/>
      <c r="Y107" s="80"/>
      <c r="Z107" s="79"/>
      <c r="AA107" s="80"/>
      <c r="AB107" s="71"/>
      <c r="AC107" s="83"/>
      <c r="AD107" s="79"/>
      <c r="AE107" s="80"/>
      <c r="AF107" s="79"/>
      <c r="AG107" s="80"/>
      <c r="AH107" s="79"/>
      <c r="AI107" s="80"/>
      <c r="AJ107" s="79"/>
      <c r="AK107" s="80"/>
      <c r="AL107" s="79"/>
      <c r="AM107" s="80"/>
      <c r="AN107" s="79"/>
      <c r="AO107" s="80"/>
      <c r="AP107" s="71"/>
      <c r="AQ107" s="83"/>
      <c r="AR107" s="79"/>
      <c r="AS107" s="80"/>
      <c r="AT107" s="79"/>
      <c r="AU107" s="80"/>
      <c r="AV107" s="79"/>
      <c r="AW107" s="80"/>
      <c r="AX107" s="79"/>
      <c r="AY107" s="80"/>
      <c r="AZ107" s="79"/>
      <c r="BA107" s="80"/>
      <c r="BB107" s="79"/>
      <c r="BC107" s="80"/>
      <c r="BD107" s="79"/>
      <c r="BE107" s="80"/>
      <c r="BF107" s="71"/>
      <c r="BG107" s="83"/>
      <c r="BH107" s="79"/>
      <c r="BI107" s="80"/>
      <c r="BJ107" s="28">
        <f t="shared" si="10"/>
        <v>0</v>
      </c>
      <c r="BK107" s="29">
        <f t="shared" si="9"/>
        <v>0</v>
      </c>
    </row>
    <row r="108" spans="1:63" ht="15" customHeight="1" x14ac:dyDescent="0.35">
      <c r="A108" s="24"/>
      <c r="B108" s="81" t="s">
        <v>85</v>
      </c>
      <c r="C108" s="24" t="s">
        <v>144</v>
      </c>
      <c r="D108" s="683" t="s">
        <v>143</v>
      </c>
      <c r="E108" s="782"/>
      <c r="F108" s="79"/>
      <c r="G108" s="80"/>
      <c r="H108" s="79"/>
      <c r="I108" s="80"/>
      <c r="J108" s="79"/>
      <c r="K108" s="80"/>
      <c r="L108" s="79"/>
      <c r="M108" s="80"/>
      <c r="N108" s="71"/>
      <c r="O108" s="83"/>
      <c r="P108" s="71"/>
      <c r="Q108" s="83"/>
      <c r="R108" s="79"/>
      <c r="S108" s="80"/>
      <c r="T108" s="79"/>
      <c r="U108" s="80"/>
      <c r="V108" s="79"/>
      <c r="W108" s="80"/>
      <c r="X108" s="79"/>
      <c r="Y108" s="80"/>
      <c r="Z108" s="79"/>
      <c r="AA108" s="80"/>
      <c r="AB108" s="71"/>
      <c r="AC108" s="83"/>
      <c r="AD108" s="79"/>
      <c r="AE108" s="80"/>
      <c r="AF108" s="79"/>
      <c r="AG108" s="80"/>
      <c r="AH108" s="79"/>
      <c r="AI108" s="80"/>
      <c r="AJ108" s="79"/>
      <c r="AK108" s="80"/>
      <c r="AL108" s="79"/>
      <c r="AM108" s="80"/>
      <c r="AN108" s="79"/>
      <c r="AO108" s="80"/>
      <c r="AP108" s="71"/>
      <c r="AQ108" s="83"/>
      <c r="AR108" s="79"/>
      <c r="AS108" s="80"/>
      <c r="AT108" s="79"/>
      <c r="AU108" s="80"/>
      <c r="AV108" s="79"/>
      <c r="AW108" s="80"/>
      <c r="AX108" s="79"/>
      <c r="AY108" s="80"/>
      <c r="AZ108" s="79"/>
      <c r="BA108" s="80"/>
      <c r="BB108" s="79"/>
      <c r="BC108" s="80"/>
      <c r="BD108" s="79"/>
      <c r="BE108" s="80"/>
      <c r="BF108" s="71"/>
      <c r="BG108" s="83"/>
      <c r="BH108" s="79"/>
      <c r="BI108" s="80"/>
      <c r="BJ108" s="28">
        <f t="shared" si="10"/>
        <v>0</v>
      </c>
      <c r="BK108" s="29">
        <f t="shared" si="9"/>
        <v>0</v>
      </c>
    </row>
    <row r="109" spans="1:63" ht="15.75" customHeight="1" x14ac:dyDescent="0.35">
      <c r="A109" s="24"/>
      <c r="B109" s="81"/>
      <c r="C109" s="24"/>
      <c r="D109" s="683"/>
      <c r="E109" s="782"/>
      <c r="F109" s="79"/>
      <c r="G109" s="80"/>
      <c r="H109" s="79"/>
      <c r="I109" s="80"/>
      <c r="J109" s="79"/>
      <c r="K109" s="80"/>
      <c r="L109" s="79"/>
      <c r="M109" s="80"/>
      <c r="N109" s="71"/>
      <c r="O109" s="83"/>
      <c r="P109" s="71"/>
      <c r="Q109" s="83"/>
      <c r="R109" s="79"/>
      <c r="S109" s="80"/>
      <c r="T109" s="79"/>
      <c r="U109" s="80"/>
      <c r="V109" s="79"/>
      <c r="W109" s="80"/>
      <c r="X109" s="79"/>
      <c r="Y109" s="80"/>
      <c r="Z109" s="79"/>
      <c r="AA109" s="80"/>
      <c r="AB109" s="71"/>
      <c r="AC109" s="83"/>
      <c r="AD109" s="79"/>
      <c r="AE109" s="80"/>
      <c r="AF109" s="79"/>
      <c r="AG109" s="80"/>
      <c r="AH109" s="79"/>
      <c r="AI109" s="80"/>
      <c r="AJ109" s="79"/>
      <c r="AK109" s="80"/>
      <c r="AL109" s="79"/>
      <c r="AM109" s="80"/>
      <c r="AN109" s="79"/>
      <c r="AO109" s="80"/>
      <c r="AP109" s="71"/>
      <c r="AQ109" s="83"/>
      <c r="AR109" s="79"/>
      <c r="AS109" s="80"/>
      <c r="AT109" s="79"/>
      <c r="AU109" s="80"/>
      <c r="AV109" s="79"/>
      <c r="AW109" s="80"/>
      <c r="AX109" s="79"/>
      <c r="AY109" s="80"/>
      <c r="AZ109" s="79"/>
      <c r="BA109" s="80"/>
      <c r="BB109" s="79"/>
      <c r="BC109" s="80"/>
      <c r="BD109" s="79"/>
      <c r="BE109" s="80"/>
      <c r="BF109" s="71"/>
      <c r="BG109" s="83"/>
      <c r="BH109" s="79"/>
      <c r="BI109" s="80"/>
      <c r="BJ109" s="28">
        <f t="shared" si="10"/>
        <v>0</v>
      </c>
      <c r="BK109" s="29">
        <f t="shared" si="9"/>
        <v>0</v>
      </c>
    </row>
    <row r="110" spans="1:63" ht="15.75" customHeight="1" x14ac:dyDescent="0.35">
      <c r="A110" s="24"/>
      <c r="B110" s="81"/>
      <c r="C110" s="24">
        <f>SUM(BJ111:BJ115)</f>
        <v>0</v>
      </c>
      <c r="D110" s="685" t="s">
        <v>145</v>
      </c>
      <c r="E110" s="753"/>
      <c r="F110" s="79"/>
      <c r="G110" s="80"/>
      <c r="H110" s="79"/>
      <c r="I110" s="80"/>
      <c r="J110" s="79"/>
      <c r="K110" s="80"/>
      <c r="L110" s="79"/>
      <c r="M110" s="80"/>
      <c r="N110" s="71"/>
      <c r="O110" s="83"/>
      <c r="P110" s="71"/>
      <c r="Q110" s="83"/>
      <c r="R110" s="79"/>
      <c r="S110" s="80"/>
      <c r="T110" s="79"/>
      <c r="U110" s="80"/>
      <c r="V110" s="79"/>
      <c r="W110" s="80"/>
      <c r="X110" s="79"/>
      <c r="Y110" s="80"/>
      <c r="Z110" s="79"/>
      <c r="AA110" s="80"/>
      <c r="AB110" s="71"/>
      <c r="AC110" s="83"/>
      <c r="AD110" s="79"/>
      <c r="AE110" s="80"/>
      <c r="AF110" s="79"/>
      <c r="AG110" s="80"/>
      <c r="AH110" s="79"/>
      <c r="AI110" s="80"/>
      <c r="AJ110" s="79"/>
      <c r="AK110" s="80"/>
      <c r="AL110" s="79"/>
      <c r="AM110" s="80"/>
      <c r="AN110" s="79"/>
      <c r="AO110" s="80"/>
      <c r="AP110" s="71"/>
      <c r="AQ110" s="83"/>
      <c r="AR110" s="79"/>
      <c r="AS110" s="80"/>
      <c r="AT110" s="79"/>
      <c r="AU110" s="80"/>
      <c r="AV110" s="79"/>
      <c r="AW110" s="80"/>
      <c r="AX110" s="79"/>
      <c r="AY110" s="80"/>
      <c r="AZ110" s="79"/>
      <c r="BA110" s="80"/>
      <c r="BB110" s="79"/>
      <c r="BC110" s="80"/>
      <c r="BD110" s="79"/>
      <c r="BE110" s="80"/>
      <c r="BF110" s="71"/>
      <c r="BG110" s="83"/>
      <c r="BH110" s="79"/>
      <c r="BI110" s="80"/>
      <c r="BJ110" s="28">
        <f t="shared" si="10"/>
        <v>0</v>
      </c>
      <c r="BK110" s="29">
        <f t="shared" si="9"/>
        <v>0</v>
      </c>
    </row>
    <row r="111" spans="1:63" ht="15" customHeight="1" x14ac:dyDescent="0.35">
      <c r="A111" s="24"/>
      <c r="B111" s="81" t="s">
        <v>85</v>
      </c>
      <c r="C111" s="24" t="s">
        <v>146</v>
      </c>
      <c r="D111" s="683" t="s">
        <v>147</v>
      </c>
      <c r="E111" s="782"/>
      <c r="F111" s="79"/>
      <c r="G111" s="80"/>
      <c r="H111" s="79"/>
      <c r="I111" s="80"/>
      <c r="J111" s="79"/>
      <c r="K111" s="80"/>
      <c r="L111" s="79"/>
      <c r="M111" s="80"/>
      <c r="N111" s="71"/>
      <c r="O111" s="83"/>
      <c r="P111" s="71"/>
      <c r="Q111" s="83"/>
      <c r="R111" s="79"/>
      <c r="S111" s="80"/>
      <c r="T111" s="79"/>
      <c r="U111" s="80"/>
      <c r="V111" s="79"/>
      <c r="W111" s="80"/>
      <c r="X111" s="79"/>
      <c r="Y111" s="80"/>
      <c r="Z111" s="79"/>
      <c r="AA111" s="80"/>
      <c r="AB111" s="71"/>
      <c r="AC111" s="83"/>
      <c r="AD111" s="79"/>
      <c r="AE111" s="80"/>
      <c r="AF111" s="79"/>
      <c r="AG111" s="80"/>
      <c r="AH111" s="79"/>
      <c r="AI111" s="80"/>
      <c r="AJ111" s="79"/>
      <c r="AK111" s="80"/>
      <c r="AL111" s="79"/>
      <c r="AM111" s="80"/>
      <c r="AN111" s="79"/>
      <c r="AO111" s="80"/>
      <c r="AP111" s="71"/>
      <c r="AQ111" s="83"/>
      <c r="AR111" s="79"/>
      <c r="AS111" s="80"/>
      <c r="AT111" s="79"/>
      <c r="AU111" s="80"/>
      <c r="AV111" s="79"/>
      <c r="AW111" s="80"/>
      <c r="AX111" s="79"/>
      <c r="AY111" s="80"/>
      <c r="AZ111" s="79"/>
      <c r="BA111" s="80"/>
      <c r="BB111" s="79"/>
      <c r="BC111" s="80"/>
      <c r="BD111" s="79"/>
      <c r="BE111" s="80"/>
      <c r="BF111" s="71"/>
      <c r="BG111" s="83"/>
      <c r="BH111" s="79"/>
      <c r="BI111" s="80"/>
      <c r="BJ111" s="28">
        <f t="shared" si="10"/>
        <v>0</v>
      </c>
      <c r="BK111" s="29">
        <f t="shared" si="9"/>
        <v>0</v>
      </c>
    </row>
    <row r="112" spans="1:63" ht="15" customHeight="1" x14ac:dyDescent="0.35">
      <c r="A112" s="24"/>
      <c r="B112" s="81" t="s">
        <v>44</v>
      </c>
      <c r="C112" s="24" t="s">
        <v>148</v>
      </c>
      <c r="D112" s="683" t="s">
        <v>137</v>
      </c>
      <c r="E112" s="782"/>
      <c r="F112" s="79"/>
      <c r="G112" s="80"/>
      <c r="H112" s="79"/>
      <c r="I112" s="80"/>
      <c r="J112" s="79"/>
      <c r="K112" s="80"/>
      <c r="L112" s="79"/>
      <c r="M112" s="80"/>
      <c r="N112" s="71"/>
      <c r="O112" s="83"/>
      <c r="P112" s="71"/>
      <c r="Q112" s="83"/>
      <c r="R112" s="79"/>
      <c r="S112" s="80"/>
      <c r="T112" s="79"/>
      <c r="U112" s="80"/>
      <c r="V112" s="79"/>
      <c r="W112" s="80"/>
      <c r="X112" s="79"/>
      <c r="Y112" s="80"/>
      <c r="Z112" s="79"/>
      <c r="AA112" s="80"/>
      <c r="AB112" s="71"/>
      <c r="AC112" s="83"/>
      <c r="AD112" s="79"/>
      <c r="AE112" s="80"/>
      <c r="AF112" s="79"/>
      <c r="AG112" s="80"/>
      <c r="AH112" s="79"/>
      <c r="AI112" s="80"/>
      <c r="AJ112" s="79"/>
      <c r="AK112" s="80"/>
      <c r="AL112" s="79"/>
      <c r="AM112" s="80"/>
      <c r="AN112" s="79"/>
      <c r="AO112" s="80"/>
      <c r="AP112" s="71"/>
      <c r="AQ112" s="83"/>
      <c r="AR112" s="79"/>
      <c r="AS112" s="80"/>
      <c r="AT112" s="79"/>
      <c r="AU112" s="80"/>
      <c r="AV112" s="79"/>
      <c r="AW112" s="80"/>
      <c r="AX112" s="79"/>
      <c r="AY112" s="80"/>
      <c r="AZ112" s="79"/>
      <c r="BA112" s="80"/>
      <c r="BB112" s="79"/>
      <c r="BC112" s="80"/>
      <c r="BD112" s="79"/>
      <c r="BE112" s="80"/>
      <c r="BF112" s="71"/>
      <c r="BG112" s="83"/>
      <c r="BH112" s="79"/>
      <c r="BI112" s="80"/>
      <c r="BJ112" s="28">
        <f t="shared" si="10"/>
        <v>0</v>
      </c>
      <c r="BK112" s="29">
        <f t="shared" si="9"/>
        <v>0</v>
      </c>
    </row>
    <row r="113" spans="1:63" ht="15" customHeight="1" x14ac:dyDescent="0.35">
      <c r="A113" s="24"/>
      <c r="B113" s="81" t="s">
        <v>44</v>
      </c>
      <c r="C113" s="24" t="s">
        <v>149</v>
      </c>
      <c r="D113" s="683" t="s">
        <v>150</v>
      </c>
      <c r="E113" s="782"/>
      <c r="F113" s="79"/>
      <c r="G113" s="80"/>
      <c r="H113" s="79"/>
      <c r="I113" s="80"/>
      <c r="J113" s="79"/>
      <c r="K113" s="80"/>
      <c r="L113" s="79"/>
      <c r="M113" s="80"/>
      <c r="N113" s="71"/>
      <c r="O113" s="83"/>
      <c r="P113" s="71"/>
      <c r="Q113" s="83"/>
      <c r="R113" s="79"/>
      <c r="S113" s="80"/>
      <c r="T113" s="79"/>
      <c r="U113" s="80"/>
      <c r="V113" s="79"/>
      <c r="W113" s="80"/>
      <c r="X113" s="79"/>
      <c r="Y113" s="80"/>
      <c r="Z113" s="79"/>
      <c r="AA113" s="80"/>
      <c r="AB113" s="71"/>
      <c r="AC113" s="83"/>
      <c r="AD113" s="79"/>
      <c r="AE113" s="80"/>
      <c r="AF113" s="79"/>
      <c r="AG113" s="80"/>
      <c r="AH113" s="79"/>
      <c r="AI113" s="80"/>
      <c r="AJ113" s="79"/>
      <c r="AK113" s="80"/>
      <c r="AL113" s="79"/>
      <c r="AM113" s="80"/>
      <c r="AN113" s="79"/>
      <c r="AO113" s="80"/>
      <c r="AP113" s="71"/>
      <c r="AQ113" s="83"/>
      <c r="AR113" s="79"/>
      <c r="AS113" s="80"/>
      <c r="AT113" s="79"/>
      <c r="AU113" s="80"/>
      <c r="AV113" s="79"/>
      <c r="AW113" s="80"/>
      <c r="AX113" s="79"/>
      <c r="AY113" s="80"/>
      <c r="AZ113" s="79"/>
      <c r="BA113" s="80"/>
      <c r="BB113" s="79"/>
      <c r="BC113" s="80"/>
      <c r="BD113" s="79"/>
      <c r="BE113" s="80"/>
      <c r="BF113" s="71"/>
      <c r="BG113" s="83"/>
      <c r="BH113" s="79"/>
      <c r="BI113" s="80"/>
      <c r="BJ113" s="28">
        <f t="shared" si="10"/>
        <v>0</v>
      </c>
      <c r="BK113" s="29">
        <f t="shared" si="9"/>
        <v>0</v>
      </c>
    </row>
    <row r="114" spans="1:63" ht="15" customHeight="1" x14ac:dyDescent="0.35">
      <c r="A114" s="24"/>
      <c r="B114" s="24"/>
      <c r="C114" s="24"/>
      <c r="D114" s="683"/>
      <c r="E114" s="782"/>
      <c r="F114" s="79"/>
      <c r="G114" s="80"/>
      <c r="H114" s="79"/>
      <c r="I114" s="80"/>
      <c r="J114" s="79"/>
      <c r="K114" s="80"/>
      <c r="L114" s="79"/>
      <c r="M114" s="80"/>
      <c r="N114" s="71"/>
      <c r="O114" s="83"/>
      <c r="P114" s="71"/>
      <c r="Q114" s="83"/>
      <c r="R114" s="79"/>
      <c r="S114" s="80"/>
      <c r="T114" s="79"/>
      <c r="U114" s="80"/>
      <c r="V114" s="79"/>
      <c r="W114" s="80"/>
      <c r="X114" s="79"/>
      <c r="Y114" s="80"/>
      <c r="Z114" s="79"/>
      <c r="AA114" s="80"/>
      <c r="AB114" s="71"/>
      <c r="AC114" s="83"/>
      <c r="AD114" s="79"/>
      <c r="AE114" s="80"/>
      <c r="AF114" s="79"/>
      <c r="AG114" s="80"/>
      <c r="AH114" s="79"/>
      <c r="AI114" s="80"/>
      <c r="AJ114" s="79"/>
      <c r="AK114" s="80"/>
      <c r="AL114" s="79"/>
      <c r="AM114" s="80"/>
      <c r="AN114" s="79"/>
      <c r="AO114" s="80"/>
      <c r="AP114" s="71"/>
      <c r="AQ114" s="83"/>
      <c r="AR114" s="79"/>
      <c r="AS114" s="80"/>
      <c r="AT114" s="79"/>
      <c r="AU114" s="80"/>
      <c r="AV114" s="79"/>
      <c r="AW114" s="80"/>
      <c r="AX114" s="79"/>
      <c r="AY114" s="80"/>
      <c r="AZ114" s="79"/>
      <c r="BA114" s="80"/>
      <c r="BB114" s="79"/>
      <c r="BC114" s="80"/>
      <c r="BD114" s="79"/>
      <c r="BE114" s="80"/>
      <c r="BF114" s="71"/>
      <c r="BG114" s="83"/>
      <c r="BH114" s="79"/>
      <c r="BI114" s="80"/>
      <c r="BJ114" s="28">
        <f t="shared" si="10"/>
        <v>0</v>
      </c>
      <c r="BK114" s="29">
        <f t="shared" si="9"/>
        <v>0</v>
      </c>
    </row>
    <row r="115" spans="1:63" ht="15" customHeight="1" x14ac:dyDescent="0.35">
      <c r="A115" s="24"/>
      <c r="B115" s="24"/>
      <c r="C115" s="24"/>
      <c r="D115" s="683"/>
      <c r="E115" s="782"/>
      <c r="F115" s="79"/>
      <c r="G115" s="80"/>
      <c r="H115" s="79"/>
      <c r="I115" s="80"/>
      <c r="J115" s="79"/>
      <c r="K115" s="80"/>
      <c r="L115" s="79"/>
      <c r="M115" s="80"/>
      <c r="N115" s="71"/>
      <c r="O115" s="83"/>
      <c r="P115" s="71"/>
      <c r="Q115" s="83"/>
      <c r="R115" s="79"/>
      <c r="S115" s="80"/>
      <c r="T115" s="79"/>
      <c r="U115" s="80"/>
      <c r="V115" s="79"/>
      <c r="W115" s="80"/>
      <c r="X115" s="79"/>
      <c r="Y115" s="80"/>
      <c r="Z115" s="79"/>
      <c r="AA115" s="80"/>
      <c r="AB115" s="71"/>
      <c r="AC115" s="83"/>
      <c r="AD115" s="79"/>
      <c r="AE115" s="80"/>
      <c r="AF115" s="79"/>
      <c r="AG115" s="80"/>
      <c r="AH115" s="79"/>
      <c r="AI115" s="80"/>
      <c r="AJ115" s="79"/>
      <c r="AK115" s="80"/>
      <c r="AL115" s="79"/>
      <c r="AM115" s="80"/>
      <c r="AN115" s="79"/>
      <c r="AO115" s="80"/>
      <c r="AP115" s="71"/>
      <c r="AQ115" s="83"/>
      <c r="AR115" s="79"/>
      <c r="AS115" s="80"/>
      <c r="AT115" s="79"/>
      <c r="AU115" s="80"/>
      <c r="AV115" s="79"/>
      <c r="AW115" s="80"/>
      <c r="AX115" s="79"/>
      <c r="AY115" s="80"/>
      <c r="AZ115" s="79"/>
      <c r="BA115" s="80"/>
      <c r="BB115" s="79"/>
      <c r="BC115" s="80"/>
      <c r="BD115" s="79"/>
      <c r="BE115" s="80"/>
      <c r="BF115" s="71"/>
      <c r="BG115" s="83"/>
      <c r="BH115" s="79"/>
      <c r="BI115" s="80"/>
      <c r="BJ115" s="28">
        <f t="shared" si="10"/>
        <v>0</v>
      </c>
      <c r="BK115" s="29">
        <f t="shared" si="9"/>
        <v>0</v>
      </c>
    </row>
    <row r="116" spans="1:63" ht="15.75" x14ac:dyDescent="0.25">
      <c r="A116" s="31"/>
      <c r="B116" s="31"/>
      <c r="C116" s="31"/>
      <c r="D116" s="675" t="s">
        <v>151</v>
      </c>
      <c r="E116" s="783"/>
      <c r="F116" s="85"/>
      <c r="G116" s="86"/>
      <c r="H116" s="85"/>
      <c r="I116" s="86"/>
      <c r="J116" s="85"/>
      <c r="K116" s="86"/>
      <c r="L116" s="85"/>
      <c r="M116" s="86"/>
      <c r="N116" s="71"/>
      <c r="O116" s="83"/>
      <c r="P116" s="71"/>
      <c r="Q116" s="83"/>
      <c r="R116" s="85"/>
      <c r="S116" s="86"/>
      <c r="T116" s="85"/>
      <c r="U116" s="86"/>
      <c r="V116" s="85"/>
      <c r="W116" s="86"/>
      <c r="X116" s="85"/>
      <c r="Y116" s="86"/>
      <c r="Z116" s="85"/>
      <c r="AA116" s="86"/>
      <c r="AB116" s="71"/>
      <c r="AC116" s="83"/>
      <c r="AD116" s="85"/>
      <c r="AE116" s="86"/>
      <c r="AF116" s="85"/>
      <c r="AG116" s="86"/>
      <c r="AH116" s="85"/>
      <c r="AI116" s="86"/>
      <c r="AJ116" s="85"/>
      <c r="AK116" s="86"/>
      <c r="AL116" s="85"/>
      <c r="AM116" s="86"/>
      <c r="AN116" s="85"/>
      <c r="AO116" s="86"/>
      <c r="AP116" s="71"/>
      <c r="AQ116" s="83"/>
      <c r="AR116" s="85"/>
      <c r="AS116" s="86"/>
      <c r="AT116" s="85"/>
      <c r="AU116" s="86"/>
      <c r="AV116" s="85"/>
      <c r="AW116" s="86"/>
      <c r="AX116" s="85"/>
      <c r="AY116" s="86"/>
      <c r="AZ116" s="85"/>
      <c r="BA116" s="86"/>
      <c r="BB116" s="85"/>
      <c r="BC116" s="86"/>
      <c r="BD116" s="85"/>
      <c r="BE116" s="86"/>
      <c r="BF116" s="71"/>
      <c r="BG116" s="83"/>
      <c r="BH116" s="85"/>
      <c r="BI116" s="86"/>
      <c r="BJ116" s="28">
        <f t="shared" si="10"/>
        <v>0</v>
      </c>
      <c r="BK116" s="29"/>
    </row>
    <row r="117" spans="1:63" ht="15.75" x14ac:dyDescent="0.25">
      <c r="A117" s="31"/>
      <c r="B117" s="31"/>
      <c r="C117" s="31"/>
      <c r="D117" s="677" t="s">
        <v>152</v>
      </c>
      <c r="E117" s="779"/>
      <c r="F117" s="87"/>
      <c r="G117" s="88"/>
      <c r="H117" s="87"/>
      <c r="I117" s="88"/>
      <c r="J117" s="87"/>
      <c r="K117" s="88"/>
      <c r="L117" s="87"/>
      <c r="M117" s="88"/>
      <c r="N117" s="71"/>
      <c r="O117" s="83"/>
      <c r="P117" s="71"/>
      <c r="Q117" s="83"/>
      <c r="R117" s="87"/>
      <c r="S117" s="88"/>
      <c r="T117" s="87"/>
      <c r="U117" s="88"/>
      <c r="V117" s="87"/>
      <c r="W117" s="88"/>
      <c r="X117" s="87"/>
      <c r="Y117" s="88"/>
      <c r="Z117" s="87"/>
      <c r="AA117" s="88"/>
      <c r="AB117" s="71"/>
      <c r="AC117" s="83"/>
      <c r="AD117" s="87"/>
      <c r="AE117" s="88"/>
      <c r="AF117" s="87"/>
      <c r="AG117" s="88"/>
      <c r="AH117" s="87"/>
      <c r="AI117" s="88"/>
      <c r="AJ117" s="87"/>
      <c r="AK117" s="88"/>
      <c r="AL117" s="87"/>
      <c r="AM117" s="88"/>
      <c r="AN117" s="87"/>
      <c r="AO117" s="88"/>
      <c r="AP117" s="71"/>
      <c r="AQ117" s="83"/>
      <c r="AR117" s="87"/>
      <c r="AS117" s="88"/>
      <c r="AT117" s="87"/>
      <c r="AU117" s="88"/>
      <c r="AV117" s="87"/>
      <c r="AW117" s="88"/>
      <c r="AX117" s="87"/>
      <c r="AY117" s="88"/>
      <c r="AZ117" s="87"/>
      <c r="BA117" s="88"/>
      <c r="BB117" s="87"/>
      <c r="BC117" s="88"/>
      <c r="BD117" s="87"/>
      <c r="BE117" s="88"/>
      <c r="BF117" s="71"/>
      <c r="BG117" s="83"/>
      <c r="BH117" s="87"/>
      <c r="BI117" s="88"/>
      <c r="BJ117" s="28">
        <f t="shared" si="10"/>
        <v>0</v>
      </c>
      <c r="BK117" s="29"/>
    </row>
    <row r="118" spans="1:63" s="1" customFormat="1" ht="23.25" x14ac:dyDescent="0.35">
      <c r="A118" s="36"/>
      <c r="B118" s="36"/>
      <c r="C118" s="36"/>
      <c r="D118" s="657" t="s">
        <v>1041</v>
      </c>
      <c r="E118" s="658"/>
      <c r="F118" s="89">
        <v>6</v>
      </c>
      <c r="G118" s="90"/>
      <c r="H118" s="89"/>
      <c r="I118" s="90"/>
      <c r="J118" s="89"/>
      <c r="K118" s="90"/>
      <c r="L118" s="89"/>
      <c r="M118" s="90"/>
      <c r="N118" s="71"/>
      <c r="O118" s="83"/>
      <c r="P118" s="71"/>
      <c r="Q118" s="83"/>
      <c r="R118" s="89"/>
      <c r="S118" s="90"/>
      <c r="T118" s="89"/>
      <c r="U118" s="90"/>
      <c r="V118" s="89"/>
      <c r="W118" s="90"/>
      <c r="X118" s="89"/>
      <c r="Y118" s="90"/>
      <c r="Z118" s="89"/>
      <c r="AA118" s="90"/>
      <c r="AB118" s="71"/>
      <c r="AC118" s="83"/>
      <c r="AD118" s="89"/>
      <c r="AE118" s="90"/>
      <c r="AF118" s="89"/>
      <c r="AG118" s="90"/>
      <c r="AH118" s="89"/>
      <c r="AI118" s="90"/>
      <c r="AJ118" s="89"/>
      <c r="AK118" s="90"/>
      <c r="AL118" s="89"/>
      <c r="AM118" s="90"/>
      <c r="AN118" s="89"/>
      <c r="AO118" s="90"/>
      <c r="AP118" s="71"/>
      <c r="AQ118" s="83"/>
      <c r="AR118" s="89"/>
      <c r="AS118" s="90"/>
      <c r="AT118" s="89"/>
      <c r="AU118" s="90"/>
      <c r="AV118" s="89"/>
      <c r="AW118" s="90"/>
      <c r="AX118" s="89"/>
      <c r="AY118" s="90"/>
      <c r="AZ118" s="89"/>
      <c r="BA118" s="90"/>
      <c r="BB118" s="89"/>
      <c r="BC118" s="90"/>
      <c r="BD118" s="89"/>
      <c r="BE118" s="90"/>
      <c r="BF118" s="71"/>
      <c r="BG118" s="83"/>
      <c r="BH118" s="89"/>
      <c r="BI118" s="90"/>
      <c r="BJ118" s="28">
        <f t="shared" si="10"/>
        <v>6</v>
      </c>
      <c r="BK118" s="50"/>
    </row>
    <row r="119" spans="1:63" s="1" customFormat="1" ht="15.75" x14ac:dyDescent="0.25">
      <c r="A119" s="36"/>
      <c r="B119" s="36"/>
      <c r="C119" s="36"/>
      <c r="D119" s="679" t="s">
        <v>154</v>
      </c>
      <c r="E119" s="780"/>
      <c r="F119" s="72"/>
      <c r="G119" s="73"/>
      <c r="H119" s="72"/>
      <c r="I119" s="73"/>
      <c r="J119" s="72"/>
      <c r="K119" s="73"/>
      <c r="L119" s="72"/>
      <c r="M119" s="73"/>
      <c r="N119" s="71"/>
      <c r="O119" s="83"/>
      <c r="P119" s="71"/>
      <c r="Q119" s="83"/>
      <c r="R119" s="72"/>
      <c r="S119" s="73"/>
      <c r="T119" s="72"/>
      <c r="U119" s="73"/>
      <c r="V119" s="72"/>
      <c r="W119" s="73"/>
      <c r="X119" s="72"/>
      <c r="Y119" s="73"/>
      <c r="Z119" s="72"/>
      <c r="AA119" s="73"/>
      <c r="AB119" s="71"/>
      <c r="AC119" s="83"/>
      <c r="AD119" s="72"/>
      <c r="AE119" s="73"/>
      <c r="AF119" s="72"/>
      <c r="AG119" s="73"/>
      <c r="AH119" s="72"/>
      <c r="AI119" s="73"/>
      <c r="AJ119" s="72"/>
      <c r="AK119" s="73"/>
      <c r="AL119" s="72"/>
      <c r="AM119" s="73"/>
      <c r="AN119" s="72"/>
      <c r="AO119" s="73"/>
      <c r="AP119" s="71"/>
      <c r="AQ119" s="83"/>
      <c r="AR119" s="72"/>
      <c r="AS119" s="73"/>
      <c r="AT119" s="72"/>
      <c r="AU119" s="73"/>
      <c r="AV119" s="72"/>
      <c r="AW119" s="73"/>
      <c r="AX119" s="72"/>
      <c r="AY119" s="73"/>
      <c r="AZ119" s="72"/>
      <c r="BA119" s="73"/>
      <c r="BB119" s="72"/>
      <c r="BC119" s="73"/>
      <c r="BD119" s="72"/>
      <c r="BE119" s="73"/>
      <c r="BF119" s="71"/>
      <c r="BG119" s="83"/>
      <c r="BH119" s="72"/>
      <c r="BI119" s="73"/>
      <c r="BJ119" s="28">
        <f t="shared" si="10"/>
        <v>0</v>
      </c>
      <c r="BK119" s="50"/>
    </row>
    <row r="120" spans="1:63" s="1" customFormat="1" ht="15.75" x14ac:dyDescent="0.25">
      <c r="A120" s="36"/>
      <c r="B120" s="36"/>
      <c r="C120" s="36"/>
      <c r="D120" s="679" t="s">
        <v>155</v>
      </c>
      <c r="E120" s="780"/>
      <c r="F120" s="72">
        <f t="shared" ref="F120:BI120" si="11">(F118*60)+F119</f>
        <v>360</v>
      </c>
      <c r="G120" s="73">
        <f t="shared" si="11"/>
        <v>0</v>
      </c>
      <c r="H120" s="72">
        <f t="shared" si="11"/>
        <v>0</v>
      </c>
      <c r="I120" s="73">
        <f t="shared" si="11"/>
        <v>0</v>
      </c>
      <c r="J120" s="72">
        <f t="shared" si="11"/>
        <v>0</v>
      </c>
      <c r="K120" s="73">
        <f t="shared" si="11"/>
        <v>0</v>
      </c>
      <c r="L120" s="72">
        <f t="shared" si="11"/>
        <v>0</v>
      </c>
      <c r="M120" s="73">
        <f t="shared" si="11"/>
        <v>0</v>
      </c>
      <c r="N120" s="71">
        <f t="shared" si="11"/>
        <v>0</v>
      </c>
      <c r="O120" s="83">
        <f t="shared" si="11"/>
        <v>0</v>
      </c>
      <c r="P120" s="71">
        <f t="shared" si="11"/>
        <v>0</v>
      </c>
      <c r="Q120" s="83">
        <f t="shared" si="11"/>
        <v>0</v>
      </c>
      <c r="R120" s="72">
        <f t="shared" si="11"/>
        <v>0</v>
      </c>
      <c r="S120" s="73">
        <f t="shared" si="11"/>
        <v>0</v>
      </c>
      <c r="T120" s="72">
        <f t="shared" si="11"/>
        <v>0</v>
      </c>
      <c r="U120" s="73">
        <f t="shared" si="11"/>
        <v>0</v>
      </c>
      <c r="V120" s="72">
        <f t="shared" si="11"/>
        <v>0</v>
      </c>
      <c r="W120" s="73">
        <f t="shared" si="11"/>
        <v>0</v>
      </c>
      <c r="X120" s="72">
        <f t="shared" si="11"/>
        <v>0</v>
      </c>
      <c r="Y120" s="73">
        <f t="shared" si="11"/>
        <v>0</v>
      </c>
      <c r="Z120" s="72">
        <f t="shared" si="11"/>
        <v>0</v>
      </c>
      <c r="AA120" s="73">
        <f t="shared" si="11"/>
        <v>0</v>
      </c>
      <c r="AB120" s="71">
        <f t="shared" si="11"/>
        <v>0</v>
      </c>
      <c r="AC120" s="83">
        <f t="shared" si="11"/>
        <v>0</v>
      </c>
      <c r="AD120" s="72">
        <f t="shared" si="11"/>
        <v>0</v>
      </c>
      <c r="AE120" s="73">
        <f t="shared" si="11"/>
        <v>0</v>
      </c>
      <c r="AF120" s="72">
        <f t="shared" si="11"/>
        <v>0</v>
      </c>
      <c r="AG120" s="73">
        <f t="shared" si="11"/>
        <v>0</v>
      </c>
      <c r="AH120" s="72">
        <f t="shared" si="11"/>
        <v>0</v>
      </c>
      <c r="AI120" s="73">
        <f t="shared" si="11"/>
        <v>0</v>
      </c>
      <c r="AJ120" s="72">
        <f t="shared" si="11"/>
        <v>0</v>
      </c>
      <c r="AK120" s="73">
        <f t="shared" si="11"/>
        <v>0</v>
      </c>
      <c r="AL120" s="72">
        <f t="shared" si="11"/>
        <v>0</v>
      </c>
      <c r="AM120" s="73">
        <f t="shared" si="11"/>
        <v>0</v>
      </c>
      <c r="AN120" s="72">
        <f t="shared" si="11"/>
        <v>0</v>
      </c>
      <c r="AO120" s="73">
        <f t="shared" si="11"/>
        <v>0</v>
      </c>
      <c r="AP120" s="71">
        <f t="shared" si="11"/>
        <v>0</v>
      </c>
      <c r="AQ120" s="83">
        <f t="shared" si="11"/>
        <v>0</v>
      </c>
      <c r="AR120" s="72">
        <f t="shared" si="11"/>
        <v>0</v>
      </c>
      <c r="AS120" s="73">
        <f t="shared" si="11"/>
        <v>0</v>
      </c>
      <c r="AT120" s="72">
        <f t="shared" si="11"/>
        <v>0</v>
      </c>
      <c r="AU120" s="73">
        <f t="shared" si="11"/>
        <v>0</v>
      </c>
      <c r="AV120" s="72">
        <f t="shared" si="11"/>
        <v>0</v>
      </c>
      <c r="AW120" s="73">
        <f t="shared" si="11"/>
        <v>0</v>
      </c>
      <c r="AX120" s="72">
        <f t="shared" si="11"/>
        <v>0</v>
      </c>
      <c r="AY120" s="73">
        <f t="shared" si="11"/>
        <v>0</v>
      </c>
      <c r="AZ120" s="72">
        <f t="shared" si="11"/>
        <v>0</v>
      </c>
      <c r="BA120" s="73">
        <f t="shared" si="11"/>
        <v>0</v>
      </c>
      <c r="BB120" s="72">
        <f t="shared" si="11"/>
        <v>0</v>
      </c>
      <c r="BC120" s="73">
        <f t="shared" si="11"/>
        <v>0</v>
      </c>
      <c r="BD120" s="72">
        <f t="shared" si="11"/>
        <v>0</v>
      </c>
      <c r="BE120" s="73">
        <f t="shared" si="11"/>
        <v>0</v>
      </c>
      <c r="BF120" s="71">
        <f t="shared" si="11"/>
        <v>0</v>
      </c>
      <c r="BG120" s="83">
        <f t="shared" si="11"/>
        <v>0</v>
      </c>
      <c r="BH120" s="72">
        <f t="shared" si="11"/>
        <v>0</v>
      </c>
      <c r="BI120" s="73">
        <f t="shared" si="11"/>
        <v>0</v>
      </c>
      <c r="BJ120" s="28">
        <f t="shared" si="10"/>
        <v>360</v>
      </c>
      <c r="BK120" s="50"/>
    </row>
    <row r="121" spans="1:63" s="1" customFormat="1" ht="15.75" x14ac:dyDescent="0.25">
      <c r="A121" s="36"/>
      <c r="B121" s="36"/>
      <c r="C121" s="36"/>
      <c r="D121" s="679" t="s">
        <v>156</v>
      </c>
      <c r="E121" s="780"/>
      <c r="F121" s="72">
        <f t="shared" ref="F121:BI121" si="12">F120-F122</f>
        <v>108</v>
      </c>
      <c r="G121" s="73">
        <f t="shared" si="12"/>
        <v>0</v>
      </c>
      <c r="H121" s="72">
        <f t="shared" si="12"/>
        <v>0</v>
      </c>
      <c r="I121" s="73">
        <f t="shared" si="12"/>
        <v>0</v>
      </c>
      <c r="J121" s="72">
        <f t="shared" si="12"/>
        <v>0</v>
      </c>
      <c r="K121" s="73">
        <f t="shared" si="12"/>
        <v>0</v>
      </c>
      <c r="L121" s="72">
        <f t="shared" si="12"/>
        <v>0</v>
      </c>
      <c r="M121" s="73">
        <f t="shared" si="12"/>
        <v>0</v>
      </c>
      <c r="N121" s="87">
        <f t="shared" si="12"/>
        <v>0</v>
      </c>
      <c r="O121" s="94">
        <f t="shared" si="12"/>
        <v>0</v>
      </c>
      <c r="P121" s="87">
        <f t="shared" si="12"/>
        <v>0</v>
      </c>
      <c r="Q121" s="94">
        <f t="shared" si="12"/>
        <v>0</v>
      </c>
      <c r="R121" s="72">
        <f t="shared" si="12"/>
        <v>0</v>
      </c>
      <c r="S121" s="73">
        <f t="shared" si="12"/>
        <v>0</v>
      </c>
      <c r="T121" s="72">
        <f t="shared" si="12"/>
        <v>0</v>
      </c>
      <c r="U121" s="73">
        <f t="shared" si="12"/>
        <v>0</v>
      </c>
      <c r="V121" s="73">
        <f t="shared" si="12"/>
        <v>0</v>
      </c>
      <c r="W121" s="73">
        <f t="shared" si="12"/>
        <v>0</v>
      </c>
      <c r="X121" s="72">
        <f t="shared" si="12"/>
        <v>0</v>
      </c>
      <c r="Y121" s="73">
        <f t="shared" si="12"/>
        <v>0</v>
      </c>
      <c r="Z121" s="72">
        <f t="shared" si="12"/>
        <v>0</v>
      </c>
      <c r="AA121" s="73">
        <f t="shared" si="12"/>
        <v>0</v>
      </c>
      <c r="AB121" s="87">
        <f t="shared" si="12"/>
        <v>0</v>
      </c>
      <c r="AC121" s="94">
        <f t="shared" si="12"/>
        <v>0</v>
      </c>
      <c r="AD121" s="72">
        <f t="shared" si="12"/>
        <v>0</v>
      </c>
      <c r="AE121" s="73">
        <f t="shared" si="12"/>
        <v>0</v>
      </c>
      <c r="AF121" s="72">
        <f t="shared" si="12"/>
        <v>0</v>
      </c>
      <c r="AG121" s="73">
        <f t="shared" si="12"/>
        <v>0</v>
      </c>
      <c r="AH121" s="72">
        <f t="shared" si="12"/>
        <v>0</v>
      </c>
      <c r="AI121" s="73">
        <f t="shared" si="12"/>
        <v>0</v>
      </c>
      <c r="AJ121" s="72">
        <f t="shared" si="12"/>
        <v>0</v>
      </c>
      <c r="AK121" s="73">
        <f t="shared" si="12"/>
        <v>0</v>
      </c>
      <c r="AL121" s="72">
        <f t="shared" si="12"/>
        <v>0</v>
      </c>
      <c r="AM121" s="73">
        <f t="shared" si="12"/>
        <v>0</v>
      </c>
      <c r="AN121" s="72">
        <f t="shared" si="12"/>
        <v>0</v>
      </c>
      <c r="AO121" s="73">
        <f t="shared" si="12"/>
        <v>0</v>
      </c>
      <c r="AP121" s="87">
        <f t="shared" si="12"/>
        <v>0</v>
      </c>
      <c r="AQ121" s="94">
        <f t="shared" si="12"/>
        <v>0</v>
      </c>
      <c r="AR121" s="72">
        <f t="shared" si="12"/>
        <v>0</v>
      </c>
      <c r="AS121" s="73">
        <f t="shared" si="12"/>
        <v>0</v>
      </c>
      <c r="AT121" s="72">
        <f t="shared" si="12"/>
        <v>0</v>
      </c>
      <c r="AU121" s="73">
        <f t="shared" si="12"/>
        <v>0</v>
      </c>
      <c r="AV121" s="72">
        <f t="shared" si="12"/>
        <v>0</v>
      </c>
      <c r="AW121" s="73">
        <f t="shared" si="12"/>
        <v>0</v>
      </c>
      <c r="AX121" s="72">
        <f t="shared" si="12"/>
        <v>0</v>
      </c>
      <c r="AY121" s="73">
        <f t="shared" si="12"/>
        <v>0</v>
      </c>
      <c r="AZ121" s="72">
        <f t="shared" si="12"/>
        <v>0</v>
      </c>
      <c r="BA121" s="73">
        <f t="shared" si="12"/>
        <v>0</v>
      </c>
      <c r="BB121" s="72">
        <f t="shared" si="12"/>
        <v>0</v>
      </c>
      <c r="BC121" s="73">
        <f t="shared" si="12"/>
        <v>0</v>
      </c>
      <c r="BD121" s="72">
        <f t="shared" si="12"/>
        <v>0</v>
      </c>
      <c r="BE121" s="73">
        <f t="shared" si="12"/>
        <v>0</v>
      </c>
      <c r="BF121" s="87">
        <f t="shared" si="12"/>
        <v>0</v>
      </c>
      <c r="BG121" s="94">
        <f t="shared" si="12"/>
        <v>0</v>
      </c>
      <c r="BH121" s="72">
        <f t="shared" si="12"/>
        <v>0</v>
      </c>
      <c r="BI121" s="73">
        <f t="shared" si="12"/>
        <v>0</v>
      </c>
      <c r="BJ121" s="28">
        <f t="shared" si="10"/>
        <v>108</v>
      </c>
      <c r="BK121" s="50"/>
    </row>
    <row r="122" spans="1:63" s="1" customFormat="1" ht="15.75" x14ac:dyDescent="0.25">
      <c r="A122" s="39"/>
      <c r="B122" s="39"/>
      <c r="C122" s="39"/>
      <c r="D122" s="681" t="s">
        <v>157</v>
      </c>
      <c r="E122" s="781"/>
      <c r="F122" s="91">
        <f t="shared" ref="F122:BI122" si="13">SUM(F123:F124)</f>
        <v>252</v>
      </c>
      <c r="G122" s="92">
        <f t="shared" si="13"/>
        <v>0</v>
      </c>
      <c r="H122" s="91">
        <f t="shared" si="13"/>
        <v>0</v>
      </c>
      <c r="I122" s="92">
        <f t="shared" si="13"/>
        <v>0</v>
      </c>
      <c r="J122" s="91">
        <f t="shared" si="13"/>
        <v>0</v>
      </c>
      <c r="K122" s="92">
        <f t="shared" si="13"/>
        <v>0</v>
      </c>
      <c r="L122" s="91">
        <f t="shared" si="13"/>
        <v>0</v>
      </c>
      <c r="M122" s="92">
        <f t="shared" si="13"/>
        <v>0</v>
      </c>
      <c r="N122" s="71">
        <f t="shared" si="13"/>
        <v>0</v>
      </c>
      <c r="O122" s="83">
        <f t="shared" si="13"/>
        <v>0</v>
      </c>
      <c r="P122" s="71">
        <f t="shared" si="13"/>
        <v>0</v>
      </c>
      <c r="Q122" s="83">
        <f t="shared" si="13"/>
        <v>0</v>
      </c>
      <c r="R122" s="91">
        <f t="shared" si="13"/>
        <v>0</v>
      </c>
      <c r="S122" s="92">
        <f t="shared" si="13"/>
        <v>0</v>
      </c>
      <c r="T122" s="91">
        <f t="shared" si="13"/>
        <v>0</v>
      </c>
      <c r="U122" s="92">
        <f t="shared" si="13"/>
        <v>0</v>
      </c>
      <c r="V122" s="91">
        <f t="shared" si="13"/>
        <v>0</v>
      </c>
      <c r="W122" s="92">
        <f t="shared" si="13"/>
        <v>0</v>
      </c>
      <c r="X122" s="91">
        <f t="shared" si="13"/>
        <v>0</v>
      </c>
      <c r="Y122" s="92">
        <f t="shared" si="13"/>
        <v>0</v>
      </c>
      <c r="Z122" s="91">
        <f t="shared" si="13"/>
        <v>0</v>
      </c>
      <c r="AA122" s="92">
        <f t="shared" si="13"/>
        <v>0</v>
      </c>
      <c r="AB122" s="71">
        <f t="shared" si="13"/>
        <v>0</v>
      </c>
      <c r="AC122" s="83">
        <f t="shared" si="13"/>
        <v>0</v>
      </c>
      <c r="AD122" s="91">
        <f t="shared" si="13"/>
        <v>0</v>
      </c>
      <c r="AE122" s="92">
        <f t="shared" si="13"/>
        <v>0</v>
      </c>
      <c r="AF122" s="91">
        <f t="shared" si="13"/>
        <v>0</v>
      </c>
      <c r="AG122" s="92">
        <f t="shared" si="13"/>
        <v>0</v>
      </c>
      <c r="AH122" s="91">
        <f t="shared" si="13"/>
        <v>0</v>
      </c>
      <c r="AI122" s="92">
        <f t="shared" si="13"/>
        <v>0</v>
      </c>
      <c r="AJ122" s="91">
        <f t="shared" si="13"/>
        <v>0</v>
      </c>
      <c r="AK122" s="92">
        <f t="shared" si="13"/>
        <v>0</v>
      </c>
      <c r="AL122" s="91">
        <f t="shared" si="13"/>
        <v>0</v>
      </c>
      <c r="AM122" s="92">
        <f t="shared" si="13"/>
        <v>0</v>
      </c>
      <c r="AN122" s="91">
        <f t="shared" si="13"/>
        <v>0</v>
      </c>
      <c r="AO122" s="92">
        <f t="shared" si="13"/>
        <v>0</v>
      </c>
      <c r="AP122" s="71">
        <f t="shared" si="13"/>
        <v>0</v>
      </c>
      <c r="AQ122" s="83">
        <f t="shared" si="13"/>
        <v>0</v>
      </c>
      <c r="AR122" s="91">
        <f t="shared" si="13"/>
        <v>0</v>
      </c>
      <c r="AS122" s="92">
        <f t="shared" si="13"/>
        <v>0</v>
      </c>
      <c r="AT122" s="91">
        <f t="shared" si="13"/>
        <v>0</v>
      </c>
      <c r="AU122" s="92">
        <f t="shared" si="13"/>
        <v>0</v>
      </c>
      <c r="AV122" s="91">
        <f t="shared" si="13"/>
        <v>0</v>
      </c>
      <c r="AW122" s="92">
        <f t="shared" si="13"/>
        <v>0</v>
      </c>
      <c r="AX122" s="91">
        <f t="shared" si="13"/>
        <v>0</v>
      </c>
      <c r="AY122" s="92">
        <f t="shared" si="13"/>
        <v>0</v>
      </c>
      <c r="AZ122" s="91">
        <f t="shared" si="13"/>
        <v>0</v>
      </c>
      <c r="BA122" s="92">
        <f t="shared" si="13"/>
        <v>0</v>
      </c>
      <c r="BB122" s="91">
        <f t="shared" si="13"/>
        <v>0</v>
      </c>
      <c r="BC122" s="92">
        <f t="shared" si="13"/>
        <v>0</v>
      </c>
      <c r="BD122" s="91">
        <f t="shared" si="13"/>
        <v>0</v>
      </c>
      <c r="BE122" s="92">
        <f t="shared" si="13"/>
        <v>0</v>
      </c>
      <c r="BF122" s="71">
        <f t="shared" si="13"/>
        <v>0</v>
      </c>
      <c r="BG122" s="83">
        <f t="shared" si="13"/>
        <v>0</v>
      </c>
      <c r="BH122" s="91">
        <f t="shared" si="13"/>
        <v>0</v>
      </c>
      <c r="BI122" s="92">
        <f t="shared" si="13"/>
        <v>0</v>
      </c>
      <c r="BJ122" s="28">
        <f t="shared" si="10"/>
        <v>252</v>
      </c>
      <c r="BK122" s="50"/>
    </row>
    <row r="123" spans="1:63" s="1" customFormat="1" ht="15" customHeight="1" x14ac:dyDescent="0.25">
      <c r="A123" s="42"/>
      <c r="B123" s="42"/>
      <c r="C123" s="42"/>
      <c r="D123" s="669" t="s">
        <v>158</v>
      </c>
      <c r="E123" s="777"/>
      <c r="F123" s="89">
        <f>4.2*60</f>
        <v>252</v>
      </c>
      <c r="G123" s="90"/>
      <c r="H123" s="89"/>
      <c r="I123" s="90"/>
      <c r="J123" s="89"/>
      <c r="K123" s="90"/>
      <c r="L123" s="89"/>
      <c r="M123" s="90"/>
      <c r="N123" s="71"/>
      <c r="O123" s="83"/>
      <c r="P123" s="71"/>
      <c r="Q123" s="83"/>
      <c r="R123" s="89"/>
      <c r="S123" s="90"/>
      <c r="T123" s="89"/>
      <c r="U123" s="90"/>
      <c r="V123" s="89"/>
      <c r="W123" s="90"/>
      <c r="X123" s="89"/>
      <c r="Y123" s="90"/>
      <c r="Z123" s="89"/>
      <c r="AA123" s="90"/>
      <c r="AB123" s="71"/>
      <c r="AC123" s="83"/>
      <c r="AD123" s="89"/>
      <c r="AE123" s="90"/>
      <c r="AF123" s="89"/>
      <c r="AG123" s="90"/>
      <c r="AH123" s="89"/>
      <c r="AI123" s="90"/>
      <c r="AJ123" s="89"/>
      <c r="AK123" s="90"/>
      <c r="AL123" s="89"/>
      <c r="AM123" s="90"/>
      <c r="AN123" s="89"/>
      <c r="AO123" s="90"/>
      <c r="AP123" s="71"/>
      <c r="AQ123" s="83"/>
      <c r="AR123" s="89"/>
      <c r="AS123" s="90"/>
      <c r="AT123" s="89"/>
      <c r="AU123" s="90"/>
      <c r="AV123" s="89"/>
      <c r="AW123" s="90"/>
      <c r="AX123" s="89"/>
      <c r="AY123" s="90"/>
      <c r="AZ123" s="89"/>
      <c r="BA123" s="90"/>
      <c r="BB123" s="89"/>
      <c r="BC123" s="90"/>
      <c r="BD123" s="89"/>
      <c r="BE123" s="90"/>
      <c r="BF123" s="71"/>
      <c r="BG123" s="83"/>
      <c r="BH123" s="89"/>
      <c r="BI123" s="90"/>
      <c r="BJ123" s="28">
        <f t="shared" si="10"/>
        <v>252</v>
      </c>
      <c r="BK123" s="50"/>
    </row>
    <row r="124" spans="1:63" s="1" customFormat="1" ht="15.75" x14ac:dyDescent="0.25">
      <c r="A124" s="42"/>
      <c r="B124" s="42"/>
      <c r="C124" s="42"/>
      <c r="D124" s="669" t="s">
        <v>161</v>
      </c>
      <c r="E124" s="777"/>
      <c r="F124" s="89"/>
      <c r="G124" s="90"/>
      <c r="H124" s="89"/>
      <c r="I124" s="90"/>
      <c r="J124" s="89"/>
      <c r="K124" s="90"/>
      <c r="L124" s="89"/>
      <c r="M124" s="90"/>
      <c r="N124" s="71"/>
      <c r="O124" s="83"/>
      <c r="P124" s="71"/>
      <c r="Q124" s="83"/>
      <c r="R124" s="89"/>
      <c r="S124" s="90"/>
      <c r="T124" s="89"/>
      <c r="U124" s="90"/>
      <c r="V124" s="89"/>
      <c r="W124" s="90"/>
      <c r="X124" s="89"/>
      <c r="Y124" s="90"/>
      <c r="Z124" s="89"/>
      <c r="AA124" s="90"/>
      <c r="AB124" s="71"/>
      <c r="AC124" s="83"/>
      <c r="AD124" s="89"/>
      <c r="AE124" s="90"/>
      <c r="AF124" s="89"/>
      <c r="AG124" s="90"/>
      <c r="AH124" s="89"/>
      <c r="AI124" s="90"/>
      <c r="AJ124" s="89"/>
      <c r="AK124" s="90"/>
      <c r="AL124" s="89"/>
      <c r="AM124" s="90"/>
      <c r="AN124" s="89"/>
      <c r="AO124" s="90"/>
      <c r="AP124" s="71"/>
      <c r="AQ124" s="83"/>
      <c r="AR124" s="89"/>
      <c r="AS124" s="90"/>
      <c r="AT124" s="89"/>
      <c r="AU124" s="90"/>
      <c r="AV124" s="89"/>
      <c r="AW124" s="90"/>
      <c r="AX124" s="89"/>
      <c r="AY124" s="90"/>
      <c r="AZ124" s="89"/>
      <c r="BA124" s="90"/>
      <c r="BB124" s="89"/>
      <c r="BC124" s="90"/>
      <c r="BD124" s="89"/>
      <c r="BE124" s="90"/>
      <c r="BF124" s="71"/>
      <c r="BG124" s="83"/>
      <c r="BH124" s="89"/>
      <c r="BI124" s="90"/>
      <c r="BJ124" s="28">
        <f t="shared" si="10"/>
        <v>0</v>
      </c>
      <c r="BK124" s="50"/>
    </row>
    <row r="125" spans="1:63" ht="15.75" x14ac:dyDescent="0.25">
      <c r="A125" s="44"/>
      <c r="B125" s="44"/>
      <c r="C125" s="44"/>
      <c r="D125" s="671" t="s">
        <v>162</v>
      </c>
      <c r="E125" s="778"/>
      <c r="F125" s="85">
        <f>F120-F122-F37</f>
        <v>108</v>
      </c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>
        <f>AL120-AL122-AL37</f>
        <v>0</v>
      </c>
      <c r="AM125" s="85"/>
      <c r="AN125" s="85">
        <f>AN120-AN122-AN37</f>
        <v>0</v>
      </c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95">
        <f>BJ120-BJ122-BJ37</f>
        <v>108</v>
      </c>
      <c r="BK125" s="29"/>
    </row>
    <row r="126" spans="1:63" ht="15.75" x14ac:dyDescent="0.25">
      <c r="A126" s="44"/>
      <c r="B126" s="44"/>
      <c r="C126" s="44"/>
      <c r="D126" s="671" t="s">
        <v>163</v>
      </c>
      <c r="E126" s="778"/>
      <c r="F126" s="93">
        <f>IFERROR(SUMPRODUCT(F5:F26/$E$5:$E$26),0)</f>
        <v>91.2</v>
      </c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>
        <f>IFERROR(SUMPRODUCT(AL5:AL26/$E$5:$E$26),0)</f>
        <v>0</v>
      </c>
      <c r="AM126" s="93"/>
      <c r="AN126" s="93">
        <f>IFERROR(SUMPRODUCT(AN5:AN26/$E$5:$E$26),0)</f>
        <v>0</v>
      </c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5">
        <f>IFERROR(SUMPRODUCT(BJ5:BJ26/$E$5:$E$26),0)</f>
        <v>91.2</v>
      </c>
      <c r="BK126" s="29"/>
    </row>
    <row r="127" spans="1:63" ht="15.75" x14ac:dyDescent="0.25">
      <c r="A127" s="44"/>
      <c r="B127" s="44"/>
      <c r="C127" s="44"/>
      <c r="D127" s="671" t="s">
        <v>164</v>
      </c>
      <c r="E127" s="778"/>
      <c r="F127" s="93">
        <f>F125-F126</f>
        <v>16.799999999999997</v>
      </c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>
        <f>AL125-AL126</f>
        <v>0</v>
      </c>
      <c r="AM127" s="93"/>
      <c r="AN127" s="93">
        <f>AN125-AN126</f>
        <v>0</v>
      </c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5">
        <f>BJ125-BJ126</f>
        <v>16.799999999999997</v>
      </c>
      <c r="BK127" s="29"/>
    </row>
    <row r="128" spans="1:63" ht="15.75" x14ac:dyDescent="0.25">
      <c r="A128" s="44"/>
      <c r="B128" s="44"/>
      <c r="C128" s="44"/>
      <c r="D128" s="671" t="s">
        <v>165</v>
      </c>
      <c r="E128" s="778"/>
      <c r="F128" s="93">
        <f>SUM(F5:F27)/(F121-F37)</f>
        <v>8.4444444444444446</v>
      </c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 t="e">
        <f>SUM(AL5:AL27)/(AL121-AL37)</f>
        <v>#DIV/0!</v>
      </c>
      <c r="AM128" s="93"/>
      <c r="AN128" s="93" t="e">
        <f>SUM(AN5:AN27)/(AN121-AN37)</f>
        <v>#DIV/0!</v>
      </c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33">
        <f>SUM(BJ5:BJ27)/(BJ121-BJ37)</f>
        <v>8.4444444444444446</v>
      </c>
      <c r="BK128" s="29"/>
    </row>
    <row r="129" spans="1:63" ht="18.75" x14ac:dyDescent="0.3">
      <c r="A129" s="46"/>
      <c r="B129" s="46"/>
      <c r="C129" s="46"/>
      <c r="D129" s="673" t="s">
        <v>166</v>
      </c>
      <c r="E129" s="776"/>
      <c r="F129" s="96">
        <f>(F121-F37)/F121</f>
        <v>1</v>
      </c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 t="e">
        <f>(AL121-AL37)/AL121</f>
        <v>#DIV/0!</v>
      </c>
      <c r="AM129" s="96"/>
      <c r="AN129" s="96" t="e">
        <f>(AN121-AN37)/AN121</f>
        <v>#DIV/0!</v>
      </c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100">
        <f>(BJ121-BJ37)/BJ121</f>
        <v>1</v>
      </c>
      <c r="BK129" s="29"/>
    </row>
    <row r="130" spans="1:63" ht="18.75" x14ac:dyDescent="0.3">
      <c r="A130" s="46"/>
      <c r="B130" s="46"/>
      <c r="C130" s="46"/>
      <c r="D130" s="673" t="s">
        <v>167</v>
      </c>
      <c r="E130" s="776"/>
      <c r="F130" s="96">
        <f>F126/F125</f>
        <v>0.84444444444444444</v>
      </c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 t="e">
        <f>AL126/AL125</f>
        <v>#DIV/0!</v>
      </c>
      <c r="AM130" s="96"/>
      <c r="AN130" s="96" t="e">
        <f>AN126/AN125</f>
        <v>#DIV/0!</v>
      </c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100">
        <f>BJ126/BJ125</f>
        <v>0.84444444444444444</v>
      </c>
      <c r="BK130" s="29"/>
    </row>
    <row r="131" spans="1:63" ht="18.75" x14ac:dyDescent="0.3">
      <c r="A131" s="46"/>
      <c r="B131" s="46"/>
      <c r="C131" s="46"/>
      <c r="D131" s="673" t="s">
        <v>168</v>
      </c>
      <c r="E131" s="776"/>
      <c r="F131" s="96">
        <f>SUM(F5:F26)/(SUM(F5:F27))</f>
        <v>1</v>
      </c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 t="e">
        <f>SUM(AL5:AL26)/(SUM(AL5:AL27))</f>
        <v>#DIV/0!</v>
      </c>
      <c r="AM131" s="96"/>
      <c r="AN131" s="96" t="e">
        <f>SUM(AN5:AN26)/(SUM(AN5:AN27))</f>
        <v>#DIV/0!</v>
      </c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100">
        <f>SUM(BJ5:BJ26)/(SUM(BJ5:BJ27))</f>
        <v>1</v>
      </c>
      <c r="BK131" s="29"/>
    </row>
    <row r="132" spans="1:63" ht="19.5" thickBot="1" x14ac:dyDescent="0.35">
      <c r="A132" s="46"/>
      <c r="B132" s="46"/>
      <c r="C132" s="46"/>
      <c r="D132" s="673" t="s">
        <v>169</v>
      </c>
      <c r="E132" s="776"/>
      <c r="F132" s="97">
        <f>F131*F130*F129</f>
        <v>0.84444444444444444</v>
      </c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 t="e">
        <f>AL131*AL130*AL129</f>
        <v>#DIV/0!</v>
      </c>
      <c r="AM132" s="97"/>
      <c r="AN132" s="97" t="e">
        <f>AN131*AN130*AN129</f>
        <v>#DIV/0!</v>
      </c>
      <c r="AO132" s="97"/>
      <c r="AP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  <c r="BA132" s="97"/>
      <c r="BB132" s="97"/>
      <c r="BC132" s="97"/>
      <c r="BD132" s="97"/>
      <c r="BE132" s="97"/>
      <c r="BF132" s="97"/>
      <c r="BG132" s="97"/>
      <c r="BH132" s="97"/>
      <c r="BI132" s="97"/>
      <c r="BJ132" s="101">
        <f>BJ131*BJ130*BJ129</f>
        <v>0.84444444444444444</v>
      </c>
      <c r="BK132" s="29"/>
    </row>
    <row r="133" spans="1:63" ht="17.25" customHeight="1" x14ac:dyDescent="0.25"/>
    <row r="269" spans="8:8" x14ac:dyDescent="0.25">
      <c r="H269" t="s">
        <v>170</v>
      </c>
    </row>
    <row r="270" spans="8:8" x14ac:dyDescent="0.25">
      <c r="H270" t="s">
        <v>171</v>
      </c>
    </row>
    <row r="271" spans="8:8" x14ac:dyDescent="0.25">
      <c r="H271" t="s">
        <v>172</v>
      </c>
    </row>
    <row r="272" spans="8:8" x14ac:dyDescent="0.25">
      <c r="H272" t="s">
        <v>173</v>
      </c>
    </row>
    <row r="273" spans="8:8" x14ac:dyDescent="0.25">
      <c r="H273" t="s">
        <v>174</v>
      </c>
    </row>
    <row r="274" spans="8:8" x14ac:dyDescent="0.25">
      <c r="H274" t="s">
        <v>175</v>
      </c>
    </row>
    <row r="275" spans="8:8" x14ac:dyDescent="0.25">
      <c r="H275" t="s">
        <v>176</v>
      </c>
    </row>
    <row r="276" spans="8:8" x14ac:dyDescent="0.25">
      <c r="H276" t="s">
        <v>177</v>
      </c>
    </row>
    <row r="277" spans="8:8" x14ac:dyDescent="0.25">
      <c r="H277" t="s">
        <v>178</v>
      </c>
    </row>
    <row r="278" spans="8:8" x14ac:dyDescent="0.25">
      <c r="H278" t="s">
        <v>179</v>
      </c>
    </row>
    <row r="279" spans="8:8" x14ac:dyDescent="0.25">
      <c r="H279" t="s">
        <v>180</v>
      </c>
    </row>
    <row r="280" spans="8:8" x14ac:dyDescent="0.25">
      <c r="H280" t="s">
        <v>181</v>
      </c>
    </row>
    <row r="281" spans="8:8" x14ac:dyDescent="0.25">
      <c r="H281" t="s">
        <v>182</v>
      </c>
    </row>
    <row r="282" spans="8:8" x14ac:dyDescent="0.25">
      <c r="H282" t="s">
        <v>183</v>
      </c>
    </row>
    <row r="283" spans="8:8" x14ac:dyDescent="0.25">
      <c r="H283" t="s">
        <v>184</v>
      </c>
    </row>
    <row r="284" spans="8:8" x14ac:dyDescent="0.25">
      <c r="H284" t="s">
        <v>185</v>
      </c>
    </row>
    <row r="285" spans="8:8" x14ac:dyDescent="0.25">
      <c r="H285" t="s">
        <v>186</v>
      </c>
    </row>
    <row r="286" spans="8:8" x14ac:dyDescent="0.25">
      <c r="H286" t="s">
        <v>187</v>
      </c>
    </row>
    <row r="287" spans="8:8" x14ac:dyDescent="0.25">
      <c r="H287" t="s">
        <v>188</v>
      </c>
    </row>
    <row r="288" spans="8:8" x14ac:dyDescent="0.25">
      <c r="H288" t="s">
        <v>189</v>
      </c>
    </row>
    <row r="289" spans="8:8" x14ac:dyDescent="0.25">
      <c r="H289" t="s">
        <v>190</v>
      </c>
    </row>
    <row r="290" spans="8:8" x14ac:dyDescent="0.25">
      <c r="H290" t="s">
        <v>191</v>
      </c>
    </row>
    <row r="291" spans="8:8" x14ac:dyDescent="0.25">
      <c r="H291" t="s">
        <v>192</v>
      </c>
    </row>
    <row r="292" spans="8:8" x14ac:dyDescent="0.25">
      <c r="H292" t="s">
        <v>193</v>
      </c>
    </row>
    <row r="293" spans="8:8" x14ac:dyDescent="0.25">
      <c r="H293" t="s">
        <v>194</v>
      </c>
    </row>
    <row r="294" spans="8:8" x14ac:dyDescent="0.25">
      <c r="H294" t="s">
        <v>195</v>
      </c>
    </row>
    <row r="295" spans="8:8" x14ac:dyDescent="0.25">
      <c r="H295" t="s">
        <v>196</v>
      </c>
    </row>
    <row r="296" spans="8:8" x14ac:dyDescent="0.25">
      <c r="H296" t="s">
        <v>197</v>
      </c>
    </row>
    <row r="297" spans="8:8" x14ac:dyDescent="0.25">
      <c r="H297" t="s">
        <v>198</v>
      </c>
    </row>
    <row r="298" spans="8:8" x14ac:dyDescent="0.25">
      <c r="H298" t="s">
        <v>199</v>
      </c>
    </row>
    <row r="299" spans="8:8" x14ac:dyDescent="0.25">
      <c r="H299" t="s">
        <v>200</v>
      </c>
    </row>
    <row r="300" spans="8:8" x14ac:dyDescent="0.25">
      <c r="H300" t="s">
        <v>201</v>
      </c>
    </row>
    <row r="301" spans="8:8" x14ac:dyDescent="0.25">
      <c r="H301" t="s">
        <v>202</v>
      </c>
    </row>
    <row r="302" spans="8:8" x14ac:dyDescent="0.25">
      <c r="H302" t="s">
        <v>203</v>
      </c>
    </row>
    <row r="303" spans="8:8" x14ac:dyDescent="0.25">
      <c r="H303" t="s">
        <v>204</v>
      </c>
    </row>
    <row r="304" spans="8:8" x14ac:dyDescent="0.25">
      <c r="H304" t="s">
        <v>205</v>
      </c>
    </row>
    <row r="305" spans="8:8" x14ac:dyDescent="0.25">
      <c r="H305" t="s">
        <v>206</v>
      </c>
    </row>
    <row r="306" spans="8:8" x14ac:dyDescent="0.25">
      <c r="H306" t="s">
        <v>207</v>
      </c>
    </row>
    <row r="307" spans="8:8" x14ac:dyDescent="0.25">
      <c r="H307" t="s">
        <v>208</v>
      </c>
    </row>
    <row r="308" spans="8:8" x14ac:dyDescent="0.25">
      <c r="H308" t="s">
        <v>209</v>
      </c>
    </row>
    <row r="309" spans="8:8" x14ac:dyDescent="0.25">
      <c r="H309" t="s">
        <v>210</v>
      </c>
    </row>
    <row r="310" spans="8:8" x14ac:dyDescent="0.25">
      <c r="H310" t="s">
        <v>211</v>
      </c>
    </row>
    <row r="311" spans="8:8" x14ac:dyDescent="0.25">
      <c r="H311" t="s">
        <v>212</v>
      </c>
    </row>
    <row r="312" spans="8:8" x14ac:dyDescent="0.25">
      <c r="H312" t="s">
        <v>213</v>
      </c>
    </row>
    <row r="313" spans="8:8" x14ac:dyDescent="0.25">
      <c r="H313" t="s">
        <v>214</v>
      </c>
    </row>
    <row r="314" spans="8:8" x14ac:dyDescent="0.25">
      <c r="H314" t="s">
        <v>215</v>
      </c>
    </row>
    <row r="315" spans="8:8" x14ac:dyDescent="0.25">
      <c r="H315" t="s">
        <v>216</v>
      </c>
    </row>
    <row r="316" spans="8:8" x14ac:dyDescent="0.25">
      <c r="H316" t="s">
        <v>217</v>
      </c>
    </row>
    <row r="317" spans="8:8" x14ac:dyDescent="0.25">
      <c r="H317" t="s">
        <v>218</v>
      </c>
    </row>
    <row r="318" spans="8:8" x14ac:dyDescent="0.25">
      <c r="H318" t="s">
        <v>219</v>
      </c>
    </row>
    <row r="319" spans="8:8" x14ac:dyDescent="0.25">
      <c r="H319" t="s">
        <v>220</v>
      </c>
    </row>
    <row r="320" spans="8:8" x14ac:dyDescent="0.25">
      <c r="H320" t="s">
        <v>221</v>
      </c>
    </row>
    <row r="321" spans="8:8" x14ac:dyDescent="0.25">
      <c r="H321" t="s">
        <v>222</v>
      </c>
    </row>
    <row r="322" spans="8:8" x14ac:dyDescent="0.25">
      <c r="H322" t="s">
        <v>223</v>
      </c>
    </row>
    <row r="323" spans="8:8" x14ac:dyDescent="0.25">
      <c r="H323" t="s">
        <v>224</v>
      </c>
    </row>
    <row r="324" spans="8:8" x14ac:dyDescent="0.25">
      <c r="H324" t="s">
        <v>225</v>
      </c>
    </row>
  </sheetData>
  <autoFilter ref="A38:BK132" xr:uid="{00000000-0009-0000-0000-000018000000}"/>
  <mergeCells count="141">
    <mergeCell ref="AT2:AU2"/>
    <mergeCell ref="AV2:AW2"/>
    <mergeCell ref="AX2:AY2"/>
    <mergeCell ref="AB2:AC2"/>
    <mergeCell ref="AD2:AE2"/>
    <mergeCell ref="AL2:AM2"/>
    <mergeCell ref="P2:Q2"/>
    <mergeCell ref="R2:S2"/>
    <mergeCell ref="T2:U2"/>
    <mergeCell ref="V2:W2"/>
    <mergeCell ref="X2:Y2"/>
    <mergeCell ref="Z2:AA2"/>
    <mergeCell ref="BB2:BC2"/>
    <mergeCell ref="BD2:BE2"/>
    <mergeCell ref="C2:E2"/>
    <mergeCell ref="F2:G2"/>
    <mergeCell ref="H2:I2"/>
    <mergeCell ref="D33:E33"/>
    <mergeCell ref="BD4:BE4"/>
    <mergeCell ref="BH4:BI4"/>
    <mergeCell ref="AX4:AY4"/>
    <mergeCell ref="AZ4:BA4"/>
    <mergeCell ref="BB4:BC4"/>
    <mergeCell ref="J2:K2"/>
    <mergeCell ref="L2:M2"/>
    <mergeCell ref="N2:O2"/>
    <mergeCell ref="AF2:AG2"/>
    <mergeCell ref="AH2:AI2"/>
    <mergeCell ref="AJ2:AK2"/>
    <mergeCell ref="BF2:BG2"/>
    <mergeCell ref="BH2:BI2"/>
    <mergeCell ref="C3:E3"/>
    <mergeCell ref="AZ2:BA2"/>
    <mergeCell ref="AN2:AO2"/>
    <mergeCell ref="AP2:AQ2"/>
    <mergeCell ref="AR2:AS2"/>
    <mergeCell ref="D34:E34"/>
    <mergeCell ref="D35:E35"/>
    <mergeCell ref="D36:E36"/>
    <mergeCell ref="D37:E37"/>
    <mergeCell ref="D38:E38"/>
    <mergeCell ref="D27:E27"/>
    <mergeCell ref="D28:E28"/>
    <mergeCell ref="D29:E29"/>
    <mergeCell ref="D30:E30"/>
    <mergeCell ref="D31:E31"/>
    <mergeCell ref="D32:E32"/>
    <mergeCell ref="D45:E45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D57:E57"/>
    <mergeCell ref="D58:E58"/>
    <mergeCell ref="D59:E59"/>
    <mergeCell ref="D60:E60"/>
    <mergeCell ref="D61:E61"/>
    <mergeCell ref="D62:E62"/>
    <mergeCell ref="D51:E51"/>
    <mergeCell ref="D52:E52"/>
    <mergeCell ref="D53:E53"/>
    <mergeCell ref="D54:E54"/>
    <mergeCell ref="D55:E55"/>
    <mergeCell ref="D56:E56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81:E81"/>
    <mergeCell ref="D82:E82"/>
    <mergeCell ref="D83:E83"/>
    <mergeCell ref="D84:E84"/>
    <mergeCell ref="D85:E85"/>
    <mergeCell ref="D86:E86"/>
    <mergeCell ref="D75:E75"/>
    <mergeCell ref="D76:E76"/>
    <mergeCell ref="D77:E77"/>
    <mergeCell ref="D78:E78"/>
    <mergeCell ref="D79:E79"/>
    <mergeCell ref="D80:E80"/>
    <mergeCell ref="D93:E93"/>
    <mergeCell ref="D94:E94"/>
    <mergeCell ref="D95:E95"/>
    <mergeCell ref="D96:E96"/>
    <mergeCell ref="D97:E97"/>
    <mergeCell ref="D98:E98"/>
    <mergeCell ref="D87:E87"/>
    <mergeCell ref="D88:E88"/>
    <mergeCell ref="D89:E89"/>
    <mergeCell ref="D90:E90"/>
    <mergeCell ref="D91:E91"/>
    <mergeCell ref="D92:E92"/>
    <mergeCell ref="D105:E105"/>
    <mergeCell ref="D106:E106"/>
    <mergeCell ref="D107:E107"/>
    <mergeCell ref="D108:E108"/>
    <mergeCell ref="D109:E109"/>
    <mergeCell ref="D110:E110"/>
    <mergeCell ref="D99:E99"/>
    <mergeCell ref="D100:E100"/>
    <mergeCell ref="D101:E101"/>
    <mergeCell ref="D102:E102"/>
    <mergeCell ref="D103:E103"/>
    <mergeCell ref="D104:E104"/>
    <mergeCell ref="D117:E117"/>
    <mergeCell ref="D118:E118"/>
    <mergeCell ref="D119:E119"/>
    <mergeCell ref="D120:E120"/>
    <mergeCell ref="D121:E121"/>
    <mergeCell ref="D122:E122"/>
    <mergeCell ref="D111:E111"/>
    <mergeCell ref="D112:E112"/>
    <mergeCell ref="D113:E113"/>
    <mergeCell ref="D114:E114"/>
    <mergeCell ref="D115:E115"/>
    <mergeCell ref="D116:E116"/>
    <mergeCell ref="D129:E129"/>
    <mergeCell ref="D130:E130"/>
    <mergeCell ref="D131:E131"/>
    <mergeCell ref="D132:E132"/>
    <mergeCell ref="D123:E123"/>
    <mergeCell ref="D124:E124"/>
    <mergeCell ref="D125:E125"/>
    <mergeCell ref="D126:E126"/>
    <mergeCell ref="D127:E127"/>
    <mergeCell ref="D128:E12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E1:L17"/>
  <sheetViews>
    <sheetView topLeftCell="B4" zoomScale="62" zoomScaleNormal="62" workbookViewId="0">
      <selection activeCell="L36" sqref="L36"/>
    </sheetView>
  </sheetViews>
  <sheetFormatPr defaultColWidth="9" defaultRowHeight="15" x14ac:dyDescent="0.25"/>
  <cols>
    <col min="1" max="1" width="3.42578125" customWidth="1"/>
    <col min="2" max="2" width="5.85546875" customWidth="1"/>
    <col min="3" max="3" width="22.7109375" customWidth="1"/>
    <col min="4" max="4" width="10.7109375" customWidth="1"/>
    <col min="5" max="5" width="7" bestFit="1" customWidth="1"/>
    <col min="6" max="6" width="36.85546875" bestFit="1" customWidth="1"/>
    <col min="7" max="7" width="25.28515625" bestFit="1" customWidth="1"/>
    <col min="8" max="8" width="29.28515625" bestFit="1" customWidth="1"/>
    <col min="9" max="9" width="17.85546875" customWidth="1"/>
    <col min="10" max="10" width="18.28515625" customWidth="1"/>
    <col min="11" max="11" width="15.28515625" bestFit="1" customWidth="1"/>
    <col min="12" max="12" width="18.28515625" customWidth="1"/>
  </cols>
  <sheetData>
    <row r="1" spans="5:12" ht="22.5" customHeight="1" x14ac:dyDescent="0.25"/>
    <row r="2" spans="5:12" ht="39.75" customHeight="1" x14ac:dyDescent="0.25"/>
    <row r="3" spans="5:12" ht="33.75" customHeight="1" x14ac:dyDescent="0.25"/>
    <row r="4" spans="5:12" ht="21.75" customHeight="1" x14ac:dyDescent="0.25"/>
    <row r="5" spans="5:12" ht="21.75" customHeight="1" thickBot="1" x14ac:dyDescent="0.3"/>
    <row r="6" spans="5:12" ht="63.75" customHeight="1" thickBot="1" x14ac:dyDescent="0.3">
      <c r="E6" s="790" t="s">
        <v>302</v>
      </c>
      <c r="F6" s="791"/>
      <c r="G6" s="791"/>
      <c r="H6" s="791"/>
      <c r="I6" s="791"/>
      <c r="J6" s="791"/>
      <c r="K6" s="791"/>
      <c r="L6" s="792"/>
    </row>
    <row r="7" spans="5:12" ht="36" customHeight="1" x14ac:dyDescent="0.25">
      <c r="E7" s="384" t="s">
        <v>303</v>
      </c>
      <c r="F7" s="385" t="s">
        <v>304</v>
      </c>
      <c r="G7" s="386" t="s">
        <v>305</v>
      </c>
      <c r="H7" s="387" t="s">
        <v>306</v>
      </c>
      <c r="I7" s="387" t="s">
        <v>307</v>
      </c>
      <c r="J7" s="387" t="s">
        <v>308</v>
      </c>
      <c r="K7" s="388" t="s">
        <v>309</v>
      </c>
      <c r="L7" s="389" t="s">
        <v>310</v>
      </c>
    </row>
    <row r="8" spans="5:12" ht="66.75" customHeight="1" x14ac:dyDescent="0.25">
      <c r="E8" s="390">
        <v>1</v>
      </c>
      <c r="F8" s="391" t="s">
        <v>311</v>
      </c>
      <c r="G8" s="392">
        <f>NORDON!BJ120</f>
        <v>0.81393975191966927</v>
      </c>
      <c r="H8" s="393">
        <f>NORDON!BJ121</f>
        <v>0.87911828737300468</v>
      </c>
      <c r="I8" s="393">
        <f>NORDON!BJ122</f>
        <v>0.99732626063052998</v>
      </c>
      <c r="J8" s="394">
        <f t="shared" ref="J8:J16" si="0">G8*H8*I8</f>
        <v>0.71363612834278811</v>
      </c>
      <c r="K8" s="395">
        <v>0.8</v>
      </c>
      <c r="L8" s="396">
        <f t="shared" ref="L8:L17" si="1">K8-J8</f>
        <v>8.6363871657211932E-2</v>
      </c>
    </row>
    <row r="9" spans="5:12" ht="54.75" customHeight="1" x14ac:dyDescent="0.25">
      <c r="E9" s="390">
        <v>2</v>
      </c>
      <c r="F9" s="397" t="s">
        <v>313</v>
      </c>
      <c r="G9" s="392">
        <f>KALEKS!BJ116</f>
        <v>0.92779413647420306</v>
      </c>
      <c r="H9" s="393">
        <f>KALEKS!BJ117</f>
        <v>0.92557933895236033</v>
      </c>
      <c r="I9" s="393">
        <f>KALEKS!BJ118</f>
        <v>0.99653144139227456</v>
      </c>
      <c r="J9" s="394">
        <f t="shared" si="0"/>
        <v>0.85576846893326064</v>
      </c>
      <c r="K9" s="395">
        <v>0.8</v>
      </c>
      <c r="L9" s="396">
        <f t="shared" si="1"/>
        <v>-5.5768468933260595E-2</v>
      </c>
    </row>
    <row r="10" spans="5:12" ht="47.25" customHeight="1" x14ac:dyDescent="0.25">
      <c r="E10" s="390">
        <v>3</v>
      </c>
      <c r="F10" s="397" t="s">
        <v>314</v>
      </c>
      <c r="G10" s="398">
        <f>Cream1!BJ132</f>
        <v>0.94925575101488502</v>
      </c>
      <c r="H10" s="399">
        <f>Cream1!BJ133</f>
        <v>0.88150931985572045</v>
      </c>
      <c r="I10" s="399">
        <f>Cream1!BJ134</f>
        <v>0.9896459747817653</v>
      </c>
      <c r="J10" s="394">
        <f t="shared" si="0"/>
        <v>0.82811377309156908</v>
      </c>
      <c r="K10" s="395">
        <v>0.8</v>
      </c>
      <c r="L10" s="396">
        <f t="shared" si="1"/>
        <v>-2.8113773091569039E-2</v>
      </c>
    </row>
    <row r="11" spans="5:12" ht="33.75" hidden="1" x14ac:dyDescent="0.25">
      <c r="E11" s="390">
        <v>4</v>
      </c>
      <c r="F11" s="397" t="s">
        <v>315</v>
      </c>
      <c r="G11" s="392">
        <f>'4 NOZZOLE'!BJ121</f>
        <v>0.76273291925465836</v>
      </c>
      <c r="H11" s="393">
        <f>'4 NOZZOLE'!BJ122</f>
        <v>0.93925081433224766</v>
      </c>
      <c r="I11" s="393">
        <f>'4 NOZZOLE'!BJ123</f>
        <v>0.99191606467148263</v>
      </c>
      <c r="J11" s="394">
        <f t="shared" si="0"/>
        <v>0.71060620434291188</v>
      </c>
      <c r="K11" s="395">
        <v>0.8</v>
      </c>
      <c r="L11" s="396">
        <f t="shared" si="1"/>
        <v>8.939379565708816E-2</v>
      </c>
    </row>
    <row r="12" spans="5:12" ht="59.25" hidden="1" customHeight="1" x14ac:dyDescent="0.25">
      <c r="E12" s="390">
        <v>5</v>
      </c>
      <c r="F12" s="397" t="s">
        <v>316</v>
      </c>
      <c r="G12" s="392">
        <f>'OEE F1 march-2026'!BJ134</f>
        <v>0.99003215434083602</v>
      </c>
      <c r="H12" s="393">
        <f>'OEE F1 march-2026'!BJ135</f>
        <v>0.9096223685376007</v>
      </c>
      <c r="I12" s="393">
        <f>'OEE F1 march-2026'!BJ136</f>
        <v>0.98897324366402906</v>
      </c>
      <c r="J12" s="394">
        <f t="shared" si="0"/>
        <v>0.89062518827247605</v>
      </c>
      <c r="K12" s="395">
        <v>0.8</v>
      </c>
      <c r="L12" s="396">
        <f t="shared" si="1"/>
        <v>-9.0625188272476009E-2</v>
      </c>
    </row>
    <row r="13" spans="5:12" ht="48" customHeight="1" x14ac:dyDescent="0.25">
      <c r="E13" s="390">
        <v>6</v>
      </c>
      <c r="F13" s="397" t="s">
        <v>320</v>
      </c>
      <c r="G13" s="392">
        <f>'6 Nozzole '!BJ121</f>
        <v>0.85982562038900068</v>
      </c>
      <c r="H13" s="393">
        <f>'6 Nozzole '!BJ122</f>
        <v>0.59976599063962555</v>
      </c>
      <c r="I13" s="393">
        <f>'6 Nozzole '!BJ123</f>
        <v>1</v>
      </c>
      <c r="J13" s="394">
        <f t="shared" si="0"/>
        <v>0.51569416498993959</v>
      </c>
      <c r="K13" s="395">
        <v>0.8</v>
      </c>
      <c r="L13" s="396">
        <f t="shared" si="1"/>
        <v>0.28430583501006046</v>
      </c>
    </row>
    <row r="14" spans="5:12" ht="53.25" customHeight="1" x14ac:dyDescent="0.25">
      <c r="E14" s="390">
        <v>7</v>
      </c>
      <c r="F14" s="397" t="s">
        <v>321</v>
      </c>
      <c r="G14" s="392">
        <f>'ROLL ON'!BJ119</f>
        <v>0.90009514747859187</v>
      </c>
      <c r="H14" s="393">
        <f>'ROLL ON'!BJ120</f>
        <v>0.6489463274909637</v>
      </c>
      <c r="I14" s="393">
        <f>'ROLL ON'!BJ121</f>
        <v>1</v>
      </c>
      <c r="J14" s="394">
        <f t="shared" si="0"/>
        <v>0.58411344034866952</v>
      </c>
      <c r="K14" s="395">
        <v>0.8</v>
      </c>
      <c r="L14" s="396">
        <f t="shared" si="1"/>
        <v>0.21588655965133052</v>
      </c>
    </row>
    <row r="15" spans="5:12" ht="33.75" hidden="1" x14ac:dyDescent="0.25">
      <c r="E15" s="390">
        <v>8</v>
      </c>
      <c r="F15" s="397" t="s">
        <v>1035</v>
      </c>
      <c r="G15" s="392">
        <f>Techno!BJ127</f>
        <v>0.60119047619047616</v>
      </c>
      <c r="H15" s="393">
        <f>Techno!BJ128</f>
        <v>0.96059405940594067</v>
      </c>
      <c r="I15" s="393">
        <f>Techno!BJ129</f>
        <v>0.89402875046074459</v>
      </c>
      <c r="J15" s="394">
        <f t="shared" si="0"/>
        <v>0.51630160339108</v>
      </c>
      <c r="K15" s="395">
        <v>0.8</v>
      </c>
      <c r="L15" s="396">
        <f t="shared" si="1"/>
        <v>0.28369839660892004</v>
      </c>
    </row>
    <row r="16" spans="5:12" ht="33.75" x14ac:dyDescent="0.25">
      <c r="E16" s="390">
        <v>9</v>
      </c>
      <c r="F16" s="397" t="s">
        <v>1036</v>
      </c>
      <c r="G16" s="392">
        <f>'perfume-'!BJ129</f>
        <v>1</v>
      </c>
      <c r="H16" s="393">
        <f>'perfume-'!BJ130</f>
        <v>0.84444444444444444</v>
      </c>
      <c r="I16" s="393">
        <f>'perfume-'!BJ131</f>
        <v>1</v>
      </c>
      <c r="J16" s="394">
        <f t="shared" si="0"/>
        <v>0.84444444444444444</v>
      </c>
      <c r="K16" s="395">
        <v>0.8</v>
      </c>
      <c r="L16" s="396">
        <f t="shared" si="1"/>
        <v>-4.4444444444444398E-2</v>
      </c>
    </row>
    <row r="17" spans="5:12" ht="34.5" thickBot="1" x14ac:dyDescent="0.3">
      <c r="E17" s="793" t="s">
        <v>330</v>
      </c>
      <c r="F17" s="794"/>
      <c r="G17" s="400"/>
      <c r="H17" s="400"/>
      <c r="I17" s="401"/>
      <c r="J17" s="402">
        <f>AVERAGE(J8:J16)</f>
        <v>0.71770037957301547</v>
      </c>
      <c r="K17" s="403">
        <v>0.8</v>
      </c>
      <c r="L17" s="404">
        <f t="shared" si="1"/>
        <v>8.2299620426984577E-2</v>
      </c>
    </row>
  </sheetData>
  <mergeCells count="2">
    <mergeCell ref="E6:L6"/>
    <mergeCell ref="E17:F17"/>
  </mergeCells>
  <conditionalFormatting sqref="J8:K16">
    <cfRule type="cellIs" dxfId="38" priority="1" operator="greaterThan">
      <formula>0.85</formula>
    </cfRule>
    <cfRule type="cellIs" dxfId="37" priority="7" operator="lessThan">
      <formula>0.85</formula>
    </cfRule>
    <cfRule type="cellIs" dxfId="36" priority="8" operator="lessThan">
      <formula>89</formula>
    </cfRule>
  </conditionalFormatting>
  <conditionalFormatting sqref="J9:K10">
    <cfRule type="cellIs" dxfId="35" priority="4" operator="greaterThan">
      <formula>0.84</formula>
    </cfRule>
    <cfRule type="cellIs" dxfId="34" priority="5" operator="equal">
      <formula>0.85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80"/>
  <sheetViews>
    <sheetView zoomScale="55" zoomScaleNormal="55" workbookViewId="0">
      <selection activeCell="N12" sqref="N12"/>
    </sheetView>
  </sheetViews>
  <sheetFormatPr defaultColWidth="9" defaultRowHeight="15" x14ac:dyDescent="0.25"/>
  <cols>
    <col min="1" max="1" width="22.5703125" customWidth="1"/>
    <col min="2" max="2" width="18.85546875" customWidth="1"/>
    <col min="3" max="3" width="17.5703125" customWidth="1"/>
    <col min="4" max="4" width="82.42578125" customWidth="1"/>
    <col min="5" max="5" width="13.5703125" customWidth="1"/>
    <col min="6" max="6" width="20.28515625" customWidth="1"/>
    <col min="7" max="7" width="17.85546875" customWidth="1"/>
    <col min="8" max="8" width="25.28515625" customWidth="1"/>
    <col min="9" max="9" width="18" customWidth="1"/>
    <col min="10" max="10" width="20.140625" customWidth="1"/>
    <col min="11" max="12" width="18" customWidth="1"/>
    <col min="13" max="13" width="20.140625" customWidth="1"/>
    <col min="14" max="15" width="18" customWidth="1"/>
    <col min="16" max="16" width="18" hidden="1" customWidth="1"/>
    <col min="17" max="18" width="18" style="105" customWidth="1"/>
    <col min="19" max="19" width="48.28515625" customWidth="1"/>
  </cols>
  <sheetData>
    <row r="1" spans="1:19" ht="29.25" customHeight="1" x14ac:dyDescent="0.25">
      <c r="A1" s="823" t="s">
        <v>332</v>
      </c>
      <c r="B1" s="804" t="s">
        <v>333</v>
      </c>
      <c r="C1" s="804" t="s">
        <v>334</v>
      </c>
      <c r="D1" s="804" t="s">
        <v>335</v>
      </c>
      <c r="E1" s="804" t="s">
        <v>336</v>
      </c>
      <c r="F1" s="826" t="s">
        <v>337</v>
      </c>
      <c r="G1" s="804" t="s">
        <v>338</v>
      </c>
      <c r="H1" s="804" t="s">
        <v>339</v>
      </c>
      <c r="I1" s="804" t="s">
        <v>340</v>
      </c>
      <c r="J1" s="164"/>
      <c r="K1" s="820" t="s">
        <v>341</v>
      </c>
      <c r="L1" s="820"/>
      <c r="M1" s="820"/>
      <c r="N1" s="820"/>
      <c r="O1" s="820"/>
      <c r="P1" s="165"/>
      <c r="Q1" s="241" t="s">
        <v>342</v>
      </c>
      <c r="R1" s="242"/>
      <c r="S1" s="243" t="s">
        <v>343</v>
      </c>
    </row>
    <row r="2" spans="1:19" ht="20.25" customHeight="1" x14ac:dyDescent="0.25">
      <c r="A2" s="824"/>
      <c r="B2" s="805"/>
      <c r="C2" s="805"/>
      <c r="D2" s="805"/>
      <c r="E2" s="805"/>
      <c r="F2" s="827"/>
      <c r="G2" s="805"/>
      <c r="H2" s="805"/>
      <c r="I2" s="805"/>
      <c r="J2" s="166" t="s">
        <v>344</v>
      </c>
      <c r="K2" s="167" t="s">
        <v>345</v>
      </c>
      <c r="L2" s="167" t="s">
        <v>346</v>
      </c>
      <c r="M2" s="167" t="s">
        <v>347</v>
      </c>
      <c r="N2" s="167" t="s">
        <v>348</v>
      </c>
      <c r="O2" s="167" t="s">
        <v>349</v>
      </c>
      <c r="P2" s="167">
        <f>WEEKDAY(P3)</f>
        <v>5</v>
      </c>
      <c r="Q2" s="244"/>
      <c r="R2" s="245"/>
      <c r="S2" s="246"/>
    </row>
    <row r="3" spans="1:19" ht="20.25" customHeight="1" x14ac:dyDescent="0.25">
      <c r="A3" s="824"/>
      <c r="B3" s="805"/>
      <c r="C3" s="805"/>
      <c r="D3" s="805"/>
      <c r="E3" s="805"/>
      <c r="F3" s="827"/>
      <c r="G3" s="805"/>
      <c r="H3" s="805"/>
      <c r="I3" s="805"/>
      <c r="J3" s="168">
        <v>45836</v>
      </c>
      <c r="K3" s="169">
        <v>45844</v>
      </c>
      <c r="L3" s="169">
        <v>45845</v>
      </c>
      <c r="M3" s="169">
        <v>45846</v>
      </c>
      <c r="N3" s="169">
        <v>45847</v>
      </c>
      <c r="O3" s="169">
        <v>45848</v>
      </c>
      <c r="P3" s="169">
        <v>45771</v>
      </c>
      <c r="Q3" s="244" t="s">
        <v>350</v>
      </c>
      <c r="R3" s="245" t="s">
        <v>351</v>
      </c>
      <c r="S3" s="246"/>
    </row>
    <row r="4" spans="1:19" ht="17.25" customHeight="1" x14ac:dyDescent="0.25">
      <c r="A4" s="825"/>
      <c r="B4" s="806"/>
      <c r="C4" s="806"/>
      <c r="D4" s="806"/>
      <c r="E4" s="806"/>
      <c r="F4" s="828"/>
      <c r="G4" s="806"/>
      <c r="H4" s="806"/>
      <c r="I4" s="806"/>
      <c r="J4" s="170" t="s">
        <v>352</v>
      </c>
      <c r="K4" s="171" t="s">
        <v>352</v>
      </c>
      <c r="L4" s="171" t="s">
        <v>352</v>
      </c>
      <c r="M4" s="171" t="s">
        <v>352</v>
      </c>
      <c r="N4" s="171" t="s">
        <v>352</v>
      </c>
      <c r="O4" s="171" t="s">
        <v>352</v>
      </c>
      <c r="P4" s="171" t="s">
        <v>352</v>
      </c>
      <c r="Q4" s="247"/>
      <c r="R4" s="248"/>
      <c r="S4" s="249"/>
    </row>
    <row r="5" spans="1:19" ht="33.75" customHeight="1" x14ac:dyDescent="0.25">
      <c r="A5" s="106">
        <v>41880003</v>
      </c>
      <c r="B5" s="107" t="s">
        <v>353</v>
      </c>
      <c r="C5" s="108" t="s">
        <v>354</v>
      </c>
      <c r="D5" s="109" t="s">
        <v>242</v>
      </c>
      <c r="E5" s="110">
        <v>70</v>
      </c>
      <c r="F5" s="829" t="s">
        <v>355</v>
      </c>
      <c r="G5" s="111" t="s">
        <v>356</v>
      </c>
      <c r="H5" s="112">
        <v>85000</v>
      </c>
      <c r="I5" s="172">
        <f>H5*E5/1000</f>
        <v>5950</v>
      </c>
      <c r="J5" s="173"/>
      <c r="K5" s="174">
        <v>25000</v>
      </c>
      <c r="L5" s="174">
        <v>25000</v>
      </c>
      <c r="M5" s="174">
        <v>25000</v>
      </c>
      <c r="N5" s="174">
        <v>10000</v>
      </c>
      <c r="O5" s="112"/>
      <c r="P5" s="112"/>
      <c r="Q5" s="798">
        <v>12</v>
      </c>
      <c r="R5" s="798">
        <v>12</v>
      </c>
      <c r="S5" s="250"/>
    </row>
    <row r="6" spans="1:19" ht="33.75" customHeight="1" x14ac:dyDescent="0.25">
      <c r="A6" s="113">
        <v>41880004</v>
      </c>
      <c r="B6" s="114" t="s">
        <v>353</v>
      </c>
      <c r="C6" s="115" t="s">
        <v>354</v>
      </c>
      <c r="D6" s="116" t="s">
        <v>251</v>
      </c>
      <c r="E6" s="117">
        <v>70</v>
      </c>
      <c r="F6" s="830"/>
      <c r="G6" s="118" t="s">
        <v>357</v>
      </c>
      <c r="H6" s="119">
        <v>21000</v>
      </c>
      <c r="I6" s="175">
        <f>H6*E6/1000</f>
        <v>1470</v>
      </c>
      <c r="J6" s="176"/>
      <c r="K6" s="119"/>
      <c r="L6" s="119"/>
      <c r="M6" s="119"/>
      <c r="N6" s="177">
        <v>12000</v>
      </c>
      <c r="O6" s="177">
        <v>9000</v>
      </c>
      <c r="P6" s="119"/>
      <c r="Q6" s="799"/>
      <c r="R6" s="799"/>
      <c r="S6" s="251"/>
    </row>
    <row r="7" spans="1:19" ht="33.75" customHeight="1" x14ac:dyDescent="0.25">
      <c r="A7" s="120">
        <v>41870004</v>
      </c>
      <c r="B7" s="121" t="s">
        <v>353</v>
      </c>
      <c r="C7" s="122" t="s">
        <v>354</v>
      </c>
      <c r="D7" s="123" t="s">
        <v>358</v>
      </c>
      <c r="E7" s="124">
        <v>70</v>
      </c>
      <c r="F7" s="831"/>
      <c r="G7" s="125" t="s">
        <v>356</v>
      </c>
      <c r="H7" s="126">
        <v>8000</v>
      </c>
      <c r="I7" s="178">
        <f>H7*E7/1000</f>
        <v>560</v>
      </c>
      <c r="J7" s="179"/>
      <c r="K7" s="126"/>
      <c r="L7" s="126"/>
      <c r="M7" s="126"/>
      <c r="N7" s="126"/>
      <c r="O7" s="180">
        <v>8000</v>
      </c>
      <c r="P7" s="126"/>
      <c r="Q7" s="799"/>
      <c r="R7" s="799"/>
      <c r="S7" s="252"/>
    </row>
    <row r="8" spans="1:19" ht="33.75" customHeight="1" x14ac:dyDescent="0.25">
      <c r="A8" s="106">
        <v>41880016</v>
      </c>
      <c r="B8" s="107" t="s">
        <v>353</v>
      </c>
      <c r="C8" s="108" t="s">
        <v>354</v>
      </c>
      <c r="D8" s="109" t="s">
        <v>249</v>
      </c>
      <c r="E8" s="110">
        <v>120</v>
      </c>
      <c r="F8" s="832" t="s">
        <v>317</v>
      </c>
      <c r="G8" s="111" t="s">
        <v>356</v>
      </c>
      <c r="H8" s="112">
        <v>8000</v>
      </c>
      <c r="I8" s="172">
        <f t="shared" ref="I8:I71" si="0">H8*E8/1000</f>
        <v>960</v>
      </c>
      <c r="J8" s="173"/>
      <c r="K8" s="181">
        <v>8000</v>
      </c>
      <c r="L8" s="112"/>
      <c r="M8" s="112"/>
      <c r="N8" s="112"/>
      <c r="O8" s="112"/>
      <c r="P8" s="112"/>
      <c r="Q8" s="798">
        <v>13</v>
      </c>
      <c r="R8" s="798"/>
      <c r="S8" s="253"/>
    </row>
    <row r="9" spans="1:19" ht="33.75" customHeight="1" x14ac:dyDescent="0.25">
      <c r="A9" s="120">
        <v>40300001</v>
      </c>
      <c r="B9" s="121" t="s">
        <v>359</v>
      </c>
      <c r="C9" s="122" t="s">
        <v>354</v>
      </c>
      <c r="D9" s="123" t="s">
        <v>252</v>
      </c>
      <c r="E9" s="124">
        <v>20</v>
      </c>
      <c r="F9" s="833"/>
      <c r="G9" s="125" t="s">
        <v>356</v>
      </c>
      <c r="H9" s="126">
        <v>36000</v>
      </c>
      <c r="I9" s="178">
        <f t="shared" si="0"/>
        <v>720</v>
      </c>
      <c r="J9" s="179"/>
      <c r="K9" s="126"/>
      <c r="L9" s="182">
        <v>18000</v>
      </c>
      <c r="M9" s="182">
        <v>18000</v>
      </c>
      <c r="N9" s="126"/>
      <c r="O9" s="126"/>
      <c r="P9" s="126"/>
      <c r="Q9" s="799"/>
      <c r="R9" s="799"/>
      <c r="S9" s="252"/>
    </row>
    <row r="10" spans="1:19" ht="33.75" customHeight="1" x14ac:dyDescent="0.25">
      <c r="A10" s="106">
        <v>40310002</v>
      </c>
      <c r="B10" s="107" t="s">
        <v>359</v>
      </c>
      <c r="C10" s="108" t="s">
        <v>360</v>
      </c>
      <c r="D10" s="109" t="s">
        <v>361</v>
      </c>
      <c r="E10" s="110">
        <v>85</v>
      </c>
      <c r="F10" s="834" t="s">
        <v>362</v>
      </c>
      <c r="G10" s="111" t="s">
        <v>356</v>
      </c>
      <c r="H10" s="112">
        <v>11800</v>
      </c>
      <c r="I10" s="172">
        <f t="shared" si="0"/>
        <v>1003</v>
      </c>
      <c r="J10" s="173"/>
      <c r="K10" s="112"/>
      <c r="L10" s="183">
        <v>10000</v>
      </c>
      <c r="M10" s="183">
        <v>1800</v>
      </c>
      <c r="N10" s="112"/>
      <c r="O10" s="112"/>
      <c r="P10" s="184"/>
      <c r="Q10" s="798">
        <v>14</v>
      </c>
      <c r="R10" s="798">
        <v>14</v>
      </c>
      <c r="S10" s="254"/>
    </row>
    <row r="11" spans="1:19" ht="33.75" customHeight="1" x14ac:dyDescent="0.25">
      <c r="A11" s="113">
        <v>40310003</v>
      </c>
      <c r="B11" s="114" t="s">
        <v>359</v>
      </c>
      <c r="C11" s="115" t="s">
        <v>360</v>
      </c>
      <c r="D11" s="116" t="s">
        <v>363</v>
      </c>
      <c r="E11" s="117">
        <v>175</v>
      </c>
      <c r="F11" s="835"/>
      <c r="G11" s="118" t="s">
        <v>356</v>
      </c>
      <c r="H11" s="119">
        <v>3000</v>
      </c>
      <c r="I11" s="175">
        <f t="shared" si="0"/>
        <v>525</v>
      </c>
      <c r="J11" s="176"/>
      <c r="K11" s="119"/>
      <c r="L11" s="119"/>
      <c r="M11" s="185">
        <v>3000</v>
      </c>
      <c r="N11" s="119"/>
      <c r="O11" s="119"/>
      <c r="P11" s="186"/>
      <c r="Q11" s="799"/>
      <c r="R11" s="799"/>
      <c r="S11" s="255"/>
    </row>
    <row r="12" spans="1:19" ht="33.75" customHeight="1" x14ac:dyDescent="0.25">
      <c r="A12" s="127">
        <v>40310015</v>
      </c>
      <c r="B12" s="128" t="s">
        <v>359</v>
      </c>
      <c r="C12" s="129" t="s">
        <v>360</v>
      </c>
      <c r="D12" s="130" t="s">
        <v>248</v>
      </c>
      <c r="E12" s="131">
        <v>45</v>
      </c>
      <c r="F12" s="836"/>
      <c r="G12" s="132" t="s">
        <v>356</v>
      </c>
      <c r="H12" s="133">
        <v>10000</v>
      </c>
      <c r="I12" s="187">
        <f t="shared" si="0"/>
        <v>450</v>
      </c>
      <c r="J12" s="188"/>
      <c r="K12" s="133"/>
      <c r="L12" s="133"/>
      <c r="M12" s="189">
        <v>3000</v>
      </c>
      <c r="N12" s="189">
        <v>7000</v>
      </c>
      <c r="O12" s="133"/>
      <c r="P12" s="190"/>
      <c r="Q12" s="800"/>
      <c r="R12" s="800"/>
      <c r="S12" s="256" t="s">
        <v>364</v>
      </c>
    </row>
    <row r="13" spans="1:19" ht="27" customHeight="1" x14ac:dyDescent="0.25">
      <c r="A13" s="134">
        <v>40330013</v>
      </c>
      <c r="B13" s="135" t="s">
        <v>359</v>
      </c>
      <c r="C13" s="136" t="s">
        <v>365</v>
      </c>
      <c r="D13" s="137" t="s">
        <v>366</v>
      </c>
      <c r="E13" s="138">
        <v>500</v>
      </c>
      <c r="F13" s="837" t="s">
        <v>367</v>
      </c>
      <c r="G13" s="139" t="s">
        <v>356</v>
      </c>
      <c r="H13" s="140">
        <v>3500</v>
      </c>
      <c r="I13" s="191">
        <f t="shared" si="0"/>
        <v>1750</v>
      </c>
      <c r="J13" s="192"/>
      <c r="K13" s="193">
        <v>2000</v>
      </c>
      <c r="L13" s="193">
        <v>1500</v>
      </c>
      <c r="M13" s="194"/>
      <c r="N13" s="194"/>
      <c r="O13" s="194"/>
      <c r="P13" s="195"/>
      <c r="Q13" s="795"/>
      <c r="R13" s="795"/>
      <c r="S13" s="257"/>
    </row>
    <row r="14" spans="1:19" ht="27" customHeight="1" x14ac:dyDescent="0.25">
      <c r="A14" s="113">
        <v>40330003</v>
      </c>
      <c r="B14" s="114" t="s">
        <v>359</v>
      </c>
      <c r="C14" s="141" t="s">
        <v>365</v>
      </c>
      <c r="D14" s="116" t="s">
        <v>368</v>
      </c>
      <c r="E14" s="117">
        <v>185</v>
      </c>
      <c r="F14" s="837"/>
      <c r="G14" s="118" t="s">
        <v>356</v>
      </c>
      <c r="H14" s="119">
        <v>1200</v>
      </c>
      <c r="I14" s="175">
        <f t="shared" si="0"/>
        <v>222</v>
      </c>
      <c r="J14" s="196"/>
      <c r="K14" s="197"/>
      <c r="L14" s="198">
        <v>1200</v>
      </c>
      <c r="M14" s="197"/>
      <c r="N14" s="197"/>
      <c r="O14" s="197"/>
      <c r="P14" s="199"/>
      <c r="Q14" s="796"/>
      <c r="R14" s="796"/>
      <c r="S14" s="255"/>
    </row>
    <row r="15" spans="1:19" ht="27" customHeight="1" x14ac:dyDescent="0.25">
      <c r="A15" s="113">
        <v>40330012</v>
      </c>
      <c r="B15" s="114" t="s">
        <v>359</v>
      </c>
      <c r="C15" s="141" t="s">
        <v>365</v>
      </c>
      <c r="D15" s="142" t="s">
        <v>244</v>
      </c>
      <c r="E15" s="117">
        <v>500</v>
      </c>
      <c r="F15" s="837"/>
      <c r="G15" s="118" t="s">
        <v>357</v>
      </c>
      <c r="H15" s="119">
        <v>5000</v>
      </c>
      <c r="I15" s="175">
        <f t="shared" si="0"/>
        <v>2500</v>
      </c>
      <c r="J15" s="196"/>
      <c r="K15" s="197"/>
      <c r="L15" s="198">
        <v>5000</v>
      </c>
      <c r="M15" s="197"/>
      <c r="N15" s="197"/>
      <c r="O15" s="197"/>
      <c r="P15" s="199"/>
      <c r="Q15" s="796"/>
      <c r="R15" s="796"/>
      <c r="S15" s="255"/>
    </row>
    <row r="16" spans="1:19" ht="27" customHeight="1" x14ac:dyDescent="0.25">
      <c r="A16" s="113">
        <v>40330002</v>
      </c>
      <c r="B16" s="114" t="s">
        <v>359</v>
      </c>
      <c r="C16" s="141" t="s">
        <v>365</v>
      </c>
      <c r="D16" s="116" t="s">
        <v>281</v>
      </c>
      <c r="E16" s="117">
        <v>185</v>
      </c>
      <c r="F16" s="837"/>
      <c r="G16" s="118" t="s">
        <v>356</v>
      </c>
      <c r="H16" s="119">
        <v>2300</v>
      </c>
      <c r="I16" s="175">
        <f t="shared" si="0"/>
        <v>425.5</v>
      </c>
      <c r="J16" s="196"/>
      <c r="K16" s="197"/>
      <c r="L16" s="197"/>
      <c r="M16" s="198">
        <v>2300</v>
      </c>
      <c r="N16" s="197"/>
      <c r="O16" s="197"/>
      <c r="P16" s="199"/>
      <c r="Q16" s="796"/>
      <c r="R16" s="796"/>
      <c r="S16" s="255"/>
    </row>
    <row r="17" spans="1:19" ht="27" customHeight="1" x14ac:dyDescent="0.25">
      <c r="A17" s="113">
        <v>40330011</v>
      </c>
      <c r="B17" s="114" t="s">
        <v>359</v>
      </c>
      <c r="C17" s="141" t="s">
        <v>365</v>
      </c>
      <c r="D17" s="142" t="s">
        <v>243</v>
      </c>
      <c r="E17" s="117">
        <v>500</v>
      </c>
      <c r="F17" s="837"/>
      <c r="G17" s="118" t="s">
        <v>357</v>
      </c>
      <c r="H17" s="119">
        <v>2000</v>
      </c>
      <c r="I17" s="175">
        <f t="shared" si="0"/>
        <v>1000</v>
      </c>
      <c r="J17" s="196"/>
      <c r="K17" s="197"/>
      <c r="L17" s="197"/>
      <c r="M17" s="198">
        <v>2000</v>
      </c>
      <c r="N17" s="197"/>
      <c r="O17" s="197"/>
      <c r="P17" s="199"/>
      <c r="Q17" s="796"/>
      <c r="R17" s="796"/>
      <c r="S17" s="258"/>
    </row>
    <row r="18" spans="1:19" ht="27" customHeight="1" x14ac:dyDescent="0.25">
      <c r="A18" s="113">
        <v>40330001</v>
      </c>
      <c r="B18" s="114" t="s">
        <v>359</v>
      </c>
      <c r="C18" s="141" t="s">
        <v>365</v>
      </c>
      <c r="D18" s="142" t="s">
        <v>280</v>
      </c>
      <c r="E18" s="117">
        <v>185</v>
      </c>
      <c r="F18" s="837"/>
      <c r="G18" s="118" t="s">
        <v>357</v>
      </c>
      <c r="H18" s="119">
        <v>6000</v>
      </c>
      <c r="I18" s="175">
        <f t="shared" si="0"/>
        <v>1110</v>
      </c>
      <c r="J18" s="196"/>
      <c r="K18" s="197"/>
      <c r="L18" s="197"/>
      <c r="M18" s="198">
        <v>4000</v>
      </c>
      <c r="N18" s="198">
        <v>2000</v>
      </c>
      <c r="O18" s="197"/>
      <c r="P18" s="199"/>
      <c r="Q18" s="796"/>
      <c r="R18" s="796"/>
      <c r="S18" s="258"/>
    </row>
    <row r="19" spans="1:19" ht="27" customHeight="1" x14ac:dyDescent="0.25">
      <c r="A19" s="113">
        <v>41880017</v>
      </c>
      <c r="B19" s="114" t="s">
        <v>353</v>
      </c>
      <c r="C19" s="141" t="s">
        <v>354</v>
      </c>
      <c r="D19" s="116" t="s">
        <v>250</v>
      </c>
      <c r="E19" s="117">
        <v>220</v>
      </c>
      <c r="F19" s="837"/>
      <c r="G19" s="118" t="s">
        <v>356</v>
      </c>
      <c r="H19" s="119">
        <v>1500</v>
      </c>
      <c r="I19" s="175">
        <f t="shared" si="0"/>
        <v>330</v>
      </c>
      <c r="J19" s="196"/>
      <c r="K19" s="197"/>
      <c r="L19" s="197"/>
      <c r="M19" s="197"/>
      <c r="N19" s="198">
        <v>1500</v>
      </c>
      <c r="O19" s="197"/>
      <c r="P19" s="199"/>
      <c r="Q19" s="796"/>
      <c r="R19" s="796"/>
      <c r="S19" s="258" t="s">
        <v>369</v>
      </c>
    </row>
    <row r="20" spans="1:19" ht="27" customHeight="1" x14ac:dyDescent="0.25">
      <c r="A20" s="113">
        <v>43040001</v>
      </c>
      <c r="B20" s="114" t="s">
        <v>370</v>
      </c>
      <c r="C20" s="141" t="s">
        <v>371</v>
      </c>
      <c r="D20" s="116" t="s">
        <v>372</v>
      </c>
      <c r="E20" s="117">
        <v>500</v>
      </c>
      <c r="F20" s="837"/>
      <c r="G20" s="118" t="s">
        <v>356</v>
      </c>
      <c r="H20" s="119">
        <v>4000</v>
      </c>
      <c r="I20" s="175">
        <f t="shared" si="0"/>
        <v>2000</v>
      </c>
      <c r="J20" s="196"/>
      <c r="K20" s="197"/>
      <c r="L20" s="197"/>
      <c r="M20" s="197"/>
      <c r="N20" s="198">
        <v>4000</v>
      </c>
      <c r="O20" s="200"/>
      <c r="P20" s="199"/>
      <c r="Q20" s="796"/>
      <c r="R20" s="796"/>
      <c r="S20" s="255"/>
    </row>
    <row r="21" spans="1:19" ht="27" customHeight="1" x14ac:dyDescent="0.25">
      <c r="A21" s="113">
        <v>40320002</v>
      </c>
      <c r="B21" s="114" t="s">
        <v>359</v>
      </c>
      <c r="C21" s="141" t="s">
        <v>373</v>
      </c>
      <c r="D21" s="116" t="s">
        <v>374</v>
      </c>
      <c r="E21" s="117">
        <v>270</v>
      </c>
      <c r="F21" s="837"/>
      <c r="G21" s="118" t="s">
        <v>356</v>
      </c>
      <c r="H21" s="119">
        <v>4000</v>
      </c>
      <c r="I21" s="175">
        <f t="shared" si="0"/>
        <v>1080</v>
      </c>
      <c r="J21" s="196"/>
      <c r="K21" s="197"/>
      <c r="L21" s="197"/>
      <c r="M21" s="197"/>
      <c r="N21" s="197"/>
      <c r="O21" s="198">
        <v>4000</v>
      </c>
      <c r="P21" s="199"/>
      <c r="Q21" s="796"/>
      <c r="R21" s="796"/>
      <c r="S21" s="255"/>
    </row>
    <row r="22" spans="1:19" ht="27" customHeight="1" x14ac:dyDescent="0.25">
      <c r="A22" s="113">
        <v>40320004</v>
      </c>
      <c r="B22" s="114" t="s">
        <v>359</v>
      </c>
      <c r="C22" s="141" t="s">
        <v>373</v>
      </c>
      <c r="D22" s="116" t="s">
        <v>375</v>
      </c>
      <c r="E22" s="117">
        <v>270</v>
      </c>
      <c r="F22" s="837"/>
      <c r="G22" s="118" t="s">
        <v>356</v>
      </c>
      <c r="H22" s="119">
        <v>4000</v>
      </c>
      <c r="I22" s="175">
        <f t="shared" si="0"/>
        <v>1080</v>
      </c>
      <c r="J22" s="196"/>
      <c r="K22" s="197"/>
      <c r="L22" s="197"/>
      <c r="M22" s="197"/>
      <c r="N22" s="197"/>
      <c r="O22" s="198">
        <v>4000</v>
      </c>
      <c r="P22" s="199"/>
      <c r="Q22" s="797"/>
      <c r="R22" s="797"/>
      <c r="S22" s="255"/>
    </row>
    <row r="23" spans="1:19" ht="27" customHeight="1" x14ac:dyDescent="0.25">
      <c r="A23" s="106">
        <v>41890013</v>
      </c>
      <c r="B23" s="107" t="s">
        <v>353</v>
      </c>
      <c r="C23" s="143" t="s">
        <v>373</v>
      </c>
      <c r="D23" s="144" t="s">
        <v>254</v>
      </c>
      <c r="E23" s="110">
        <v>515</v>
      </c>
      <c r="F23" s="838" t="s">
        <v>376</v>
      </c>
      <c r="G23" s="111" t="s">
        <v>356</v>
      </c>
      <c r="H23" s="112">
        <v>2000</v>
      </c>
      <c r="I23" s="172">
        <f t="shared" si="0"/>
        <v>1030</v>
      </c>
      <c r="J23" s="173"/>
      <c r="K23" s="201">
        <v>2000</v>
      </c>
      <c r="L23" s="112"/>
      <c r="M23" s="112"/>
      <c r="N23" s="112"/>
      <c r="O23" s="112"/>
      <c r="P23" s="184"/>
      <c r="Q23" s="795">
        <v>20</v>
      </c>
      <c r="R23" s="795"/>
      <c r="S23" s="259"/>
    </row>
    <row r="24" spans="1:19" ht="27" customHeight="1" x14ac:dyDescent="0.25">
      <c r="A24" s="113">
        <v>41920002</v>
      </c>
      <c r="B24" s="114" t="s">
        <v>377</v>
      </c>
      <c r="C24" s="141" t="s">
        <v>378</v>
      </c>
      <c r="D24" s="142" t="s">
        <v>379</v>
      </c>
      <c r="E24" s="117">
        <v>1000</v>
      </c>
      <c r="F24" s="839"/>
      <c r="G24" s="118" t="s">
        <v>356</v>
      </c>
      <c r="H24" s="119">
        <v>1000</v>
      </c>
      <c r="I24" s="175">
        <f t="shared" si="0"/>
        <v>1000</v>
      </c>
      <c r="J24" s="196"/>
      <c r="K24" s="197"/>
      <c r="L24" s="202">
        <v>1000</v>
      </c>
      <c r="M24" s="197"/>
      <c r="N24" s="197"/>
      <c r="O24" s="197"/>
      <c r="P24" s="199"/>
      <c r="Q24" s="796"/>
      <c r="R24" s="796"/>
      <c r="S24" s="255"/>
    </row>
    <row r="25" spans="1:19" ht="27" customHeight="1" x14ac:dyDescent="0.25">
      <c r="A25" s="113">
        <v>41920001</v>
      </c>
      <c r="B25" s="114" t="s">
        <v>377</v>
      </c>
      <c r="C25" s="141" t="s">
        <v>378</v>
      </c>
      <c r="D25" s="142" t="s">
        <v>380</v>
      </c>
      <c r="E25" s="117">
        <v>1000</v>
      </c>
      <c r="F25" s="839"/>
      <c r="G25" s="118" t="s">
        <v>356</v>
      </c>
      <c r="H25" s="119">
        <v>1000</v>
      </c>
      <c r="I25" s="175">
        <f t="shared" si="0"/>
        <v>1000</v>
      </c>
      <c r="J25" s="196"/>
      <c r="K25" s="197"/>
      <c r="L25" s="202">
        <v>1000</v>
      </c>
      <c r="M25" s="197"/>
      <c r="N25" s="197"/>
      <c r="O25" s="197"/>
      <c r="P25" s="199"/>
      <c r="Q25" s="796"/>
      <c r="R25" s="796"/>
      <c r="S25" s="255"/>
    </row>
    <row r="26" spans="1:19" ht="27" customHeight="1" x14ac:dyDescent="0.25">
      <c r="A26" s="113">
        <v>41920003</v>
      </c>
      <c r="B26" s="114" t="s">
        <v>377</v>
      </c>
      <c r="C26" s="141" t="s">
        <v>378</v>
      </c>
      <c r="D26" s="142" t="s">
        <v>381</v>
      </c>
      <c r="E26" s="117">
        <v>1000</v>
      </c>
      <c r="F26" s="839"/>
      <c r="G26" s="118" t="s">
        <v>356</v>
      </c>
      <c r="H26" s="119">
        <v>1000</v>
      </c>
      <c r="I26" s="175">
        <f t="shared" si="0"/>
        <v>1000</v>
      </c>
      <c r="J26" s="176"/>
      <c r="K26" s="119"/>
      <c r="L26" s="202">
        <v>1000</v>
      </c>
      <c r="M26" s="119"/>
      <c r="N26" s="119"/>
      <c r="O26" s="119"/>
      <c r="P26" s="186"/>
      <c r="Q26" s="796"/>
      <c r="R26" s="796"/>
      <c r="S26" s="260"/>
    </row>
    <row r="27" spans="1:19" ht="27" customHeight="1" x14ac:dyDescent="0.25">
      <c r="A27" s="113">
        <v>43010002</v>
      </c>
      <c r="B27" s="114" t="s">
        <v>370</v>
      </c>
      <c r="C27" s="141" t="s">
        <v>373</v>
      </c>
      <c r="D27" s="145" t="s">
        <v>382</v>
      </c>
      <c r="E27" s="117">
        <v>800</v>
      </c>
      <c r="F27" s="839"/>
      <c r="G27" s="118" t="s">
        <v>356</v>
      </c>
      <c r="H27" s="119">
        <v>2500</v>
      </c>
      <c r="I27" s="175">
        <f t="shared" si="0"/>
        <v>2000</v>
      </c>
      <c r="J27" s="176"/>
      <c r="K27" s="119"/>
      <c r="L27" s="203">
        <v>2500</v>
      </c>
      <c r="M27" s="119"/>
      <c r="N27" s="119"/>
      <c r="O27" s="119"/>
      <c r="P27" s="186"/>
      <c r="Q27" s="796"/>
      <c r="R27" s="796"/>
      <c r="S27" s="260" t="s">
        <v>383</v>
      </c>
    </row>
    <row r="28" spans="1:19" ht="27" customHeight="1" x14ac:dyDescent="0.25">
      <c r="A28" s="113">
        <v>430000002</v>
      </c>
      <c r="B28" s="114" t="s">
        <v>370</v>
      </c>
      <c r="C28" s="141" t="s">
        <v>384</v>
      </c>
      <c r="D28" s="145" t="s">
        <v>385</v>
      </c>
      <c r="E28" s="117">
        <v>500</v>
      </c>
      <c r="F28" s="839"/>
      <c r="G28" s="118" t="s">
        <v>356</v>
      </c>
      <c r="H28" s="119">
        <v>2000</v>
      </c>
      <c r="I28" s="175">
        <f t="shared" si="0"/>
        <v>1000</v>
      </c>
      <c r="J28" s="176"/>
      <c r="K28" s="119"/>
      <c r="L28" s="119"/>
      <c r="M28" s="203">
        <v>2000</v>
      </c>
      <c r="N28" s="119"/>
      <c r="O28" s="119"/>
      <c r="P28" s="186"/>
      <c r="Q28" s="796"/>
      <c r="R28" s="796"/>
      <c r="S28" s="260"/>
    </row>
    <row r="29" spans="1:19" ht="27" customHeight="1" x14ac:dyDescent="0.25">
      <c r="A29" s="113">
        <v>43010003</v>
      </c>
      <c r="B29" s="114" t="s">
        <v>370</v>
      </c>
      <c r="C29" s="141" t="s">
        <v>373</v>
      </c>
      <c r="D29" s="116" t="s">
        <v>386</v>
      </c>
      <c r="E29" s="117">
        <v>800</v>
      </c>
      <c r="F29" s="839"/>
      <c r="G29" s="118" t="s">
        <v>356</v>
      </c>
      <c r="H29" s="119">
        <v>2500</v>
      </c>
      <c r="I29" s="175">
        <f t="shared" si="0"/>
        <v>2000</v>
      </c>
      <c r="J29" s="176"/>
      <c r="K29" s="119"/>
      <c r="L29" s="119"/>
      <c r="M29" s="203">
        <v>2500</v>
      </c>
      <c r="N29" s="119"/>
      <c r="O29" s="119"/>
      <c r="P29" s="186"/>
      <c r="Q29" s="796"/>
      <c r="R29" s="796"/>
      <c r="S29" s="260" t="s">
        <v>383</v>
      </c>
    </row>
    <row r="30" spans="1:19" ht="27" customHeight="1" x14ac:dyDescent="0.25">
      <c r="A30" s="113">
        <v>430000003</v>
      </c>
      <c r="B30" s="114" t="s">
        <v>370</v>
      </c>
      <c r="C30" s="141" t="s">
        <v>384</v>
      </c>
      <c r="D30" s="116" t="s">
        <v>387</v>
      </c>
      <c r="E30" s="117">
        <v>500</v>
      </c>
      <c r="F30" s="839"/>
      <c r="G30" s="118" t="s">
        <v>356</v>
      </c>
      <c r="H30" s="119">
        <v>2000</v>
      </c>
      <c r="I30" s="175">
        <f t="shared" si="0"/>
        <v>1000</v>
      </c>
      <c r="J30" s="176"/>
      <c r="K30" s="119"/>
      <c r="L30" s="119"/>
      <c r="M30" s="203">
        <v>2000</v>
      </c>
      <c r="N30" s="119"/>
      <c r="O30" s="119"/>
      <c r="P30" s="186"/>
      <c r="Q30" s="796"/>
      <c r="R30" s="796"/>
      <c r="S30" s="260"/>
    </row>
    <row r="31" spans="1:19" ht="27" customHeight="1" x14ac:dyDescent="0.25">
      <c r="A31" s="113">
        <v>43010001</v>
      </c>
      <c r="B31" s="114" t="s">
        <v>370</v>
      </c>
      <c r="C31" s="141" t="s">
        <v>373</v>
      </c>
      <c r="D31" s="145" t="s">
        <v>388</v>
      </c>
      <c r="E31" s="117">
        <v>800</v>
      </c>
      <c r="F31" s="839"/>
      <c r="G31" s="118" t="s">
        <v>356</v>
      </c>
      <c r="H31" s="119">
        <v>2500</v>
      </c>
      <c r="I31" s="175">
        <f t="shared" si="0"/>
        <v>2000</v>
      </c>
      <c r="J31" s="176"/>
      <c r="K31" s="119"/>
      <c r="L31" s="119"/>
      <c r="M31" s="119"/>
      <c r="N31" s="203">
        <v>2500</v>
      </c>
      <c r="O31" s="119"/>
      <c r="P31" s="186"/>
      <c r="Q31" s="796"/>
      <c r="R31" s="796"/>
      <c r="S31" s="260" t="s">
        <v>383</v>
      </c>
    </row>
    <row r="32" spans="1:19" ht="27" customHeight="1" x14ac:dyDescent="0.25">
      <c r="A32" s="113">
        <v>41890014</v>
      </c>
      <c r="B32" s="114" t="s">
        <v>353</v>
      </c>
      <c r="C32" s="141" t="s">
        <v>373</v>
      </c>
      <c r="D32" s="145" t="s">
        <v>255</v>
      </c>
      <c r="E32" s="117">
        <v>515</v>
      </c>
      <c r="F32" s="839"/>
      <c r="G32" s="118" t="s">
        <v>357</v>
      </c>
      <c r="H32" s="119">
        <v>3800</v>
      </c>
      <c r="I32" s="175">
        <f t="shared" si="0"/>
        <v>1957</v>
      </c>
      <c r="J32" s="176"/>
      <c r="K32" s="119"/>
      <c r="L32" s="119"/>
      <c r="M32" s="119"/>
      <c r="N32" s="203">
        <v>3800</v>
      </c>
      <c r="O32" s="119"/>
      <c r="P32" s="186"/>
      <c r="Q32" s="796"/>
      <c r="R32" s="796"/>
      <c r="S32" s="260"/>
    </row>
    <row r="33" spans="1:19" ht="27" customHeight="1" x14ac:dyDescent="0.25">
      <c r="A33" s="120">
        <v>41891001</v>
      </c>
      <c r="B33" s="121" t="s">
        <v>353</v>
      </c>
      <c r="C33" s="146" t="s">
        <v>389</v>
      </c>
      <c r="D33" s="147" t="s">
        <v>256</v>
      </c>
      <c r="E33" s="124">
        <v>530</v>
      </c>
      <c r="F33" s="839"/>
      <c r="G33" s="125" t="s">
        <v>357</v>
      </c>
      <c r="H33" s="126">
        <v>5500</v>
      </c>
      <c r="I33" s="178">
        <f t="shared" si="0"/>
        <v>2915</v>
      </c>
      <c r="J33" s="179"/>
      <c r="K33" s="126"/>
      <c r="L33" s="126"/>
      <c r="M33" s="126"/>
      <c r="N33" s="126"/>
      <c r="O33" s="204">
        <v>5500</v>
      </c>
      <c r="P33" s="205"/>
      <c r="Q33" s="796"/>
      <c r="R33" s="796"/>
      <c r="S33" s="261"/>
    </row>
    <row r="34" spans="1:19" ht="27" customHeight="1" x14ac:dyDescent="0.25">
      <c r="A34" s="106">
        <v>42000006</v>
      </c>
      <c r="B34" s="107" t="s">
        <v>390</v>
      </c>
      <c r="C34" s="143" t="s">
        <v>391</v>
      </c>
      <c r="D34" s="144" t="s">
        <v>262</v>
      </c>
      <c r="E34" s="110">
        <v>45</v>
      </c>
      <c r="F34" s="840" t="s">
        <v>391</v>
      </c>
      <c r="G34" s="111" t="s">
        <v>356</v>
      </c>
      <c r="H34" s="112">
        <v>10000</v>
      </c>
      <c r="I34" s="172">
        <f t="shared" si="0"/>
        <v>450</v>
      </c>
      <c r="J34" s="173"/>
      <c r="K34" s="206">
        <v>8000</v>
      </c>
      <c r="L34" s="206">
        <v>2000</v>
      </c>
      <c r="M34" s="112"/>
      <c r="N34" s="112"/>
      <c r="O34" s="112"/>
      <c r="P34" s="112"/>
      <c r="Q34" s="795">
        <v>22</v>
      </c>
      <c r="R34" s="795"/>
      <c r="S34" s="262"/>
    </row>
    <row r="35" spans="1:19" ht="27" customHeight="1" x14ac:dyDescent="0.25">
      <c r="A35" s="113">
        <v>43060005</v>
      </c>
      <c r="B35" s="114" t="s">
        <v>370</v>
      </c>
      <c r="C35" s="141" t="s">
        <v>391</v>
      </c>
      <c r="D35" s="145" t="s">
        <v>392</v>
      </c>
      <c r="E35" s="117">
        <v>75</v>
      </c>
      <c r="F35" s="841"/>
      <c r="G35" s="118" t="s">
        <v>356</v>
      </c>
      <c r="H35" s="119">
        <v>6000</v>
      </c>
      <c r="I35" s="175">
        <f t="shared" si="0"/>
        <v>450</v>
      </c>
      <c r="J35" s="176"/>
      <c r="K35" s="119"/>
      <c r="L35" s="207">
        <v>6000</v>
      </c>
      <c r="M35" s="119"/>
      <c r="N35" s="119"/>
      <c r="O35" s="119"/>
      <c r="P35" s="119"/>
      <c r="Q35" s="796"/>
      <c r="R35" s="796"/>
      <c r="S35" s="263"/>
    </row>
    <row r="36" spans="1:19" ht="27" customHeight="1" x14ac:dyDescent="0.25">
      <c r="A36" s="113">
        <v>43060006</v>
      </c>
      <c r="B36" s="114" t="s">
        <v>370</v>
      </c>
      <c r="C36" s="141" t="s">
        <v>391</v>
      </c>
      <c r="D36" s="145" t="s">
        <v>393</v>
      </c>
      <c r="E36" s="117">
        <v>75</v>
      </c>
      <c r="F36" s="841"/>
      <c r="G36" s="118" t="s">
        <v>356</v>
      </c>
      <c r="H36" s="119">
        <v>6000</v>
      </c>
      <c r="I36" s="175">
        <f t="shared" si="0"/>
        <v>450</v>
      </c>
      <c r="J36" s="176"/>
      <c r="K36" s="119"/>
      <c r="L36" s="119"/>
      <c r="M36" s="207">
        <v>6000</v>
      </c>
      <c r="N36" s="119"/>
      <c r="O36" s="119"/>
      <c r="P36" s="119"/>
      <c r="Q36" s="796"/>
      <c r="R36" s="796"/>
      <c r="S36" s="263"/>
    </row>
    <row r="37" spans="1:19" ht="27" customHeight="1" x14ac:dyDescent="0.25">
      <c r="A37" s="113">
        <v>40620002</v>
      </c>
      <c r="B37" s="114" t="s">
        <v>394</v>
      </c>
      <c r="C37" s="141" t="s">
        <v>391</v>
      </c>
      <c r="D37" s="148" t="s">
        <v>395</v>
      </c>
      <c r="E37" s="117">
        <v>50</v>
      </c>
      <c r="F37" s="841"/>
      <c r="G37" s="118" t="s">
        <v>356</v>
      </c>
      <c r="H37" s="119">
        <v>10000</v>
      </c>
      <c r="I37" s="175">
        <f t="shared" si="0"/>
        <v>500</v>
      </c>
      <c r="J37" s="176"/>
      <c r="K37" s="119"/>
      <c r="L37" s="119"/>
      <c r="M37" s="207">
        <v>2000</v>
      </c>
      <c r="N37" s="207">
        <v>6000</v>
      </c>
      <c r="O37" s="207">
        <v>2000</v>
      </c>
      <c r="P37" s="119"/>
      <c r="Q37" s="796"/>
      <c r="R37" s="796"/>
      <c r="S37" s="263"/>
    </row>
    <row r="38" spans="1:19" ht="27" customHeight="1" x14ac:dyDescent="0.25">
      <c r="A38" s="127">
        <v>40620001</v>
      </c>
      <c r="B38" s="128" t="s">
        <v>394</v>
      </c>
      <c r="C38" s="149" t="s">
        <v>391</v>
      </c>
      <c r="D38" s="150" t="s">
        <v>396</v>
      </c>
      <c r="E38" s="131">
        <v>50</v>
      </c>
      <c r="F38" s="842"/>
      <c r="G38" s="132" t="s">
        <v>356</v>
      </c>
      <c r="H38" s="133">
        <v>7000</v>
      </c>
      <c r="I38" s="187">
        <f t="shared" si="0"/>
        <v>350</v>
      </c>
      <c r="J38" s="188"/>
      <c r="K38" s="133"/>
      <c r="L38" s="133"/>
      <c r="M38" s="208"/>
      <c r="N38" s="208"/>
      <c r="O38" s="207">
        <v>7000</v>
      </c>
      <c r="P38" s="133"/>
      <c r="Q38" s="797"/>
      <c r="R38" s="797"/>
      <c r="S38" s="264"/>
    </row>
    <row r="39" spans="1:19" ht="33.75" customHeight="1" x14ac:dyDescent="0.25">
      <c r="A39" s="106">
        <v>41815003</v>
      </c>
      <c r="B39" s="107" t="s">
        <v>353</v>
      </c>
      <c r="C39" s="143" t="s">
        <v>397</v>
      </c>
      <c r="D39" s="109" t="s">
        <v>398</v>
      </c>
      <c r="E39" s="110">
        <v>50</v>
      </c>
      <c r="F39" s="843" t="s">
        <v>399</v>
      </c>
      <c r="G39" s="111" t="s">
        <v>356</v>
      </c>
      <c r="H39" s="112">
        <v>10000</v>
      </c>
      <c r="I39" s="172">
        <f t="shared" si="0"/>
        <v>500</v>
      </c>
      <c r="J39" s="209"/>
      <c r="K39" s="174">
        <v>10000</v>
      </c>
      <c r="L39" s="210"/>
      <c r="M39" s="210"/>
      <c r="N39" s="210"/>
      <c r="O39" s="210"/>
      <c r="P39" s="211"/>
      <c r="Q39" s="795">
        <v>10</v>
      </c>
      <c r="R39" s="265"/>
      <c r="S39" s="253"/>
    </row>
    <row r="40" spans="1:19" ht="33.75" customHeight="1" x14ac:dyDescent="0.25">
      <c r="A40" s="113">
        <v>41815001</v>
      </c>
      <c r="B40" s="114" t="s">
        <v>353</v>
      </c>
      <c r="C40" s="141" t="s">
        <v>397</v>
      </c>
      <c r="D40" s="142" t="s">
        <v>226</v>
      </c>
      <c r="E40" s="117">
        <v>50</v>
      </c>
      <c r="F40" s="844"/>
      <c r="G40" s="118" t="s">
        <v>356</v>
      </c>
      <c r="H40" s="119">
        <v>9500</v>
      </c>
      <c r="I40" s="175">
        <f t="shared" si="0"/>
        <v>475</v>
      </c>
      <c r="J40" s="196"/>
      <c r="K40" s="197"/>
      <c r="L40" s="177">
        <v>9500</v>
      </c>
      <c r="M40" s="197"/>
      <c r="N40" s="197"/>
      <c r="O40" s="197"/>
      <c r="P40" s="199"/>
      <c r="Q40" s="796"/>
      <c r="R40" s="266"/>
      <c r="S40" s="251"/>
    </row>
    <row r="41" spans="1:19" ht="33.75" customHeight="1" x14ac:dyDescent="0.25">
      <c r="A41" s="113">
        <v>41815004</v>
      </c>
      <c r="B41" s="114" t="s">
        <v>353</v>
      </c>
      <c r="C41" s="141" t="s">
        <v>397</v>
      </c>
      <c r="D41" s="142" t="s">
        <v>400</v>
      </c>
      <c r="E41" s="117">
        <v>50</v>
      </c>
      <c r="F41" s="844"/>
      <c r="G41" s="118" t="s">
        <v>356</v>
      </c>
      <c r="H41" s="119">
        <v>3000</v>
      </c>
      <c r="I41" s="175">
        <f t="shared" si="0"/>
        <v>150</v>
      </c>
      <c r="J41" s="196"/>
      <c r="K41" s="197"/>
      <c r="L41" s="197"/>
      <c r="M41" s="177">
        <v>3000</v>
      </c>
      <c r="N41" s="212"/>
      <c r="O41" s="212"/>
      <c r="P41" s="199"/>
      <c r="Q41" s="796"/>
      <c r="R41" s="266"/>
      <c r="S41" s="251"/>
    </row>
    <row r="42" spans="1:19" ht="33.75" customHeight="1" x14ac:dyDescent="0.25">
      <c r="A42" s="120">
        <v>40530002</v>
      </c>
      <c r="B42" s="121" t="s">
        <v>401</v>
      </c>
      <c r="C42" s="146" t="s">
        <v>402</v>
      </c>
      <c r="D42" s="123" t="s">
        <v>403</v>
      </c>
      <c r="E42" s="124">
        <v>90</v>
      </c>
      <c r="F42" s="844"/>
      <c r="G42" s="118" t="s">
        <v>356</v>
      </c>
      <c r="H42" s="126">
        <v>4500</v>
      </c>
      <c r="I42" s="178">
        <f t="shared" si="0"/>
        <v>405</v>
      </c>
      <c r="J42" s="213"/>
      <c r="K42" s="212"/>
      <c r="L42" s="212"/>
      <c r="M42" s="180">
        <v>3000</v>
      </c>
      <c r="N42" s="180">
        <v>1500</v>
      </c>
      <c r="O42" s="212"/>
      <c r="P42" s="214"/>
      <c r="Q42" s="796"/>
      <c r="R42" s="266"/>
      <c r="S42" s="252"/>
    </row>
    <row r="43" spans="1:19" ht="33.75" customHeight="1" x14ac:dyDescent="0.25">
      <c r="A43" s="120">
        <v>40530003</v>
      </c>
      <c r="B43" s="121" t="s">
        <v>401</v>
      </c>
      <c r="C43" s="146" t="s">
        <v>402</v>
      </c>
      <c r="D43" s="123" t="s">
        <v>227</v>
      </c>
      <c r="E43" s="124">
        <v>90</v>
      </c>
      <c r="F43" s="844"/>
      <c r="G43" s="118" t="s">
        <v>356</v>
      </c>
      <c r="H43" s="126">
        <v>4500</v>
      </c>
      <c r="I43" s="178">
        <f t="shared" si="0"/>
        <v>405</v>
      </c>
      <c r="J43" s="213"/>
      <c r="K43" s="212"/>
      <c r="L43" s="212"/>
      <c r="M43" s="212"/>
      <c r="N43" s="180">
        <v>4500</v>
      </c>
      <c r="O43" s="212"/>
      <c r="P43" s="214"/>
      <c r="Q43" s="796"/>
      <c r="R43" s="266"/>
      <c r="S43" s="252"/>
    </row>
    <row r="44" spans="1:19" ht="33.75" customHeight="1" x14ac:dyDescent="0.25">
      <c r="A44" s="127">
        <v>40530007</v>
      </c>
      <c r="B44" s="128" t="s">
        <v>401</v>
      </c>
      <c r="C44" s="149" t="s">
        <v>402</v>
      </c>
      <c r="D44" s="151" t="s">
        <v>404</v>
      </c>
      <c r="E44" s="131">
        <v>40</v>
      </c>
      <c r="F44" s="845"/>
      <c r="G44" s="132" t="s">
        <v>356</v>
      </c>
      <c r="H44" s="133">
        <v>5000</v>
      </c>
      <c r="I44" s="187">
        <f t="shared" si="0"/>
        <v>200</v>
      </c>
      <c r="J44" s="215"/>
      <c r="K44" s="216"/>
      <c r="L44" s="216"/>
      <c r="M44" s="216"/>
      <c r="N44" s="216"/>
      <c r="O44" s="217">
        <v>5000</v>
      </c>
      <c r="P44" s="218"/>
      <c r="Q44" s="797"/>
      <c r="R44" s="267"/>
      <c r="S44" s="268"/>
    </row>
    <row r="45" spans="1:19" ht="33.75" customHeight="1" x14ac:dyDescent="0.25">
      <c r="A45" s="106">
        <v>41500025</v>
      </c>
      <c r="B45" s="107" t="s">
        <v>405</v>
      </c>
      <c r="C45" s="143" t="s">
        <v>406</v>
      </c>
      <c r="D45" s="109" t="s">
        <v>407</v>
      </c>
      <c r="E45" s="110">
        <v>175</v>
      </c>
      <c r="F45" s="807" t="s">
        <v>311</v>
      </c>
      <c r="G45" s="111" t="s">
        <v>357</v>
      </c>
      <c r="H45" s="112">
        <v>8000</v>
      </c>
      <c r="I45" s="172">
        <f t="shared" si="0"/>
        <v>1400</v>
      </c>
      <c r="J45" s="209"/>
      <c r="K45" s="219">
        <v>8000</v>
      </c>
      <c r="L45" s="210"/>
      <c r="M45" s="210"/>
      <c r="N45" s="210"/>
      <c r="O45" s="210"/>
      <c r="P45" s="210"/>
      <c r="Q45" s="795">
        <v>10</v>
      </c>
      <c r="R45" s="795"/>
      <c r="S45" s="253"/>
    </row>
    <row r="46" spans="1:19" ht="33.75" customHeight="1" x14ac:dyDescent="0.25">
      <c r="A46" s="113">
        <v>41500026</v>
      </c>
      <c r="B46" s="114" t="s">
        <v>405</v>
      </c>
      <c r="C46" s="141" t="s">
        <v>406</v>
      </c>
      <c r="D46" s="142" t="s">
        <v>408</v>
      </c>
      <c r="E46" s="117">
        <v>175</v>
      </c>
      <c r="F46" s="808"/>
      <c r="G46" s="118" t="s">
        <v>357</v>
      </c>
      <c r="H46" s="119">
        <v>8000</v>
      </c>
      <c r="I46" s="175">
        <f t="shared" si="0"/>
        <v>1400</v>
      </c>
      <c r="J46" s="196"/>
      <c r="K46" s="220">
        <v>8000</v>
      </c>
      <c r="L46" s="197"/>
      <c r="M46" s="197"/>
      <c r="N46" s="197"/>
      <c r="O46" s="197"/>
      <c r="P46" s="197"/>
      <c r="Q46" s="796"/>
      <c r="R46" s="796"/>
      <c r="S46" s="251"/>
    </row>
    <row r="47" spans="1:19" ht="33.75" customHeight="1" x14ac:dyDescent="0.25">
      <c r="A47" s="113">
        <v>41813002</v>
      </c>
      <c r="B47" s="114" t="s">
        <v>353</v>
      </c>
      <c r="C47" s="141" t="s">
        <v>365</v>
      </c>
      <c r="D47" s="116" t="s">
        <v>409</v>
      </c>
      <c r="E47" s="117">
        <v>150</v>
      </c>
      <c r="F47" s="808"/>
      <c r="G47" s="118" t="s">
        <v>356</v>
      </c>
      <c r="H47" s="119">
        <v>9000</v>
      </c>
      <c r="I47" s="175">
        <f t="shared" si="0"/>
        <v>1350</v>
      </c>
      <c r="J47" s="196"/>
      <c r="K47" s="197"/>
      <c r="L47" s="220">
        <v>9000</v>
      </c>
      <c r="M47" s="197"/>
      <c r="N47" s="197"/>
      <c r="O47" s="197"/>
      <c r="P47" s="197"/>
      <c r="Q47" s="796"/>
      <c r="R47" s="796"/>
      <c r="S47" s="251"/>
    </row>
    <row r="48" spans="1:19" ht="33.75" customHeight="1" x14ac:dyDescent="0.25">
      <c r="A48" s="113">
        <v>41817001</v>
      </c>
      <c r="B48" s="114" t="s">
        <v>353</v>
      </c>
      <c r="C48" s="141" t="s">
        <v>410</v>
      </c>
      <c r="D48" s="116" t="s">
        <v>16</v>
      </c>
      <c r="E48" s="117">
        <v>100</v>
      </c>
      <c r="F48" s="808"/>
      <c r="G48" s="118" t="s">
        <v>356</v>
      </c>
      <c r="H48" s="119">
        <v>10000</v>
      </c>
      <c r="I48" s="175">
        <f t="shared" si="0"/>
        <v>1000</v>
      </c>
      <c r="J48" s="196"/>
      <c r="K48" s="197"/>
      <c r="L48" s="197"/>
      <c r="M48" s="220">
        <v>10000</v>
      </c>
      <c r="N48" s="197"/>
      <c r="O48" s="197"/>
      <c r="P48" s="197"/>
      <c r="Q48" s="796"/>
      <c r="R48" s="796"/>
      <c r="S48" s="251"/>
    </row>
    <row r="49" spans="1:19" ht="33.75" customHeight="1" x14ac:dyDescent="0.25">
      <c r="A49" s="113">
        <v>41817002</v>
      </c>
      <c r="B49" s="114" t="s">
        <v>353</v>
      </c>
      <c r="C49" s="141" t="s">
        <v>410</v>
      </c>
      <c r="D49" s="116" t="s">
        <v>411</v>
      </c>
      <c r="E49" s="117">
        <v>100</v>
      </c>
      <c r="F49" s="808"/>
      <c r="G49" s="118" t="s">
        <v>356</v>
      </c>
      <c r="H49" s="119">
        <v>10000</v>
      </c>
      <c r="I49" s="175">
        <f t="shared" si="0"/>
        <v>1000</v>
      </c>
      <c r="J49" s="196"/>
      <c r="K49" s="197"/>
      <c r="L49" s="197"/>
      <c r="M49" s="197"/>
      <c r="N49" s="220">
        <v>10000</v>
      </c>
      <c r="O49" s="197"/>
      <c r="P49" s="197"/>
      <c r="Q49" s="796"/>
      <c r="R49" s="796"/>
      <c r="S49" s="251"/>
    </row>
    <row r="50" spans="1:19" ht="33.75" customHeight="1" x14ac:dyDescent="0.25">
      <c r="A50" s="127">
        <v>41814001</v>
      </c>
      <c r="B50" s="128" t="s">
        <v>353</v>
      </c>
      <c r="C50" s="149" t="s">
        <v>412</v>
      </c>
      <c r="D50" s="130" t="s">
        <v>413</v>
      </c>
      <c r="E50" s="131">
        <v>150</v>
      </c>
      <c r="F50" s="809"/>
      <c r="G50" s="132" t="s">
        <v>356</v>
      </c>
      <c r="H50" s="133">
        <v>8000</v>
      </c>
      <c r="I50" s="187">
        <f t="shared" si="0"/>
        <v>1200</v>
      </c>
      <c r="J50" s="215"/>
      <c r="K50" s="216"/>
      <c r="L50" s="216"/>
      <c r="M50" s="216"/>
      <c r="N50" s="216"/>
      <c r="O50" s="221">
        <v>8000</v>
      </c>
      <c r="P50" s="216"/>
      <c r="Q50" s="797"/>
      <c r="R50" s="797"/>
      <c r="S50" s="268"/>
    </row>
    <row r="51" spans="1:19" ht="33.75" customHeight="1" x14ac:dyDescent="0.25">
      <c r="A51" s="113">
        <v>40740007</v>
      </c>
      <c r="B51" s="114" t="s">
        <v>394</v>
      </c>
      <c r="C51" s="141" t="s">
        <v>354</v>
      </c>
      <c r="D51" s="116" t="s">
        <v>229</v>
      </c>
      <c r="E51" s="117">
        <v>23</v>
      </c>
      <c r="F51" s="810" t="s">
        <v>394</v>
      </c>
      <c r="G51" s="118" t="s">
        <v>356</v>
      </c>
      <c r="H51" s="119">
        <v>48000</v>
      </c>
      <c r="I51" s="175">
        <f t="shared" si="0"/>
        <v>1104</v>
      </c>
      <c r="J51" s="196"/>
      <c r="K51" s="222">
        <v>28000</v>
      </c>
      <c r="L51" s="222">
        <v>20000</v>
      </c>
      <c r="M51" s="197"/>
      <c r="N51" s="197"/>
      <c r="O51" s="197"/>
      <c r="P51" s="199"/>
      <c r="Q51" s="795">
        <v>14</v>
      </c>
      <c r="R51" s="795">
        <v>14</v>
      </c>
      <c r="S51" s="251"/>
    </row>
    <row r="52" spans="1:19" ht="33.75" customHeight="1" x14ac:dyDescent="0.25">
      <c r="A52" s="113">
        <v>40700038</v>
      </c>
      <c r="B52" s="114" t="s">
        <v>394</v>
      </c>
      <c r="C52" s="141" t="s">
        <v>354</v>
      </c>
      <c r="D52" s="116" t="s">
        <v>414</v>
      </c>
      <c r="E52" s="117">
        <v>25</v>
      </c>
      <c r="F52" s="811"/>
      <c r="G52" s="118" t="s">
        <v>356</v>
      </c>
      <c r="H52" s="119">
        <v>1296</v>
      </c>
      <c r="I52" s="175">
        <f t="shared" si="0"/>
        <v>32.4</v>
      </c>
      <c r="J52" s="196"/>
      <c r="K52" s="197"/>
      <c r="L52" s="222">
        <v>1296</v>
      </c>
      <c r="M52" s="197"/>
      <c r="N52" s="197"/>
      <c r="O52" s="197"/>
      <c r="P52" s="199"/>
      <c r="Q52" s="796"/>
      <c r="R52" s="796"/>
      <c r="S52" s="251" t="s">
        <v>415</v>
      </c>
    </row>
    <row r="53" spans="1:19" ht="33.75" customHeight="1" x14ac:dyDescent="0.25">
      <c r="A53" s="113">
        <v>40740008</v>
      </c>
      <c r="B53" s="114" t="s">
        <v>394</v>
      </c>
      <c r="C53" s="141" t="s">
        <v>354</v>
      </c>
      <c r="D53" s="116" t="s">
        <v>416</v>
      </c>
      <c r="E53" s="117">
        <v>23</v>
      </c>
      <c r="F53" s="811"/>
      <c r="G53" s="118" t="s">
        <v>356</v>
      </c>
      <c r="H53" s="119">
        <v>7000</v>
      </c>
      <c r="I53" s="175">
        <f t="shared" si="0"/>
        <v>161</v>
      </c>
      <c r="J53" s="196"/>
      <c r="K53" s="197"/>
      <c r="L53" s="222">
        <v>4000</v>
      </c>
      <c r="M53" s="222">
        <v>3000</v>
      </c>
      <c r="N53" s="197"/>
      <c r="O53" s="197"/>
      <c r="P53" s="199"/>
      <c r="Q53" s="796"/>
      <c r="R53" s="796"/>
      <c r="S53" s="251"/>
    </row>
    <row r="54" spans="1:19" ht="33.75" customHeight="1" x14ac:dyDescent="0.25">
      <c r="A54" s="113">
        <v>40700039</v>
      </c>
      <c r="B54" s="114" t="s">
        <v>394</v>
      </c>
      <c r="C54" s="141" t="s">
        <v>354</v>
      </c>
      <c r="D54" s="116" t="s">
        <v>237</v>
      </c>
      <c r="E54" s="117">
        <v>25</v>
      </c>
      <c r="F54" s="811"/>
      <c r="G54" s="118" t="s">
        <v>356</v>
      </c>
      <c r="H54" s="119">
        <v>1296</v>
      </c>
      <c r="I54" s="175">
        <f t="shared" si="0"/>
        <v>32.4</v>
      </c>
      <c r="J54" s="196"/>
      <c r="K54" s="197"/>
      <c r="L54" s="197"/>
      <c r="M54" s="222">
        <v>1296</v>
      </c>
      <c r="N54" s="197"/>
      <c r="O54" s="197"/>
      <c r="P54" s="199"/>
      <c r="Q54" s="796"/>
      <c r="R54" s="796"/>
      <c r="S54" s="251" t="s">
        <v>415</v>
      </c>
    </row>
    <row r="55" spans="1:19" ht="33.75" customHeight="1" x14ac:dyDescent="0.25">
      <c r="A55" s="113">
        <v>40700027</v>
      </c>
      <c r="B55" s="114" t="s">
        <v>394</v>
      </c>
      <c r="C55" s="141" t="s">
        <v>354</v>
      </c>
      <c r="D55" s="116" t="s">
        <v>240</v>
      </c>
      <c r="E55" s="117">
        <v>25</v>
      </c>
      <c r="F55" s="811"/>
      <c r="G55" s="118" t="s">
        <v>356</v>
      </c>
      <c r="H55" s="119">
        <v>1296</v>
      </c>
      <c r="I55" s="175">
        <f t="shared" si="0"/>
        <v>32.4</v>
      </c>
      <c r="J55" s="196"/>
      <c r="K55" s="197"/>
      <c r="L55" s="197"/>
      <c r="M55" s="222">
        <v>1296</v>
      </c>
      <c r="N55" s="197"/>
      <c r="O55" s="197"/>
      <c r="P55" s="199"/>
      <c r="Q55" s="796"/>
      <c r="R55" s="796"/>
      <c r="S55" s="251" t="s">
        <v>415</v>
      </c>
    </row>
    <row r="56" spans="1:19" ht="33.75" customHeight="1" x14ac:dyDescent="0.25">
      <c r="A56" s="113">
        <v>40700037</v>
      </c>
      <c r="B56" s="114" t="s">
        <v>394</v>
      </c>
      <c r="C56" s="141" t="s">
        <v>354</v>
      </c>
      <c r="D56" s="116" t="s">
        <v>239</v>
      </c>
      <c r="E56" s="117">
        <v>25</v>
      </c>
      <c r="F56" s="811"/>
      <c r="G56" s="118" t="s">
        <v>356</v>
      </c>
      <c r="H56" s="119">
        <v>1296</v>
      </c>
      <c r="I56" s="175">
        <f t="shared" si="0"/>
        <v>32.4</v>
      </c>
      <c r="J56" s="196"/>
      <c r="K56" s="197"/>
      <c r="L56" s="197"/>
      <c r="M56" s="222">
        <v>1296</v>
      </c>
      <c r="N56" s="197"/>
      <c r="O56" s="197"/>
      <c r="P56" s="199"/>
      <c r="Q56" s="796"/>
      <c r="R56" s="796"/>
      <c r="S56" s="251" t="s">
        <v>415</v>
      </c>
    </row>
    <row r="57" spans="1:19" ht="33.75" customHeight="1" x14ac:dyDescent="0.25">
      <c r="A57" s="113">
        <v>40740004</v>
      </c>
      <c r="B57" s="114" t="s">
        <v>394</v>
      </c>
      <c r="C57" s="141" t="s">
        <v>354</v>
      </c>
      <c r="D57" s="116" t="s">
        <v>234</v>
      </c>
      <c r="E57" s="117">
        <v>13</v>
      </c>
      <c r="F57" s="811"/>
      <c r="G57" s="118" t="s">
        <v>356</v>
      </c>
      <c r="H57" s="119">
        <v>14000</v>
      </c>
      <c r="I57" s="175">
        <f t="shared" si="0"/>
        <v>182</v>
      </c>
      <c r="J57" s="196"/>
      <c r="K57" s="197"/>
      <c r="L57" s="197"/>
      <c r="M57" s="222">
        <v>14000</v>
      </c>
      <c r="N57" s="197"/>
      <c r="O57" s="197"/>
      <c r="P57" s="199"/>
      <c r="Q57" s="796"/>
      <c r="R57" s="796"/>
      <c r="S57" s="251"/>
    </row>
    <row r="58" spans="1:19" ht="33.75" customHeight="1" x14ac:dyDescent="0.25">
      <c r="A58" s="113">
        <v>40740006</v>
      </c>
      <c r="B58" s="114" t="s">
        <v>394</v>
      </c>
      <c r="C58" s="141" t="s">
        <v>354</v>
      </c>
      <c r="D58" s="116" t="s">
        <v>417</v>
      </c>
      <c r="E58" s="117">
        <v>13</v>
      </c>
      <c r="F58" s="811"/>
      <c r="G58" s="118" t="s">
        <v>356</v>
      </c>
      <c r="H58" s="119">
        <v>12000</v>
      </c>
      <c r="I58" s="175">
        <f t="shared" si="0"/>
        <v>156</v>
      </c>
      <c r="J58" s="196"/>
      <c r="K58" s="197"/>
      <c r="L58" s="197"/>
      <c r="M58" s="197"/>
      <c r="N58" s="222">
        <v>12000</v>
      </c>
      <c r="O58" s="197"/>
      <c r="P58" s="199"/>
      <c r="Q58" s="796"/>
      <c r="R58" s="796"/>
      <c r="S58" s="251"/>
    </row>
    <row r="59" spans="1:19" ht="33.75" customHeight="1" x14ac:dyDescent="0.25">
      <c r="A59" s="113">
        <v>40740005</v>
      </c>
      <c r="B59" s="114" t="s">
        <v>394</v>
      </c>
      <c r="C59" s="141" t="s">
        <v>354</v>
      </c>
      <c r="D59" s="116" t="s">
        <v>418</v>
      </c>
      <c r="E59" s="117">
        <v>13</v>
      </c>
      <c r="F59" s="812"/>
      <c r="G59" s="118" t="s">
        <v>356</v>
      </c>
      <c r="H59" s="119">
        <v>40000</v>
      </c>
      <c r="I59" s="175">
        <f t="shared" si="0"/>
        <v>520</v>
      </c>
      <c r="J59" s="196"/>
      <c r="K59" s="197"/>
      <c r="L59" s="197"/>
      <c r="M59" s="197"/>
      <c r="N59" s="222">
        <v>12000</v>
      </c>
      <c r="O59" s="222">
        <v>28000</v>
      </c>
      <c r="P59" s="199"/>
      <c r="Q59" s="797"/>
      <c r="R59" s="797"/>
      <c r="S59" s="251"/>
    </row>
    <row r="60" spans="1:19" ht="40.5" customHeight="1" x14ac:dyDescent="0.25">
      <c r="A60" s="152">
        <v>40310017</v>
      </c>
      <c r="B60" s="153" t="s">
        <v>359</v>
      </c>
      <c r="C60" s="154" t="s">
        <v>360</v>
      </c>
      <c r="D60" s="155" t="s">
        <v>419</v>
      </c>
      <c r="E60" s="156">
        <v>20</v>
      </c>
      <c r="F60" s="157" t="s">
        <v>420</v>
      </c>
      <c r="G60" s="158" t="s">
        <v>356</v>
      </c>
      <c r="H60" s="159">
        <v>3000</v>
      </c>
      <c r="I60" s="223">
        <f t="shared" si="0"/>
        <v>60</v>
      </c>
      <c r="J60" s="224"/>
      <c r="K60" s="159"/>
      <c r="L60" s="159"/>
      <c r="M60" s="225">
        <v>3000</v>
      </c>
      <c r="N60" s="159"/>
      <c r="O60" s="159"/>
      <c r="P60" s="226"/>
      <c r="Q60" s="269">
        <v>9</v>
      </c>
      <c r="R60" s="269"/>
      <c r="S60" s="270" t="s">
        <v>421</v>
      </c>
    </row>
    <row r="61" spans="1:19" ht="33.75" customHeight="1" x14ac:dyDescent="0.25">
      <c r="A61" s="152">
        <v>41816001</v>
      </c>
      <c r="B61" s="153" t="s">
        <v>353</v>
      </c>
      <c r="C61" s="154" t="s">
        <v>422</v>
      </c>
      <c r="D61" s="160" t="s">
        <v>282</v>
      </c>
      <c r="E61" s="156">
        <v>150</v>
      </c>
      <c r="F61" s="161" t="s">
        <v>423</v>
      </c>
      <c r="G61" s="158" t="s">
        <v>356</v>
      </c>
      <c r="H61" s="159">
        <v>3000</v>
      </c>
      <c r="I61" s="223">
        <f t="shared" si="0"/>
        <v>450</v>
      </c>
      <c r="J61" s="224"/>
      <c r="K61" s="227"/>
      <c r="L61" s="227"/>
      <c r="M61" s="228">
        <v>3000</v>
      </c>
      <c r="N61" s="227"/>
      <c r="O61" s="227"/>
      <c r="P61" s="227"/>
      <c r="Q61" s="271">
        <v>6</v>
      </c>
      <c r="R61" s="269"/>
      <c r="S61" s="272"/>
    </row>
    <row r="62" spans="1:19" ht="33.75" customHeight="1" x14ac:dyDescent="0.25">
      <c r="A62" s="134">
        <v>43200019</v>
      </c>
      <c r="B62" s="135" t="s">
        <v>424</v>
      </c>
      <c r="C62" s="136" t="s">
        <v>425</v>
      </c>
      <c r="D62" s="137" t="s">
        <v>426</v>
      </c>
      <c r="E62" s="162">
        <v>3.5</v>
      </c>
      <c r="F62" s="813" t="s">
        <v>427</v>
      </c>
      <c r="G62" s="139" t="s">
        <v>356</v>
      </c>
      <c r="H62" s="140">
        <v>4000</v>
      </c>
      <c r="I62" s="191">
        <f t="shared" si="0"/>
        <v>14</v>
      </c>
      <c r="J62" s="229"/>
      <c r="K62" s="230">
        <v>4000</v>
      </c>
      <c r="L62" s="231"/>
      <c r="M62" s="231"/>
      <c r="N62" s="231"/>
      <c r="O62" s="231"/>
      <c r="P62" s="232"/>
      <c r="Q62" s="795">
        <v>22</v>
      </c>
      <c r="R62" s="266"/>
      <c r="S62" s="273"/>
    </row>
    <row r="63" spans="1:19" ht="33.75" customHeight="1" x14ac:dyDescent="0.25">
      <c r="A63" s="127">
        <v>43200021</v>
      </c>
      <c r="B63" s="128" t="s">
        <v>424</v>
      </c>
      <c r="C63" s="149" t="s">
        <v>425</v>
      </c>
      <c r="D63" s="151" t="s">
        <v>428</v>
      </c>
      <c r="E63" s="163">
        <v>3.5</v>
      </c>
      <c r="F63" s="814"/>
      <c r="G63" s="132" t="s">
        <v>356</v>
      </c>
      <c r="H63" s="133">
        <v>10000</v>
      </c>
      <c r="I63" s="187">
        <f t="shared" si="0"/>
        <v>35</v>
      </c>
      <c r="J63" s="233"/>
      <c r="K63" s="234"/>
      <c r="L63" s="235">
        <v>5000</v>
      </c>
      <c r="M63" s="235">
        <v>5000</v>
      </c>
      <c r="N63" s="234"/>
      <c r="O63" s="234"/>
      <c r="P63" s="236"/>
      <c r="Q63" s="797"/>
      <c r="R63" s="267"/>
      <c r="S63" s="274"/>
    </row>
    <row r="64" spans="1:19" ht="33.75" customHeight="1" x14ac:dyDescent="0.25">
      <c r="A64" s="134">
        <v>40770002</v>
      </c>
      <c r="B64" s="135" t="s">
        <v>394</v>
      </c>
      <c r="C64" s="136" t="s">
        <v>429</v>
      </c>
      <c r="D64" s="137" t="s">
        <v>430</v>
      </c>
      <c r="E64" s="138">
        <v>30</v>
      </c>
      <c r="F64" s="815" t="s">
        <v>431</v>
      </c>
      <c r="G64" s="139" t="s">
        <v>356</v>
      </c>
      <c r="H64" s="140">
        <v>13000</v>
      </c>
      <c r="I64" s="191">
        <f t="shared" si="0"/>
        <v>390</v>
      </c>
      <c r="J64" s="237"/>
      <c r="K64" s="238">
        <v>6000</v>
      </c>
      <c r="L64" s="238">
        <v>6000</v>
      </c>
      <c r="M64" s="238">
        <v>1000</v>
      </c>
      <c r="N64" s="239"/>
      <c r="O64" s="239"/>
      <c r="P64" s="240"/>
      <c r="Q64" s="795">
        <v>19</v>
      </c>
      <c r="R64" s="266"/>
      <c r="S64" s="257"/>
    </row>
    <row r="65" spans="1:19" ht="33.75" customHeight="1" x14ac:dyDescent="0.25">
      <c r="A65" s="120">
        <v>40770003</v>
      </c>
      <c r="B65" s="121" t="s">
        <v>394</v>
      </c>
      <c r="C65" s="146" t="s">
        <v>429</v>
      </c>
      <c r="D65" s="275" t="s">
        <v>432</v>
      </c>
      <c r="E65" s="124">
        <v>30</v>
      </c>
      <c r="F65" s="816"/>
      <c r="G65" s="125" t="s">
        <v>356</v>
      </c>
      <c r="H65" s="126">
        <v>7000</v>
      </c>
      <c r="I65" s="178">
        <f t="shared" si="0"/>
        <v>210</v>
      </c>
      <c r="J65" s="179"/>
      <c r="K65" s="297"/>
      <c r="L65" s="297"/>
      <c r="M65" s="298">
        <v>4000</v>
      </c>
      <c r="N65" s="298">
        <v>3000</v>
      </c>
      <c r="O65" s="299"/>
      <c r="P65" s="300"/>
      <c r="Q65" s="796"/>
      <c r="R65" s="266"/>
      <c r="S65" s="322"/>
    </row>
    <row r="66" spans="1:19" ht="33.75" customHeight="1" x14ac:dyDescent="0.25">
      <c r="A66" s="120">
        <v>40770004</v>
      </c>
      <c r="B66" s="121" t="s">
        <v>394</v>
      </c>
      <c r="C66" s="146" t="s">
        <v>429</v>
      </c>
      <c r="D66" s="275" t="s">
        <v>433</v>
      </c>
      <c r="E66" s="124">
        <v>30</v>
      </c>
      <c r="F66" s="816"/>
      <c r="G66" s="125" t="s">
        <v>356</v>
      </c>
      <c r="H66" s="126">
        <v>7000</v>
      </c>
      <c r="I66" s="178">
        <f t="shared" si="0"/>
        <v>210</v>
      </c>
      <c r="J66" s="179"/>
      <c r="K66" s="297"/>
      <c r="L66" s="297"/>
      <c r="M66" s="297"/>
      <c r="N66" s="301">
        <v>2000</v>
      </c>
      <c r="O66" s="301">
        <v>5000</v>
      </c>
      <c r="P66" s="300"/>
      <c r="Q66" s="796"/>
      <c r="R66" s="266"/>
      <c r="S66" s="322"/>
    </row>
    <row r="67" spans="1:19" ht="33.75" customHeight="1" x14ac:dyDescent="0.25">
      <c r="A67" s="106">
        <v>41818001</v>
      </c>
      <c r="B67" s="107" t="s">
        <v>353</v>
      </c>
      <c r="C67" s="143" t="s">
        <v>434</v>
      </c>
      <c r="D67" s="276" t="s">
        <v>435</v>
      </c>
      <c r="E67" s="110">
        <v>50</v>
      </c>
      <c r="F67" s="817" t="s">
        <v>436</v>
      </c>
      <c r="G67" s="111" t="s">
        <v>356</v>
      </c>
      <c r="H67" s="112">
        <v>10000</v>
      </c>
      <c r="I67" s="172">
        <f t="shared" si="0"/>
        <v>500</v>
      </c>
      <c r="J67" s="173"/>
      <c r="K67" s="302"/>
      <c r="L67" s="302"/>
      <c r="M67" s="303">
        <v>10000</v>
      </c>
      <c r="N67" s="302"/>
      <c r="O67" s="302"/>
      <c r="P67" s="304"/>
      <c r="Q67" s="795">
        <v>19</v>
      </c>
      <c r="R67" s="795"/>
      <c r="S67" s="254"/>
    </row>
    <row r="68" spans="1:19" ht="33.75" customHeight="1" x14ac:dyDescent="0.25">
      <c r="A68" s="113">
        <v>41818002</v>
      </c>
      <c r="B68" s="114" t="s">
        <v>353</v>
      </c>
      <c r="C68" s="141" t="s">
        <v>434</v>
      </c>
      <c r="D68" s="116" t="s">
        <v>437</v>
      </c>
      <c r="E68" s="117">
        <v>50</v>
      </c>
      <c r="F68" s="818"/>
      <c r="G68" s="125" t="s">
        <v>356</v>
      </c>
      <c r="H68" s="119">
        <v>10000</v>
      </c>
      <c r="I68" s="175">
        <f t="shared" si="0"/>
        <v>500</v>
      </c>
      <c r="J68" s="176"/>
      <c r="K68" s="299"/>
      <c r="L68" s="299"/>
      <c r="M68" s="299"/>
      <c r="N68" s="305">
        <v>10000</v>
      </c>
      <c r="O68" s="305"/>
      <c r="P68" s="306"/>
      <c r="Q68" s="796"/>
      <c r="R68" s="796"/>
      <c r="S68" s="255"/>
    </row>
    <row r="69" spans="1:19" ht="33.75" customHeight="1" x14ac:dyDescent="0.25">
      <c r="A69" s="127">
        <v>41818003</v>
      </c>
      <c r="B69" s="128" t="s">
        <v>353</v>
      </c>
      <c r="C69" s="149" t="s">
        <v>434</v>
      </c>
      <c r="D69" s="130" t="s">
        <v>331</v>
      </c>
      <c r="E69" s="131">
        <v>50</v>
      </c>
      <c r="F69" s="819"/>
      <c r="G69" s="132" t="s">
        <v>356</v>
      </c>
      <c r="H69" s="133">
        <v>10000</v>
      </c>
      <c r="I69" s="187">
        <f t="shared" si="0"/>
        <v>500</v>
      </c>
      <c r="J69" s="188"/>
      <c r="K69" s="208"/>
      <c r="L69" s="208"/>
      <c r="M69" s="208"/>
      <c r="N69" s="208"/>
      <c r="O69" s="307">
        <v>10000</v>
      </c>
      <c r="P69" s="308"/>
      <c r="Q69" s="797"/>
      <c r="R69" s="797"/>
      <c r="S69" s="256"/>
    </row>
    <row r="70" spans="1:19" ht="33.75" customHeight="1" x14ac:dyDescent="0.25">
      <c r="A70" s="134">
        <v>41500021</v>
      </c>
      <c r="B70" s="135" t="s">
        <v>438</v>
      </c>
      <c r="C70" s="136" t="s">
        <v>439</v>
      </c>
      <c r="D70" s="137" t="s">
        <v>266</v>
      </c>
      <c r="E70" s="138">
        <v>100</v>
      </c>
      <c r="F70" s="801" t="s">
        <v>440</v>
      </c>
      <c r="G70" s="139" t="s">
        <v>356</v>
      </c>
      <c r="H70" s="140">
        <v>8500</v>
      </c>
      <c r="I70" s="191">
        <f t="shared" si="0"/>
        <v>850</v>
      </c>
      <c r="J70" s="237"/>
      <c r="K70" s="309">
        <v>2000</v>
      </c>
      <c r="L70" s="239"/>
      <c r="M70" s="239"/>
      <c r="N70" s="239"/>
      <c r="O70" s="239"/>
      <c r="P70" s="240"/>
      <c r="Q70" s="796">
        <v>19</v>
      </c>
      <c r="R70" s="266"/>
      <c r="S70" s="257"/>
    </row>
    <row r="71" spans="1:19" ht="33.75" customHeight="1" x14ac:dyDescent="0.25">
      <c r="A71" s="113">
        <v>41500022</v>
      </c>
      <c r="B71" s="114" t="s">
        <v>438</v>
      </c>
      <c r="C71" s="141" t="s">
        <v>439</v>
      </c>
      <c r="D71" s="142" t="s">
        <v>441</v>
      </c>
      <c r="E71" s="117">
        <v>100</v>
      </c>
      <c r="F71" s="801"/>
      <c r="G71" s="118" t="s">
        <v>356</v>
      </c>
      <c r="H71" s="119">
        <v>10000</v>
      </c>
      <c r="I71" s="175">
        <f t="shared" si="0"/>
        <v>1000</v>
      </c>
      <c r="J71" s="179"/>
      <c r="K71" s="310">
        <v>6000</v>
      </c>
      <c r="L71" s="310">
        <v>4000</v>
      </c>
      <c r="M71" s="297"/>
      <c r="N71" s="297"/>
      <c r="O71" s="297"/>
      <c r="P71" s="311"/>
      <c r="Q71" s="796"/>
      <c r="R71" s="266"/>
      <c r="S71" s="255"/>
    </row>
    <row r="72" spans="1:19" ht="33.75" customHeight="1" x14ac:dyDescent="0.25">
      <c r="A72" s="120">
        <v>41500027</v>
      </c>
      <c r="B72" s="121" t="s">
        <v>438</v>
      </c>
      <c r="C72" s="146" t="s">
        <v>439</v>
      </c>
      <c r="D72" s="275" t="s">
        <v>442</v>
      </c>
      <c r="E72" s="124">
        <v>100</v>
      </c>
      <c r="F72" s="801"/>
      <c r="G72" s="125" t="s">
        <v>356</v>
      </c>
      <c r="H72" s="119">
        <v>10000</v>
      </c>
      <c r="I72" s="175">
        <f>H72*E72/1000</f>
        <v>1000</v>
      </c>
      <c r="J72" s="179"/>
      <c r="K72" s="297"/>
      <c r="L72" s="310">
        <v>4000</v>
      </c>
      <c r="M72" s="310">
        <v>6000</v>
      </c>
      <c r="N72" s="297"/>
      <c r="O72" s="297"/>
      <c r="P72" s="300"/>
      <c r="Q72" s="796"/>
      <c r="R72" s="266"/>
      <c r="S72" s="322"/>
    </row>
    <row r="73" spans="1:19" ht="33.75" customHeight="1" x14ac:dyDescent="0.25">
      <c r="A73" s="120">
        <v>41500028</v>
      </c>
      <c r="B73" s="121" t="s">
        <v>438</v>
      </c>
      <c r="C73" s="146" t="s">
        <v>439</v>
      </c>
      <c r="D73" s="275" t="s">
        <v>443</v>
      </c>
      <c r="E73" s="124">
        <v>100</v>
      </c>
      <c r="F73" s="801"/>
      <c r="G73" s="125" t="s">
        <v>356</v>
      </c>
      <c r="H73" s="126">
        <v>10000</v>
      </c>
      <c r="I73" s="178">
        <f>H73*E73/1000</f>
        <v>1000</v>
      </c>
      <c r="J73" s="179"/>
      <c r="K73" s="297"/>
      <c r="L73" s="297"/>
      <c r="M73" s="182">
        <v>2000</v>
      </c>
      <c r="N73" s="182">
        <v>8000</v>
      </c>
      <c r="O73" s="182">
        <v>8000</v>
      </c>
      <c r="P73" s="300"/>
      <c r="Q73" s="797"/>
      <c r="R73" s="266"/>
      <c r="S73" s="322"/>
    </row>
    <row r="74" spans="1:19" ht="33.75" customHeight="1" x14ac:dyDescent="0.25">
      <c r="A74" s="106">
        <v>43200014</v>
      </c>
      <c r="B74" s="107" t="s">
        <v>424</v>
      </c>
      <c r="C74" s="143" t="s">
        <v>444</v>
      </c>
      <c r="D74" s="109" t="s">
        <v>445</v>
      </c>
      <c r="E74" s="110">
        <v>250</v>
      </c>
      <c r="F74" s="802" t="s">
        <v>328</v>
      </c>
      <c r="G74" s="111" t="s">
        <v>356</v>
      </c>
      <c r="H74" s="112">
        <f>875/0.25</f>
        <v>3500</v>
      </c>
      <c r="I74" s="172">
        <f>H74*E74/1000</f>
        <v>875</v>
      </c>
      <c r="J74" s="173"/>
      <c r="K74" s="302"/>
      <c r="L74" s="183">
        <v>3500</v>
      </c>
      <c r="M74" s="302"/>
      <c r="N74" s="302"/>
      <c r="O74" s="302"/>
      <c r="P74" s="304"/>
      <c r="Q74" s="795">
        <v>9</v>
      </c>
      <c r="R74" s="265"/>
      <c r="S74" s="254"/>
    </row>
    <row r="75" spans="1:19" ht="33.75" customHeight="1" x14ac:dyDescent="0.25">
      <c r="A75" s="127">
        <v>43200017</v>
      </c>
      <c r="B75" s="128" t="s">
        <v>424</v>
      </c>
      <c r="C75" s="149" t="s">
        <v>444</v>
      </c>
      <c r="D75" s="151" t="s">
        <v>285</v>
      </c>
      <c r="E75" s="131">
        <v>250</v>
      </c>
      <c r="F75" s="803"/>
      <c r="G75" s="132" t="s">
        <v>356</v>
      </c>
      <c r="H75" s="133">
        <v>7500</v>
      </c>
      <c r="I75" s="187">
        <f>H75*E75/1000</f>
        <v>1875</v>
      </c>
      <c r="J75" s="188"/>
      <c r="K75" s="208"/>
      <c r="L75" s="208"/>
      <c r="M75" s="189">
        <v>3500</v>
      </c>
      <c r="N75" s="189">
        <v>4000</v>
      </c>
      <c r="O75" s="208"/>
      <c r="P75" s="308"/>
      <c r="Q75" s="797"/>
      <c r="R75" s="267"/>
      <c r="S75" s="256"/>
    </row>
    <row r="76" spans="1:19" ht="33.75" customHeight="1" x14ac:dyDescent="0.25">
      <c r="A76" s="277">
        <v>40700003</v>
      </c>
      <c r="B76" s="278" t="s">
        <v>394</v>
      </c>
      <c r="C76" s="279" t="s">
        <v>354</v>
      </c>
      <c r="D76" s="280" t="s">
        <v>446</v>
      </c>
      <c r="E76" s="281">
        <v>4</v>
      </c>
      <c r="F76" s="282" t="s">
        <v>447</v>
      </c>
      <c r="G76" s="283" t="s">
        <v>356</v>
      </c>
      <c r="H76" s="284">
        <v>80000</v>
      </c>
      <c r="I76" s="312">
        <f>H76*E76/1000</f>
        <v>320</v>
      </c>
      <c r="J76" s="313"/>
      <c r="K76" s="314"/>
      <c r="L76" s="315">
        <v>20000</v>
      </c>
      <c r="M76" s="315">
        <v>20000</v>
      </c>
      <c r="N76" s="315">
        <v>20000</v>
      </c>
      <c r="O76" s="315">
        <v>20000</v>
      </c>
      <c r="P76" s="316"/>
      <c r="Q76" s="267">
        <v>2</v>
      </c>
      <c r="R76" s="267"/>
      <c r="S76" s="323"/>
    </row>
    <row r="77" spans="1:19" ht="31.5" x14ac:dyDescent="0.25">
      <c r="A77" s="285"/>
      <c r="B77" s="285"/>
      <c r="C77" s="285"/>
      <c r="D77" s="285"/>
      <c r="E77" s="286"/>
      <c r="F77" s="287"/>
      <c r="G77" s="288"/>
      <c r="H77" s="289">
        <f>SUM(H5:H76)</f>
        <v>703284</v>
      </c>
      <c r="I77" s="289">
        <f>SUM(I5:I76)</f>
        <v>63764.100000000006</v>
      </c>
      <c r="J77" s="317"/>
      <c r="K77" s="318">
        <f>SUM(K5:K76)</f>
        <v>117000</v>
      </c>
      <c r="L77" s="318">
        <f>SUM(L5:L76)</f>
        <v>160496</v>
      </c>
      <c r="M77" s="318">
        <f>SUM(M5:M76)</f>
        <v>167988</v>
      </c>
      <c r="N77" s="318">
        <f>SUM(N5:N76)</f>
        <v>135800</v>
      </c>
      <c r="O77" s="318">
        <f>SUM(O5:O76)</f>
        <v>123500</v>
      </c>
      <c r="P77" s="319">
        <f>SUM(P15:P73)</f>
        <v>0</v>
      </c>
      <c r="Q77" s="324">
        <f>SUM(Q5:Q76)</f>
        <v>220</v>
      </c>
      <c r="R77" s="324">
        <f>SUM(R5:R76)</f>
        <v>40</v>
      </c>
      <c r="S77" s="325"/>
    </row>
    <row r="78" spans="1:19" ht="42.75" customHeight="1" x14ac:dyDescent="0.25">
      <c r="A78" s="290"/>
      <c r="B78" s="290"/>
      <c r="C78" s="290"/>
      <c r="D78" s="290"/>
      <c r="E78" s="290"/>
      <c r="F78" s="291" t="s">
        <v>448</v>
      </c>
      <c r="G78" s="292"/>
      <c r="H78" s="293"/>
      <c r="I78" s="293"/>
      <c r="J78" s="293"/>
      <c r="K78" s="293"/>
      <c r="L78" s="293"/>
      <c r="M78" s="821" t="s">
        <v>449</v>
      </c>
      <c r="N78" s="821"/>
      <c r="O78" s="821"/>
      <c r="P78" s="320"/>
      <c r="Q78" s="326">
        <v>135</v>
      </c>
      <c r="R78" s="327"/>
      <c r="S78" s="290"/>
    </row>
    <row r="79" spans="1:19" ht="51.75" customHeight="1" x14ac:dyDescent="0.25">
      <c r="E79" s="294"/>
      <c r="G79" s="294"/>
      <c r="H79" s="295"/>
      <c r="I79" s="295"/>
      <c r="J79" s="295"/>
      <c r="K79" s="295"/>
      <c r="L79" s="295"/>
      <c r="M79" s="822" t="s">
        <v>450</v>
      </c>
      <c r="N79" s="822"/>
      <c r="O79" s="822"/>
      <c r="P79" s="321"/>
      <c r="Q79" s="326">
        <f>(Q77+R77)-Q78</f>
        <v>125</v>
      </c>
      <c r="R79" s="327"/>
      <c r="S79" s="296"/>
    </row>
    <row r="80" spans="1:19" x14ac:dyDescent="0.25">
      <c r="H80" s="296"/>
    </row>
  </sheetData>
  <mergeCells count="49">
    <mergeCell ref="K1:O1"/>
    <mergeCell ref="M78:O78"/>
    <mergeCell ref="M79:O79"/>
    <mergeCell ref="A1:A4"/>
    <mergeCell ref="B1:B4"/>
    <mergeCell ref="C1:C4"/>
    <mergeCell ref="D1:D4"/>
    <mergeCell ref="E1:E4"/>
    <mergeCell ref="F1:F4"/>
    <mergeCell ref="F5:F7"/>
    <mergeCell ref="F8:F9"/>
    <mergeCell ref="F10:F12"/>
    <mergeCell ref="F13:F22"/>
    <mergeCell ref="F23:F33"/>
    <mergeCell ref="F34:F38"/>
    <mergeCell ref="F39:F44"/>
    <mergeCell ref="F70:F73"/>
    <mergeCell ref="F74:F75"/>
    <mergeCell ref="G1:G4"/>
    <mergeCell ref="H1:H4"/>
    <mergeCell ref="I1:I4"/>
    <mergeCell ref="F45:F50"/>
    <mergeCell ref="F51:F59"/>
    <mergeCell ref="F62:F63"/>
    <mergeCell ref="F64:F66"/>
    <mergeCell ref="F67:F69"/>
    <mergeCell ref="Q51:Q59"/>
    <mergeCell ref="Q62:Q63"/>
    <mergeCell ref="Q5:Q7"/>
    <mergeCell ref="Q8:Q9"/>
    <mergeCell ref="Q10:Q12"/>
    <mergeCell ref="Q13:Q22"/>
    <mergeCell ref="Q23:Q33"/>
    <mergeCell ref="Q64:Q66"/>
    <mergeCell ref="Q67:Q69"/>
    <mergeCell ref="Q70:Q73"/>
    <mergeCell ref="Q74:Q75"/>
    <mergeCell ref="R5:R7"/>
    <mergeCell ref="R8:R9"/>
    <mergeCell ref="R10:R12"/>
    <mergeCell ref="R13:R22"/>
    <mergeCell ref="R23:R33"/>
    <mergeCell ref="R34:R38"/>
    <mergeCell ref="R45:R50"/>
    <mergeCell ref="R51:R59"/>
    <mergeCell ref="R67:R69"/>
    <mergeCell ref="Q34:Q38"/>
    <mergeCell ref="Q39:Q44"/>
    <mergeCell ref="Q45:Q50"/>
  </mergeCells>
  <conditionalFormatting sqref="A5:A12">
    <cfRule type="duplicateValues" dxfId="33" priority="14"/>
    <cfRule type="duplicateValues" dxfId="32" priority="15"/>
  </conditionalFormatting>
  <conditionalFormatting sqref="A24:A26 A29:A30">
    <cfRule type="duplicateValues" dxfId="31" priority="5"/>
    <cfRule type="duplicateValues" dxfId="30" priority="6"/>
    <cfRule type="duplicateValues" dxfId="29" priority="7"/>
  </conditionalFormatting>
  <conditionalFormatting sqref="A60 A34:A38">
    <cfRule type="duplicateValues" dxfId="28" priority="19"/>
    <cfRule type="duplicateValues" dxfId="27" priority="20"/>
  </conditionalFormatting>
  <conditionalFormatting sqref="A64:A73">
    <cfRule type="duplicateValues" dxfId="26" priority="26"/>
    <cfRule type="duplicateValues" dxfId="25" priority="27"/>
  </conditionalFormatting>
  <conditionalFormatting sqref="A74:A76">
    <cfRule type="duplicateValues" dxfId="24" priority="21"/>
    <cfRule type="duplicateValues" dxfId="23" priority="22"/>
    <cfRule type="duplicateValues" dxfId="22" priority="23"/>
  </conditionalFormatting>
  <conditionalFormatting sqref="A77:A78">
    <cfRule type="duplicateValues" dxfId="21" priority="12"/>
    <cfRule type="duplicateValues" dxfId="20" priority="13"/>
  </conditionalFormatting>
  <conditionalFormatting sqref="A77:A1048576 A1:B1 A13:A23 A31:A73 A27:A28">
    <cfRule type="duplicateValues" dxfId="19" priority="16"/>
  </conditionalFormatting>
  <conditionalFormatting sqref="A79:A1048576 E1 A61 A1:C1 A13:A23 A39:A59 A31:A33 A27:A28">
    <cfRule type="duplicateValues" dxfId="18" priority="17"/>
    <cfRule type="duplicateValues" dxfId="17" priority="18"/>
  </conditionalFormatting>
  <conditionalFormatting sqref="G5:G78">
    <cfRule type="cellIs" dxfId="16" priority="11" operator="equal">
      <formula>"Mid"</formula>
    </cfRule>
  </conditionalFormatting>
  <conditionalFormatting sqref="G5:G1048576">
    <cfRule type="cellIs" dxfId="15" priority="8" operator="equal">
      <formula>"Med"</formula>
    </cfRule>
    <cfRule type="cellIs" dxfId="14" priority="9" operator="equal">
      <formula>"Low"</formula>
    </cfRule>
    <cfRule type="cellIs" dxfId="13" priority="10" operator="equal">
      <formula>"High"</formula>
    </cfRule>
  </conditionalFormatting>
  <conditionalFormatting sqref="G1:I1">
    <cfRule type="duplicateValues" dxfId="12" priority="24"/>
    <cfRule type="duplicateValues" dxfId="11" priority="25"/>
  </conditionalFormatting>
  <conditionalFormatting sqref="H8:H9">
    <cfRule type="cellIs" dxfId="10" priority="1" operator="equal">
      <formula>"Med"</formula>
    </cfRule>
    <cfRule type="cellIs" dxfId="9" priority="2" operator="equal">
      <formula>"Low"</formula>
    </cfRule>
    <cfRule type="cellIs" dxfId="8" priority="3" operator="equal">
      <formula>"High"</formula>
    </cfRule>
    <cfRule type="cellIs" dxfId="7" priority="4" operator="equal">
      <formula>"Mid"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43AF-7063-4055-B95E-887A39242128}">
  <dimension ref="B1:H574"/>
  <sheetViews>
    <sheetView workbookViewId="0">
      <pane xSplit="1" ySplit="3" topLeftCell="B492" activePane="bottomRight" state="frozen"/>
      <selection activeCell="I78" sqref="I78"/>
      <selection pane="topRight" activeCell="I78" sqref="I78"/>
      <selection pane="bottomLeft" activeCell="I78" sqref="I78"/>
      <selection pane="bottomRight" activeCell="K506" sqref="K506"/>
    </sheetView>
  </sheetViews>
  <sheetFormatPr defaultRowHeight="15" x14ac:dyDescent="0.25"/>
  <cols>
    <col min="2" max="2" width="67.42578125" bestFit="1" customWidth="1"/>
    <col min="3" max="3" width="15.5703125" customWidth="1"/>
    <col min="4" max="4" width="13.7109375" customWidth="1"/>
    <col min="5" max="6" width="16.7109375" customWidth="1"/>
    <col min="7" max="7" width="12.7109375" customWidth="1"/>
    <col min="8" max="8" width="8.140625" style="63" customWidth="1"/>
    <col min="11" max="11" width="12" bestFit="1" customWidth="1"/>
  </cols>
  <sheetData>
    <row r="1" spans="2:8" x14ac:dyDescent="0.25">
      <c r="C1" s="366"/>
    </row>
    <row r="2" spans="2:8" x14ac:dyDescent="0.25">
      <c r="B2" s="367"/>
      <c r="G2" s="367"/>
    </row>
    <row r="3" spans="2:8" ht="28.5" customHeight="1" x14ac:dyDescent="0.25">
      <c r="B3" s="369" t="s">
        <v>451</v>
      </c>
      <c r="C3" s="368" t="s">
        <v>452</v>
      </c>
      <c r="D3" s="368" t="s">
        <v>333</v>
      </c>
      <c r="E3" s="368" t="s">
        <v>334</v>
      </c>
      <c r="F3" s="369"/>
      <c r="G3" s="369"/>
      <c r="H3" s="368" t="s">
        <v>982</v>
      </c>
    </row>
    <row r="4" spans="2:8" ht="15.75" x14ac:dyDescent="0.25">
      <c r="B4" s="10" t="s">
        <v>453</v>
      </c>
      <c r="C4" s="370">
        <v>43200018</v>
      </c>
      <c r="D4" s="370" t="s">
        <v>424</v>
      </c>
      <c r="E4" s="370" t="s">
        <v>425</v>
      </c>
      <c r="F4" s="371" t="s">
        <v>983</v>
      </c>
      <c r="G4" s="10">
        <v>4.5</v>
      </c>
      <c r="H4" s="14">
        <v>3.5</v>
      </c>
    </row>
    <row r="5" spans="2:8" ht="15.75" x14ac:dyDescent="0.25">
      <c r="B5" s="10" t="s">
        <v>426</v>
      </c>
      <c r="C5" s="370">
        <v>43200019</v>
      </c>
      <c r="D5" s="370" t="s">
        <v>424</v>
      </c>
      <c r="E5" s="370" t="s">
        <v>425</v>
      </c>
      <c r="F5" s="371" t="s">
        <v>983</v>
      </c>
      <c r="G5" s="10">
        <v>4.5</v>
      </c>
      <c r="H5" s="14">
        <v>3.5</v>
      </c>
    </row>
    <row r="6" spans="2:8" ht="15.75" x14ac:dyDescent="0.25">
      <c r="B6" s="10" t="s">
        <v>454</v>
      </c>
      <c r="C6" s="370">
        <v>43200020</v>
      </c>
      <c r="D6" s="370" t="s">
        <v>424</v>
      </c>
      <c r="E6" s="370" t="s">
        <v>425</v>
      </c>
      <c r="F6" s="371" t="s">
        <v>983</v>
      </c>
      <c r="G6" s="10">
        <v>4.5</v>
      </c>
      <c r="H6" s="14">
        <v>3.5</v>
      </c>
    </row>
    <row r="7" spans="2:8" ht="15.75" x14ac:dyDescent="0.25">
      <c r="B7" s="10" t="s">
        <v>428</v>
      </c>
      <c r="C7" s="370">
        <v>43200021</v>
      </c>
      <c r="D7" s="370" t="s">
        <v>424</v>
      </c>
      <c r="E7" s="370" t="s">
        <v>425</v>
      </c>
      <c r="F7" s="371" t="s">
        <v>983</v>
      </c>
      <c r="G7" s="10">
        <v>4.5</v>
      </c>
      <c r="H7" s="14">
        <v>3.5</v>
      </c>
    </row>
    <row r="8" spans="2:8" ht="15.75" x14ac:dyDescent="0.25">
      <c r="B8" s="10" t="s">
        <v>455</v>
      </c>
      <c r="C8" s="370">
        <v>43200022</v>
      </c>
      <c r="D8" s="370" t="s">
        <v>424</v>
      </c>
      <c r="E8" s="370" t="s">
        <v>425</v>
      </c>
      <c r="F8" s="371" t="s">
        <v>983</v>
      </c>
      <c r="G8" s="10">
        <v>4.5</v>
      </c>
      <c r="H8" s="14">
        <v>3.5</v>
      </c>
    </row>
    <row r="9" spans="2:8" ht="15.75" x14ac:dyDescent="0.25">
      <c r="B9" s="10" t="s">
        <v>456</v>
      </c>
      <c r="C9" s="370">
        <v>41850001</v>
      </c>
      <c r="D9" s="370" t="s">
        <v>353</v>
      </c>
      <c r="E9" s="370" t="s">
        <v>427</v>
      </c>
      <c r="F9" s="371" t="s">
        <v>983</v>
      </c>
      <c r="G9" s="10">
        <v>3.8</v>
      </c>
      <c r="H9" s="14">
        <v>3.5</v>
      </c>
    </row>
    <row r="10" spans="2:8" ht="15.75" x14ac:dyDescent="0.25">
      <c r="B10" s="10" t="s">
        <v>457</v>
      </c>
      <c r="C10" s="370">
        <v>41850002</v>
      </c>
      <c r="D10" s="370" t="s">
        <v>353</v>
      </c>
      <c r="E10" s="370" t="s">
        <v>427</v>
      </c>
      <c r="F10" s="371" t="s">
        <v>983</v>
      </c>
      <c r="G10" s="10">
        <v>3.8</v>
      </c>
      <c r="H10" s="14">
        <v>3.5</v>
      </c>
    </row>
    <row r="11" spans="2:8" ht="15.75" x14ac:dyDescent="0.25">
      <c r="B11" s="10" t="s">
        <v>458</v>
      </c>
      <c r="C11" s="370">
        <v>41850003</v>
      </c>
      <c r="D11" s="370" t="s">
        <v>353</v>
      </c>
      <c r="E11" s="370" t="s">
        <v>427</v>
      </c>
      <c r="F11" s="371" t="s">
        <v>983</v>
      </c>
      <c r="G11" s="10">
        <v>3.8</v>
      </c>
      <c r="H11" s="14">
        <v>3.5</v>
      </c>
    </row>
    <row r="12" spans="2:8" ht="15.75" x14ac:dyDescent="0.25">
      <c r="B12" s="10" t="s">
        <v>985</v>
      </c>
      <c r="C12" s="370">
        <v>40210004</v>
      </c>
      <c r="D12" s="370" t="s">
        <v>984</v>
      </c>
      <c r="E12" s="370" t="s">
        <v>391</v>
      </c>
      <c r="F12" s="371" t="s">
        <v>983</v>
      </c>
      <c r="G12" s="10">
        <v>60</v>
      </c>
      <c r="H12" s="14">
        <v>60</v>
      </c>
    </row>
    <row r="13" spans="2:8" ht="15.75" x14ac:dyDescent="0.25">
      <c r="B13" s="10" t="s">
        <v>986</v>
      </c>
      <c r="C13" s="370">
        <v>40210005</v>
      </c>
      <c r="D13" s="370" t="s">
        <v>984</v>
      </c>
      <c r="E13" s="370" t="s">
        <v>391</v>
      </c>
      <c r="F13" s="371" t="s">
        <v>983</v>
      </c>
      <c r="G13" s="10">
        <v>60</v>
      </c>
      <c r="H13" s="14">
        <v>60</v>
      </c>
    </row>
    <row r="14" spans="2:8" ht="15.75" x14ac:dyDescent="0.25">
      <c r="B14" s="10" t="s">
        <v>987</v>
      </c>
      <c r="C14" s="370">
        <v>40210006</v>
      </c>
      <c r="D14" s="370" t="s">
        <v>984</v>
      </c>
      <c r="E14" s="370" t="s">
        <v>391</v>
      </c>
      <c r="F14" s="371" t="s">
        <v>983</v>
      </c>
      <c r="G14" s="10">
        <v>60</v>
      </c>
      <c r="H14" s="14">
        <v>60</v>
      </c>
    </row>
    <row r="15" spans="2:8" ht="15.75" x14ac:dyDescent="0.25">
      <c r="B15" s="102" t="s">
        <v>988</v>
      </c>
      <c r="C15" s="370">
        <v>40210002</v>
      </c>
      <c r="D15" s="370" t="s">
        <v>984</v>
      </c>
      <c r="E15" s="370" t="s">
        <v>391</v>
      </c>
      <c r="F15" s="371" t="s">
        <v>983</v>
      </c>
      <c r="G15" s="10">
        <v>60</v>
      </c>
      <c r="H15" s="14">
        <v>60</v>
      </c>
    </row>
    <row r="16" spans="2:8" ht="15.75" x14ac:dyDescent="0.25">
      <c r="B16" s="102" t="s">
        <v>989</v>
      </c>
      <c r="C16" s="370">
        <v>40210001</v>
      </c>
      <c r="D16" s="370" t="s">
        <v>984</v>
      </c>
      <c r="E16" s="370" t="s">
        <v>391</v>
      </c>
      <c r="F16" s="371" t="s">
        <v>983</v>
      </c>
      <c r="G16" s="10">
        <v>60</v>
      </c>
      <c r="H16" s="14">
        <v>60</v>
      </c>
    </row>
    <row r="17" spans="2:8" ht="15.75" x14ac:dyDescent="0.25">
      <c r="B17" s="102" t="s">
        <v>990</v>
      </c>
      <c r="C17" s="370">
        <v>40210003</v>
      </c>
      <c r="D17" s="370" t="s">
        <v>984</v>
      </c>
      <c r="E17" s="370" t="s">
        <v>391</v>
      </c>
      <c r="F17" s="371" t="s">
        <v>983</v>
      </c>
      <c r="G17" s="10">
        <v>60</v>
      </c>
      <c r="H17" s="14">
        <v>60</v>
      </c>
    </row>
    <row r="18" spans="2:8" ht="15.75" x14ac:dyDescent="0.25">
      <c r="B18" s="102" t="s">
        <v>991</v>
      </c>
      <c r="C18" s="370">
        <v>40151001</v>
      </c>
      <c r="D18" s="370" t="s">
        <v>460</v>
      </c>
      <c r="E18" s="370" t="s">
        <v>746</v>
      </c>
      <c r="F18" s="371" t="s">
        <v>983</v>
      </c>
      <c r="G18" s="10">
        <v>150</v>
      </c>
      <c r="H18" s="14">
        <v>150</v>
      </c>
    </row>
    <row r="19" spans="2:8" ht="15.75" x14ac:dyDescent="0.25">
      <c r="B19" s="102" t="s">
        <v>992</v>
      </c>
      <c r="C19" s="370">
        <v>40151004</v>
      </c>
      <c r="D19" s="370" t="s">
        <v>460</v>
      </c>
      <c r="E19" s="370" t="s">
        <v>746</v>
      </c>
      <c r="F19" s="371" t="s">
        <v>983</v>
      </c>
      <c r="G19" s="10">
        <v>150</v>
      </c>
      <c r="H19" s="14">
        <v>150</v>
      </c>
    </row>
    <row r="20" spans="2:8" ht="15.75" x14ac:dyDescent="0.25">
      <c r="B20" s="102" t="s">
        <v>459</v>
      </c>
      <c r="C20" s="370">
        <v>40150003</v>
      </c>
      <c r="D20" s="370" t="s">
        <v>460</v>
      </c>
      <c r="E20" s="370" t="s">
        <v>444</v>
      </c>
      <c r="F20" s="371" t="s">
        <v>983</v>
      </c>
      <c r="G20" s="10">
        <v>250</v>
      </c>
      <c r="H20" s="14">
        <v>250</v>
      </c>
    </row>
    <row r="21" spans="2:8" ht="15.75" x14ac:dyDescent="0.25">
      <c r="B21" s="102" t="s">
        <v>461</v>
      </c>
      <c r="C21" s="370">
        <v>40150004</v>
      </c>
      <c r="D21" s="370" t="s">
        <v>460</v>
      </c>
      <c r="E21" s="370" t="s">
        <v>444</v>
      </c>
      <c r="F21" s="371" t="s">
        <v>983</v>
      </c>
      <c r="G21" s="10">
        <v>250</v>
      </c>
      <c r="H21" s="14">
        <v>250</v>
      </c>
    </row>
    <row r="22" spans="2:8" ht="15.75" x14ac:dyDescent="0.25">
      <c r="B22" s="102" t="s">
        <v>462</v>
      </c>
      <c r="C22" s="370">
        <v>40150002</v>
      </c>
      <c r="D22" s="370" t="s">
        <v>460</v>
      </c>
      <c r="E22" s="370" t="s">
        <v>444</v>
      </c>
      <c r="F22" s="371" t="s">
        <v>983</v>
      </c>
      <c r="G22" s="102">
        <v>250</v>
      </c>
      <c r="H22" s="14">
        <v>250</v>
      </c>
    </row>
    <row r="23" spans="2:8" ht="15.75" x14ac:dyDescent="0.25">
      <c r="B23" s="102" t="s">
        <v>463</v>
      </c>
      <c r="C23" s="370">
        <v>40150001</v>
      </c>
      <c r="D23" s="370" t="s">
        <v>460</v>
      </c>
      <c r="E23" s="370" t="s">
        <v>444</v>
      </c>
      <c r="F23" s="371" t="s">
        <v>983</v>
      </c>
      <c r="G23" s="10">
        <v>250</v>
      </c>
      <c r="H23" s="14">
        <v>250</v>
      </c>
    </row>
    <row r="24" spans="2:8" ht="15.75" x14ac:dyDescent="0.25">
      <c r="B24" s="10" t="s">
        <v>464</v>
      </c>
      <c r="C24" s="370">
        <v>40120001</v>
      </c>
      <c r="D24" s="370" t="s">
        <v>465</v>
      </c>
      <c r="E24" s="370" t="s">
        <v>427</v>
      </c>
      <c r="F24" s="371" t="s">
        <v>983</v>
      </c>
      <c r="G24" s="10">
        <v>5</v>
      </c>
      <c r="H24" s="14">
        <v>4</v>
      </c>
    </row>
    <row r="25" spans="2:8" ht="15.75" x14ac:dyDescent="0.25">
      <c r="B25" s="10" t="s">
        <v>466</v>
      </c>
      <c r="C25" s="370">
        <v>40120002</v>
      </c>
      <c r="D25" s="370" t="s">
        <v>465</v>
      </c>
      <c r="E25" s="370" t="s">
        <v>427</v>
      </c>
      <c r="F25" s="371" t="s">
        <v>983</v>
      </c>
      <c r="G25" s="10">
        <v>5</v>
      </c>
      <c r="H25" s="14">
        <v>4</v>
      </c>
    </row>
    <row r="26" spans="2:8" ht="15.75" x14ac:dyDescent="0.25">
      <c r="B26" s="10" t="s">
        <v>467</v>
      </c>
      <c r="C26" s="370">
        <v>43200007</v>
      </c>
      <c r="D26" s="370" t="s">
        <v>424</v>
      </c>
      <c r="E26" s="370" t="s">
        <v>427</v>
      </c>
      <c r="F26" s="371" t="s">
        <v>983</v>
      </c>
      <c r="G26" s="10">
        <v>3.9</v>
      </c>
      <c r="H26" s="14">
        <v>4</v>
      </c>
    </row>
    <row r="27" spans="2:8" ht="15.75" x14ac:dyDescent="0.25">
      <c r="B27" s="10" t="s">
        <v>468</v>
      </c>
      <c r="C27" s="370">
        <v>43200008</v>
      </c>
      <c r="D27" s="370" t="s">
        <v>424</v>
      </c>
      <c r="E27" s="370" t="s">
        <v>427</v>
      </c>
      <c r="F27" s="371" t="s">
        <v>983</v>
      </c>
      <c r="G27" s="10">
        <v>3.9</v>
      </c>
      <c r="H27" s="14">
        <v>4</v>
      </c>
    </row>
    <row r="28" spans="2:8" ht="15.75" x14ac:dyDescent="0.25">
      <c r="B28" s="10" t="s">
        <v>469</v>
      </c>
      <c r="C28" s="370">
        <v>43200009</v>
      </c>
      <c r="D28" s="370" t="s">
        <v>424</v>
      </c>
      <c r="E28" s="370" t="s">
        <v>427</v>
      </c>
      <c r="F28" s="371" t="s">
        <v>983</v>
      </c>
      <c r="G28" s="10">
        <v>3.9</v>
      </c>
      <c r="H28" s="14">
        <v>4</v>
      </c>
    </row>
    <row r="29" spans="2:8" ht="15.75" x14ac:dyDescent="0.25">
      <c r="B29" s="10" t="s">
        <v>470</v>
      </c>
      <c r="C29" s="370">
        <v>43200010</v>
      </c>
      <c r="D29" s="370" t="s">
        <v>424</v>
      </c>
      <c r="E29" s="370" t="s">
        <v>427</v>
      </c>
      <c r="F29" s="371" t="s">
        <v>983</v>
      </c>
      <c r="G29" s="10">
        <v>3.9</v>
      </c>
      <c r="H29" s="14">
        <v>4</v>
      </c>
    </row>
    <row r="30" spans="2:8" ht="15.75" x14ac:dyDescent="0.25">
      <c r="B30" s="10" t="s">
        <v>471</v>
      </c>
      <c r="C30" s="370">
        <v>43200011</v>
      </c>
      <c r="D30" s="370" t="s">
        <v>424</v>
      </c>
      <c r="E30" s="370" t="s">
        <v>427</v>
      </c>
      <c r="F30" s="371" t="s">
        <v>983</v>
      </c>
      <c r="G30" s="10">
        <v>3.9</v>
      </c>
      <c r="H30" s="14">
        <v>4</v>
      </c>
    </row>
    <row r="31" spans="2:8" ht="15.75" x14ac:dyDescent="0.25">
      <c r="B31" s="10" t="s">
        <v>472</v>
      </c>
      <c r="C31" s="370">
        <v>41850006</v>
      </c>
      <c r="D31" s="370" t="s">
        <v>353</v>
      </c>
      <c r="E31" s="370" t="s">
        <v>427</v>
      </c>
      <c r="F31" s="371" t="s">
        <v>983</v>
      </c>
      <c r="G31" s="10">
        <v>4</v>
      </c>
      <c r="H31" s="14">
        <v>4</v>
      </c>
    </row>
    <row r="32" spans="2:8" ht="15.75" x14ac:dyDescent="0.25">
      <c r="B32" s="10" t="s">
        <v>473</v>
      </c>
      <c r="C32" s="370">
        <v>41850007</v>
      </c>
      <c r="D32" s="370" t="s">
        <v>353</v>
      </c>
      <c r="E32" s="370" t="s">
        <v>427</v>
      </c>
      <c r="F32" s="371" t="s">
        <v>983</v>
      </c>
      <c r="G32" s="10">
        <v>4</v>
      </c>
      <c r="H32" s="14">
        <v>4</v>
      </c>
    </row>
    <row r="33" spans="2:8" ht="15.75" x14ac:dyDescent="0.25">
      <c r="B33" s="10" t="s">
        <v>474</v>
      </c>
      <c r="C33" s="370">
        <v>41850008</v>
      </c>
      <c r="D33" s="370" t="s">
        <v>353</v>
      </c>
      <c r="E33" s="370" t="s">
        <v>427</v>
      </c>
      <c r="F33" s="371" t="s">
        <v>983</v>
      </c>
      <c r="G33" s="10">
        <v>4</v>
      </c>
      <c r="H33" s="14">
        <v>4</v>
      </c>
    </row>
    <row r="34" spans="2:8" ht="15.75" x14ac:dyDescent="0.25">
      <c r="B34" s="10" t="s">
        <v>475</v>
      </c>
      <c r="C34" s="370">
        <v>41850009</v>
      </c>
      <c r="D34" s="370" t="s">
        <v>353</v>
      </c>
      <c r="E34" s="370" t="s">
        <v>427</v>
      </c>
      <c r="F34" s="371" t="s">
        <v>983</v>
      </c>
      <c r="G34" s="10">
        <v>4</v>
      </c>
      <c r="H34" s="14">
        <v>4</v>
      </c>
    </row>
    <row r="35" spans="2:8" ht="15.75" x14ac:dyDescent="0.25">
      <c r="B35" s="10" t="s">
        <v>476</v>
      </c>
      <c r="C35" s="370">
        <v>41850012</v>
      </c>
      <c r="D35" s="370" t="s">
        <v>353</v>
      </c>
      <c r="E35" s="370" t="s">
        <v>427</v>
      </c>
      <c r="F35" s="371" t="s">
        <v>993</v>
      </c>
      <c r="G35" s="10">
        <v>4</v>
      </c>
      <c r="H35" s="14">
        <v>4</v>
      </c>
    </row>
    <row r="36" spans="2:8" ht="15.75" x14ac:dyDescent="0.25">
      <c r="B36" s="10" t="s">
        <v>477</v>
      </c>
      <c r="C36" s="370">
        <v>41850013</v>
      </c>
      <c r="D36" s="370" t="s">
        <v>353</v>
      </c>
      <c r="E36" s="370" t="s">
        <v>427</v>
      </c>
      <c r="F36" s="371" t="s">
        <v>993</v>
      </c>
      <c r="G36" s="10">
        <v>4</v>
      </c>
      <c r="H36" s="14">
        <v>4</v>
      </c>
    </row>
    <row r="37" spans="2:8" ht="15.75" x14ac:dyDescent="0.25">
      <c r="B37" s="10" t="s">
        <v>478</v>
      </c>
      <c r="C37" s="370">
        <v>41850015</v>
      </c>
      <c r="D37" s="370" t="s">
        <v>353</v>
      </c>
      <c r="E37" s="370" t="s">
        <v>427</v>
      </c>
      <c r="F37" s="371" t="s">
        <v>993</v>
      </c>
      <c r="G37" s="10">
        <v>4</v>
      </c>
      <c r="H37" s="14">
        <v>4</v>
      </c>
    </row>
    <row r="38" spans="2:8" ht="15.75" x14ac:dyDescent="0.25">
      <c r="B38" s="10" t="s">
        <v>479</v>
      </c>
      <c r="C38" s="370">
        <v>41850014</v>
      </c>
      <c r="D38" s="370" t="s">
        <v>353</v>
      </c>
      <c r="E38" s="370" t="s">
        <v>427</v>
      </c>
      <c r="F38" s="371" t="s">
        <v>993</v>
      </c>
      <c r="G38" s="10">
        <v>4</v>
      </c>
      <c r="H38" s="14">
        <v>4</v>
      </c>
    </row>
    <row r="39" spans="2:8" ht="15.75" x14ac:dyDescent="0.25">
      <c r="B39" s="10" t="s">
        <v>994</v>
      </c>
      <c r="C39" s="370">
        <v>41850024</v>
      </c>
      <c r="D39" s="370" t="s">
        <v>353</v>
      </c>
      <c r="E39" s="370" t="s">
        <v>427</v>
      </c>
      <c r="F39" s="371" t="s">
        <v>983</v>
      </c>
      <c r="G39" s="10">
        <v>3.7</v>
      </c>
      <c r="H39" s="14">
        <v>3.7</v>
      </c>
    </row>
    <row r="40" spans="2:8" ht="15.75" x14ac:dyDescent="0.25">
      <c r="B40" s="10" t="s">
        <v>995</v>
      </c>
      <c r="C40" s="370">
        <v>41850023</v>
      </c>
      <c r="D40" s="370" t="s">
        <v>353</v>
      </c>
      <c r="E40" s="370" t="s">
        <v>427</v>
      </c>
      <c r="F40" s="371" t="s">
        <v>983</v>
      </c>
      <c r="G40" s="10">
        <v>3.7</v>
      </c>
      <c r="H40" s="14">
        <v>3.7</v>
      </c>
    </row>
    <row r="41" spans="2:8" ht="15.75" x14ac:dyDescent="0.25">
      <c r="B41" s="10" t="s">
        <v>996</v>
      </c>
      <c r="C41" s="370">
        <v>41850025</v>
      </c>
      <c r="D41" s="370" t="s">
        <v>353</v>
      </c>
      <c r="E41" s="370" t="s">
        <v>427</v>
      </c>
      <c r="F41" s="371" t="s">
        <v>983</v>
      </c>
      <c r="G41" s="10">
        <v>3.7</v>
      </c>
      <c r="H41" s="14">
        <v>3.7</v>
      </c>
    </row>
    <row r="42" spans="2:8" ht="15.75" x14ac:dyDescent="0.25">
      <c r="B42" s="10" t="s">
        <v>997</v>
      </c>
      <c r="C42" s="370">
        <v>41850022</v>
      </c>
      <c r="D42" s="370" t="s">
        <v>353</v>
      </c>
      <c r="E42" s="370" t="s">
        <v>427</v>
      </c>
      <c r="F42" s="371" t="s">
        <v>983</v>
      </c>
      <c r="G42" s="10">
        <v>3.7</v>
      </c>
      <c r="H42" s="14">
        <v>3.7</v>
      </c>
    </row>
    <row r="43" spans="2:8" ht="15.75" x14ac:dyDescent="0.25">
      <c r="B43" s="10" t="s">
        <v>998</v>
      </c>
      <c r="C43" s="370">
        <v>41851021</v>
      </c>
      <c r="D43" s="370" t="s">
        <v>353</v>
      </c>
      <c r="E43" s="370" t="s">
        <v>543</v>
      </c>
      <c r="F43" s="371" t="s">
        <v>983</v>
      </c>
      <c r="G43" s="10">
        <v>20</v>
      </c>
      <c r="H43" s="14">
        <v>20</v>
      </c>
    </row>
    <row r="44" spans="2:8" ht="15.75" x14ac:dyDescent="0.25">
      <c r="B44" s="10" t="s">
        <v>999</v>
      </c>
      <c r="C44" s="370">
        <v>41851019</v>
      </c>
      <c r="D44" s="370" t="s">
        <v>353</v>
      </c>
      <c r="E44" s="370" t="s">
        <v>543</v>
      </c>
      <c r="F44" s="371" t="s">
        <v>983</v>
      </c>
      <c r="G44" s="10">
        <v>20</v>
      </c>
      <c r="H44" s="14">
        <v>20</v>
      </c>
    </row>
    <row r="45" spans="2:8" ht="15.75" x14ac:dyDescent="0.25">
      <c r="B45" s="10" t="s">
        <v>1000</v>
      </c>
      <c r="C45" s="370">
        <v>41851022</v>
      </c>
      <c r="D45" s="370" t="s">
        <v>353</v>
      </c>
      <c r="E45" s="370" t="s">
        <v>543</v>
      </c>
      <c r="F45" s="371" t="s">
        <v>983</v>
      </c>
      <c r="G45" s="10">
        <v>20</v>
      </c>
      <c r="H45" s="14">
        <v>20</v>
      </c>
    </row>
    <row r="46" spans="2:8" ht="15.75" x14ac:dyDescent="0.25">
      <c r="B46" s="10" t="s">
        <v>1001</v>
      </c>
      <c r="C46" s="370">
        <v>41851020</v>
      </c>
      <c r="D46" s="370" t="s">
        <v>353</v>
      </c>
      <c r="E46" s="370" t="s">
        <v>543</v>
      </c>
      <c r="F46" s="371" t="s">
        <v>983</v>
      </c>
      <c r="G46" s="10">
        <v>20</v>
      </c>
      <c r="H46" s="14">
        <v>20</v>
      </c>
    </row>
    <row r="47" spans="2:8" ht="15.75" x14ac:dyDescent="0.25">
      <c r="B47" s="10" t="s">
        <v>480</v>
      </c>
      <c r="C47" s="370">
        <v>41880014</v>
      </c>
      <c r="D47" s="370" t="s">
        <v>353</v>
      </c>
      <c r="E47" s="370" t="s">
        <v>354</v>
      </c>
      <c r="F47" s="371" t="s">
        <v>983</v>
      </c>
      <c r="G47" s="10">
        <v>4</v>
      </c>
      <c r="H47" s="14">
        <v>4</v>
      </c>
    </row>
    <row r="48" spans="2:8" ht="15.75" x14ac:dyDescent="0.25">
      <c r="B48" s="10" t="s">
        <v>481</v>
      </c>
      <c r="C48" s="370">
        <v>41880015</v>
      </c>
      <c r="D48" s="370" t="s">
        <v>353</v>
      </c>
      <c r="E48" s="370" t="s">
        <v>354</v>
      </c>
      <c r="F48" s="371" t="s">
        <v>983</v>
      </c>
      <c r="G48" s="10">
        <v>4</v>
      </c>
      <c r="H48" s="14">
        <v>4</v>
      </c>
    </row>
    <row r="49" spans="2:8" ht="15.75" x14ac:dyDescent="0.25">
      <c r="B49" s="10" t="s">
        <v>446</v>
      </c>
      <c r="C49" s="370">
        <v>40700003</v>
      </c>
      <c r="D49" s="370" t="s">
        <v>394</v>
      </c>
      <c r="E49" s="370" t="s">
        <v>354</v>
      </c>
      <c r="F49" s="371" t="s">
        <v>447</v>
      </c>
      <c r="G49" s="10">
        <v>4</v>
      </c>
      <c r="H49" s="14">
        <v>4</v>
      </c>
    </row>
    <row r="50" spans="2:8" ht="15.75" x14ac:dyDescent="0.25">
      <c r="B50" s="10" t="s">
        <v>482</v>
      </c>
      <c r="C50" s="370">
        <v>40700149</v>
      </c>
      <c r="D50" s="370" t="s">
        <v>394</v>
      </c>
      <c r="E50" s="370" t="s">
        <v>354</v>
      </c>
      <c r="F50" s="371" t="s">
        <v>447</v>
      </c>
      <c r="G50" s="10">
        <v>4</v>
      </c>
      <c r="H50" s="14">
        <v>4</v>
      </c>
    </row>
    <row r="51" spans="2:8" ht="15.75" x14ac:dyDescent="0.25">
      <c r="B51" s="10" t="s">
        <v>483</v>
      </c>
      <c r="C51" s="370">
        <v>40700148</v>
      </c>
      <c r="D51" s="370" t="s">
        <v>394</v>
      </c>
      <c r="E51" s="370" t="s">
        <v>354</v>
      </c>
      <c r="F51" s="371" t="s">
        <v>447</v>
      </c>
      <c r="G51" s="10">
        <v>4</v>
      </c>
      <c r="H51" s="14">
        <v>4</v>
      </c>
    </row>
    <row r="52" spans="2:8" ht="15.75" x14ac:dyDescent="0.25">
      <c r="B52" s="10" t="s">
        <v>484</v>
      </c>
      <c r="C52" s="370">
        <v>40130003</v>
      </c>
      <c r="D52" s="370" t="s">
        <v>485</v>
      </c>
      <c r="E52" s="370" t="s">
        <v>427</v>
      </c>
      <c r="F52" s="371" t="s">
        <v>983</v>
      </c>
      <c r="G52" s="10">
        <v>5</v>
      </c>
      <c r="H52" s="14">
        <v>5</v>
      </c>
    </row>
    <row r="53" spans="2:8" ht="15.75" x14ac:dyDescent="0.25">
      <c r="B53" s="10" t="s">
        <v>486</v>
      </c>
      <c r="C53" s="370">
        <v>40130001</v>
      </c>
      <c r="D53" s="370" t="s">
        <v>485</v>
      </c>
      <c r="E53" s="370" t="s">
        <v>427</v>
      </c>
      <c r="F53" s="371" t="s">
        <v>983</v>
      </c>
      <c r="G53" s="10">
        <v>5</v>
      </c>
      <c r="H53" s="14">
        <v>5</v>
      </c>
    </row>
    <row r="54" spans="2:8" ht="15.75" x14ac:dyDescent="0.25">
      <c r="B54" s="10" t="s">
        <v>487</v>
      </c>
      <c r="C54" s="370">
        <v>40130002</v>
      </c>
      <c r="D54" s="370" t="s">
        <v>485</v>
      </c>
      <c r="E54" s="370" t="s">
        <v>427</v>
      </c>
      <c r="F54" s="371" t="s">
        <v>983</v>
      </c>
      <c r="G54" s="10">
        <v>5</v>
      </c>
      <c r="H54" s="14">
        <v>5</v>
      </c>
    </row>
    <row r="55" spans="2:8" ht="15.75" x14ac:dyDescent="0.25">
      <c r="B55" s="10" t="s">
        <v>488</v>
      </c>
      <c r="C55" s="370">
        <v>40310001</v>
      </c>
      <c r="D55" s="370" t="s">
        <v>359</v>
      </c>
      <c r="E55" s="370" t="s">
        <v>360</v>
      </c>
      <c r="F55" s="371" t="s">
        <v>447</v>
      </c>
      <c r="G55" s="10">
        <v>5</v>
      </c>
      <c r="H55" s="14">
        <v>5</v>
      </c>
    </row>
    <row r="56" spans="2:8" ht="15.75" x14ac:dyDescent="0.25">
      <c r="B56" s="10" t="s">
        <v>489</v>
      </c>
      <c r="C56" s="370">
        <v>40800004</v>
      </c>
      <c r="D56" s="370" t="s">
        <v>490</v>
      </c>
      <c r="E56" s="370" t="s">
        <v>491</v>
      </c>
      <c r="F56" s="371" t="s">
        <v>447</v>
      </c>
      <c r="G56" s="10">
        <v>10</v>
      </c>
      <c r="H56" s="14">
        <v>10</v>
      </c>
    </row>
    <row r="57" spans="2:8" ht="15.75" x14ac:dyDescent="0.25">
      <c r="B57" s="10" t="s">
        <v>492</v>
      </c>
      <c r="C57" s="370">
        <v>41810023</v>
      </c>
      <c r="D57" s="370" t="s">
        <v>353</v>
      </c>
      <c r="E57" s="370" t="s">
        <v>378</v>
      </c>
      <c r="F57" s="371" t="s">
        <v>993</v>
      </c>
      <c r="G57" s="10">
        <v>10</v>
      </c>
      <c r="H57" s="14">
        <v>10</v>
      </c>
    </row>
    <row r="58" spans="2:8" ht="15.75" x14ac:dyDescent="0.25">
      <c r="B58" s="10" t="s">
        <v>493</v>
      </c>
      <c r="C58" s="370">
        <v>41810024</v>
      </c>
      <c r="D58" s="370" t="s">
        <v>353</v>
      </c>
      <c r="E58" s="370" t="s">
        <v>378</v>
      </c>
      <c r="F58" s="371" t="s">
        <v>993</v>
      </c>
      <c r="G58" s="10">
        <v>10</v>
      </c>
      <c r="H58" s="14">
        <v>10</v>
      </c>
    </row>
    <row r="59" spans="2:8" ht="15.75" x14ac:dyDescent="0.25">
      <c r="B59" s="10" t="s">
        <v>494</v>
      </c>
      <c r="C59" s="370">
        <v>41810022</v>
      </c>
      <c r="D59" s="370" t="s">
        <v>353</v>
      </c>
      <c r="E59" s="370" t="s">
        <v>378</v>
      </c>
      <c r="F59" s="371" t="s">
        <v>993</v>
      </c>
      <c r="G59" s="10">
        <v>10</v>
      </c>
      <c r="H59" s="14">
        <v>10</v>
      </c>
    </row>
    <row r="60" spans="2:8" ht="15.75" x14ac:dyDescent="0.25">
      <c r="B60" s="10" t="s">
        <v>497</v>
      </c>
      <c r="C60" s="370">
        <v>40200004</v>
      </c>
      <c r="D60" s="370" t="s">
        <v>495</v>
      </c>
      <c r="E60" s="370" t="s">
        <v>496</v>
      </c>
      <c r="F60" s="371" t="s">
        <v>983</v>
      </c>
      <c r="G60" s="10"/>
      <c r="H60" s="14">
        <v>10</v>
      </c>
    </row>
    <row r="61" spans="2:8" ht="15.75" x14ac:dyDescent="0.25">
      <c r="B61" s="10" t="s">
        <v>498</v>
      </c>
      <c r="C61" s="370">
        <v>40200006</v>
      </c>
      <c r="D61" s="370" t="s">
        <v>495</v>
      </c>
      <c r="E61" s="370" t="s">
        <v>496</v>
      </c>
      <c r="F61" s="371" t="s">
        <v>983</v>
      </c>
      <c r="G61" s="10"/>
      <c r="H61" s="14">
        <v>10</v>
      </c>
    </row>
    <row r="62" spans="2:8" ht="15.75" x14ac:dyDescent="0.25">
      <c r="B62" s="10" t="s">
        <v>499</v>
      </c>
      <c r="C62" s="370">
        <v>40200001</v>
      </c>
      <c r="D62" s="370" t="s">
        <v>495</v>
      </c>
      <c r="E62" s="370" t="s">
        <v>496</v>
      </c>
      <c r="F62" s="371" t="s">
        <v>983</v>
      </c>
      <c r="G62" s="10"/>
      <c r="H62" s="14">
        <v>10</v>
      </c>
    </row>
    <row r="63" spans="2:8" ht="15.75" x14ac:dyDescent="0.25">
      <c r="B63" s="10" t="s">
        <v>500</v>
      </c>
      <c r="C63" s="370">
        <v>40200002</v>
      </c>
      <c r="D63" s="370" t="s">
        <v>495</v>
      </c>
      <c r="E63" s="370" t="s">
        <v>496</v>
      </c>
      <c r="F63" s="371" t="s">
        <v>983</v>
      </c>
      <c r="G63" s="10"/>
      <c r="H63" s="14">
        <v>10</v>
      </c>
    </row>
    <row r="64" spans="2:8" ht="15.75" x14ac:dyDescent="0.25">
      <c r="B64" s="10" t="s">
        <v>501</v>
      </c>
      <c r="C64" s="370">
        <v>40200003</v>
      </c>
      <c r="D64" s="370" t="s">
        <v>495</v>
      </c>
      <c r="E64" s="370" t="s">
        <v>496</v>
      </c>
      <c r="F64" s="371" t="s">
        <v>983</v>
      </c>
      <c r="G64" s="10"/>
      <c r="H64" s="14">
        <v>10</v>
      </c>
    </row>
    <row r="65" spans="2:8" ht="15.75" x14ac:dyDescent="0.25">
      <c r="B65" s="10" t="s">
        <v>502</v>
      </c>
      <c r="C65" s="370">
        <v>40200005</v>
      </c>
      <c r="D65" s="370" t="s">
        <v>495</v>
      </c>
      <c r="E65" s="370" t="s">
        <v>496</v>
      </c>
      <c r="F65" s="371" t="s">
        <v>983</v>
      </c>
      <c r="G65" s="10"/>
      <c r="H65" s="14">
        <v>10</v>
      </c>
    </row>
    <row r="66" spans="2:8" ht="15.75" x14ac:dyDescent="0.25">
      <c r="B66" s="10" t="s">
        <v>503</v>
      </c>
      <c r="C66" s="370">
        <v>40200007</v>
      </c>
      <c r="D66" s="370" t="s">
        <v>495</v>
      </c>
      <c r="E66" s="370" t="s">
        <v>496</v>
      </c>
      <c r="F66" s="371" t="s">
        <v>983</v>
      </c>
      <c r="G66" s="10"/>
      <c r="H66" s="14">
        <v>10</v>
      </c>
    </row>
    <row r="67" spans="2:8" ht="15.75" x14ac:dyDescent="0.25">
      <c r="B67" s="10" t="s">
        <v>504</v>
      </c>
      <c r="C67" s="370">
        <v>40200008</v>
      </c>
      <c r="D67" s="370" t="s">
        <v>495</v>
      </c>
      <c r="E67" s="370" t="s">
        <v>496</v>
      </c>
      <c r="F67" s="371" t="s">
        <v>983</v>
      </c>
      <c r="G67" s="10"/>
      <c r="H67" s="14">
        <v>10</v>
      </c>
    </row>
    <row r="68" spans="2:8" ht="15.75" x14ac:dyDescent="0.25">
      <c r="B68" s="10" t="s">
        <v>505</v>
      </c>
      <c r="C68" s="370">
        <v>40200009</v>
      </c>
      <c r="D68" s="370" t="s">
        <v>495</v>
      </c>
      <c r="E68" s="370" t="s">
        <v>496</v>
      </c>
      <c r="F68" s="371" t="s">
        <v>983</v>
      </c>
      <c r="G68" s="10"/>
      <c r="H68" s="14">
        <v>10</v>
      </c>
    </row>
    <row r="69" spans="2:8" ht="15.75" x14ac:dyDescent="0.25">
      <c r="B69" s="10" t="s">
        <v>506</v>
      </c>
      <c r="C69" s="370">
        <v>40200010</v>
      </c>
      <c r="D69" s="370" t="s">
        <v>495</v>
      </c>
      <c r="E69" s="370" t="s">
        <v>496</v>
      </c>
      <c r="F69" s="371" t="s">
        <v>983</v>
      </c>
      <c r="G69" s="10"/>
      <c r="H69" s="14">
        <v>10</v>
      </c>
    </row>
    <row r="70" spans="2:8" ht="15.75" x14ac:dyDescent="0.25">
      <c r="B70" s="10" t="s">
        <v>507</v>
      </c>
      <c r="C70" s="370">
        <v>40200011</v>
      </c>
      <c r="D70" s="370" t="s">
        <v>495</v>
      </c>
      <c r="E70" s="370" t="s">
        <v>496</v>
      </c>
      <c r="F70" s="371" t="s">
        <v>983</v>
      </c>
      <c r="G70" s="10"/>
      <c r="H70" s="14">
        <v>10</v>
      </c>
    </row>
    <row r="71" spans="2:8" ht="15.75" x14ac:dyDescent="0.25">
      <c r="B71" s="10" t="s">
        <v>1002</v>
      </c>
      <c r="C71" s="370">
        <v>40740027</v>
      </c>
      <c r="D71" s="370" t="s">
        <v>394</v>
      </c>
      <c r="E71" s="370" t="s">
        <v>354</v>
      </c>
      <c r="F71" s="371" t="s">
        <v>983</v>
      </c>
      <c r="G71" s="10">
        <v>9</v>
      </c>
      <c r="H71" s="14">
        <v>10</v>
      </c>
    </row>
    <row r="72" spans="2:8" ht="15.75" x14ac:dyDescent="0.25">
      <c r="B72" s="10" t="s">
        <v>1003</v>
      </c>
      <c r="C72" s="370">
        <v>40740028</v>
      </c>
      <c r="D72" s="370" t="s">
        <v>394</v>
      </c>
      <c r="E72" s="370" t="s">
        <v>354</v>
      </c>
      <c r="F72" s="371" t="s">
        <v>983</v>
      </c>
      <c r="G72" s="10">
        <v>9</v>
      </c>
      <c r="H72" s="14">
        <v>10</v>
      </c>
    </row>
    <row r="73" spans="2:8" ht="15.75" x14ac:dyDescent="0.25">
      <c r="B73" s="10" t="s">
        <v>1004</v>
      </c>
      <c r="C73" s="370">
        <v>40740029</v>
      </c>
      <c r="D73" s="370" t="s">
        <v>394</v>
      </c>
      <c r="E73" s="370" t="s">
        <v>354</v>
      </c>
      <c r="F73" s="371" t="s">
        <v>983</v>
      </c>
      <c r="G73" s="10">
        <v>9</v>
      </c>
      <c r="H73" s="14">
        <v>10</v>
      </c>
    </row>
    <row r="74" spans="2:8" ht="15.75" x14ac:dyDescent="0.25">
      <c r="B74" s="10" t="s">
        <v>508</v>
      </c>
      <c r="C74" s="370">
        <v>40740001</v>
      </c>
      <c r="D74" s="370" t="s">
        <v>394</v>
      </c>
      <c r="E74" s="370" t="s">
        <v>354</v>
      </c>
      <c r="F74" s="371" t="s">
        <v>983</v>
      </c>
      <c r="G74" s="10">
        <v>9</v>
      </c>
      <c r="H74" s="14">
        <v>10</v>
      </c>
    </row>
    <row r="75" spans="2:8" ht="15.75" x14ac:dyDescent="0.25">
      <c r="B75" s="10" t="s">
        <v>509</v>
      </c>
      <c r="C75" s="370">
        <v>40740002</v>
      </c>
      <c r="D75" s="370" t="s">
        <v>394</v>
      </c>
      <c r="E75" s="370" t="s">
        <v>354</v>
      </c>
      <c r="F75" s="371" t="s">
        <v>983</v>
      </c>
      <c r="G75" s="10">
        <v>9</v>
      </c>
      <c r="H75" s="14">
        <v>10</v>
      </c>
    </row>
    <row r="76" spans="2:8" ht="15.75" x14ac:dyDescent="0.25">
      <c r="B76" s="10" t="s">
        <v>510</v>
      </c>
      <c r="C76" s="370">
        <v>40740003</v>
      </c>
      <c r="D76" s="370" t="s">
        <v>394</v>
      </c>
      <c r="E76" s="370" t="s">
        <v>354</v>
      </c>
      <c r="F76" s="371" t="s">
        <v>983</v>
      </c>
      <c r="G76" s="10">
        <v>9</v>
      </c>
      <c r="H76" s="14">
        <v>10</v>
      </c>
    </row>
    <row r="77" spans="2:8" ht="15.75" x14ac:dyDescent="0.25">
      <c r="B77" s="10" t="s">
        <v>511</v>
      </c>
      <c r="C77" s="370">
        <v>40530012</v>
      </c>
      <c r="D77" s="370" t="s">
        <v>401</v>
      </c>
      <c r="E77" s="370" t="s">
        <v>512</v>
      </c>
      <c r="F77" s="371" t="s">
        <v>983</v>
      </c>
      <c r="G77" s="10">
        <v>10</v>
      </c>
      <c r="H77" s="14">
        <v>10</v>
      </c>
    </row>
    <row r="78" spans="2:8" ht="15.75" x14ac:dyDescent="0.25">
      <c r="B78" s="10" t="s">
        <v>513</v>
      </c>
      <c r="C78" s="370">
        <v>41500013</v>
      </c>
      <c r="D78" s="370" t="s">
        <v>514</v>
      </c>
      <c r="E78" s="370" t="s">
        <v>439</v>
      </c>
      <c r="F78" s="371" t="s">
        <v>447</v>
      </c>
      <c r="G78" s="10">
        <v>10</v>
      </c>
      <c r="H78" s="14">
        <v>10</v>
      </c>
    </row>
    <row r="79" spans="2:8" ht="15.75" x14ac:dyDescent="0.25">
      <c r="B79" s="10" t="s">
        <v>1006</v>
      </c>
      <c r="C79" s="370">
        <v>40111001</v>
      </c>
      <c r="D79" s="370" t="s">
        <v>516</v>
      </c>
      <c r="E79" s="370" t="s">
        <v>1005</v>
      </c>
      <c r="F79" s="371" t="s">
        <v>983</v>
      </c>
      <c r="G79" s="10">
        <v>50</v>
      </c>
      <c r="H79" s="14">
        <v>50</v>
      </c>
    </row>
    <row r="80" spans="2:8" ht="15.75" x14ac:dyDescent="0.25">
      <c r="B80" s="10" t="s">
        <v>1007</v>
      </c>
      <c r="C80" s="370">
        <v>40111002</v>
      </c>
      <c r="D80" s="370" t="s">
        <v>516</v>
      </c>
      <c r="E80" s="370" t="s">
        <v>1005</v>
      </c>
      <c r="F80" s="371" t="s">
        <v>983</v>
      </c>
      <c r="G80" s="10">
        <v>50</v>
      </c>
      <c r="H80" s="14">
        <v>50</v>
      </c>
    </row>
    <row r="81" spans="2:8" ht="15.75" x14ac:dyDescent="0.25">
      <c r="B81" s="10" t="s">
        <v>1008</v>
      </c>
      <c r="C81" s="370">
        <v>40111003</v>
      </c>
      <c r="D81" s="370" t="s">
        <v>516</v>
      </c>
      <c r="E81" s="370" t="s">
        <v>1005</v>
      </c>
      <c r="F81" s="371" t="s">
        <v>983</v>
      </c>
      <c r="G81" s="10">
        <v>50</v>
      </c>
      <c r="H81" s="14">
        <v>50</v>
      </c>
    </row>
    <row r="82" spans="2:8" ht="15.75" x14ac:dyDescent="0.25">
      <c r="B82" s="10" t="s">
        <v>1009</v>
      </c>
      <c r="C82" s="370">
        <v>40111004</v>
      </c>
      <c r="D82" s="370" t="s">
        <v>516</v>
      </c>
      <c r="E82" s="370" t="s">
        <v>1005</v>
      </c>
      <c r="F82" s="371" t="s">
        <v>983</v>
      </c>
      <c r="G82" s="10">
        <v>20</v>
      </c>
      <c r="H82" s="14">
        <v>20</v>
      </c>
    </row>
    <row r="83" spans="2:8" ht="15.75" x14ac:dyDescent="0.25">
      <c r="B83" s="10" t="s">
        <v>1010</v>
      </c>
      <c r="C83" s="370">
        <v>40111005</v>
      </c>
      <c r="D83" s="370" t="s">
        <v>516</v>
      </c>
      <c r="E83" s="370" t="s">
        <v>1005</v>
      </c>
      <c r="F83" s="371" t="s">
        <v>983</v>
      </c>
      <c r="G83" s="10">
        <v>20</v>
      </c>
      <c r="H83" s="14">
        <v>20</v>
      </c>
    </row>
    <row r="84" spans="2:8" ht="15.75" x14ac:dyDescent="0.25">
      <c r="B84" s="10" t="s">
        <v>1011</v>
      </c>
      <c r="C84" s="370">
        <v>40111006</v>
      </c>
      <c r="D84" s="370" t="s">
        <v>516</v>
      </c>
      <c r="E84" s="370" t="s">
        <v>1005</v>
      </c>
      <c r="F84" s="371" t="s">
        <v>983</v>
      </c>
      <c r="G84" s="10">
        <v>20</v>
      </c>
      <c r="H84" s="14">
        <v>20</v>
      </c>
    </row>
    <row r="85" spans="2:8" ht="15.75" x14ac:dyDescent="0.25">
      <c r="B85" s="10" t="s">
        <v>1013</v>
      </c>
      <c r="C85" s="370">
        <v>40112001</v>
      </c>
      <c r="D85" s="370" t="s">
        <v>516</v>
      </c>
      <c r="E85" s="370" t="s">
        <v>1012</v>
      </c>
      <c r="F85" s="371" t="s">
        <v>983</v>
      </c>
      <c r="G85" s="10">
        <v>50</v>
      </c>
      <c r="H85" s="14">
        <v>50</v>
      </c>
    </row>
    <row r="86" spans="2:8" ht="15.75" x14ac:dyDescent="0.25">
      <c r="B86" s="10" t="s">
        <v>1014</v>
      </c>
      <c r="C86" s="370">
        <v>40112002</v>
      </c>
      <c r="D86" s="370" t="s">
        <v>516</v>
      </c>
      <c r="E86" s="370" t="s">
        <v>1012</v>
      </c>
      <c r="F86" s="371" t="s">
        <v>983</v>
      </c>
      <c r="G86" s="10">
        <v>30</v>
      </c>
      <c r="H86" s="14">
        <v>30</v>
      </c>
    </row>
    <row r="87" spans="2:8" ht="15.75" x14ac:dyDescent="0.25">
      <c r="B87" s="10" t="s">
        <v>515</v>
      </c>
      <c r="C87" s="370">
        <v>40110002</v>
      </c>
      <c r="D87" s="370" t="s">
        <v>516</v>
      </c>
      <c r="E87" s="370" t="s">
        <v>517</v>
      </c>
      <c r="F87" s="371" t="s">
        <v>983</v>
      </c>
      <c r="G87" s="10">
        <v>13</v>
      </c>
      <c r="H87" s="14">
        <v>15</v>
      </c>
    </row>
    <row r="88" spans="2:8" ht="15.75" x14ac:dyDescent="0.25">
      <c r="B88" s="10" t="s">
        <v>518</v>
      </c>
      <c r="C88" s="370">
        <v>40110003</v>
      </c>
      <c r="D88" s="370" t="s">
        <v>516</v>
      </c>
      <c r="E88" s="370" t="s">
        <v>517</v>
      </c>
      <c r="F88" s="371" t="s">
        <v>983</v>
      </c>
      <c r="G88" s="10">
        <v>13</v>
      </c>
      <c r="H88" s="14">
        <v>15</v>
      </c>
    </row>
    <row r="89" spans="2:8" ht="15.75" x14ac:dyDescent="0.25">
      <c r="B89" s="10" t="s">
        <v>519</v>
      </c>
      <c r="C89" s="370">
        <v>40110004</v>
      </c>
      <c r="D89" s="370" t="s">
        <v>516</v>
      </c>
      <c r="E89" s="370" t="s">
        <v>517</v>
      </c>
      <c r="F89" s="371" t="s">
        <v>983</v>
      </c>
      <c r="G89" s="10">
        <v>13</v>
      </c>
      <c r="H89" s="14">
        <v>15</v>
      </c>
    </row>
    <row r="90" spans="2:8" ht="15.75" x14ac:dyDescent="0.25">
      <c r="B90" s="10" t="s">
        <v>520</v>
      </c>
      <c r="C90" s="370">
        <v>40110001</v>
      </c>
      <c r="D90" s="370" t="s">
        <v>516</v>
      </c>
      <c r="E90" s="370" t="s">
        <v>517</v>
      </c>
      <c r="F90" s="371" t="s">
        <v>983</v>
      </c>
      <c r="G90" s="10">
        <v>13</v>
      </c>
      <c r="H90" s="14">
        <v>15</v>
      </c>
    </row>
    <row r="91" spans="2:8" ht="15.75" x14ac:dyDescent="0.25">
      <c r="B91" s="10" t="s">
        <v>521</v>
      </c>
      <c r="C91" s="370">
        <v>40122004</v>
      </c>
      <c r="D91" s="370" t="s">
        <v>465</v>
      </c>
      <c r="E91" s="370" t="s">
        <v>517</v>
      </c>
      <c r="F91" s="371" t="s">
        <v>983</v>
      </c>
      <c r="G91" s="10">
        <v>12</v>
      </c>
      <c r="H91" s="14">
        <v>15</v>
      </c>
    </row>
    <row r="92" spans="2:8" ht="15.75" x14ac:dyDescent="0.25">
      <c r="B92" s="10" t="s">
        <v>522</v>
      </c>
      <c r="C92" s="370">
        <v>40122001</v>
      </c>
      <c r="D92" s="370" t="s">
        <v>465</v>
      </c>
      <c r="E92" s="370" t="s">
        <v>517</v>
      </c>
      <c r="F92" s="371" t="s">
        <v>983</v>
      </c>
      <c r="G92" s="10">
        <v>12</v>
      </c>
      <c r="H92" s="14">
        <v>15</v>
      </c>
    </row>
    <row r="93" spans="2:8" ht="15.75" x14ac:dyDescent="0.25">
      <c r="B93" s="10" t="s">
        <v>523</v>
      </c>
      <c r="C93" s="370">
        <v>40122002</v>
      </c>
      <c r="D93" s="370" t="s">
        <v>465</v>
      </c>
      <c r="E93" s="370" t="s">
        <v>517</v>
      </c>
      <c r="F93" s="371" t="s">
        <v>983</v>
      </c>
      <c r="G93" s="10">
        <v>12</v>
      </c>
      <c r="H93" s="14">
        <v>15</v>
      </c>
    </row>
    <row r="94" spans="2:8" ht="15.75" x14ac:dyDescent="0.25">
      <c r="B94" s="10" t="s">
        <v>524</v>
      </c>
      <c r="C94" s="370">
        <v>46000006</v>
      </c>
      <c r="D94" s="370" t="s">
        <v>525</v>
      </c>
      <c r="E94" s="370" t="s">
        <v>373</v>
      </c>
      <c r="F94" s="371" t="s">
        <v>447</v>
      </c>
      <c r="G94" s="10">
        <v>15</v>
      </c>
      <c r="H94" s="14">
        <v>15</v>
      </c>
    </row>
    <row r="95" spans="2:8" ht="15.75" x14ac:dyDescent="0.25">
      <c r="B95" s="10" t="s">
        <v>526</v>
      </c>
      <c r="C95" s="370">
        <v>46000005</v>
      </c>
      <c r="D95" s="370" t="s">
        <v>525</v>
      </c>
      <c r="E95" s="370" t="s">
        <v>373</v>
      </c>
      <c r="F95" s="371" t="s">
        <v>447</v>
      </c>
      <c r="G95" s="10">
        <v>15</v>
      </c>
      <c r="H95" s="14">
        <v>15</v>
      </c>
    </row>
    <row r="96" spans="2:8" ht="15.75" x14ac:dyDescent="0.25">
      <c r="B96" s="10" t="s">
        <v>1015</v>
      </c>
      <c r="C96" s="370">
        <v>40740030</v>
      </c>
      <c r="D96" s="370" t="s">
        <v>394</v>
      </c>
      <c r="E96" s="370" t="s">
        <v>354</v>
      </c>
      <c r="F96" s="371" t="s">
        <v>983</v>
      </c>
      <c r="G96" s="10">
        <v>14</v>
      </c>
      <c r="H96" s="14">
        <v>15</v>
      </c>
    </row>
    <row r="97" spans="2:8" ht="15.75" x14ac:dyDescent="0.25">
      <c r="B97" s="10" t="s">
        <v>1016</v>
      </c>
      <c r="C97" s="370">
        <v>40740031</v>
      </c>
      <c r="D97" s="370" t="s">
        <v>394</v>
      </c>
      <c r="E97" s="370" t="s">
        <v>354</v>
      </c>
      <c r="F97" s="371" t="s">
        <v>983</v>
      </c>
      <c r="G97" s="10">
        <v>14</v>
      </c>
      <c r="H97" s="14">
        <v>15</v>
      </c>
    </row>
    <row r="98" spans="2:8" ht="15.75" x14ac:dyDescent="0.25">
      <c r="B98" s="10" t="s">
        <v>1017</v>
      </c>
      <c r="C98" s="370">
        <v>40740032</v>
      </c>
      <c r="D98" s="370" t="s">
        <v>394</v>
      </c>
      <c r="E98" s="370" t="s">
        <v>354</v>
      </c>
      <c r="F98" s="371" t="s">
        <v>983</v>
      </c>
      <c r="G98" s="10">
        <v>14</v>
      </c>
      <c r="H98" s="14">
        <v>15</v>
      </c>
    </row>
    <row r="99" spans="2:8" ht="15.75" x14ac:dyDescent="0.25">
      <c r="B99" s="10" t="s">
        <v>234</v>
      </c>
      <c r="C99" s="370">
        <v>40740004</v>
      </c>
      <c r="D99" s="370" t="s">
        <v>394</v>
      </c>
      <c r="E99" s="370" t="s">
        <v>354</v>
      </c>
      <c r="F99" s="371" t="s">
        <v>983</v>
      </c>
      <c r="G99" s="10">
        <v>14</v>
      </c>
      <c r="H99" s="14">
        <v>15</v>
      </c>
    </row>
    <row r="100" spans="2:8" ht="15.75" x14ac:dyDescent="0.25">
      <c r="B100" s="10" t="s">
        <v>235</v>
      </c>
      <c r="C100" s="370">
        <v>40740005</v>
      </c>
      <c r="D100" s="370" t="s">
        <v>394</v>
      </c>
      <c r="E100" s="370" t="s">
        <v>354</v>
      </c>
      <c r="F100" s="371" t="s">
        <v>983</v>
      </c>
      <c r="G100" s="10">
        <v>14</v>
      </c>
      <c r="H100" s="14">
        <v>15</v>
      </c>
    </row>
    <row r="101" spans="2:8" ht="15.75" x14ac:dyDescent="0.25">
      <c r="B101" s="10" t="s">
        <v>241</v>
      </c>
      <c r="C101" s="370">
        <v>40740006</v>
      </c>
      <c r="D101" s="370" t="s">
        <v>394</v>
      </c>
      <c r="E101" s="370" t="s">
        <v>354</v>
      </c>
      <c r="F101" s="371" t="s">
        <v>983</v>
      </c>
      <c r="G101" s="10">
        <v>14</v>
      </c>
      <c r="H101" s="14">
        <v>15</v>
      </c>
    </row>
    <row r="102" spans="2:8" ht="15.75" x14ac:dyDescent="0.25">
      <c r="B102" s="10" t="s">
        <v>527</v>
      </c>
      <c r="C102" s="370">
        <v>40700006</v>
      </c>
      <c r="D102" s="370" t="s">
        <v>394</v>
      </c>
      <c r="E102" s="370" t="s">
        <v>354</v>
      </c>
      <c r="F102" s="371" t="s">
        <v>983</v>
      </c>
      <c r="G102" s="10">
        <v>14</v>
      </c>
      <c r="H102" s="14">
        <v>15</v>
      </c>
    </row>
    <row r="103" spans="2:8" ht="15.75" x14ac:dyDescent="0.25">
      <c r="B103" s="10" t="s">
        <v>528</v>
      </c>
      <c r="C103" s="370">
        <v>40700130</v>
      </c>
      <c r="D103" s="370" t="s">
        <v>394</v>
      </c>
      <c r="E103" s="370" t="s">
        <v>354</v>
      </c>
      <c r="F103" s="371" t="s">
        <v>993</v>
      </c>
      <c r="G103" s="10">
        <v>15</v>
      </c>
      <c r="H103" s="14">
        <v>15</v>
      </c>
    </row>
    <row r="104" spans="2:8" ht="15.75" x14ac:dyDescent="0.25">
      <c r="B104" s="10" t="s">
        <v>529</v>
      </c>
      <c r="C104" s="370">
        <v>40700129</v>
      </c>
      <c r="D104" s="370" t="s">
        <v>394</v>
      </c>
      <c r="E104" s="370" t="s">
        <v>354</v>
      </c>
      <c r="F104" s="371" t="s">
        <v>993</v>
      </c>
      <c r="G104" s="10">
        <v>15</v>
      </c>
      <c r="H104" s="14">
        <v>15</v>
      </c>
    </row>
    <row r="105" spans="2:8" ht="15.75" x14ac:dyDescent="0.25">
      <c r="B105" s="10" t="s">
        <v>530</v>
      </c>
      <c r="C105" s="370">
        <v>40700068</v>
      </c>
      <c r="D105" s="370" t="s">
        <v>394</v>
      </c>
      <c r="E105" s="370" t="s">
        <v>354</v>
      </c>
      <c r="F105" s="371" t="s">
        <v>993</v>
      </c>
      <c r="G105" s="10">
        <v>15</v>
      </c>
      <c r="H105" s="14">
        <v>15</v>
      </c>
    </row>
    <row r="106" spans="2:8" ht="15.75" x14ac:dyDescent="0.25">
      <c r="B106" s="10" t="s">
        <v>531</v>
      </c>
      <c r="C106" s="370">
        <v>40710002</v>
      </c>
      <c r="D106" s="370" t="s">
        <v>394</v>
      </c>
      <c r="E106" s="370" t="s">
        <v>354</v>
      </c>
      <c r="F106" s="371" t="s">
        <v>993</v>
      </c>
      <c r="G106" s="10">
        <v>15</v>
      </c>
      <c r="H106" s="14">
        <v>15</v>
      </c>
    </row>
    <row r="107" spans="2:8" ht="15.75" x14ac:dyDescent="0.25">
      <c r="B107" s="103" t="s">
        <v>532</v>
      </c>
      <c r="C107" s="370">
        <v>40700041</v>
      </c>
      <c r="D107" s="370" t="s">
        <v>394</v>
      </c>
      <c r="E107" s="370" t="s">
        <v>354</v>
      </c>
      <c r="F107" s="371" t="s">
        <v>993</v>
      </c>
      <c r="G107" s="10">
        <v>15</v>
      </c>
      <c r="H107" s="14">
        <v>15</v>
      </c>
    </row>
    <row r="108" spans="2:8" ht="15.75" x14ac:dyDescent="0.25">
      <c r="B108" s="103" t="s">
        <v>533</v>
      </c>
      <c r="C108" s="370">
        <v>40700042</v>
      </c>
      <c r="D108" s="370" t="s">
        <v>394</v>
      </c>
      <c r="E108" s="370" t="s">
        <v>354</v>
      </c>
      <c r="F108" s="371" t="s">
        <v>993</v>
      </c>
      <c r="G108" s="10">
        <v>15</v>
      </c>
      <c r="H108" s="14">
        <v>15</v>
      </c>
    </row>
    <row r="109" spans="2:8" ht="15.75" x14ac:dyDescent="0.25">
      <c r="B109" s="103" t="s">
        <v>534</v>
      </c>
      <c r="C109" s="370">
        <v>40700043</v>
      </c>
      <c r="D109" s="370" t="s">
        <v>394</v>
      </c>
      <c r="E109" s="370" t="s">
        <v>354</v>
      </c>
      <c r="F109" s="371" t="s">
        <v>993</v>
      </c>
      <c r="G109" s="10">
        <v>15</v>
      </c>
      <c r="H109" s="14">
        <v>15</v>
      </c>
    </row>
    <row r="110" spans="2:8" ht="15.75" x14ac:dyDescent="0.25">
      <c r="B110" s="10" t="s">
        <v>232</v>
      </c>
      <c r="C110" s="370">
        <v>40700081</v>
      </c>
      <c r="D110" s="370" t="s">
        <v>394</v>
      </c>
      <c r="E110" s="370" t="s">
        <v>354</v>
      </c>
      <c r="F110" s="371" t="s">
        <v>993</v>
      </c>
      <c r="G110" s="10">
        <v>15</v>
      </c>
      <c r="H110" s="14">
        <v>15</v>
      </c>
    </row>
    <row r="111" spans="2:8" ht="15.75" x14ac:dyDescent="0.25">
      <c r="B111" s="10" t="s">
        <v>233</v>
      </c>
      <c r="C111" s="370">
        <v>40700083</v>
      </c>
      <c r="D111" s="370" t="s">
        <v>394</v>
      </c>
      <c r="E111" s="370" t="s">
        <v>354</v>
      </c>
      <c r="F111" s="371" t="s">
        <v>993</v>
      </c>
      <c r="G111" s="10">
        <v>15</v>
      </c>
      <c r="H111" s="14">
        <v>15</v>
      </c>
    </row>
    <row r="112" spans="2:8" ht="15.75" x14ac:dyDescent="0.25">
      <c r="B112" s="10" t="s">
        <v>535</v>
      </c>
      <c r="C112" s="370">
        <v>40700082</v>
      </c>
      <c r="D112" s="370" t="s">
        <v>394</v>
      </c>
      <c r="E112" s="370" t="s">
        <v>354</v>
      </c>
      <c r="F112" s="371" t="s">
        <v>993</v>
      </c>
      <c r="G112" s="10">
        <v>15</v>
      </c>
      <c r="H112" s="14">
        <v>15</v>
      </c>
    </row>
    <row r="113" spans="2:8" ht="15.75" x14ac:dyDescent="0.25">
      <c r="B113" s="10" t="s">
        <v>536</v>
      </c>
      <c r="C113" s="370">
        <v>40700109</v>
      </c>
      <c r="D113" s="370" t="s">
        <v>394</v>
      </c>
      <c r="E113" s="370" t="s">
        <v>354</v>
      </c>
      <c r="F113" s="371" t="s">
        <v>993</v>
      </c>
      <c r="G113" s="10">
        <v>15</v>
      </c>
      <c r="H113" s="14">
        <v>15</v>
      </c>
    </row>
    <row r="114" spans="2:8" ht="15.75" x14ac:dyDescent="0.25">
      <c r="B114" s="10" t="s">
        <v>537</v>
      </c>
      <c r="C114" s="370">
        <v>40700110</v>
      </c>
      <c r="D114" s="370" t="s">
        <v>394</v>
      </c>
      <c r="E114" s="370" t="s">
        <v>354</v>
      </c>
      <c r="F114" s="371" t="s">
        <v>993</v>
      </c>
      <c r="G114" s="10">
        <v>15</v>
      </c>
      <c r="H114" s="14">
        <v>15</v>
      </c>
    </row>
    <row r="115" spans="2:8" ht="15.75" x14ac:dyDescent="0.25">
      <c r="B115" s="10" t="s">
        <v>538</v>
      </c>
      <c r="C115" s="370">
        <v>40700111</v>
      </c>
      <c r="D115" s="370" t="s">
        <v>394</v>
      </c>
      <c r="E115" s="370" t="s">
        <v>354</v>
      </c>
      <c r="F115" s="371" t="s">
        <v>993</v>
      </c>
      <c r="G115" s="10">
        <v>15</v>
      </c>
      <c r="H115" s="14">
        <v>15</v>
      </c>
    </row>
    <row r="116" spans="2:8" ht="15.75" x14ac:dyDescent="0.25">
      <c r="B116" s="10" t="s">
        <v>539</v>
      </c>
      <c r="C116" s="370">
        <v>40740015</v>
      </c>
      <c r="D116" s="370" t="s">
        <v>394</v>
      </c>
      <c r="E116" s="370" t="s">
        <v>354</v>
      </c>
      <c r="F116" s="371" t="s">
        <v>993</v>
      </c>
      <c r="G116" s="10">
        <v>15</v>
      </c>
      <c r="H116" s="14">
        <v>15</v>
      </c>
    </row>
    <row r="117" spans="2:8" ht="15.75" x14ac:dyDescent="0.25">
      <c r="B117" s="10" t="s">
        <v>540</v>
      </c>
      <c r="C117" s="370">
        <v>40740016</v>
      </c>
      <c r="D117" s="370" t="s">
        <v>394</v>
      </c>
      <c r="E117" s="370" t="s">
        <v>354</v>
      </c>
      <c r="F117" s="371" t="s">
        <v>993</v>
      </c>
      <c r="G117" s="10">
        <v>15</v>
      </c>
      <c r="H117" s="14">
        <v>15</v>
      </c>
    </row>
    <row r="118" spans="2:8" ht="15.75" x14ac:dyDescent="0.25">
      <c r="B118" s="10" t="s">
        <v>541</v>
      </c>
      <c r="C118" s="370">
        <v>40740017</v>
      </c>
      <c r="D118" s="370" t="s">
        <v>394</v>
      </c>
      <c r="E118" s="370" t="s">
        <v>354</v>
      </c>
      <c r="F118" s="371" t="s">
        <v>993</v>
      </c>
      <c r="G118" s="10">
        <v>15</v>
      </c>
      <c r="H118" s="14">
        <v>15</v>
      </c>
    </row>
    <row r="119" spans="2:8" ht="15.75" x14ac:dyDescent="0.25">
      <c r="B119" s="10" t="s">
        <v>542</v>
      </c>
      <c r="C119" s="370">
        <v>43200001</v>
      </c>
      <c r="D119" s="370" t="s">
        <v>424</v>
      </c>
      <c r="E119" s="370" t="s">
        <v>543</v>
      </c>
      <c r="F119" s="371" t="s">
        <v>983</v>
      </c>
      <c r="G119" s="10">
        <v>20</v>
      </c>
      <c r="H119" s="14">
        <v>20</v>
      </c>
    </row>
    <row r="120" spans="2:8" ht="15.75" x14ac:dyDescent="0.25">
      <c r="B120" s="10" t="s">
        <v>544</v>
      </c>
      <c r="C120" s="370">
        <v>43200002</v>
      </c>
      <c r="D120" s="370" t="s">
        <v>424</v>
      </c>
      <c r="E120" s="370" t="s">
        <v>543</v>
      </c>
      <c r="F120" s="371" t="s">
        <v>983</v>
      </c>
      <c r="G120" s="10">
        <v>20</v>
      </c>
      <c r="H120" s="14">
        <v>20</v>
      </c>
    </row>
    <row r="121" spans="2:8" ht="15.75" x14ac:dyDescent="0.25">
      <c r="B121" s="10" t="s">
        <v>545</v>
      </c>
      <c r="C121" s="370">
        <v>43200003</v>
      </c>
      <c r="D121" s="370" t="s">
        <v>424</v>
      </c>
      <c r="E121" s="370" t="s">
        <v>543</v>
      </c>
      <c r="F121" s="371" t="s">
        <v>983</v>
      </c>
      <c r="G121" s="10">
        <v>20</v>
      </c>
      <c r="H121" s="14">
        <v>20</v>
      </c>
    </row>
    <row r="122" spans="2:8" ht="15.75" x14ac:dyDescent="0.25">
      <c r="B122" s="10" t="s">
        <v>546</v>
      </c>
      <c r="C122" s="370">
        <v>43200004</v>
      </c>
      <c r="D122" s="370" t="s">
        <v>424</v>
      </c>
      <c r="E122" s="370" t="s">
        <v>543</v>
      </c>
      <c r="F122" s="371" t="s">
        <v>983</v>
      </c>
      <c r="G122" s="10">
        <v>20</v>
      </c>
      <c r="H122" s="14">
        <v>20</v>
      </c>
    </row>
    <row r="123" spans="2:8" ht="15.75" x14ac:dyDescent="0.25">
      <c r="B123" s="10" t="s">
        <v>547</v>
      </c>
      <c r="C123" s="370">
        <v>43200005</v>
      </c>
      <c r="D123" s="370" t="s">
        <v>424</v>
      </c>
      <c r="E123" s="370" t="s">
        <v>543</v>
      </c>
      <c r="F123" s="371" t="s">
        <v>983</v>
      </c>
      <c r="G123" s="10">
        <v>20</v>
      </c>
      <c r="H123" s="14">
        <v>20</v>
      </c>
    </row>
    <row r="124" spans="2:8" ht="15.75" x14ac:dyDescent="0.25">
      <c r="B124" s="10" t="s">
        <v>548</v>
      </c>
      <c r="C124" s="370">
        <v>43200006</v>
      </c>
      <c r="D124" s="370" t="s">
        <v>424</v>
      </c>
      <c r="E124" s="370" t="s">
        <v>543</v>
      </c>
      <c r="F124" s="371" t="s">
        <v>983</v>
      </c>
      <c r="G124" s="10">
        <v>20</v>
      </c>
      <c r="H124" s="14">
        <v>20</v>
      </c>
    </row>
    <row r="125" spans="2:8" ht="15.75" x14ac:dyDescent="0.25">
      <c r="B125" s="10" t="s">
        <v>549</v>
      </c>
      <c r="C125" s="370">
        <v>41813007</v>
      </c>
      <c r="D125" s="370" t="s">
        <v>353</v>
      </c>
      <c r="E125" s="370" t="s">
        <v>550</v>
      </c>
      <c r="F125" s="371" t="s">
        <v>983</v>
      </c>
      <c r="G125" s="10">
        <v>15</v>
      </c>
      <c r="H125" s="14">
        <v>15</v>
      </c>
    </row>
    <row r="126" spans="2:8" ht="15.75" x14ac:dyDescent="0.25">
      <c r="B126" s="10" t="s">
        <v>551</v>
      </c>
      <c r="C126" s="370">
        <v>41813006</v>
      </c>
      <c r="D126" s="370" t="s">
        <v>353</v>
      </c>
      <c r="E126" s="370" t="s">
        <v>550</v>
      </c>
      <c r="F126" s="371" t="s">
        <v>983</v>
      </c>
      <c r="G126" s="10">
        <v>15</v>
      </c>
      <c r="H126" s="14">
        <v>15</v>
      </c>
    </row>
    <row r="127" spans="2:8" ht="15.75" x14ac:dyDescent="0.25">
      <c r="B127" s="372" t="s">
        <v>552</v>
      </c>
      <c r="C127" s="370">
        <v>41815007</v>
      </c>
      <c r="D127" s="370" t="s">
        <v>353</v>
      </c>
      <c r="E127" s="370" t="s">
        <v>553</v>
      </c>
      <c r="F127" s="371" t="s">
        <v>983</v>
      </c>
      <c r="G127" s="10">
        <v>5</v>
      </c>
      <c r="H127" s="14">
        <v>5</v>
      </c>
    </row>
    <row r="128" spans="2:8" ht="15.75" x14ac:dyDescent="0.25">
      <c r="B128" s="372" t="s">
        <v>554</v>
      </c>
      <c r="C128" s="370">
        <v>41815006</v>
      </c>
      <c r="D128" s="370" t="s">
        <v>353</v>
      </c>
      <c r="E128" s="370" t="s">
        <v>553</v>
      </c>
      <c r="F128" s="371" t="s">
        <v>983</v>
      </c>
      <c r="G128" s="10">
        <v>5</v>
      </c>
      <c r="H128" s="14">
        <v>5</v>
      </c>
    </row>
    <row r="129" spans="2:8" ht="15.75" x14ac:dyDescent="0.25">
      <c r="B129" s="10" t="s">
        <v>555</v>
      </c>
      <c r="C129" s="370">
        <v>41851001</v>
      </c>
      <c r="D129" s="370" t="s">
        <v>353</v>
      </c>
      <c r="E129" s="370" t="s">
        <v>543</v>
      </c>
      <c r="F129" s="371" t="s">
        <v>983</v>
      </c>
      <c r="G129" s="10">
        <v>18</v>
      </c>
      <c r="H129" s="14">
        <v>20</v>
      </c>
    </row>
    <row r="130" spans="2:8" ht="15.75" x14ac:dyDescent="0.25">
      <c r="B130" s="10" t="s">
        <v>556</v>
      </c>
      <c r="C130" s="370">
        <v>41851002</v>
      </c>
      <c r="D130" s="370" t="s">
        <v>353</v>
      </c>
      <c r="E130" s="370" t="s">
        <v>543</v>
      </c>
      <c r="F130" s="371" t="s">
        <v>983</v>
      </c>
      <c r="G130" s="10">
        <v>18</v>
      </c>
      <c r="H130" s="14">
        <v>20</v>
      </c>
    </row>
    <row r="131" spans="2:8" ht="15.75" x14ac:dyDescent="0.25">
      <c r="B131" s="10" t="s">
        <v>557</v>
      </c>
      <c r="C131" s="370">
        <v>41851003</v>
      </c>
      <c r="D131" s="370" t="s">
        <v>353</v>
      </c>
      <c r="E131" s="370" t="s">
        <v>543</v>
      </c>
      <c r="F131" s="371" t="s">
        <v>983</v>
      </c>
      <c r="G131" s="10">
        <v>18</v>
      </c>
      <c r="H131" s="14">
        <v>20</v>
      </c>
    </row>
    <row r="132" spans="2:8" ht="15.75" x14ac:dyDescent="0.25">
      <c r="B132" s="10" t="s">
        <v>558</v>
      </c>
      <c r="C132" s="370">
        <v>41851004</v>
      </c>
      <c r="D132" s="370" t="s">
        <v>353</v>
      </c>
      <c r="E132" s="370" t="s">
        <v>543</v>
      </c>
      <c r="F132" s="371" t="s">
        <v>983</v>
      </c>
      <c r="G132" s="10">
        <v>18</v>
      </c>
      <c r="H132" s="14">
        <v>20</v>
      </c>
    </row>
    <row r="133" spans="2:8" ht="15.75" x14ac:dyDescent="0.25">
      <c r="B133" s="10" t="s">
        <v>559</v>
      </c>
      <c r="C133" s="370">
        <v>41851008</v>
      </c>
      <c r="D133" s="370" t="s">
        <v>353</v>
      </c>
      <c r="E133" s="370" t="s">
        <v>543</v>
      </c>
      <c r="F133" s="371" t="s">
        <v>993</v>
      </c>
      <c r="G133" s="10">
        <v>18</v>
      </c>
      <c r="H133" s="14">
        <v>20</v>
      </c>
    </row>
    <row r="134" spans="2:8" ht="15.75" x14ac:dyDescent="0.25">
      <c r="B134" s="10" t="s">
        <v>560</v>
      </c>
      <c r="C134" s="370">
        <v>41851012</v>
      </c>
      <c r="D134" s="370" t="s">
        <v>353</v>
      </c>
      <c r="E134" s="370" t="s">
        <v>543</v>
      </c>
      <c r="F134" s="371" t="s">
        <v>993</v>
      </c>
      <c r="G134" s="10">
        <v>18</v>
      </c>
      <c r="H134" s="14">
        <v>20</v>
      </c>
    </row>
    <row r="135" spans="2:8" ht="15.75" x14ac:dyDescent="0.25">
      <c r="B135" s="10" t="s">
        <v>561</v>
      </c>
      <c r="C135" s="370">
        <v>41851007</v>
      </c>
      <c r="D135" s="370" t="s">
        <v>353</v>
      </c>
      <c r="E135" s="370" t="s">
        <v>543</v>
      </c>
      <c r="F135" s="371" t="s">
        <v>993</v>
      </c>
      <c r="G135" s="10">
        <v>18</v>
      </c>
      <c r="H135" s="14">
        <v>20</v>
      </c>
    </row>
    <row r="136" spans="2:8" ht="15.75" x14ac:dyDescent="0.25">
      <c r="B136" s="10" t="s">
        <v>562</v>
      </c>
      <c r="C136" s="370">
        <v>41851011</v>
      </c>
      <c r="D136" s="370" t="s">
        <v>353</v>
      </c>
      <c r="E136" s="370" t="s">
        <v>543</v>
      </c>
      <c r="F136" s="371" t="s">
        <v>993</v>
      </c>
      <c r="G136" s="10">
        <v>18</v>
      </c>
      <c r="H136" s="14">
        <v>20</v>
      </c>
    </row>
    <row r="137" spans="2:8" ht="15.75" x14ac:dyDescent="0.25">
      <c r="B137" s="10" t="s">
        <v>563</v>
      </c>
      <c r="C137" s="370">
        <v>41851009</v>
      </c>
      <c r="D137" s="370" t="s">
        <v>353</v>
      </c>
      <c r="E137" s="370" t="s">
        <v>543</v>
      </c>
      <c r="F137" s="371" t="s">
        <v>993</v>
      </c>
      <c r="G137" s="10">
        <v>18</v>
      </c>
      <c r="H137" s="14">
        <v>20</v>
      </c>
    </row>
    <row r="138" spans="2:8" ht="15.75" x14ac:dyDescent="0.25">
      <c r="B138" s="10" t="s">
        <v>564</v>
      </c>
      <c r="C138" s="370">
        <v>41851013</v>
      </c>
      <c r="D138" s="370" t="s">
        <v>353</v>
      </c>
      <c r="E138" s="370" t="s">
        <v>543</v>
      </c>
      <c r="F138" s="371" t="s">
        <v>993</v>
      </c>
      <c r="G138" s="10">
        <v>18</v>
      </c>
      <c r="H138" s="14">
        <v>20</v>
      </c>
    </row>
    <row r="139" spans="2:8" ht="15.75" x14ac:dyDescent="0.25">
      <c r="B139" s="10" t="s">
        <v>565</v>
      </c>
      <c r="C139" s="370">
        <v>41851010</v>
      </c>
      <c r="D139" s="370" t="s">
        <v>353</v>
      </c>
      <c r="E139" s="370" t="s">
        <v>543</v>
      </c>
      <c r="F139" s="371" t="s">
        <v>993</v>
      </c>
      <c r="G139" s="10">
        <v>18</v>
      </c>
      <c r="H139" s="14">
        <v>20</v>
      </c>
    </row>
    <row r="140" spans="2:8" ht="15.75" x14ac:dyDescent="0.25">
      <c r="B140" s="10" t="s">
        <v>566</v>
      </c>
      <c r="C140" s="370">
        <v>41851014</v>
      </c>
      <c r="D140" s="370" t="s">
        <v>353</v>
      </c>
      <c r="E140" s="370" t="s">
        <v>543</v>
      </c>
      <c r="F140" s="371" t="s">
        <v>993</v>
      </c>
      <c r="G140" s="10">
        <v>18</v>
      </c>
      <c r="H140" s="14">
        <v>20</v>
      </c>
    </row>
    <row r="141" spans="2:8" ht="15.75" x14ac:dyDescent="0.25">
      <c r="B141" s="10" t="s">
        <v>252</v>
      </c>
      <c r="C141" s="370">
        <v>40300001</v>
      </c>
      <c r="D141" s="370" t="s">
        <v>359</v>
      </c>
      <c r="E141" s="370" t="s">
        <v>567</v>
      </c>
      <c r="F141" s="371" t="s">
        <v>983</v>
      </c>
      <c r="G141" s="10">
        <v>20</v>
      </c>
      <c r="H141" s="14">
        <v>20</v>
      </c>
    </row>
    <row r="142" spans="2:8" ht="15.75" x14ac:dyDescent="0.25">
      <c r="B142" s="10" t="s">
        <v>568</v>
      </c>
      <c r="C142" s="370">
        <v>40310017</v>
      </c>
      <c r="D142" s="370" t="s">
        <v>359</v>
      </c>
      <c r="E142" s="370" t="s">
        <v>360</v>
      </c>
      <c r="F142" s="371" t="s">
        <v>983</v>
      </c>
      <c r="G142" s="10">
        <v>20</v>
      </c>
      <c r="H142" s="14">
        <v>20</v>
      </c>
    </row>
    <row r="143" spans="2:8" ht="15.75" x14ac:dyDescent="0.25">
      <c r="B143" s="10" t="s">
        <v>569</v>
      </c>
      <c r="C143" s="370">
        <v>41500015</v>
      </c>
      <c r="D143" s="370" t="s">
        <v>514</v>
      </c>
      <c r="E143" s="370" t="s">
        <v>512</v>
      </c>
      <c r="F143" s="371" t="s">
        <v>447</v>
      </c>
      <c r="G143" s="10">
        <v>20</v>
      </c>
      <c r="H143" s="14">
        <v>20</v>
      </c>
    </row>
    <row r="144" spans="2:8" ht="15.75" x14ac:dyDescent="0.25">
      <c r="B144" s="10" t="s">
        <v>1018</v>
      </c>
      <c r="C144" s="370">
        <v>40740033</v>
      </c>
      <c r="D144" s="370" t="s">
        <v>394</v>
      </c>
      <c r="E144" s="370" t="s">
        <v>354</v>
      </c>
      <c r="F144" s="371" t="s">
        <v>983</v>
      </c>
      <c r="G144" s="10">
        <v>23</v>
      </c>
      <c r="H144" s="14">
        <v>25</v>
      </c>
    </row>
    <row r="145" spans="2:8" ht="15.75" x14ac:dyDescent="0.25">
      <c r="B145" s="10" t="s">
        <v>1019</v>
      </c>
      <c r="C145" s="370">
        <v>40740034</v>
      </c>
      <c r="D145" s="370" t="s">
        <v>394</v>
      </c>
      <c r="E145" s="370" t="s">
        <v>354</v>
      </c>
      <c r="F145" s="371" t="s">
        <v>983</v>
      </c>
      <c r="G145" s="10">
        <v>23</v>
      </c>
      <c r="H145" s="14">
        <v>25</v>
      </c>
    </row>
    <row r="146" spans="2:8" ht="15.75" x14ac:dyDescent="0.25">
      <c r="B146" s="10" t="s">
        <v>1020</v>
      </c>
      <c r="C146" s="370">
        <v>40740035</v>
      </c>
      <c r="D146" s="370" t="s">
        <v>394</v>
      </c>
      <c r="E146" s="370" t="s">
        <v>354</v>
      </c>
      <c r="F146" s="371" t="s">
        <v>983</v>
      </c>
      <c r="G146" s="10">
        <v>23</v>
      </c>
      <c r="H146" s="14">
        <v>25</v>
      </c>
    </row>
    <row r="147" spans="2:8" ht="15.75" x14ac:dyDescent="0.25">
      <c r="B147" s="10" t="s">
        <v>229</v>
      </c>
      <c r="C147" s="370">
        <v>40740007</v>
      </c>
      <c r="D147" s="370" t="s">
        <v>394</v>
      </c>
      <c r="E147" s="370" t="s">
        <v>354</v>
      </c>
      <c r="F147" s="371" t="s">
        <v>983</v>
      </c>
      <c r="G147" s="10">
        <v>23</v>
      </c>
      <c r="H147" s="14">
        <v>25</v>
      </c>
    </row>
    <row r="148" spans="2:8" ht="15.75" x14ac:dyDescent="0.25">
      <c r="B148" s="10" t="s">
        <v>228</v>
      </c>
      <c r="C148" s="370">
        <v>40740009</v>
      </c>
      <c r="D148" s="370" t="s">
        <v>394</v>
      </c>
      <c r="E148" s="370" t="s">
        <v>354</v>
      </c>
      <c r="F148" s="371" t="s">
        <v>983</v>
      </c>
      <c r="G148" s="10">
        <v>23</v>
      </c>
      <c r="H148" s="14">
        <v>25</v>
      </c>
    </row>
    <row r="149" spans="2:8" ht="15.75" x14ac:dyDescent="0.25">
      <c r="B149" s="10" t="s">
        <v>236</v>
      </c>
      <c r="C149" s="370">
        <v>40740008</v>
      </c>
      <c r="D149" s="370" t="s">
        <v>394</v>
      </c>
      <c r="E149" s="370" t="s">
        <v>354</v>
      </c>
      <c r="F149" s="371" t="s">
        <v>983</v>
      </c>
      <c r="G149" s="10">
        <v>23</v>
      </c>
      <c r="H149" s="14">
        <v>25</v>
      </c>
    </row>
    <row r="150" spans="2:8" ht="15.75" x14ac:dyDescent="0.25">
      <c r="B150" s="10" t="s">
        <v>570</v>
      </c>
      <c r="C150" s="370">
        <v>40410005</v>
      </c>
      <c r="D150" s="370" t="s">
        <v>571</v>
      </c>
      <c r="E150" s="370" t="s">
        <v>354</v>
      </c>
      <c r="F150" s="371" t="s">
        <v>983</v>
      </c>
      <c r="G150" s="10">
        <v>25</v>
      </c>
      <c r="H150" s="14">
        <v>25</v>
      </c>
    </row>
    <row r="151" spans="2:8" ht="15.75" x14ac:dyDescent="0.25">
      <c r="B151" s="10" t="s">
        <v>572</v>
      </c>
      <c r="C151" s="370">
        <v>40410001</v>
      </c>
      <c r="D151" s="370" t="s">
        <v>571</v>
      </c>
      <c r="E151" s="370" t="s">
        <v>354</v>
      </c>
      <c r="F151" s="371" t="s">
        <v>983</v>
      </c>
      <c r="G151" s="10">
        <v>25</v>
      </c>
      <c r="H151" s="14">
        <v>25</v>
      </c>
    </row>
    <row r="152" spans="2:8" ht="15.75" x14ac:dyDescent="0.25">
      <c r="B152" s="10" t="s">
        <v>573</v>
      </c>
      <c r="C152" s="370">
        <v>40750001</v>
      </c>
      <c r="D152" s="370" t="s">
        <v>574</v>
      </c>
      <c r="E152" s="370" t="s">
        <v>354</v>
      </c>
      <c r="F152" s="371" t="s">
        <v>993</v>
      </c>
      <c r="G152" s="10">
        <v>25</v>
      </c>
      <c r="H152" s="14">
        <v>25</v>
      </c>
    </row>
    <row r="153" spans="2:8" ht="15.75" x14ac:dyDescent="0.25">
      <c r="B153" s="10" t="s">
        <v>575</v>
      </c>
      <c r="C153" s="370">
        <v>40750002</v>
      </c>
      <c r="D153" s="370" t="s">
        <v>574</v>
      </c>
      <c r="E153" s="370" t="s">
        <v>354</v>
      </c>
      <c r="F153" s="371" t="s">
        <v>993</v>
      </c>
      <c r="G153" s="10">
        <v>25</v>
      </c>
      <c r="H153" s="14">
        <v>25</v>
      </c>
    </row>
    <row r="154" spans="2:8" ht="15.75" x14ac:dyDescent="0.25">
      <c r="B154" s="10" t="s">
        <v>576</v>
      </c>
      <c r="C154" s="370">
        <v>40700064</v>
      </c>
      <c r="D154" s="370" t="s">
        <v>394</v>
      </c>
      <c r="E154" s="370" t="s">
        <v>354</v>
      </c>
      <c r="F154" s="371" t="s">
        <v>983</v>
      </c>
      <c r="G154" s="10">
        <v>23</v>
      </c>
      <c r="H154" s="14">
        <v>25</v>
      </c>
    </row>
    <row r="155" spans="2:8" ht="15.75" x14ac:dyDescent="0.25">
      <c r="B155" s="10" t="s">
        <v>577</v>
      </c>
      <c r="C155" s="370">
        <v>40700072</v>
      </c>
      <c r="D155" s="370" t="s">
        <v>394</v>
      </c>
      <c r="E155" s="370" t="s">
        <v>354</v>
      </c>
      <c r="F155" s="371" t="s">
        <v>993</v>
      </c>
      <c r="G155" s="10">
        <v>25</v>
      </c>
      <c r="H155" s="14">
        <v>25</v>
      </c>
    </row>
    <row r="156" spans="2:8" ht="15.75" x14ac:dyDescent="0.25">
      <c r="B156" s="10" t="s">
        <v>578</v>
      </c>
      <c r="C156" s="370">
        <v>40700074</v>
      </c>
      <c r="D156" s="370" t="s">
        <v>394</v>
      </c>
      <c r="E156" s="370" t="s">
        <v>354</v>
      </c>
      <c r="F156" s="371" t="s">
        <v>993</v>
      </c>
      <c r="G156" s="10">
        <v>25</v>
      </c>
      <c r="H156" s="14">
        <v>25</v>
      </c>
    </row>
    <row r="157" spans="2:8" ht="15.75" x14ac:dyDescent="0.25">
      <c r="B157" s="10" t="s">
        <v>579</v>
      </c>
      <c r="C157" s="370">
        <v>40700073</v>
      </c>
      <c r="D157" s="370" t="s">
        <v>394</v>
      </c>
      <c r="E157" s="370" t="s">
        <v>354</v>
      </c>
      <c r="F157" s="371" t="s">
        <v>993</v>
      </c>
      <c r="G157" s="10">
        <v>25</v>
      </c>
      <c r="H157" s="14">
        <v>25</v>
      </c>
    </row>
    <row r="158" spans="2:8" ht="15.75" x14ac:dyDescent="0.25">
      <c r="B158" s="10" t="s">
        <v>580</v>
      </c>
      <c r="C158" s="370">
        <v>40700075</v>
      </c>
      <c r="D158" s="370" t="s">
        <v>394</v>
      </c>
      <c r="E158" s="370" t="s">
        <v>354</v>
      </c>
      <c r="F158" s="371" t="s">
        <v>993</v>
      </c>
      <c r="G158" s="10">
        <v>25</v>
      </c>
      <c r="H158" s="14">
        <v>25</v>
      </c>
    </row>
    <row r="159" spans="2:8" ht="15.75" x14ac:dyDescent="0.25">
      <c r="B159" s="10" t="s">
        <v>581</v>
      </c>
      <c r="C159" s="370">
        <v>40700076</v>
      </c>
      <c r="D159" s="370" t="s">
        <v>394</v>
      </c>
      <c r="E159" s="370" t="s">
        <v>354</v>
      </c>
      <c r="F159" s="371" t="s">
        <v>993</v>
      </c>
      <c r="G159" s="10">
        <v>25</v>
      </c>
      <c r="H159" s="14">
        <v>25</v>
      </c>
    </row>
    <row r="160" spans="2:8" ht="15.75" x14ac:dyDescent="0.25">
      <c r="B160" s="10" t="s">
        <v>582</v>
      </c>
      <c r="C160" s="370">
        <v>40700070</v>
      </c>
      <c r="D160" s="370" t="s">
        <v>394</v>
      </c>
      <c r="E160" s="370" t="s">
        <v>354</v>
      </c>
      <c r="F160" s="371" t="s">
        <v>993</v>
      </c>
      <c r="G160" s="10">
        <v>25</v>
      </c>
      <c r="H160" s="14">
        <v>25</v>
      </c>
    </row>
    <row r="161" spans="2:8" ht="15.75" x14ac:dyDescent="0.25">
      <c r="B161" s="10" t="s">
        <v>529</v>
      </c>
      <c r="C161" s="370">
        <v>40700071</v>
      </c>
      <c r="D161" s="370" t="s">
        <v>394</v>
      </c>
      <c r="E161" s="370" t="s">
        <v>354</v>
      </c>
      <c r="F161" s="371" t="s">
        <v>993</v>
      </c>
      <c r="G161" s="10">
        <v>25</v>
      </c>
      <c r="H161" s="14">
        <v>25</v>
      </c>
    </row>
    <row r="162" spans="2:8" ht="15.75" x14ac:dyDescent="0.25">
      <c r="B162" s="10" t="s">
        <v>583</v>
      </c>
      <c r="C162" s="370">
        <v>40710001</v>
      </c>
      <c r="D162" s="370" t="s">
        <v>394</v>
      </c>
      <c r="E162" s="370" t="s">
        <v>354</v>
      </c>
      <c r="F162" s="371" t="s">
        <v>993</v>
      </c>
      <c r="G162" s="10">
        <v>25</v>
      </c>
      <c r="H162" s="14">
        <v>25</v>
      </c>
    </row>
    <row r="163" spans="2:8" ht="15.75" x14ac:dyDescent="0.25">
      <c r="B163" s="10" t="s">
        <v>584</v>
      </c>
      <c r="C163" s="370">
        <v>40700069</v>
      </c>
      <c r="D163" s="370" t="s">
        <v>394</v>
      </c>
      <c r="E163" s="370" t="s">
        <v>354</v>
      </c>
      <c r="F163" s="371" t="s">
        <v>993</v>
      </c>
      <c r="G163" s="10">
        <v>25</v>
      </c>
      <c r="H163" s="14">
        <v>25</v>
      </c>
    </row>
    <row r="164" spans="2:8" ht="15.75" x14ac:dyDescent="0.25">
      <c r="B164" s="10" t="s">
        <v>585</v>
      </c>
      <c r="C164" s="370">
        <v>40700137</v>
      </c>
      <c r="D164" s="370" t="s">
        <v>394</v>
      </c>
      <c r="E164" s="370" t="s">
        <v>354</v>
      </c>
      <c r="F164" s="371" t="s">
        <v>993</v>
      </c>
      <c r="G164" s="10">
        <v>25</v>
      </c>
      <c r="H164" s="14">
        <v>25</v>
      </c>
    </row>
    <row r="165" spans="2:8" ht="15.75" x14ac:dyDescent="0.25">
      <c r="B165" s="10" t="s">
        <v>586</v>
      </c>
      <c r="C165" s="370">
        <v>40700138</v>
      </c>
      <c r="D165" s="370" t="s">
        <v>394</v>
      </c>
      <c r="E165" s="370" t="s">
        <v>354</v>
      </c>
      <c r="F165" s="371" t="s">
        <v>993</v>
      </c>
      <c r="G165" s="10">
        <v>25</v>
      </c>
      <c r="H165" s="14">
        <v>25</v>
      </c>
    </row>
    <row r="166" spans="2:8" ht="15.75" x14ac:dyDescent="0.25">
      <c r="B166" s="10" t="s">
        <v>587</v>
      </c>
      <c r="C166" s="370">
        <v>40700139</v>
      </c>
      <c r="D166" s="370" t="s">
        <v>394</v>
      </c>
      <c r="E166" s="370" t="s">
        <v>354</v>
      </c>
      <c r="F166" s="371" t="s">
        <v>993</v>
      </c>
      <c r="G166" s="10">
        <v>25</v>
      </c>
      <c r="H166" s="14">
        <v>25</v>
      </c>
    </row>
    <row r="167" spans="2:8" ht="15.75" x14ac:dyDescent="0.25">
      <c r="B167" s="10" t="s">
        <v>588</v>
      </c>
      <c r="C167" s="370">
        <v>40700140</v>
      </c>
      <c r="D167" s="370" t="s">
        <v>394</v>
      </c>
      <c r="E167" s="370" t="s">
        <v>354</v>
      </c>
      <c r="F167" s="371" t="s">
        <v>993</v>
      </c>
      <c r="G167" s="10">
        <v>25</v>
      </c>
      <c r="H167" s="14">
        <v>25</v>
      </c>
    </row>
    <row r="168" spans="2:8" ht="15.75" x14ac:dyDescent="0.25">
      <c r="B168" s="10" t="s">
        <v>589</v>
      </c>
      <c r="C168" s="370">
        <v>40700141</v>
      </c>
      <c r="D168" s="370" t="s">
        <v>394</v>
      </c>
      <c r="E168" s="370" t="s">
        <v>354</v>
      </c>
      <c r="F168" s="371" t="s">
        <v>993</v>
      </c>
      <c r="G168" s="10">
        <v>25</v>
      </c>
      <c r="H168" s="14">
        <v>25</v>
      </c>
    </row>
    <row r="169" spans="2:8" ht="15.75" x14ac:dyDescent="0.25">
      <c r="B169" s="10" t="s">
        <v>590</v>
      </c>
      <c r="C169" s="370">
        <v>40700038</v>
      </c>
      <c r="D169" s="370" t="s">
        <v>394</v>
      </c>
      <c r="E169" s="370" t="s">
        <v>354</v>
      </c>
      <c r="F169" s="371" t="s">
        <v>993</v>
      </c>
      <c r="G169" s="10">
        <v>25</v>
      </c>
      <c r="H169" s="14">
        <v>25</v>
      </c>
    </row>
    <row r="170" spans="2:8" ht="15.75" x14ac:dyDescent="0.25">
      <c r="B170" s="10" t="s">
        <v>1021</v>
      </c>
      <c r="C170" s="370">
        <v>40700039</v>
      </c>
      <c r="D170" s="370" t="s">
        <v>394</v>
      </c>
      <c r="E170" s="370" t="s">
        <v>354</v>
      </c>
      <c r="F170" s="371" t="s">
        <v>993</v>
      </c>
      <c r="G170" s="10">
        <v>25</v>
      </c>
      <c r="H170" s="14">
        <v>25</v>
      </c>
    </row>
    <row r="171" spans="2:8" ht="15.75" x14ac:dyDescent="0.25">
      <c r="B171" s="10" t="s">
        <v>1022</v>
      </c>
      <c r="C171" s="370">
        <v>40700040</v>
      </c>
      <c r="D171" s="370" t="s">
        <v>394</v>
      </c>
      <c r="E171" s="370" t="s">
        <v>354</v>
      </c>
      <c r="F171" s="371" t="s">
        <v>993</v>
      </c>
      <c r="G171" s="10">
        <v>25</v>
      </c>
      <c r="H171" s="14">
        <v>25</v>
      </c>
    </row>
    <row r="172" spans="2:8" ht="15.75" x14ac:dyDescent="0.25">
      <c r="B172" s="10" t="s">
        <v>591</v>
      </c>
      <c r="C172" s="370">
        <v>40700027</v>
      </c>
      <c r="D172" s="370" t="s">
        <v>394</v>
      </c>
      <c r="E172" s="370" t="s">
        <v>354</v>
      </c>
      <c r="F172" s="371" t="s">
        <v>993</v>
      </c>
      <c r="G172" s="10">
        <v>25</v>
      </c>
      <c r="H172" s="14">
        <v>25</v>
      </c>
    </row>
    <row r="173" spans="2:8" ht="15.75" x14ac:dyDescent="0.25">
      <c r="B173" s="10" t="s">
        <v>592</v>
      </c>
      <c r="C173" s="370">
        <v>40700037</v>
      </c>
      <c r="D173" s="370" t="s">
        <v>394</v>
      </c>
      <c r="E173" s="370" t="s">
        <v>354</v>
      </c>
      <c r="F173" s="371" t="s">
        <v>993</v>
      </c>
      <c r="G173" s="10">
        <v>25</v>
      </c>
      <c r="H173" s="14">
        <v>25</v>
      </c>
    </row>
    <row r="174" spans="2:8" ht="15.75" x14ac:dyDescent="0.25">
      <c r="B174" s="10" t="s">
        <v>231</v>
      </c>
      <c r="C174" s="370">
        <v>40700079</v>
      </c>
      <c r="D174" s="370" t="s">
        <v>394</v>
      </c>
      <c r="E174" s="370" t="s">
        <v>354</v>
      </c>
      <c r="F174" s="371" t="s">
        <v>993</v>
      </c>
      <c r="G174" s="10">
        <v>25</v>
      </c>
      <c r="H174" s="14">
        <v>25</v>
      </c>
    </row>
    <row r="175" spans="2:8" ht="15.75" x14ac:dyDescent="0.25">
      <c r="B175" s="10" t="s">
        <v>593</v>
      </c>
      <c r="C175" s="370">
        <v>40700078</v>
      </c>
      <c r="D175" s="370" t="s">
        <v>394</v>
      </c>
      <c r="E175" s="370" t="s">
        <v>354</v>
      </c>
      <c r="F175" s="371" t="s">
        <v>993</v>
      </c>
      <c r="G175" s="10">
        <v>25</v>
      </c>
      <c r="H175" s="14">
        <v>25</v>
      </c>
    </row>
    <row r="176" spans="2:8" ht="15.75" x14ac:dyDescent="0.25">
      <c r="B176" s="10" t="s">
        <v>230</v>
      </c>
      <c r="C176" s="370">
        <v>40700084</v>
      </c>
      <c r="D176" s="370" t="s">
        <v>394</v>
      </c>
      <c r="E176" s="370" t="s">
        <v>354</v>
      </c>
      <c r="F176" s="371" t="s">
        <v>993</v>
      </c>
      <c r="G176" s="10">
        <v>25</v>
      </c>
      <c r="H176" s="14">
        <v>25</v>
      </c>
    </row>
    <row r="177" spans="2:8" ht="15.75" x14ac:dyDescent="0.25">
      <c r="B177" s="10" t="s">
        <v>594</v>
      </c>
      <c r="C177" s="370">
        <v>40700080</v>
      </c>
      <c r="D177" s="370" t="s">
        <v>394</v>
      </c>
      <c r="E177" s="370" t="s">
        <v>354</v>
      </c>
      <c r="F177" s="371" t="s">
        <v>993</v>
      </c>
      <c r="G177" s="10">
        <v>25</v>
      </c>
      <c r="H177" s="14">
        <v>25</v>
      </c>
    </row>
    <row r="178" spans="2:8" ht="15.75" x14ac:dyDescent="0.25">
      <c r="B178" s="10" t="s">
        <v>238</v>
      </c>
      <c r="C178" s="370">
        <v>40700077</v>
      </c>
      <c r="D178" s="370" t="s">
        <v>394</v>
      </c>
      <c r="E178" s="370" t="s">
        <v>354</v>
      </c>
      <c r="F178" s="371" t="s">
        <v>993</v>
      </c>
      <c r="G178" s="10">
        <v>25</v>
      </c>
      <c r="H178" s="14">
        <v>25</v>
      </c>
    </row>
    <row r="179" spans="2:8" ht="15.75" x14ac:dyDescent="0.25">
      <c r="B179" s="10" t="s">
        <v>595</v>
      </c>
      <c r="C179" s="370">
        <v>40700123</v>
      </c>
      <c r="D179" s="370" t="s">
        <v>394</v>
      </c>
      <c r="E179" s="370" t="s">
        <v>354</v>
      </c>
      <c r="F179" s="371" t="s">
        <v>993</v>
      </c>
      <c r="G179" s="10">
        <v>25</v>
      </c>
      <c r="H179" s="14">
        <v>25</v>
      </c>
    </row>
    <row r="180" spans="2:8" ht="15.75" x14ac:dyDescent="0.25">
      <c r="B180" s="10" t="s">
        <v>596</v>
      </c>
      <c r="C180" s="370">
        <v>40700146</v>
      </c>
      <c r="D180" s="370" t="s">
        <v>394</v>
      </c>
      <c r="E180" s="370" t="s">
        <v>354</v>
      </c>
      <c r="F180" s="371" t="s">
        <v>993</v>
      </c>
      <c r="G180" s="10">
        <v>25</v>
      </c>
      <c r="H180" s="14">
        <v>25</v>
      </c>
    </row>
    <row r="181" spans="2:8" ht="15.75" x14ac:dyDescent="0.25">
      <c r="B181" s="10" t="s">
        <v>597</v>
      </c>
      <c r="C181" s="370">
        <v>40700124</v>
      </c>
      <c r="D181" s="370" t="s">
        <v>394</v>
      </c>
      <c r="E181" s="370" t="s">
        <v>354</v>
      </c>
      <c r="F181" s="371" t="s">
        <v>993</v>
      </c>
      <c r="G181" s="10">
        <v>25</v>
      </c>
      <c r="H181" s="14">
        <v>25</v>
      </c>
    </row>
    <row r="182" spans="2:8" ht="15.75" x14ac:dyDescent="0.25">
      <c r="B182" s="10" t="s">
        <v>598</v>
      </c>
      <c r="C182" s="370">
        <v>40700150</v>
      </c>
      <c r="D182" s="370" t="s">
        <v>394</v>
      </c>
      <c r="E182" s="370" t="s">
        <v>354</v>
      </c>
      <c r="F182" s="371" t="s">
        <v>993</v>
      </c>
      <c r="G182" s="10">
        <v>25</v>
      </c>
      <c r="H182" s="14">
        <v>25</v>
      </c>
    </row>
    <row r="183" spans="2:8" ht="15.75" x14ac:dyDescent="0.25">
      <c r="B183" s="10" t="s">
        <v>599</v>
      </c>
      <c r="C183" s="370">
        <v>40700145</v>
      </c>
      <c r="D183" s="370" t="s">
        <v>394</v>
      </c>
      <c r="E183" s="370" t="s">
        <v>354</v>
      </c>
      <c r="F183" s="371" t="s">
        <v>993</v>
      </c>
      <c r="G183" s="10">
        <v>25</v>
      </c>
      <c r="H183" s="14">
        <v>25</v>
      </c>
    </row>
    <row r="184" spans="2:8" ht="15.75" x14ac:dyDescent="0.25">
      <c r="B184" s="10" t="s">
        <v>600</v>
      </c>
      <c r="C184" s="370">
        <v>40700125</v>
      </c>
      <c r="D184" s="370" t="s">
        <v>394</v>
      </c>
      <c r="E184" s="370" t="s">
        <v>354</v>
      </c>
      <c r="F184" s="371" t="s">
        <v>993</v>
      </c>
      <c r="G184" s="10">
        <v>25</v>
      </c>
      <c r="H184" s="14">
        <v>25</v>
      </c>
    </row>
    <row r="185" spans="2:8" ht="15.75" x14ac:dyDescent="0.25">
      <c r="B185" s="10" t="s">
        <v>601</v>
      </c>
      <c r="C185" s="370">
        <v>40131001</v>
      </c>
      <c r="D185" s="370" t="s">
        <v>485</v>
      </c>
      <c r="E185" s="370" t="s">
        <v>425</v>
      </c>
      <c r="F185" s="371" t="s">
        <v>983</v>
      </c>
      <c r="G185" s="10">
        <v>30</v>
      </c>
      <c r="H185" s="14">
        <v>30</v>
      </c>
    </row>
    <row r="186" spans="2:8" ht="15.75" x14ac:dyDescent="0.25">
      <c r="B186" s="10" t="s">
        <v>602</v>
      </c>
      <c r="C186" s="370">
        <v>40131002</v>
      </c>
      <c r="D186" s="370" t="s">
        <v>485</v>
      </c>
      <c r="E186" s="370" t="s">
        <v>425</v>
      </c>
      <c r="F186" s="371" t="s">
        <v>983</v>
      </c>
      <c r="G186" s="10">
        <v>30</v>
      </c>
      <c r="H186" s="14">
        <v>30</v>
      </c>
    </row>
    <row r="187" spans="2:8" ht="15.75" x14ac:dyDescent="0.25">
      <c r="B187" s="10" t="s">
        <v>603</v>
      </c>
      <c r="C187" s="370">
        <v>40131003</v>
      </c>
      <c r="D187" s="370" t="s">
        <v>485</v>
      </c>
      <c r="E187" s="370" t="s">
        <v>425</v>
      </c>
      <c r="F187" s="371" t="s">
        <v>983</v>
      </c>
      <c r="G187" s="10">
        <v>30</v>
      </c>
      <c r="H187" s="14">
        <v>30</v>
      </c>
    </row>
    <row r="188" spans="2:8" ht="15.75" x14ac:dyDescent="0.25">
      <c r="B188" s="10" t="s">
        <v>604</v>
      </c>
      <c r="C188" s="370">
        <v>40700147</v>
      </c>
      <c r="D188" s="370" t="s">
        <v>394</v>
      </c>
      <c r="E188" s="370" t="s">
        <v>354</v>
      </c>
      <c r="F188" s="371" t="s">
        <v>983</v>
      </c>
      <c r="G188" s="10">
        <v>30</v>
      </c>
      <c r="H188" s="14">
        <v>30</v>
      </c>
    </row>
    <row r="189" spans="2:8" ht="15.75" x14ac:dyDescent="0.25">
      <c r="B189" s="10" t="s">
        <v>253</v>
      </c>
      <c r="C189" s="370">
        <v>40300002</v>
      </c>
      <c r="D189" s="370" t="s">
        <v>359</v>
      </c>
      <c r="E189" s="370" t="s">
        <v>567</v>
      </c>
      <c r="F189" s="371" t="s">
        <v>983</v>
      </c>
      <c r="G189" s="10">
        <v>35</v>
      </c>
      <c r="H189" s="14">
        <v>40</v>
      </c>
    </row>
    <row r="190" spans="2:8" ht="15.75" x14ac:dyDescent="0.25">
      <c r="B190" s="10" t="s">
        <v>605</v>
      </c>
      <c r="C190" s="370">
        <v>40800006</v>
      </c>
      <c r="D190" s="370" t="s">
        <v>490</v>
      </c>
      <c r="E190" s="370" t="s">
        <v>491</v>
      </c>
      <c r="F190" s="371" t="s">
        <v>447</v>
      </c>
      <c r="G190" s="10">
        <v>40</v>
      </c>
      <c r="H190" s="14">
        <v>40</v>
      </c>
    </row>
    <row r="191" spans="2:8" ht="15.75" x14ac:dyDescent="0.25">
      <c r="B191" s="10" t="s">
        <v>404</v>
      </c>
      <c r="C191" s="370">
        <v>40530007</v>
      </c>
      <c r="D191" s="370" t="s">
        <v>401</v>
      </c>
      <c r="E191" s="370" t="s">
        <v>402</v>
      </c>
      <c r="F191" s="371" t="s">
        <v>983</v>
      </c>
      <c r="G191" s="10">
        <v>40</v>
      </c>
      <c r="H191" s="14">
        <v>40</v>
      </c>
    </row>
    <row r="192" spans="2:8" ht="15.75" x14ac:dyDescent="0.25">
      <c r="B192" s="10" t="s">
        <v>606</v>
      </c>
      <c r="C192" s="370">
        <v>40530001</v>
      </c>
      <c r="D192" s="370" t="s">
        <v>401</v>
      </c>
      <c r="E192" s="370" t="s">
        <v>402</v>
      </c>
      <c r="F192" s="371" t="s">
        <v>983</v>
      </c>
      <c r="G192" s="10">
        <v>40</v>
      </c>
      <c r="H192" s="14">
        <v>40</v>
      </c>
    </row>
    <row r="193" spans="2:8" ht="15.75" x14ac:dyDescent="0.25">
      <c r="B193" s="10" t="s">
        <v>607</v>
      </c>
      <c r="C193" s="370">
        <v>40610004</v>
      </c>
      <c r="D193" s="370" t="s">
        <v>394</v>
      </c>
      <c r="E193" s="370" t="s">
        <v>608</v>
      </c>
      <c r="F193" s="371" t="s">
        <v>983</v>
      </c>
      <c r="G193" s="10">
        <v>45</v>
      </c>
      <c r="H193" s="14">
        <v>50</v>
      </c>
    </row>
    <row r="194" spans="2:8" ht="15.75" x14ac:dyDescent="0.25">
      <c r="B194" s="10" t="s">
        <v>609</v>
      </c>
      <c r="C194" s="370">
        <v>40610003</v>
      </c>
      <c r="D194" s="370" t="s">
        <v>394</v>
      </c>
      <c r="E194" s="370" t="s">
        <v>608</v>
      </c>
      <c r="F194" s="371" t="s">
        <v>983</v>
      </c>
      <c r="G194" s="10">
        <v>45</v>
      </c>
      <c r="H194" s="14">
        <v>50</v>
      </c>
    </row>
    <row r="195" spans="2:8" ht="15.75" x14ac:dyDescent="0.25">
      <c r="B195" s="10" t="s">
        <v>610</v>
      </c>
      <c r="C195" s="370">
        <v>40610002</v>
      </c>
      <c r="D195" s="370" t="s">
        <v>394</v>
      </c>
      <c r="E195" s="370" t="s">
        <v>608</v>
      </c>
      <c r="F195" s="371" t="s">
        <v>983</v>
      </c>
      <c r="G195" s="10">
        <v>45</v>
      </c>
      <c r="H195" s="14">
        <v>50</v>
      </c>
    </row>
    <row r="196" spans="2:8" ht="15.75" x14ac:dyDescent="0.25">
      <c r="B196" s="10" t="s">
        <v>611</v>
      </c>
      <c r="C196" s="370">
        <v>40610001</v>
      </c>
      <c r="D196" s="370" t="s">
        <v>394</v>
      </c>
      <c r="E196" s="370" t="s">
        <v>608</v>
      </c>
      <c r="F196" s="371" t="s">
        <v>983</v>
      </c>
      <c r="G196" s="10">
        <v>45</v>
      </c>
      <c r="H196" s="14">
        <v>50</v>
      </c>
    </row>
    <row r="197" spans="2:8" ht="15.75" x14ac:dyDescent="0.25">
      <c r="B197" s="10" t="s">
        <v>612</v>
      </c>
      <c r="C197" s="370">
        <v>40610005</v>
      </c>
      <c r="D197" s="370" t="s">
        <v>394</v>
      </c>
      <c r="E197" s="370" t="s">
        <v>608</v>
      </c>
      <c r="F197" s="371" t="s">
        <v>983</v>
      </c>
      <c r="G197" s="10">
        <v>45</v>
      </c>
      <c r="H197" s="14">
        <v>50</v>
      </c>
    </row>
    <row r="198" spans="2:8" ht="15.75" x14ac:dyDescent="0.25">
      <c r="B198" s="10" t="s">
        <v>260</v>
      </c>
      <c r="C198" s="370">
        <v>40610006</v>
      </c>
      <c r="D198" s="370" t="s">
        <v>394</v>
      </c>
      <c r="E198" s="370" t="s">
        <v>608</v>
      </c>
      <c r="F198" s="371" t="s">
        <v>983</v>
      </c>
      <c r="G198" s="10">
        <v>45</v>
      </c>
      <c r="H198" s="14">
        <v>50</v>
      </c>
    </row>
    <row r="199" spans="2:8" ht="15.75" x14ac:dyDescent="0.25">
      <c r="B199" s="10" t="s">
        <v>400</v>
      </c>
      <c r="C199" s="370">
        <v>41815004</v>
      </c>
      <c r="D199" s="370" t="s">
        <v>353</v>
      </c>
      <c r="E199" s="370" t="s">
        <v>397</v>
      </c>
      <c r="F199" s="371" t="s">
        <v>983</v>
      </c>
      <c r="G199" s="10">
        <v>50</v>
      </c>
      <c r="H199" s="14">
        <v>50</v>
      </c>
    </row>
    <row r="200" spans="2:8" ht="15.75" x14ac:dyDescent="0.25">
      <c r="B200" s="10" t="s">
        <v>613</v>
      </c>
      <c r="C200" s="370">
        <v>41815002</v>
      </c>
      <c r="D200" s="370" t="s">
        <v>353</v>
      </c>
      <c r="E200" s="370" t="s">
        <v>397</v>
      </c>
      <c r="F200" s="371" t="s">
        <v>983</v>
      </c>
      <c r="G200" s="10">
        <v>50</v>
      </c>
      <c r="H200" s="14">
        <v>50</v>
      </c>
    </row>
    <row r="201" spans="2:8" ht="15.75" x14ac:dyDescent="0.25">
      <c r="B201" s="10" t="s">
        <v>248</v>
      </c>
      <c r="C201" s="370">
        <v>40310015</v>
      </c>
      <c r="D201" s="370" t="s">
        <v>359</v>
      </c>
      <c r="E201" s="370" t="s">
        <v>360</v>
      </c>
      <c r="F201" s="371" t="s">
        <v>983</v>
      </c>
      <c r="G201" s="10">
        <v>50</v>
      </c>
      <c r="H201" s="14">
        <v>50</v>
      </c>
    </row>
    <row r="202" spans="2:8" ht="15.75" x14ac:dyDescent="0.25">
      <c r="B202" s="10" t="s">
        <v>226</v>
      </c>
      <c r="C202" s="370">
        <v>41815001</v>
      </c>
      <c r="D202" s="370" t="s">
        <v>353</v>
      </c>
      <c r="E202" s="370" t="s">
        <v>397</v>
      </c>
      <c r="F202" s="371" t="s">
        <v>983</v>
      </c>
      <c r="G202" s="10">
        <v>50</v>
      </c>
      <c r="H202" s="14">
        <v>50</v>
      </c>
    </row>
    <row r="203" spans="2:8" ht="15.75" x14ac:dyDescent="0.25">
      <c r="B203" s="10" t="s">
        <v>398</v>
      </c>
      <c r="C203" s="370">
        <v>41815003</v>
      </c>
      <c r="D203" s="370" t="s">
        <v>353</v>
      </c>
      <c r="E203" s="370" t="s">
        <v>397</v>
      </c>
      <c r="F203" s="371" t="s">
        <v>983</v>
      </c>
      <c r="G203" s="10">
        <v>50</v>
      </c>
      <c r="H203" s="14">
        <v>50</v>
      </c>
    </row>
    <row r="204" spans="2:8" ht="15.75" x14ac:dyDescent="0.25">
      <c r="B204" s="10" t="s">
        <v>615</v>
      </c>
      <c r="C204" s="370">
        <v>41812007</v>
      </c>
      <c r="D204" s="370" t="s">
        <v>353</v>
      </c>
      <c r="E204" s="370" t="s">
        <v>614</v>
      </c>
      <c r="F204" s="371" t="s">
        <v>983</v>
      </c>
      <c r="G204" s="10">
        <v>40</v>
      </c>
      <c r="H204" s="14">
        <v>50</v>
      </c>
    </row>
    <row r="205" spans="2:8" ht="15.75" x14ac:dyDescent="0.25">
      <c r="B205" s="10" t="s">
        <v>616</v>
      </c>
      <c r="C205" s="370">
        <v>41812008</v>
      </c>
      <c r="D205" s="370" t="s">
        <v>353</v>
      </c>
      <c r="E205" s="370" t="s">
        <v>614</v>
      </c>
      <c r="F205" s="371" t="s">
        <v>983</v>
      </c>
      <c r="G205" s="10">
        <v>40</v>
      </c>
      <c r="H205" s="14">
        <v>50</v>
      </c>
    </row>
    <row r="206" spans="2:8" ht="15.75" x14ac:dyDescent="0.25">
      <c r="B206" s="10" t="s">
        <v>617</v>
      </c>
      <c r="C206" s="370">
        <v>41812009</v>
      </c>
      <c r="D206" s="370" t="s">
        <v>353</v>
      </c>
      <c r="E206" s="370" t="s">
        <v>614</v>
      </c>
      <c r="F206" s="371" t="s">
        <v>983</v>
      </c>
      <c r="G206" s="10">
        <v>40</v>
      </c>
      <c r="H206" s="14">
        <v>50</v>
      </c>
    </row>
    <row r="207" spans="2:8" ht="15.75" x14ac:dyDescent="0.25">
      <c r="B207" s="10" t="s">
        <v>618</v>
      </c>
      <c r="C207" s="370">
        <v>40790001</v>
      </c>
      <c r="D207" s="370" t="s">
        <v>394</v>
      </c>
      <c r="E207" s="370" t="s">
        <v>434</v>
      </c>
      <c r="F207" s="371" t="s">
        <v>983</v>
      </c>
      <c r="G207" s="10">
        <v>60</v>
      </c>
      <c r="H207" s="14">
        <v>50</v>
      </c>
    </row>
    <row r="208" spans="2:8" ht="15.75" x14ac:dyDescent="0.25">
      <c r="B208" s="10" t="s">
        <v>619</v>
      </c>
      <c r="C208" s="370">
        <v>40790002</v>
      </c>
      <c r="D208" s="370" t="s">
        <v>394</v>
      </c>
      <c r="E208" s="370" t="s">
        <v>434</v>
      </c>
      <c r="F208" s="371" t="s">
        <v>983</v>
      </c>
      <c r="G208" s="10">
        <v>60</v>
      </c>
      <c r="H208" s="14">
        <v>50</v>
      </c>
    </row>
    <row r="209" spans="2:8" ht="15.75" x14ac:dyDescent="0.25">
      <c r="B209" s="10" t="s">
        <v>435</v>
      </c>
      <c r="C209" s="370">
        <v>41818001</v>
      </c>
      <c r="D209" s="370" t="s">
        <v>353</v>
      </c>
      <c r="E209" s="370" t="s">
        <v>434</v>
      </c>
      <c r="F209" s="371" t="s">
        <v>983</v>
      </c>
      <c r="G209" s="10">
        <v>50</v>
      </c>
      <c r="H209" s="14">
        <v>50</v>
      </c>
    </row>
    <row r="210" spans="2:8" ht="15.75" x14ac:dyDescent="0.25">
      <c r="B210" s="10" t="s">
        <v>437</v>
      </c>
      <c r="C210" s="370">
        <v>41818002</v>
      </c>
      <c r="D210" s="370" t="s">
        <v>353</v>
      </c>
      <c r="E210" s="370" t="s">
        <v>434</v>
      </c>
      <c r="F210" s="371" t="s">
        <v>983</v>
      </c>
      <c r="G210" s="10">
        <v>50</v>
      </c>
      <c r="H210" s="14">
        <v>50</v>
      </c>
    </row>
    <row r="211" spans="2:8" ht="15.75" x14ac:dyDescent="0.25">
      <c r="B211" s="10" t="s">
        <v>331</v>
      </c>
      <c r="C211" s="370">
        <v>41818003</v>
      </c>
      <c r="D211" s="370" t="s">
        <v>353</v>
      </c>
      <c r="E211" s="370" t="s">
        <v>434</v>
      </c>
      <c r="F211" s="371" t="s">
        <v>983</v>
      </c>
      <c r="G211" s="10">
        <v>50</v>
      </c>
      <c r="H211" s="14">
        <v>50</v>
      </c>
    </row>
    <row r="212" spans="2:8" ht="15.75" x14ac:dyDescent="0.25">
      <c r="B212" s="10" t="s">
        <v>620</v>
      </c>
      <c r="C212" s="370">
        <v>40410006</v>
      </c>
      <c r="D212" s="370" t="s">
        <v>571</v>
      </c>
      <c r="E212" s="370" t="s">
        <v>354</v>
      </c>
      <c r="F212" s="371" t="s">
        <v>983</v>
      </c>
      <c r="G212" s="10">
        <v>50</v>
      </c>
      <c r="H212" s="14">
        <v>50</v>
      </c>
    </row>
    <row r="213" spans="2:8" ht="15.75" x14ac:dyDescent="0.25">
      <c r="B213" s="10" t="s">
        <v>621</v>
      </c>
      <c r="C213" s="370">
        <v>40430001</v>
      </c>
      <c r="D213" s="370" t="s">
        <v>571</v>
      </c>
      <c r="E213" s="370" t="s">
        <v>354</v>
      </c>
      <c r="F213" s="371" t="s">
        <v>983</v>
      </c>
      <c r="G213" s="10">
        <v>50</v>
      </c>
      <c r="H213" s="14">
        <v>50</v>
      </c>
    </row>
    <row r="214" spans="2:8" ht="15.75" x14ac:dyDescent="0.25">
      <c r="B214" s="10" t="s">
        <v>622</v>
      </c>
      <c r="C214" s="370">
        <v>40430005</v>
      </c>
      <c r="D214" s="370" t="s">
        <v>571</v>
      </c>
      <c r="E214" s="370" t="s">
        <v>354</v>
      </c>
      <c r="F214" s="371" t="s">
        <v>983</v>
      </c>
      <c r="G214" s="10">
        <v>50</v>
      </c>
      <c r="H214" s="14">
        <v>50</v>
      </c>
    </row>
    <row r="215" spans="2:8" ht="15.75" x14ac:dyDescent="0.25">
      <c r="B215" s="10" t="s">
        <v>623</v>
      </c>
      <c r="C215" s="370">
        <v>40410002</v>
      </c>
      <c r="D215" s="370" t="s">
        <v>571</v>
      </c>
      <c r="E215" s="370" t="s">
        <v>354</v>
      </c>
      <c r="F215" s="371" t="s">
        <v>983</v>
      </c>
      <c r="G215" s="10">
        <v>50</v>
      </c>
      <c r="H215" s="14">
        <v>50</v>
      </c>
    </row>
    <row r="216" spans="2:8" ht="15.75" x14ac:dyDescent="0.25">
      <c r="B216" s="10" t="s">
        <v>624</v>
      </c>
      <c r="C216" s="370">
        <v>42000003</v>
      </c>
      <c r="D216" s="370" t="s">
        <v>390</v>
      </c>
      <c r="E216" s="370" t="s">
        <v>608</v>
      </c>
      <c r="F216" s="371" t="s">
        <v>983</v>
      </c>
      <c r="G216" s="10">
        <v>45</v>
      </c>
      <c r="H216" s="14">
        <v>50</v>
      </c>
    </row>
    <row r="217" spans="2:8" ht="15.75" x14ac:dyDescent="0.25">
      <c r="B217" s="10" t="s">
        <v>625</v>
      </c>
      <c r="C217" s="370">
        <v>42000001</v>
      </c>
      <c r="D217" s="370" t="s">
        <v>390</v>
      </c>
      <c r="E217" s="370" t="s">
        <v>608</v>
      </c>
      <c r="F217" s="371" t="s">
        <v>983</v>
      </c>
      <c r="G217" s="10">
        <v>45</v>
      </c>
      <c r="H217" s="14">
        <v>50</v>
      </c>
    </row>
    <row r="218" spans="2:8" ht="15.75" x14ac:dyDescent="0.25">
      <c r="B218" s="10" t="s">
        <v>626</v>
      </c>
      <c r="C218" s="370">
        <v>42000002</v>
      </c>
      <c r="D218" s="370" t="s">
        <v>390</v>
      </c>
      <c r="E218" s="370" t="s">
        <v>608</v>
      </c>
      <c r="F218" s="371" t="s">
        <v>983</v>
      </c>
      <c r="G218" s="10">
        <v>45</v>
      </c>
      <c r="H218" s="14">
        <v>50</v>
      </c>
    </row>
    <row r="219" spans="2:8" ht="15.75" x14ac:dyDescent="0.25">
      <c r="B219" s="10" t="s">
        <v>627</v>
      </c>
      <c r="C219" s="370">
        <v>42000005</v>
      </c>
      <c r="D219" s="370" t="s">
        <v>390</v>
      </c>
      <c r="E219" s="370" t="s">
        <v>608</v>
      </c>
      <c r="F219" s="371" t="s">
        <v>983</v>
      </c>
      <c r="G219" s="10">
        <v>45</v>
      </c>
      <c r="H219" s="14">
        <v>50</v>
      </c>
    </row>
    <row r="220" spans="2:8" ht="15.75" x14ac:dyDescent="0.25">
      <c r="B220" s="10" t="s">
        <v>262</v>
      </c>
      <c r="C220" s="370">
        <v>42000006</v>
      </c>
      <c r="D220" s="370" t="s">
        <v>390</v>
      </c>
      <c r="E220" s="370" t="s">
        <v>608</v>
      </c>
      <c r="F220" s="371" t="s">
        <v>983</v>
      </c>
      <c r="G220" s="10">
        <v>45</v>
      </c>
      <c r="H220" s="14">
        <v>50</v>
      </c>
    </row>
    <row r="221" spans="2:8" ht="15.75" x14ac:dyDescent="0.25">
      <c r="B221" s="10" t="s">
        <v>628</v>
      </c>
      <c r="C221" s="370">
        <v>42000007</v>
      </c>
      <c r="D221" s="370" t="s">
        <v>390</v>
      </c>
      <c r="E221" s="370" t="s">
        <v>608</v>
      </c>
      <c r="F221" s="371" t="s">
        <v>983</v>
      </c>
      <c r="G221" s="10">
        <v>45</v>
      </c>
      <c r="H221" s="14">
        <v>50</v>
      </c>
    </row>
    <row r="222" spans="2:8" ht="15.75" x14ac:dyDescent="0.25">
      <c r="B222" s="10" t="s">
        <v>629</v>
      </c>
      <c r="C222" s="370">
        <v>42000048</v>
      </c>
      <c r="D222" s="370" t="s">
        <v>390</v>
      </c>
      <c r="E222" s="370" t="s">
        <v>391</v>
      </c>
      <c r="F222" s="371" t="s">
        <v>993</v>
      </c>
      <c r="G222" s="10">
        <v>50</v>
      </c>
      <c r="H222" s="14">
        <v>50</v>
      </c>
    </row>
    <row r="223" spans="2:8" ht="15.75" x14ac:dyDescent="0.25">
      <c r="B223" s="10" t="s">
        <v>630</v>
      </c>
      <c r="C223" s="370">
        <v>42000049</v>
      </c>
      <c r="D223" s="370" t="s">
        <v>390</v>
      </c>
      <c r="E223" s="370" t="s">
        <v>391</v>
      </c>
      <c r="F223" s="371" t="s">
        <v>993</v>
      </c>
      <c r="G223" s="10">
        <v>50</v>
      </c>
      <c r="H223" s="14">
        <v>50</v>
      </c>
    </row>
    <row r="224" spans="2:8" ht="15.75" x14ac:dyDescent="0.25">
      <c r="B224" s="10" t="s">
        <v>631</v>
      </c>
      <c r="C224" s="370">
        <v>42000050</v>
      </c>
      <c r="D224" s="370" t="s">
        <v>390</v>
      </c>
      <c r="E224" s="370" t="s">
        <v>391</v>
      </c>
      <c r="F224" s="371" t="s">
        <v>993</v>
      </c>
      <c r="G224" s="10">
        <v>50</v>
      </c>
      <c r="H224" s="14">
        <v>50</v>
      </c>
    </row>
    <row r="225" spans="2:8" ht="15.75" x14ac:dyDescent="0.25">
      <c r="B225" s="10" t="s">
        <v>632</v>
      </c>
      <c r="C225" s="370">
        <v>42000051</v>
      </c>
      <c r="D225" s="370" t="s">
        <v>390</v>
      </c>
      <c r="E225" s="370" t="s">
        <v>391</v>
      </c>
      <c r="F225" s="371" t="s">
        <v>993</v>
      </c>
      <c r="G225" s="10">
        <v>50</v>
      </c>
      <c r="H225" s="14">
        <v>50</v>
      </c>
    </row>
    <row r="226" spans="2:8" ht="15.75" x14ac:dyDescent="0.25">
      <c r="B226" s="10" t="s">
        <v>633</v>
      </c>
      <c r="C226" s="370">
        <v>42000052</v>
      </c>
      <c r="D226" s="370" t="s">
        <v>390</v>
      </c>
      <c r="E226" s="370" t="s">
        <v>391</v>
      </c>
      <c r="F226" s="371" t="s">
        <v>993</v>
      </c>
      <c r="G226" s="10">
        <v>50</v>
      </c>
      <c r="H226" s="14">
        <v>50</v>
      </c>
    </row>
    <row r="227" spans="2:8" ht="15.75" x14ac:dyDescent="0.25">
      <c r="B227" s="10" t="s">
        <v>634</v>
      </c>
      <c r="C227" s="370">
        <v>42000053</v>
      </c>
      <c r="D227" s="370" t="s">
        <v>390</v>
      </c>
      <c r="E227" s="370" t="s">
        <v>391</v>
      </c>
      <c r="F227" s="371" t="s">
        <v>993</v>
      </c>
      <c r="G227" s="10">
        <v>50</v>
      </c>
      <c r="H227" s="14">
        <v>50</v>
      </c>
    </row>
    <row r="228" spans="2:8" ht="15.75" x14ac:dyDescent="0.25">
      <c r="B228" s="10" t="s">
        <v>635</v>
      </c>
      <c r="C228" s="370">
        <v>40620007</v>
      </c>
      <c r="D228" s="370" t="s">
        <v>394</v>
      </c>
      <c r="E228" s="370" t="s">
        <v>636</v>
      </c>
      <c r="F228" s="371" t="s">
        <v>983</v>
      </c>
      <c r="G228" s="10">
        <v>50</v>
      </c>
      <c r="H228" s="14">
        <v>50</v>
      </c>
    </row>
    <row r="229" spans="2:8" ht="15.75" x14ac:dyDescent="0.25">
      <c r="B229" s="10" t="s">
        <v>637</v>
      </c>
      <c r="C229" s="370">
        <v>40620006</v>
      </c>
      <c r="D229" s="370" t="s">
        <v>394</v>
      </c>
      <c r="E229" s="370" t="s">
        <v>636</v>
      </c>
      <c r="F229" s="371" t="s">
        <v>983</v>
      </c>
      <c r="G229" s="10">
        <v>50</v>
      </c>
      <c r="H229" s="14">
        <v>50</v>
      </c>
    </row>
    <row r="230" spans="2:8" ht="15.75" x14ac:dyDescent="0.25">
      <c r="B230" s="10" t="s">
        <v>396</v>
      </c>
      <c r="C230" s="370">
        <v>40620001</v>
      </c>
      <c r="D230" s="370" t="s">
        <v>394</v>
      </c>
      <c r="E230" s="370" t="s">
        <v>636</v>
      </c>
      <c r="F230" s="371" t="s">
        <v>983</v>
      </c>
      <c r="G230" s="10">
        <v>50</v>
      </c>
      <c r="H230" s="14">
        <v>50</v>
      </c>
    </row>
    <row r="231" spans="2:8" ht="15.75" x14ac:dyDescent="0.25">
      <c r="B231" s="10" t="s">
        <v>395</v>
      </c>
      <c r="C231" s="370">
        <v>40620002</v>
      </c>
      <c r="D231" s="370" t="s">
        <v>394</v>
      </c>
      <c r="E231" s="370" t="s">
        <v>636</v>
      </c>
      <c r="F231" s="371" t="s">
        <v>983</v>
      </c>
      <c r="G231" s="10">
        <v>50</v>
      </c>
      <c r="H231" s="14">
        <v>50</v>
      </c>
    </row>
    <row r="232" spans="2:8" ht="15.75" x14ac:dyDescent="0.25">
      <c r="B232" s="10" t="s">
        <v>638</v>
      </c>
      <c r="C232" s="370">
        <v>40620004</v>
      </c>
      <c r="D232" s="370" t="s">
        <v>394</v>
      </c>
      <c r="E232" s="370" t="s">
        <v>636</v>
      </c>
      <c r="F232" s="371" t="s">
        <v>983</v>
      </c>
      <c r="G232" s="10">
        <v>50</v>
      </c>
      <c r="H232" s="14">
        <v>50</v>
      </c>
    </row>
    <row r="233" spans="2:8" ht="15.75" x14ac:dyDescent="0.25">
      <c r="B233" s="10" t="s">
        <v>639</v>
      </c>
      <c r="C233" s="370">
        <v>40620005</v>
      </c>
      <c r="D233" s="370" t="s">
        <v>394</v>
      </c>
      <c r="E233" s="370" t="s">
        <v>636</v>
      </c>
      <c r="F233" s="371" t="s">
        <v>983</v>
      </c>
      <c r="G233" s="10">
        <v>50</v>
      </c>
      <c r="H233" s="14">
        <v>50</v>
      </c>
    </row>
    <row r="234" spans="2:8" ht="15.75" x14ac:dyDescent="0.25">
      <c r="B234" s="10" t="s">
        <v>640</v>
      </c>
      <c r="C234" s="370">
        <v>40620003</v>
      </c>
      <c r="D234" s="370" t="s">
        <v>394</v>
      </c>
      <c r="E234" s="370" t="s">
        <v>636</v>
      </c>
      <c r="F234" s="371" t="s">
        <v>983</v>
      </c>
      <c r="G234" s="10">
        <v>50</v>
      </c>
      <c r="H234" s="14">
        <v>50</v>
      </c>
    </row>
    <row r="235" spans="2:8" ht="15.75" x14ac:dyDescent="0.25">
      <c r="B235" s="10" t="s">
        <v>430</v>
      </c>
      <c r="C235" s="370">
        <v>40770002</v>
      </c>
      <c r="D235" s="370" t="s">
        <v>394</v>
      </c>
      <c r="E235" s="370" t="s">
        <v>429</v>
      </c>
      <c r="F235" s="371" t="s">
        <v>983</v>
      </c>
      <c r="G235" s="10">
        <v>30</v>
      </c>
      <c r="H235" s="14">
        <v>30</v>
      </c>
    </row>
    <row r="236" spans="2:8" ht="15.75" x14ac:dyDescent="0.25">
      <c r="B236" s="10" t="s">
        <v>432</v>
      </c>
      <c r="C236" s="370">
        <v>40770003</v>
      </c>
      <c r="D236" s="370" t="s">
        <v>394</v>
      </c>
      <c r="E236" s="370" t="s">
        <v>429</v>
      </c>
      <c r="F236" s="371" t="s">
        <v>983</v>
      </c>
      <c r="G236" s="10">
        <v>30</v>
      </c>
      <c r="H236" s="14">
        <v>30</v>
      </c>
    </row>
    <row r="237" spans="2:8" ht="15.75" x14ac:dyDescent="0.25">
      <c r="B237" s="10" t="s">
        <v>433</v>
      </c>
      <c r="C237" s="370">
        <v>40770004</v>
      </c>
      <c r="D237" s="370" t="s">
        <v>394</v>
      </c>
      <c r="E237" s="370" t="s">
        <v>429</v>
      </c>
      <c r="F237" s="371" t="s">
        <v>983</v>
      </c>
      <c r="G237" s="10">
        <v>30</v>
      </c>
      <c r="H237" s="14">
        <v>30</v>
      </c>
    </row>
    <row r="238" spans="2:8" ht="15.75" x14ac:dyDescent="0.25">
      <c r="B238" s="10" t="s">
        <v>641</v>
      </c>
      <c r="C238" s="370">
        <v>40610025</v>
      </c>
      <c r="D238" s="370" t="s">
        <v>394</v>
      </c>
      <c r="E238" s="370" t="s">
        <v>391</v>
      </c>
      <c r="F238" s="371" t="s">
        <v>993</v>
      </c>
      <c r="G238" s="10">
        <v>50</v>
      </c>
      <c r="H238" s="14">
        <v>50</v>
      </c>
    </row>
    <row r="239" spans="2:8" ht="15.75" x14ac:dyDescent="0.25">
      <c r="B239" s="10" t="s">
        <v>642</v>
      </c>
      <c r="C239" s="370">
        <v>40610026</v>
      </c>
      <c r="D239" s="370" t="s">
        <v>394</v>
      </c>
      <c r="E239" s="370" t="s">
        <v>391</v>
      </c>
      <c r="F239" s="371" t="s">
        <v>993</v>
      </c>
      <c r="G239" s="10">
        <v>50</v>
      </c>
      <c r="H239" s="14">
        <v>50</v>
      </c>
    </row>
    <row r="240" spans="2:8" ht="15.75" x14ac:dyDescent="0.25">
      <c r="B240" s="10" t="s">
        <v>643</v>
      </c>
      <c r="C240" s="370">
        <v>40610028</v>
      </c>
      <c r="D240" s="370" t="s">
        <v>394</v>
      </c>
      <c r="E240" s="370" t="s">
        <v>391</v>
      </c>
      <c r="F240" s="371" t="s">
        <v>993</v>
      </c>
      <c r="G240" s="10">
        <v>50</v>
      </c>
      <c r="H240" s="14">
        <v>50</v>
      </c>
    </row>
    <row r="241" spans="2:8" ht="15.75" x14ac:dyDescent="0.25">
      <c r="B241" s="375" t="s">
        <v>644</v>
      </c>
      <c r="C241" s="373">
        <v>40610037</v>
      </c>
      <c r="D241" s="374" t="s">
        <v>394</v>
      </c>
      <c r="E241" s="370" t="s">
        <v>391</v>
      </c>
      <c r="F241" s="371" t="s">
        <v>993</v>
      </c>
      <c r="G241" s="10">
        <v>50</v>
      </c>
      <c r="H241" s="14">
        <v>50</v>
      </c>
    </row>
    <row r="242" spans="2:8" ht="15.75" x14ac:dyDescent="0.25">
      <c r="B242" s="10" t="s">
        <v>645</v>
      </c>
      <c r="C242" s="370">
        <v>40610027</v>
      </c>
      <c r="D242" s="370" t="s">
        <v>394</v>
      </c>
      <c r="E242" s="370" t="s">
        <v>391</v>
      </c>
      <c r="F242" s="371" t="s">
        <v>993</v>
      </c>
      <c r="G242" s="10">
        <v>50</v>
      </c>
      <c r="H242" s="14">
        <v>50</v>
      </c>
    </row>
    <row r="243" spans="2:8" ht="15.75" x14ac:dyDescent="0.25">
      <c r="B243" s="376" t="s">
        <v>646</v>
      </c>
      <c r="C243" s="374">
        <v>40610038</v>
      </c>
      <c r="D243" s="374" t="s">
        <v>394</v>
      </c>
      <c r="E243" s="370" t="s">
        <v>391</v>
      </c>
      <c r="F243" s="371" t="s">
        <v>993</v>
      </c>
      <c r="G243" s="10">
        <v>50</v>
      </c>
      <c r="H243" s="14">
        <v>50</v>
      </c>
    </row>
    <row r="244" spans="2:8" ht="15.75" x14ac:dyDescent="0.25">
      <c r="B244" s="10" t="s">
        <v>647</v>
      </c>
      <c r="C244" s="370">
        <v>40610032</v>
      </c>
      <c r="D244" s="370" t="s">
        <v>394</v>
      </c>
      <c r="E244" s="370" t="s">
        <v>391</v>
      </c>
      <c r="F244" s="371" t="s">
        <v>993</v>
      </c>
      <c r="G244" s="10">
        <v>50</v>
      </c>
      <c r="H244" s="14">
        <v>50</v>
      </c>
    </row>
    <row r="245" spans="2:8" ht="15.75" x14ac:dyDescent="0.25">
      <c r="B245" s="10" t="s">
        <v>648</v>
      </c>
      <c r="C245" s="370">
        <v>40610033</v>
      </c>
      <c r="D245" s="370" t="s">
        <v>394</v>
      </c>
      <c r="E245" s="370" t="s">
        <v>391</v>
      </c>
      <c r="F245" s="371" t="s">
        <v>993</v>
      </c>
      <c r="G245" s="10">
        <v>50</v>
      </c>
      <c r="H245" s="14">
        <v>50</v>
      </c>
    </row>
    <row r="246" spans="2:8" ht="15.75" x14ac:dyDescent="0.25">
      <c r="B246" s="10" t="s">
        <v>649</v>
      </c>
      <c r="C246" s="370">
        <v>40122005</v>
      </c>
      <c r="D246" s="370" t="s">
        <v>465</v>
      </c>
      <c r="E246" s="370" t="s">
        <v>517</v>
      </c>
      <c r="F246" s="371" t="s">
        <v>983</v>
      </c>
      <c r="G246" s="10">
        <v>20</v>
      </c>
      <c r="H246" s="14">
        <v>20</v>
      </c>
    </row>
    <row r="247" spans="2:8" ht="15.75" x14ac:dyDescent="0.25">
      <c r="B247" s="10" t="s">
        <v>650</v>
      </c>
      <c r="C247" s="370">
        <v>40122006</v>
      </c>
      <c r="D247" s="370" t="s">
        <v>465</v>
      </c>
      <c r="E247" s="370" t="s">
        <v>517</v>
      </c>
      <c r="F247" s="371" t="s">
        <v>983</v>
      </c>
      <c r="G247" s="10">
        <v>20</v>
      </c>
      <c r="H247" s="14">
        <v>20</v>
      </c>
    </row>
    <row r="248" spans="2:8" ht="15.75" x14ac:dyDescent="0.25">
      <c r="B248" s="10" t="s">
        <v>651</v>
      </c>
      <c r="C248" s="370">
        <v>401240001</v>
      </c>
      <c r="D248" s="370" t="s">
        <v>465</v>
      </c>
      <c r="E248" s="370" t="s">
        <v>652</v>
      </c>
      <c r="F248" s="371" t="s">
        <v>983</v>
      </c>
      <c r="G248" s="10">
        <v>60</v>
      </c>
      <c r="H248" s="14">
        <v>60</v>
      </c>
    </row>
    <row r="249" spans="2:8" ht="15.75" x14ac:dyDescent="0.25">
      <c r="B249" s="10" t="s">
        <v>653</v>
      </c>
      <c r="C249" s="370">
        <v>401230001</v>
      </c>
      <c r="D249" s="370" t="s">
        <v>465</v>
      </c>
      <c r="E249" s="370" t="s">
        <v>654</v>
      </c>
      <c r="F249" s="371" t="s">
        <v>983</v>
      </c>
      <c r="G249" s="10">
        <v>60</v>
      </c>
      <c r="H249" s="14">
        <v>60</v>
      </c>
    </row>
    <row r="250" spans="2:8" ht="15.75" x14ac:dyDescent="0.25">
      <c r="B250" s="10" t="s">
        <v>655</v>
      </c>
      <c r="C250" s="370">
        <v>40121001</v>
      </c>
      <c r="D250" s="370" t="s">
        <v>465</v>
      </c>
      <c r="E250" s="370" t="s">
        <v>354</v>
      </c>
      <c r="F250" s="371" t="s">
        <v>983</v>
      </c>
      <c r="G250" s="10">
        <v>60</v>
      </c>
      <c r="H250" s="14">
        <v>60</v>
      </c>
    </row>
    <row r="251" spans="2:8" ht="15.75" x14ac:dyDescent="0.25">
      <c r="B251" s="10" t="s">
        <v>656</v>
      </c>
      <c r="C251" s="370">
        <v>40180001</v>
      </c>
      <c r="D251" s="370" t="s">
        <v>657</v>
      </c>
      <c r="E251" s="370" t="s">
        <v>658</v>
      </c>
      <c r="F251" s="371" t="s">
        <v>983</v>
      </c>
      <c r="G251" s="10">
        <v>60</v>
      </c>
      <c r="H251" s="14">
        <v>60</v>
      </c>
    </row>
    <row r="252" spans="2:8" ht="15.75" x14ac:dyDescent="0.25">
      <c r="B252" s="10" t="s">
        <v>660</v>
      </c>
      <c r="C252" s="370">
        <v>41880002</v>
      </c>
      <c r="D252" s="370" t="s">
        <v>353</v>
      </c>
      <c r="E252" s="370" t="s">
        <v>354</v>
      </c>
      <c r="F252" s="371" t="s">
        <v>983</v>
      </c>
      <c r="G252" s="10">
        <v>70</v>
      </c>
      <c r="H252" s="14">
        <v>75</v>
      </c>
    </row>
    <row r="253" spans="2:8" ht="15.75" x14ac:dyDescent="0.25">
      <c r="B253" s="10" t="s">
        <v>242</v>
      </c>
      <c r="C253" s="370">
        <v>41880003</v>
      </c>
      <c r="D253" s="370" t="s">
        <v>353</v>
      </c>
      <c r="E253" s="370" t="s">
        <v>354</v>
      </c>
      <c r="F253" s="371" t="s">
        <v>983</v>
      </c>
      <c r="G253" s="10">
        <v>70</v>
      </c>
      <c r="H253" s="14">
        <v>75</v>
      </c>
    </row>
    <row r="254" spans="2:8" ht="15.75" x14ac:dyDescent="0.25">
      <c r="B254" s="10" t="s">
        <v>251</v>
      </c>
      <c r="C254" s="370">
        <v>41880004</v>
      </c>
      <c r="D254" s="370" t="s">
        <v>353</v>
      </c>
      <c r="E254" s="370" t="s">
        <v>354</v>
      </c>
      <c r="F254" s="371" t="s">
        <v>983</v>
      </c>
      <c r="G254" s="10">
        <v>70</v>
      </c>
      <c r="H254" s="14">
        <v>75</v>
      </c>
    </row>
    <row r="255" spans="2:8" ht="15.75" x14ac:dyDescent="0.25">
      <c r="B255" s="10" t="s">
        <v>661</v>
      </c>
      <c r="C255" s="370">
        <v>41870004</v>
      </c>
      <c r="D255" s="370" t="s">
        <v>353</v>
      </c>
      <c r="E255" s="370" t="s">
        <v>354</v>
      </c>
      <c r="F255" s="371" t="s">
        <v>983</v>
      </c>
      <c r="G255" s="10">
        <v>70</v>
      </c>
      <c r="H255" s="14">
        <v>75</v>
      </c>
    </row>
    <row r="256" spans="2:8" ht="15.75" x14ac:dyDescent="0.25">
      <c r="B256" s="10" t="s">
        <v>662</v>
      </c>
      <c r="C256" s="370">
        <v>41880005</v>
      </c>
      <c r="D256" s="370" t="s">
        <v>353</v>
      </c>
      <c r="E256" s="370" t="s">
        <v>354</v>
      </c>
      <c r="F256" s="371" t="s">
        <v>983</v>
      </c>
      <c r="G256" s="10">
        <v>70</v>
      </c>
      <c r="H256" s="14">
        <v>75</v>
      </c>
    </row>
    <row r="257" spans="2:8" ht="15.75" x14ac:dyDescent="0.25">
      <c r="B257" s="10" t="s">
        <v>663</v>
      </c>
      <c r="C257" s="370">
        <v>41880006</v>
      </c>
      <c r="D257" s="370" t="s">
        <v>353</v>
      </c>
      <c r="E257" s="370" t="s">
        <v>354</v>
      </c>
      <c r="F257" s="371" t="s">
        <v>983</v>
      </c>
      <c r="G257" s="10">
        <v>70</v>
      </c>
      <c r="H257" s="14">
        <v>75</v>
      </c>
    </row>
    <row r="258" spans="2:8" ht="15.75" x14ac:dyDescent="0.25">
      <c r="B258" s="10" t="s">
        <v>664</v>
      </c>
      <c r="C258" s="374">
        <v>43060001</v>
      </c>
      <c r="D258" s="374" t="s">
        <v>370</v>
      </c>
      <c r="E258" s="370" t="s">
        <v>391</v>
      </c>
      <c r="F258" s="371" t="s">
        <v>983</v>
      </c>
      <c r="G258" s="10">
        <v>75</v>
      </c>
      <c r="H258" s="14">
        <v>75</v>
      </c>
    </row>
    <row r="259" spans="2:8" ht="15.75" x14ac:dyDescent="0.25">
      <c r="B259" s="10" t="s">
        <v>665</v>
      </c>
      <c r="C259" s="374">
        <v>43060002</v>
      </c>
      <c r="D259" s="374" t="s">
        <v>370</v>
      </c>
      <c r="E259" s="370" t="s">
        <v>391</v>
      </c>
      <c r="F259" s="371" t="s">
        <v>983</v>
      </c>
      <c r="G259" s="10">
        <v>75</v>
      </c>
      <c r="H259" s="14">
        <v>75</v>
      </c>
    </row>
    <row r="260" spans="2:8" ht="15.75" x14ac:dyDescent="0.25">
      <c r="B260" s="10" t="s">
        <v>261</v>
      </c>
      <c r="C260" s="374">
        <v>43060003</v>
      </c>
      <c r="D260" s="374" t="s">
        <v>370</v>
      </c>
      <c r="E260" s="370" t="s">
        <v>391</v>
      </c>
      <c r="F260" s="371" t="s">
        <v>983</v>
      </c>
      <c r="G260" s="10">
        <v>75</v>
      </c>
      <c r="H260" s="14">
        <v>75</v>
      </c>
    </row>
    <row r="261" spans="2:8" ht="15.75" x14ac:dyDescent="0.25">
      <c r="B261" s="10" t="s">
        <v>666</v>
      </c>
      <c r="C261" s="374">
        <v>43060004</v>
      </c>
      <c r="D261" s="374" t="s">
        <v>370</v>
      </c>
      <c r="E261" s="370" t="s">
        <v>391</v>
      </c>
      <c r="F261" s="371" t="s">
        <v>983</v>
      </c>
      <c r="G261" s="10">
        <v>75</v>
      </c>
      <c r="H261" s="14">
        <v>75</v>
      </c>
    </row>
    <row r="262" spans="2:8" ht="15.75" x14ac:dyDescent="0.25">
      <c r="B262" s="10" t="s">
        <v>263</v>
      </c>
      <c r="C262" s="374">
        <v>43060006</v>
      </c>
      <c r="D262" s="374" t="s">
        <v>370</v>
      </c>
      <c r="E262" s="370" t="s">
        <v>391</v>
      </c>
      <c r="F262" s="371" t="s">
        <v>983</v>
      </c>
      <c r="G262" s="10">
        <v>75</v>
      </c>
      <c r="H262" s="14">
        <v>75</v>
      </c>
    </row>
    <row r="263" spans="2:8" ht="15.75" x14ac:dyDescent="0.25">
      <c r="B263" s="10" t="s">
        <v>264</v>
      </c>
      <c r="C263" s="374">
        <v>43060005</v>
      </c>
      <c r="D263" s="374" t="s">
        <v>370</v>
      </c>
      <c r="E263" s="370" t="s">
        <v>391</v>
      </c>
      <c r="F263" s="371" t="s">
        <v>983</v>
      </c>
      <c r="G263" s="10">
        <v>75</v>
      </c>
      <c r="H263" s="14">
        <v>75</v>
      </c>
    </row>
    <row r="264" spans="2:8" ht="15.75" x14ac:dyDescent="0.25">
      <c r="B264" s="10" t="s">
        <v>667</v>
      </c>
      <c r="C264" s="370">
        <v>40147001</v>
      </c>
      <c r="D264" s="370" t="s">
        <v>668</v>
      </c>
      <c r="E264" s="370" t="s">
        <v>652</v>
      </c>
      <c r="F264" s="371" t="s">
        <v>983</v>
      </c>
      <c r="G264" s="10">
        <v>68</v>
      </c>
      <c r="H264" s="14">
        <v>75</v>
      </c>
    </row>
    <row r="265" spans="2:8" ht="15.75" x14ac:dyDescent="0.25">
      <c r="B265" s="10" t="s">
        <v>669</v>
      </c>
      <c r="C265" s="370">
        <v>40300003</v>
      </c>
      <c r="D265" s="370" t="s">
        <v>359</v>
      </c>
      <c r="E265" s="370" t="s">
        <v>567</v>
      </c>
      <c r="F265" s="371" t="s">
        <v>983</v>
      </c>
      <c r="G265" s="10">
        <v>70</v>
      </c>
      <c r="H265" s="14">
        <v>80</v>
      </c>
    </row>
    <row r="266" spans="2:8" ht="15.75" x14ac:dyDescent="0.25">
      <c r="B266" s="10" t="s">
        <v>670</v>
      </c>
      <c r="C266" s="370">
        <v>41870001</v>
      </c>
      <c r="D266" s="370" t="s">
        <v>353</v>
      </c>
      <c r="E266" s="370" t="s">
        <v>354</v>
      </c>
      <c r="F266" s="371" t="s">
        <v>983</v>
      </c>
      <c r="G266" s="10">
        <v>46</v>
      </c>
      <c r="H266" s="14">
        <v>80</v>
      </c>
    </row>
    <row r="267" spans="2:8" ht="15.75" x14ac:dyDescent="0.25">
      <c r="B267" s="10" t="s">
        <v>671</v>
      </c>
      <c r="C267" s="370">
        <v>45700009</v>
      </c>
      <c r="D267" s="370" t="s">
        <v>672</v>
      </c>
      <c r="E267" s="370" t="s">
        <v>512</v>
      </c>
      <c r="F267" s="371" t="s">
        <v>983</v>
      </c>
      <c r="G267" s="10">
        <v>80</v>
      </c>
      <c r="H267" s="14">
        <v>80</v>
      </c>
    </row>
    <row r="268" spans="2:8" ht="15.75" x14ac:dyDescent="0.25">
      <c r="B268" s="10" t="s">
        <v>673</v>
      </c>
      <c r="C268" s="370">
        <v>45700010</v>
      </c>
      <c r="D268" s="370" t="s">
        <v>672</v>
      </c>
      <c r="E268" s="370" t="s">
        <v>512</v>
      </c>
      <c r="F268" s="371" t="s">
        <v>983</v>
      </c>
      <c r="G268" s="10">
        <v>80</v>
      </c>
      <c r="H268" s="14">
        <v>80</v>
      </c>
    </row>
    <row r="269" spans="2:8" ht="15.75" x14ac:dyDescent="0.25">
      <c r="B269" s="10" t="s">
        <v>674</v>
      </c>
      <c r="C269" s="370">
        <v>40500110</v>
      </c>
      <c r="D269" s="370" t="s">
        <v>401</v>
      </c>
      <c r="E269" s="370" t="s">
        <v>354</v>
      </c>
      <c r="F269" s="371" t="s">
        <v>993</v>
      </c>
      <c r="G269" s="10">
        <v>90</v>
      </c>
      <c r="H269" s="14">
        <v>90</v>
      </c>
    </row>
    <row r="270" spans="2:8" ht="15.75" x14ac:dyDescent="0.25">
      <c r="B270" s="10" t="s">
        <v>675</v>
      </c>
      <c r="C270" s="370">
        <v>40500111</v>
      </c>
      <c r="D270" s="370" t="s">
        <v>401</v>
      </c>
      <c r="E270" s="370" t="s">
        <v>354</v>
      </c>
      <c r="F270" s="371" t="s">
        <v>993</v>
      </c>
      <c r="G270" s="10">
        <v>90</v>
      </c>
      <c r="H270" s="14">
        <v>90</v>
      </c>
    </row>
    <row r="271" spans="2:8" ht="15.75" x14ac:dyDescent="0.25">
      <c r="B271" s="10" t="s">
        <v>403</v>
      </c>
      <c r="C271" s="370">
        <v>40530002</v>
      </c>
      <c r="D271" s="370" t="s">
        <v>401</v>
      </c>
      <c r="E271" s="370" t="s">
        <v>402</v>
      </c>
      <c r="F271" s="371" t="s">
        <v>983</v>
      </c>
      <c r="G271" s="10">
        <v>90</v>
      </c>
      <c r="H271" s="14">
        <v>90</v>
      </c>
    </row>
    <row r="272" spans="2:8" ht="15.75" x14ac:dyDescent="0.25">
      <c r="B272" s="10" t="s">
        <v>227</v>
      </c>
      <c r="C272" s="370">
        <v>40530003</v>
      </c>
      <c r="D272" s="370" t="s">
        <v>401</v>
      </c>
      <c r="E272" s="370" t="s">
        <v>402</v>
      </c>
      <c r="F272" s="371" t="s">
        <v>983</v>
      </c>
      <c r="G272" s="10">
        <v>90</v>
      </c>
      <c r="H272" s="14">
        <v>90</v>
      </c>
    </row>
    <row r="273" spans="2:8" ht="15.75" x14ac:dyDescent="0.25">
      <c r="B273" s="10" t="s">
        <v>246</v>
      </c>
      <c r="C273" s="370">
        <v>40310002</v>
      </c>
      <c r="D273" s="370" t="s">
        <v>359</v>
      </c>
      <c r="E273" s="370" t="s">
        <v>360</v>
      </c>
      <c r="F273" s="371" t="s">
        <v>983</v>
      </c>
      <c r="G273" s="10">
        <v>85</v>
      </c>
      <c r="H273" s="14">
        <v>100</v>
      </c>
    </row>
    <row r="274" spans="2:8" ht="15.75" x14ac:dyDescent="0.25">
      <c r="B274" s="10" t="s">
        <v>16</v>
      </c>
      <c r="C274" s="370">
        <v>41817001</v>
      </c>
      <c r="D274" s="370" t="s">
        <v>353</v>
      </c>
      <c r="E274" s="370" t="s">
        <v>410</v>
      </c>
      <c r="F274" s="371" t="s">
        <v>983</v>
      </c>
      <c r="G274" s="10">
        <v>100</v>
      </c>
      <c r="H274" s="14">
        <v>100</v>
      </c>
    </row>
    <row r="275" spans="2:8" ht="15.75" x14ac:dyDescent="0.25">
      <c r="B275" s="10" t="s">
        <v>676</v>
      </c>
      <c r="C275" s="370">
        <v>41817002</v>
      </c>
      <c r="D275" s="370" t="s">
        <v>353</v>
      </c>
      <c r="E275" s="370" t="s">
        <v>410</v>
      </c>
      <c r="F275" s="371" t="s">
        <v>983</v>
      </c>
      <c r="G275" s="10">
        <v>100</v>
      </c>
      <c r="H275" s="14">
        <v>100</v>
      </c>
    </row>
    <row r="276" spans="2:8" ht="15.75" x14ac:dyDescent="0.25">
      <c r="B276" s="10" t="s">
        <v>677</v>
      </c>
      <c r="C276" s="370">
        <v>41870006</v>
      </c>
      <c r="D276" s="370" t="s">
        <v>353</v>
      </c>
      <c r="E276" s="370" t="s">
        <v>354</v>
      </c>
      <c r="F276" s="371" t="s">
        <v>993</v>
      </c>
      <c r="G276" s="10">
        <v>125</v>
      </c>
      <c r="H276" s="14">
        <v>100</v>
      </c>
    </row>
    <row r="277" spans="2:8" ht="15.75" x14ac:dyDescent="0.25">
      <c r="B277" s="10" t="s">
        <v>678</v>
      </c>
      <c r="C277" s="370">
        <v>41812010</v>
      </c>
      <c r="D277" s="370" t="s">
        <v>353</v>
      </c>
      <c r="E277" s="370" t="s">
        <v>614</v>
      </c>
      <c r="F277" s="371" t="s">
        <v>983</v>
      </c>
      <c r="G277" s="10">
        <v>90</v>
      </c>
      <c r="H277" s="14">
        <v>100</v>
      </c>
    </row>
    <row r="278" spans="2:8" ht="15.75" x14ac:dyDescent="0.25">
      <c r="B278" s="10" t="s">
        <v>679</v>
      </c>
      <c r="C278" s="370">
        <v>41812011</v>
      </c>
      <c r="D278" s="370" t="s">
        <v>353</v>
      </c>
      <c r="E278" s="370" t="s">
        <v>614</v>
      </c>
      <c r="F278" s="371" t="s">
        <v>983</v>
      </c>
      <c r="G278" s="10">
        <v>90</v>
      </c>
      <c r="H278" s="14">
        <v>100</v>
      </c>
    </row>
    <row r="279" spans="2:8" ht="15.75" x14ac:dyDescent="0.25">
      <c r="B279" s="10" t="s">
        <v>680</v>
      </c>
      <c r="C279" s="370">
        <v>41812012</v>
      </c>
      <c r="D279" s="370" t="s">
        <v>353</v>
      </c>
      <c r="E279" s="370" t="s">
        <v>614</v>
      </c>
      <c r="F279" s="371" t="s">
        <v>983</v>
      </c>
      <c r="G279" s="10">
        <v>90</v>
      </c>
      <c r="H279" s="14">
        <v>100</v>
      </c>
    </row>
    <row r="280" spans="2:8" ht="15.75" x14ac:dyDescent="0.25">
      <c r="B280" s="10" t="s">
        <v>681</v>
      </c>
      <c r="C280" s="370">
        <v>40300021</v>
      </c>
      <c r="D280" s="370" t="s">
        <v>359</v>
      </c>
      <c r="E280" s="370" t="s">
        <v>567</v>
      </c>
      <c r="F280" s="371" t="s">
        <v>983</v>
      </c>
      <c r="G280" s="10">
        <v>85</v>
      </c>
      <c r="H280" s="14">
        <v>100</v>
      </c>
    </row>
    <row r="281" spans="2:8" ht="15.75" x14ac:dyDescent="0.25">
      <c r="B281" s="10" t="s">
        <v>682</v>
      </c>
      <c r="C281" s="370">
        <v>40430002</v>
      </c>
      <c r="D281" s="370" t="s">
        <v>571</v>
      </c>
      <c r="E281" s="370" t="s">
        <v>354</v>
      </c>
      <c r="F281" s="371" t="s">
        <v>983</v>
      </c>
      <c r="G281" s="10">
        <v>100</v>
      </c>
      <c r="H281" s="14">
        <v>100</v>
      </c>
    </row>
    <row r="282" spans="2:8" ht="15.75" x14ac:dyDescent="0.25">
      <c r="B282" s="10" t="s">
        <v>683</v>
      </c>
      <c r="C282" s="370">
        <v>40430006</v>
      </c>
      <c r="D282" s="370" t="s">
        <v>571</v>
      </c>
      <c r="E282" s="370" t="s">
        <v>354</v>
      </c>
      <c r="F282" s="371" t="s">
        <v>983</v>
      </c>
      <c r="G282" s="10">
        <v>100</v>
      </c>
      <c r="H282" s="14">
        <v>100</v>
      </c>
    </row>
    <row r="283" spans="2:8" ht="15.75" x14ac:dyDescent="0.25">
      <c r="B283" s="10" t="s">
        <v>1023</v>
      </c>
      <c r="C283" s="370">
        <v>41550001</v>
      </c>
      <c r="D283" s="370" t="s">
        <v>405</v>
      </c>
      <c r="E283" s="370" t="s">
        <v>391</v>
      </c>
      <c r="F283" s="371" t="s">
        <v>983</v>
      </c>
      <c r="G283" s="10">
        <v>50</v>
      </c>
      <c r="H283" s="14">
        <v>50</v>
      </c>
    </row>
    <row r="284" spans="2:8" ht="15.75" x14ac:dyDescent="0.25">
      <c r="B284" s="10" t="s">
        <v>1024</v>
      </c>
      <c r="C284" s="370">
        <v>41550002</v>
      </c>
      <c r="D284" s="370" t="s">
        <v>405</v>
      </c>
      <c r="E284" s="370" t="s">
        <v>391</v>
      </c>
      <c r="F284" s="371" t="s">
        <v>983</v>
      </c>
      <c r="G284" s="10">
        <v>50</v>
      </c>
      <c r="H284" s="14">
        <v>50</v>
      </c>
    </row>
    <row r="285" spans="2:8" ht="15.75" x14ac:dyDescent="0.25">
      <c r="B285" s="10" t="s">
        <v>1025</v>
      </c>
      <c r="C285" s="370">
        <v>41550003</v>
      </c>
      <c r="D285" s="370" t="s">
        <v>405</v>
      </c>
      <c r="E285" s="370" t="s">
        <v>391</v>
      </c>
      <c r="F285" s="371" t="s">
        <v>983</v>
      </c>
      <c r="G285" s="10">
        <v>50</v>
      </c>
      <c r="H285" s="14">
        <v>50</v>
      </c>
    </row>
    <row r="286" spans="2:8" ht="15.75" x14ac:dyDescent="0.25">
      <c r="B286" s="10" t="s">
        <v>266</v>
      </c>
      <c r="C286" s="370">
        <v>41500021</v>
      </c>
      <c r="D286" s="370" t="s">
        <v>514</v>
      </c>
      <c r="E286" s="370" t="s">
        <v>685</v>
      </c>
      <c r="F286" s="371" t="s">
        <v>983</v>
      </c>
      <c r="G286" s="10">
        <v>100</v>
      </c>
      <c r="H286" s="14">
        <v>100</v>
      </c>
    </row>
    <row r="287" spans="2:8" ht="15.75" x14ac:dyDescent="0.25">
      <c r="B287" s="10" t="s">
        <v>684</v>
      </c>
      <c r="C287" s="370">
        <v>41500027</v>
      </c>
      <c r="D287" s="370" t="s">
        <v>514</v>
      </c>
      <c r="E287" s="370" t="s">
        <v>685</v>
      </c>
      <c r="F287" s="371" t="s">
        <v>983</v>
      </c>
      <c r="G287" s="10">
        <v>100</v>
      </c>
      <c r="H287" s="14">
        <v>100</v>
      </c>
    </row>
    <row r="288" spans="2:8" ht="15.75" x14ac:dyDescent="0.25">
      <c r="B288" s="10" t="s">
        <v>686</v>
      </c>
      <c r="C288" s="370">
        <v>41500028</v>
      </c>
      <c r="D288" s="370" t="s">
        <v>514</v>
      </c>
      <c r="E288" s="370" t="s">
        <v>685</v>
      </c>
      <c r="F288" s="371" t="s">
        <v>983</v>
      </c>
      <c r="G288" s="10">
        <v>100</v>
      </c>
      <c r="H288" s="14">
        <v>100</v>
      </c>
    </row>
    <row r="289" spans="2:8" ht="15.75" x14ac:dyDescent="0.25">
      <c r="B289" s="10" t="s">
        <v>687</v>
      </c>
      <c r="C289" s="370">
        <v>41520001</v>
      </c>
      <c r="D289" s="370" t="s">
        <v>514</v>
      </c>
      <c r="E289" s="370" t="s">
        <v>688</v>
      </c>
      <c r="F289" s="371" t="s">
        <v>983</v>
      </c>
      <c r="G289" s="10">
        <v>100</v>
      </c>
      <c r="H289" s="14">
        <v>100</v>
      </c>
    </row>
    <row r="290" spans="2:8" ht="15.75" x14ac:dyDescent="0.25">
      <c r="B290" s="10" t="s">
        <v>689</v>
      </c>
      <c r="C290" s="370">
        <v>41520002</v>
      </c>
      <c r="D290" s="370" t="s">
        <v>514</v>
      </c>
      <c r="E290" s="370" t="s">
        <v>688</v>
      </c>
      <c r="F290" s="371" t="s">
        <v>983</v>
      </c>
      <c r="G290" s="10">
        <v>100</v>
      </c>
      <c r="H290" s="14">
        <v>100</v>
      </c>
    </row>
    <row r="291" spans="2:8" ht="15.75" x14ac:dyDescent="0.25">
      <c r="B291" s="10" t="s">
        <v>690</v>
      </c>
      <c r="C291" s="370">
        <v>41811005</v>
      </c>
      <c r="D291" s="370" t="s">
        <v>353</v>
      </c>
      <c r="E291" s="370" t="s">
        <v>691</v>
      </c>
      <c r="F291" s="371" t="s">
        <v>983</v>
      </c>
      <c r="G291" s="10">
        <v>80</v>
      </c>
      <c r="H291" s="14">
        <v>100</v>
      </c>
    </row>
    <row r="292" spans="2:8" ht="15.75" x14ac:dyDescent="0.25">
      <c r="B292" s="10" t="s">
        <v>692</v>
      </c>
      <c r="C292" s="370">
        <v>41811006</v>
      </c>
      <c r="D292" s="370" t="s">
        <v>353</v>
      </c>
      <c r="E292" s="370" t="s">
        <v>691</v>
      </c>
      <c r="F292" s="371" t="s">
        <v>983</v>
      </c>
      <c r="G292" s="10">
        <v>80</v>
      </c>
      <c r="H292" s="14">
        <v>100</v>
      </c>
    </row>
    <row r="293" spans="2:8" ht="15.75" x14ac:dyDescent="0.25">
      <c r="B293" s="10" t="s">
        <v>693</v>
      </c>
      <c r="C293" s="370">
        <v>41811007</v>
      </c>
      <c r="D293" s="370" t="s">
        <v>353</v>
      </c>
      <c r="E293" s="370" t="s">
        <v>691</v>
      </c>
      <c r="F293" s="371" t="s">
        <v>983</v>
      </c>
      <c r="G293" s="10">
        <v>80</v>
      </c>
      <c r="H293" s="14">
        <v>100</v>
      </c>
    </row>
    <row r="294" spans="2:8" ht="15.75" x14ac:dyDescent="0.25">
      <c r="B294" s="10" t="s">
        <v>694</v>
      </c>
      <c r="C294" s="370">
        <v>40140001</v>
      </c>
      <c r="D294" s="370" t="s">
        <v>668</v>
      </c>
      <c r="E294" s="370" t="s">
        <v>695</v>
      </c>
      <c r="F294" s="371" t="s">
        <v>983</v>
      </c>
      <c r="G294" s="10">
        <v>110</v>
      </c>
      <c r="H294" s="14">
        <v>120</v>
      </c>
    </row>
    <row r="295" spans="2:8" ht="15.75" x14ac:dyDescent="0.25">
      <c r="B295" s="10" t="s">
        <v>696</v>
      </c>
      <c r="C295" s="370">
        <v>40140002</v>
      </c>
      <c r="D295" s="370" t="s">
        <v>668</v>
      </c>
      <c r="E295" s="370" t="s">
        <v>695</v>
      </c>
      <c r="F295" s="371" t="s">
        <v>983</v>
      </c>
      <c r="G295" s="10">
        <v>110</v>
      </c>
      <c r="H295" s="14">
        <v>120</v>
      </c>
    </row>
    <row r="296" spans="2:8" ht="15.75" x14ac:dyDescent="0.25">
      <c r="B296" s="10" t="s">
        <v>697</v>
      </c>
      <c r="C296" s="370">
        <v>40140003</v>
      </c>
      <c r="D296" s="370" t="s">
        <v>668</v>
      </c>
      <c r="E296" s="370" t="s">
        <v>695</v>
      </c>
      <c r="F296" s="371" t="s">
        <v>983</v>
      </c>
      <c r="G296" s="10">
        <v>110</v>
      </c>
      <c r="H296" s="14">
        <v>120</v>
      </c>
    </row>
    <row r="297" spans="2:8" ht="15.75" x14ac:dyDescent="0.25">
      <c r="B297" s="10" t="s">
        <v>698</v>
      </c>
      <c r="C297" s="370">
        <v>40140004</v>
      </c>
      <c r="D297" s="370" t="s">
        <v>668</v>
      </c>
      <c r="E297" s="370" t="s">
        <v>695</v>
      </c>
      <c r="F297" s="371" t="s">
        <v>983</v>
      </c>
      <c r="G297" s="10">
        <v>110</v>
      </c>
      <c r="H297" s="14">
        <v>120</v>
      </c>
    </row>
    <row r="298" spans="2:8" ht="15.75" x14ac:dyDescent="0.25">
      <c r="B298" s="10" t="s">
        <v>699</v>
      </c>
      <c r="C298" s="370">
        <v>40143001</v>
      </c>
      <c r="D298" s="370" t="s">
        <v>668</v>
      </c>
      <c r="E298" s="370" t="s">
        <v>550</v>
      </c>
      <c r="F298" s="371" t="s">
        <v>983</v>
      </c>
      <c r="G298" s="10">
        <v>110</v>
      </c>
      <c r="H298" s="14">
        <v>120</v>
      </c>
    </row>
    <row r="299" spans="2:8" ht="15.75" x14ac:dyDescent="0.25">
      <c r="B299" s="10" t="s">
        <v>700</v>
      </c>
      <c r="C299" s="370">
        <v>40143003</v>
      </c>
      <c r="D299" s="370" t="s">
        <v>668</v>
      </c>
      <c r="E299" s="370" t="s">
        <v>550</v>
      </c>
      <c r="F299" s="371" t="s">
        <v>983</v>
      </c>
      <c r="G299" s="10">
        <v>110</v>
      </c>
      <c r="H299" s="14">
        <v>120</v>
      </c>
    </row>
    <row r="300" spans="2:8" ht="15.75" x14ac:dyDescent="0.25">
      <c r="B300" s="10" t="s">
        <v>701</v>
      </c>
      <c r="C300" s="370">
        <v>40143002</v>
      </c>
      <c r="D300" s="370" t="s">
        <v>668</v>
      </c>
      <c r="E300" s="370" t="s">
        <v>550</v>
      </c>
      <c r="F300" s="371" t="s">
        <v>983</v>
      </c>
      <c r="G300" s="10">
        <v>110</v>
      </c>
      <c r="H300" s="14">
        <v>120</v>
      </c>
    </row>
    <row r="301" spans="2:8" ht="15.75" x14ac:dyDescent="0.25">
      <c r="B301" s="10" t="s">
        <v>702</v>
      </c>
      <c r="C301" s="370">
        <v>41811002</v>
      </c>
      <c r="D301" s="370" t="s">
        <v>353</v>
      </c>
      <c r="E301" s="370" t="s">
        <v>703</v>
      </c>
      <c r="F301" s="371" t="s">
        <v>983</v>
      </c>
      <c r="G301" s="10">
        <v>100</v>
      </c>
      <c r="H301" s="14">
        <v>125</v>
      </c>
    </row>
    <row r="302" spans="2:8" ht="15.75" x14ac:dyDescent="0.25">
      <c r="B302" s="10" t="s">
        <v>249</v>
      </c>
      <c r="C302" s="370">
        <v>41880016</v>
      </c>
      <c r="D302" s="370" t="s">
        <v>353</v>
      </c>
      <c r="E302" s="370" t="s">
        <v>354</v>
      </c>
      <c r="F302" s="371" t="s">
        <v>983</v>
      </c>
      <c r="G302" s="10">
        <v>120</v>
      </c>
      <c r="H302" s="14">
        <v>125</v>
      </c>
    </row>
    <row r="303" spans="2:8" ht="15.75" x14ac:dyDescent="0.25">
      <c r="B303" s="10" t="s">
        <v>704</v>
      </c>
      <c r="C303" s="370">
        <v>41811003</v>
      </c>
      <c r="D303" s="370" t="s">
        <v>353</v>
      </c>
      <c r="E303" s="370" t="s">
        <v>703</v>
      </c>
      <c r="F303" s="371" t="s">
        <v>983</v>
      </c>
      <c r="G303" s="10">
        <v>100</v>
      </c>
      <c r="H303" s="14">
        <v>125</v>
      </c>
    </row>
    <row r="304" spans="2:8" ht="15.75" x14ac:dyDescent="0.25">
      <c r="B304" s="10" t="s">
        <v>705</v>
      </c>
      <c r="C304" s="370">
        <v>41811001</v>
      </c>
      <c r="D304" s="370" t="s">
        <v>353</v>
      </c>
      <c r="E304" s="370" t="s">
        <v>703</v>
      </c>
      <c r="F304" s="371" t="s">
        <v>983</v>
      </c>
      <c r="G304" s="10">
        <v>100</v>
      </c>
      <c r="H304" s="14">
        <v>125</v>
      </c>
    </row>
    <row r="305" spans="2:8" ht="15.75" x14ac:dyDescent="0.25">
      <c r="B305" s="10" t="s">
        <v>706</v>
      </c>
      <c r="C305" s="370">
        <v>41880008</v>
      </c>
      <c r="D305" s="370" t="s">
        <v>353</v>
      </c>
      <c r="E305" s="370" t="s">
        <v>354</v>
      </c>
      <c r="F305" s="371" t="s">
        <v>983</v>
      </c>
      <c r="G305" s="10">
        <v>120</v>
      </c>
      <c r="H305" s="14">
        <v>125</v>
      </c>
    </row>
    <row r="306" spans="2:8" ht="15.75" x14ac:dyDescent="0.25">
      <c r="B306" s="10" t="s">
        <v>707</v>
      </c>
      <c r="C306" s="370">
        <v>41880007</v>
      </c>
      <c r="D306" s="370" t="s">
        <v>353</v>
      </c>
      <c r="E306" s="370" t="s">
        <v>354</v>
      </c>
      <c r="F306" s="371" t="s">
        <v>983</v>
      </c>
      <c r="G306" s="10">
        <v>120</v>
      </c>
      <c r="H306" s="14">
        <v>125</v>
      </c>
    </row>
    <row r="307" spans="2:8" ht="15.75" x14ac:dyDescent="0.25">
      <c r="B307" s="10" t="s">
        <v>708</v>
      </c>
      <c r="C307" s="370">
        <v>41880009</v>
      </c>
      <c r="D307" s="370" t="s">
        <v>353</v>
      </c>
      <c r="E307" s="370" t="s">
        <v>354</v>
      </c>
      <c r="F307" s="371" t="s">
        <v>983</v>
      </c>
      <c r="G307" s="10">
        <v>120</v>
      </c>
      <c r="H307" s="14">
        <v>125</v>
      </c>
    </row>
    <row r="308" spans="2:8" ht="15.75" x14ac:dyDescent="0.25">
      <c r="B308" s="10" t="s">
        <v>709</v>
      </c>
      <c r="C308" s="370">
        <v>41880022</v>
      </c>
      <c r="D308" s="370" t="s">
        <v>353</v>
      </c>
      <c r="E308" s="370" t="s">
        <v>354</v>
      </c>
      <c r="F308" s="371" t="s">
        <v>983</v>
      </c>
      <c r="G308" s="10">
        <v>120</v>
      </c>
      <c r="H308" s="14">
        <v>125</v>
      </c>
    </row>
    <row r="309" spans="2:8" ht="15.75" x14ac:dyDescent="0.25">
      <c r="B309" s="10" t="s">
        <v>710</v>
      </c>
      <c r="C309" s="370">
        <v>41870002</v>
      </c>
      <c r="D309" s="370" t="s">
        <v>353</v>
      </c>
      <c r="E309" s="370" t="s">
        <v>354</v>
      </c>
      <c r="F309" s="371" t="s">
        <v>983</v>
      </c>
      <c r="G309" s="10">
        <v>100</v>
      </c>
      <c r="H309" s="14">
        <v>125</v>
      </c>
    </row>
    <row r="310" spans="2:8" ht="15.75" x14ac:dyDescent="0.25">
      <c r="B310" s="10" t="s">
        <v>711</v>
      </c>
      <c r="C310" s="370">
        <v>40300004</v>
      </c>
      <c r="D310" s="370" t="s">
        <v>359</v>
      </c>
      <c r="E310" s="370" t="s">
        <v>567</v>
      </c>
      <c r="F310" s="371" t="s">
        <v>983</v>
      </c>
      <c r="G310" s="10">
        <v>110</v>
      </c>
      <c r="H310" s="14">
        <v>125</v>
      </c>
    </row>
    <row r="311" spans="2:8" ht="15.75" x14ac:dyDescent="0.25">
      <c r="B311" s="10" t="s">
        <v>712</v>
      </c>
      <c r="C311" s="370">
        <v>40300026</v>
      </c>
      <c r="D311" s="370" t="s">
        <v>359</v>
      </c>
      <c r="E311" s="370" t="s">
        <v>354</v>
      </c>
      <c r="F311" s="371" t="s">
        <v>993</v>
      </c>
      <c r="G311" s="10">
        <v>121</v>
      </c>
      <c r="H311" s="14">
        <v>125</v>
      </c>
    </row>
    <row r="312" spans="2:8" ht="15.75" x14ac:dyDescent="0.25">
      <c r="B312" s="10" t="s">
        <v>713</v>
      </c>
      <c r="C312" s="370">
        <v>41500030</v>
      </c>
      <c r="D312" s="370" t="s">
        <v>514</v>
      </c>
      <c r="E312" s="370" t="s">
        <v>714</v>
      </c>
      <c r="F312" s="371" t="s">
        <v>983</v>
      </c>
      <c r="G312" s="10">
        <v>125</v>
      </c>
      <c r="H312" s="14">
        <v>125</v>
      </c>
    </row>
    <row r="313" spans="2:8" ht="15.75" x14ac:dyDescent="0.25">
      <c r="B313" s="10" t="s">
        <v>716</v>
      </c>
      <c r="C313" s="370">
        <v>41500022</v>
      </c>
      <c r="D313" s="370" t="s">
        <v>514</v>
      </c>
      <c r="E313" s="370" t="s">
        <v>715</v>
      </c>
      <c r="F313" s="371" t="s">
        <v>983</v>
      </c>
      <c r="G313" s="10">
        <v>125</v>
      </c>
      <c r="H313" s="14">
        <v>125</v>
      </c>
    </row>
    <row r="314" spans="2:8" ht="15.75" x14ac:dyDescent="0.25">
      <c r="B314" s="10" t="s">
        <v>717</v>
      </c>
      <c r="C314" s="370">
        <v>41500023</v>
      </c>
      <c r="D314" s="370" t="s">
        <v>514</v>
      </c>
      <c r="E314" s="370" t="s">
        <v>718</v>
      </c>
      <c r="F314" s="371" t="s">
        <v>983</v>
      </c>
      <c r="G314" s="10">
        <v>136</v>
      </c>
      <c r="H314" s="14">
        <v>125</v>
      </c>
    </row>
    <row r="315" spans="2:8" ht="15.75" x14ac:dyDescent="0.25">
      <c r="B315" s="10" t="s">
        <v>719</v>
      </c>
      <c r="C315" s="370">
        <v>41500024</v>
      </c>
      <c r="D315" s="370" t="s">
        <v>514</v>
      </c>
      <c r="E315" s="370" t="s">
        <v>718</v>
      </c>
      <c r="F315" s="371" t="s">
        <v>983</v>
      </c>
      <c r="G315" s="10">
        <v>136</v>
      </c>
      <c r="H315" s="14">
        <v>125</v>
      </c>
    </row>
    <row r="316" spans="2:8" ht="15.75" x14ac:dyDescent="0.25">
      <c r="B316" s="372" t="s">
        <v>720</v>
      </c>
      <c r="C316" s="370">
        <v>41500031</v>
      </c>
      <c r="D316" s="370" t="s">
        <v>514</v>
      </c>
      <c r="E316" s="370" t="s">
        <v>721</v>
      </c>
      <c r="F316" s="371" t="s">
        <v>983</v>
      </c>
      <c r="G316" s="10">
        <v>125</v>
      </c>
      <c r="H316" s="14">
        <v>125</v>
      </c>
    </row>
    <row r="317" spans="2:8" ht="15.75" x14ac:dyDescent="0.25">
      <c r="B317" s="10" t="s">
        <v>722</v>
      </c>
      <c r="C317" s="370">
        <v>41500018</v>
      </c>
      <c r="D317" s="370" t="s">
        <v>514</v>
      </c>
      <c r="E317" s="370" t="s">
        <v>439</v>
      </c>
      <c r="F317" s="371" t="s">
        <v>983</v>
      </c>
      <c r="G317" s="10">
        <v>125</v>
      </c>
      <c r="H317" s="14">
        <v>125</v>
      </c>
    </row>
    <row r="318" spans="2:8" ht="15.75" x14ac:dyDescent="0.25">
      <c r="B318" s="10" t="s">
        <v>723</v>
      </c>
      <c r="C318" s="370">
        <v>41500019</v>
      </c>
      <c r="D318" s="370" t="s">
        <v>514</v>
      </c>
      <c r="E318" s="370" t="s">
        <v>439</v>
      </c>
      <c r="F318" s="371" t="s">
        <v>983</v>
      </c>
      <c r="G318" s="10">
        <v>125</v>
      </c>
      <c r="H318" s="14">
        <v>125</v>
      </c>
    </row>
    <row r="319" spans="2:8" ht="15.75" x14ac:dyDescent="0.25">
      <c r="B319" s="10" t="s">
        <v>724</v>
      </c>
      <c r="C319" s="370">
        <v>40520003</v>
      </c>
      <c r="D319" s="370" t="s">
        <v>401</v>
      </c>
      <c r="E319" s="370" t="s">
        <v>725</v>
      </c>
      <c r="F319" s="371" t="s">
        <v>983</v>
      </c>
      <c r="G319" s="10">
        <v>130</v>
      </c>
      <c r="H319" s="14">
        <v>130</v>
      </c>
    </row>
    <row r="320" spans="2:8" ht="15.75" x14ac:dyDescent="0.25">
      <c r="B320" s="10" t="s">
        <v>726</v>
      </c>
      <c r="C320" s="370">
        <v>40520002</v>
      </c>
      <c r="D320" s="370" t="s">
        <v>401</v>
      </c>
      <c r="E320" s="370" t="s">
        <v>725</v>
      </c>
      <c r="F320" s="371" t="s">
        <v>983</v>
      </c>
      <c r="G320" s="10">
        <v>130</v>
      </c>
      <c r="H320" s="14">
        <v>130</v>
      </c>
    </row>
    <row r="321" spans="2:8" ht="15.75" x14ac:dyDescent="0.25">
      <c r="B321" s="10" t="s">
        <v>727</v>
      </c>
      <c r="C321" s="370">
        <v>40520001</v>
      </c>
      <c r="D321" s="370" t="s">
        <v>401</v>
      </c>
      <c r="E321" s="370" t="s">
        <v>725</v>
      </c>
      <c r="F321" s="371" t="s">
        <v>983</v>
      </c>
      <c r="G321" s="10">
        <v>130</v>
      </c>
      <c r="H321" s="14">
        <v>130</v>
      </c>
    </row>
    <row r="322" spans="2:8" ht="15.75" x14ac:dyDescent="0.25">
      <c r="B322" s="10" t="s">
        <v>409</v>
      </c>
      <c r="C322" s="370">
        <v>41813002</v>
      </c>
      <c r="D322" s="370" t="s">
        <v>353</v>
      </c>
      <c r="E322" s="370" t="s">
        <v>728</v>
      </c>
      <c r="F322" s="371" t="s">
        <v>983</v>
      </c>
      <c r="G322" s="10">
        <v>150</v>
      </c>
      <c r="H322" s="14">
        <v>150</v>
      </c>
    </row>
    <row r="323" spans="2:8" ht="15.75" x14ac:dyDescent="0.25">
      <c r="B323" s="10" t="s">
        <v>729</v>
      </c>
      <c r="C323" s="370">
        <v>41813001</v>
      </c>
      <c r="D323" s="370" t="s">
        <v>353</v>
      </c>
      <c r="E323" s="370" t="s">
        <v>728</v>
      </c>
      <c r="F323" s="371" t="s">
        <v>983</v>
      </c>
      <c r="G323" s="10">
        <v>150</v>
      </c>
      <c r="H323" s="14">
        <v>150</v>
      </c>
    </row>
    <row r="324" spans="2:8" ht="15.75" x14ac:dyDescent="0.25">
      <c r="B324" s="10" t="s">
        <v>730</v>
      </c>
      <c r="C324" s="370">
        <v>41813004</v>
      </c>
      <c r="D324" s="370" t="s">
        <v>353</v>
      </c>
      <c r="E324" s="370" t="s">
        <v>728</v>
      </c>
      <c r="F324" s="371" t="s">
        <v>983</v>
      </c>
      <c r="G324" s="10">
        <v>150</v>
      </c>
      <c r="H324" s="14">
        <v>150</v>
      </c>
    </row>
    <row r="325" spans="2:8" ht="15.75" x14ac:dyDescent="0.25">
      <c r="B325" s="10" t="s">
        <v>731</v>
      </c>
      <c r="C325" s="370">
        <v>41813003</v>
      </c>
      <c r="D325" s="370" t="s">
        <v>353</v>
      </c>
      <c r="E325" s="370" t="s">
        <v>728</v>
      </c>
      <c r="F325" s="371" t="s">
        <v>983</v>
      </c>
      <c r="G325" s="10">
        <v>150</v>
      </c>
      <c r="H325" s="14">
        <v>150</v>
      </c>
    </row>
    <row r="326" spans="2:8" ht="15.75" x14ac:dyDescent="0.25">
      <c r="B326" s="10" t="s">
        <v>413</v>
      </c>
      <c r="C326" s="370">
        <v>41814001</v>
      </c>
      <c r="D326" s="370" t="s">
        <v>353</v>
      </c>
      <c r="E326" s="370" t="s">
        <v>412</v>
      </c>
      <c r="F326" s="371" t="s">
        <v>983</v>
      </c>
      <c r="G326" s="10">
        <v>150</v>
      </c>
      <c r="H326" s="14">
        <v>150</v>
      </c>
    </row>
    <row r="327" spans="2:8" ht="15.75" x14ac:dyDescent="0.25">
      <c r="B327" s="10" t="s">
        <v>732</v>
      </c>
      <c r="C327" s="370">
        <v>41814002</v>
      </c>
      <c r="D327" s="370" t="s">
        <v>353</v>
      </c>
      <c r="E327" s="370" t="s">
        <v>412</v>
      </c>
      <c r="F327" s="371" t="s">
        <v>983</v>
      </c>
      <c r="G327" s="10">
        <v>150</v>
      </c>
      <c r="H327" s="14">
        <v>150</v>
      </c>
    </row>
    <row r="328" spans="2:8" ht="15.75" x14ac:dyDescent="0.25">
      <c r="B328" s="10" t="s">
        <v>282</v>
      </c>
      <c r="C328" s="370">
        <v>41816001</v>
      </c>
      <c r="D328" s="370" t="s">
        <v>353</v>
      </c>
      <c r="E328" s="370" t="s">
        <v>422</v>
      </c>
      <c r="F328" s="371" t="s">
        <v>983</v>
      </c>
      <c r="G328" s="10">
        <v>150</v>
      </c>
      <c r="H328" s="14">
        <v>150</v>
      </c>
    </row>
    <row r="329" spans="2:8" ht="15.75" x14ac:dyDescent="0.25">
      <c r="B329" s="10" t="s">
        <v>733</v>
      </c>
      <c r="C329" s="370">
        <v>41816002</v>
      </c>
      <c r="D329" s="370" t="s">
        <v>353</v>
      </c>
      <c r="E329" s="370" t="s">
        <v>422</v>
      </c>
      <c r="F329" s="371" t="s">
        <v>983</v>
      </c>
      <c r="G329" s="10">
        <v>150</v>
      </c>
      <c r="H329" s="14">
        <v>150</v>
      </c>
    </row>
    <row r="330" spans="2:8" ht="15.75" x14ac:dyDescent="0.25">
      <c r="B330" s="10" t="s">
        <v>734</v>
      </c>
      <c r="C330" s="370">
        <v>40410007</v>
      </c>
      <c r="D330" s="370" t="s">
        <v>571</v>
      </c>
      <c r="E330" s="370" t="s">
        <v>354</v>
      </c>
      <c r="F330" s="371" t="s">
        <v>983</v>
      </c>
      <c r="G330" s="10">
        <v>135</v>
      </c>
      <c r="H330" s="14">
        <v>150</v>
      </c>
    </row>
    <row r="331" spans="2:8" ht="15.75" x14ac:dyDescent="0.25">
      <c r="B331" s="10" t="s">
        <v>735</v>
      </c>
      <c r="C331" s="370">
        <v>40410003</v>
      </c>
      <c r="D331" s="370" t="s">
        <v>571</v>
      </c>
      <c r="E331" s="370" t="s">
        <v>354</v>
      </c>
      <c r="F331" s="371" t="s">
        <v>983</v>
      </c>
      <c r="G331" s="10">
        <v>130</v>
      </c>
      <c r="H331" s="14">
        <v>150</v>
      </c>
    </row>
    <row r="332" spans="2:8" ht="15.75" x14ac:dyDescent="0.25">
      <c r="B332" s="10" t="s">
        <v>14</v>
      </c>
      <c r="C332" s="370">
        <v>40530004</v>
      </c>
      <c r="D332" s="370" t="s">
        <v>401</v>
      </c>
      <c r="E332" s="370" t="s">
        <v>512</v>
      </c>
      <c r="F332" s="371" t="s">
        <v>983</v>
      </c>
      <c r="G332" s="10">
        <v>150</v>
      </c>
      <c r="H332" s="14">
        <v>150</v>
      </c>
    </row>
    <row r="333" spans="2:8" ht="15.75" x14ac:dyDescent="0.25">
      <c r="B333" s="10" t="s">
        <v>736</v>
      </c>
      <c r="C333" s="370">
        <v>40530005</v>
      </c>
      <c r="D333" s="370" t="s">
        <v>401</v>
      </c>
      <c r="E333" s="370" t="s">
        <v>512</v>
      </c>
      <c r="F333" s="371" t="s">
        <v>983</v>
      </c>
      <c r="G333" s="10">
        <v>150</v>
      </c>
      <c r="H333" s="14">
        <v>150</v>
      </c>
    </row>
    <row r="334" spans="2:8" ht="15.75" x14ac:dyDescent="0.25">
      <c r="B334" s="10" t="s">
        <v>737</v>
      </c>
      <c r="C334" s="370">
        <v>40530006</v>
      </c>
      <c r="D334" s="370" t="s">
        <v>401</v>
      </c>
      <c r="E334" s="370" t="s">
        <v>512</v>
      </c>
      <c r="F334" s="371" t="s">
        <v>983</v>
      </c>
      <c r="G334" s="10">
        <v>150</v>
      </c>
      <c r="H334" s="14">
        <v>150</v>
      </c>
    </row>
    <row r="335" spans="2:8" ht="15.75" x14ac:dyDescent="0.25">
      <c r="B335" s="10" t="s">
        <v>407</v>
      </c>
      <c r="C335" s="370">
        <v>41500025</v>
      </c>
      <c r="D335" s="370" t="s">
        <v>514</v>
      </c>
      <c r="E335" s="370" t="s">
        <v>406</v>
      </c>
      <c r="F335" s="371" t="s">
        <v>983</v>
      </c>
      <c r="G335" s="10">
        <v>175</v>
      </c>
      <c r="H335" s="14">
        <v>175</v>
      </c>
    </row>
    <row r="336" spans="2:8" ht="15.75" x14ac:dyDescent="0.25">
      <c r="B336" s="10" t="s">
        <v>739</v>
      </c>
      <c r="C336" s="370">
        <v>41500001</v>
      </c>
      <c r="D336" s="370" t="s">
        <v>514</v>
      </c>
      <c r="E336" s="370" t="s">
        <v>439</v>
      </c>
      <c r="F336" s="371" t="s">
        <v>983</v>
      </c>
      <c r="G336" s="10">
        <v>175</v>
      </c>
      <c r="H336" s="14">
        <v>175</v>
      </c>
    </row>
    <row r="337" spans="2:8" ht="15.75" x14ac:dyDescent="0.25">
      <c r="B337" s="10" t="s">
        <v>740</v>
      </c>
      <c r="C337" s="370">
        <v>41500002</v>
      </c>
      <c r="D337" s="370" t="s">
        <v>514</v>
      </c>
      <c r="E337" s="370" t="s">
        <v>439</v>
      </c>
      <c r="F337" s="371" t="s">
        <v>983</v>
      </c>
      <c r="G337" s="10">
        <v>175</v>
      </c>
      <c r="H337" s="14">
        <v>175</v>
      </c>
    </row>
    <row r="338" spans="2:8" ht="15.75" x14ac:dyDescent="0.25">
      <c r="B338" s="10" t="s">
        <v>741</v>
      </c>
      <c r="C338" s="370">
        <v>41500026</v>
      </c>
      <c r="D338" s="370" t="s">
        <v>514</v>
      </c>
      <c r="E338" s="370" t="s">
        <v>406</v>
      </c>
      <c r="F338" s="371" t="s">
        <v>983</v>
      </c>
      <c r="G338" s="10">
        <v>175</v>
      </c>
      <c r="H338" s="14">
        <v>175</v>
      </c>
    </row>
    <row r="339" spans="2:8" ht="15.75" x14ac:dyDescent="0.25">
      <c r="B339" s="10" t="s">
        <v>15</v>
      </c>
      <c r="C339" s="370">
        <v>41500029</v>
      </c>
      <c r="D339" s="370" t="s">
        <v>514</v>
      </c>
      <c r="E339" s="370" t="s">
        <v>406</v>
      </c>
      <c r="F339" s="371" t="s">
        <v>983</v>
      </c>
      <c r="G339" s="10">
        <v>175</v>
      </c>
      <c r="H339" s="14">
        <v>175</v>
      </c>
    </row>
    <row r="340" spans="2:8" ht="15.75" x14ac:dyDescent="0.25">
      <c r="B340" s="10" t="s">
        <v>742</v>
      </c>
      <c r="C340" s="370">
        <v>40510012</v>
      </c>
      <c r="D340" s="370" t="s">
        <v>401</v>
      </c>
      <c r="E340" s="370" t="s">
        <v>512</v>
      </c>
      <c r="F340" s="371" t="s">
        <v>983</v>
      </c>
      <c r="G340" s="10">
        <v>175</v>
      </c>
      <c r="H340" s="14">
        <v>175</v>
      </c>
    </row>
    <row r="341" spans="2:8" ht="15.75" x14ac:dyDescent="0.25">
      <c r="B341" s="10" t="s">
        <v>743</v>
      </c>
      <c r="C341" s="370">
        <v>40510011</v>
      </c>
      <c r="D341" s="370" t="s">
        <v>401</v>
      </c>
      <c r="E341" s="370" t="s">
        <v>738</v>
      </c>
      <c r="F341" s="371" t="s">
        <v>983</v>
      </c>
      <c r="G341" s="10">
        <v>175</v>
      </c>
      <c r="H341" s="14">
        <v>175</v>
      </c>
    </row>
    <row r="342" spans="2:8" ht="15.75" x14ac:dyDescent="0.25">
      <c r="B342" s="10" t="s">
        <v>744</v>
      </c>
      <c r="C342" s="370">
        <v>40510010</v>
      </c>
      <c r="D342" s="370" t="s">
        <v>401</v>
      </c>
      <c r="E342" s="370" t="s">
        <v>365</v>
      </c>
      <c r="F342" s="371" t="s">
        <v>983</v>
      </c>
      <c r="G342" s="10">
        <v>175</v>
      </c>
      <c r="H342" s="14">
        <v>175</v>
      </c>
    </row>
    <row r="343" spans="2:8" ht="15.75" x14ac:dyDescent="0.25">
      <c r="B343" s="10" t="s">
        <v>745</v>
      </c>
      <c r="C343" s="370">
        <v>40142001</v>
      </c>
      <c r="D343" s="370" t="s">
        <v>668</v>
      </c>
      <c r="E343" s="370" t="s">
        <v>746</v>
      </c>
      <c r="F343" s="371" t="s">
        <v>983</v>
      </c>
      <c r="G343" s="10">
        <v>185</v>
      </c>
      <c r="H343" s="14">
        <v>185</v>
      </c>
    </row>
    <row r="344" spans="2:8" ht="15.75" x14ac:dyDescent="0.25">
      <c r="B344" s="10" t="s">
        <v>747</v>
      </c>
      <c r="C344" s="370">
        <v>40142002</v>
      </c>
      <c r="D344" s="370" t="s">
        <v>668</v>
      </c>
      <c r="E344" s="370" t="s">
        <v>746</v>
      </c>
      <c r="F344" s="371" t="s">
        <v>983</v>
      </c>
      <c r="G344" s="10">
        <v>185</v>
      </c>
      <c r="H344" s="14">
        <v>185</v>
      </c>
    </row>
    <row r="345" spans="2:8" ht="15.75" x14ac:dyDescent="0.25">
      <c r="B345" s="10" t="s">
        <v>368</v>
      </c>
      <c r="C345" s="370">
        <v>40330003</v>
      </c>
      <c r="D345" s="370" t="s">
        <v>359</v>
      </c>
      <c r="E345" s="370" t="s">
        <v>365</v>
      </c>
      <c r="F345" s="371" t="s">
        <v>983</v>
      </c>
      <c r="G345" s="10">
        <v>175</v>
      </c>
      <c r="H345" s="14">
        <v>200</v>
      </c>
    </row>
    <row r="346" spans="2:8" ht="15.75" x14ac:dyDescent="0.25">
      <c r="B346" s="10" t="s">
        <v>280</v>
      </c>
      <c r="C346" s="370">
        <v>40330001</v>
      </c>
      <c r="D346" s="370" t="s">
        <v>359</v>
      </c>
      <c r="E346" s="370" t="s">
        <v>365</v>
      </c>
      <c r="F346" s="371" t="s">
        <v>983</v>
      </c>
      <c r="G346" s="10">
        <v>175</v>
      </c>
      <c r="H346" s="14">
        <v>200</v>
      </c>
    </row>
    <row r="347" spans="2:8" ht="15.75" x14ac:dyDescent="0.25">
      <c r="B347" s="10" t="s">
        <v>281</v>
      </c>
      <c r="C347" s="370">
        <v>40330002</v>
      </c>
      <c r="D347" s="370" t="s">
        <v>359</v>
      </c>
      <c r="E347" s="370" t="s">
        <v>365</v>
      </c>
      <c r="F347" s="371" t="s">
        <v>983</v>
      </c>
      <c r="G347" s="10">
        <v>175</v>
      </c>
      <c r="H347" s="14">
        <v>200</v>
      </c>
    </row>
    <row r="348" spans="2:8" ht="15.75" x14ac:dyDescent="0.25">
      <c r="B348" s="10" t="s">
        <v>748</v>
      </c>
      <c r="C348" s="370">
        <v>40142003</v>
      </c>
      <c r="D348" s="370" t="s">
        <v>668</v>
      </c>
      <c r="E348" s="370" t="s">
        <v>746</v>
      </c>
      <c r="F348" s="371" t="s">
        <v>983</v>
      </c>
      <c r="G348" s="10">
        <v>200</v>
      </c>
      <c r="H348" s="14">
        <v>200</v>
      </c>
    </row>
    <row r="349" spans="2:8" ht="15.75" x14ac:dyDescent="0.25">
      <c r="B349" s="10" t="s">
        <v>749</v>
      </c>
      <c r="C349" s="370">
        <v>40142004</v>
      </c>
      <c r="D349" s="370" t="s">
        <v>668</v>
      </c>
      <c r="E349" s="370" t="s">
        <v>746</v>
      </c>
      <c r="F349" s="371" t="s">
        <v>983</v>
      </c>
      <c r="G349" s="10">
        <v>200</v>
      </c>
      <c r="H349" s="14">
        <v>200</v>
      </c>
    </row>
    <row r="350" spans="2:8" ht="15.75" x14ac:dyDescent="0.25">
      <c r="B350" s="10" t="s">
        <v>750</v>
      </c>
      <c r="C350" s="370">
        <v>40142005</v>
      </c>
      <c r="D350" s="370" t="s">
        <v>668</v>
      </c>
      <c r="E350" s="370" t="s">
        <v>746</v>
      </c>
      <c r="F350" s="371" t="s">
        <v>983</v>
      </c>
      <c r="G350" s="10">
        <v>200</v>
      </c>
      <c r="H350" s="14">
        <v>200</v>
      </c>
    </row>
    <row r="351" spans="2:8" ht="15.75" x14ac:dyDescent="0.25">
      <c r="B351" s="10" t="s">
        <v>751</v>
      </c>
      <c r="C351" s="370">
        <v>40142006</v>
      </c>
      <c r="D351" s="370" t="s">
        <v>668</v>
      </c>
      <c r="E351" s="370" t="s">
        <v>746</v>
      </c>
      <c r="F351" s="371" t="s">
        <v>983</v>
      </c>
      <c r="G351" s="10">
        <v>200</v>
      </c>
      <c r="H351" s="14">
        <v>200</v>
      </c>
    </row>
    <row r="352" spans="2:8" ht="15.75" x14ac:dyDescent="0.25">
      <c r="B352" s="10" t="s">
        <v>752</v>
      </c>
      <c r="C352" s="374">
        <v>40100001</v>
      </c>
      <c r="D352" s="374" t="s">
        <v>753</v>
      </c>
      <c r="E352" s="370" t="s">
        <v>754</v>
      </c>
      <c r="F352" s="371" t="s">
        <v>983</v>
      </c>
      <c r="G352" s="10">
        <v>200</v>
      </c>
      <c r="H352" s="14">
        <v>200</v>
      </c>
    </row>
    <row r="353" spans="2:8" ht="15.75" x14ac:dyDescent="0.25">
      <c r="B353" s="10" t="s">
        <v>755</v>
      </c>
      <c r="C353" s="374">
        <v>40100002</v>
      </c>
      <c r="D353" s="374" t="s">
        <v>753</v>
      </c>
      <c r="E353" s="370" t="s">
        <v>754</v>
      </c>
      <c r="F353" s="371" t="s">
        <v>983</v>
      </c>
      <c r="G353" s="10">
        <v>200</v>
      </c>
      <c r="H353" s="14">
        <v>200</v>
      </c>
    </row>
    <row r="354" spans="2:8" ht="15.75" x14ac:dyDescent="0.25">
      <c r="B354" s="10" t="s">
        <v>1026</v>
      </c>
      <c r="C354" s="374">
        <v>40190001</v>
      </c>
      <c r="D354" s="374" t="s">
        <v>756</v>
      </c>
      <c r="E354" s="370" t="s">
        <v>412</v>
      </c>
      <c r="F354" s="371" t="s">
        <v>983</v>
      </c>
      <c r="G354" s="10">
        <v>200</v>
      </c>
      <c r="H354" s="14">
        <v>200</v>
      </c>
    </row>
    <row r="355" spans="2:8" ht="15.75" x14ac:dyDescent="0.25">
      <c r="B355" s="10" t="s">
        <v>265</v>
      </c>
      <c r="C355" s="370">
        <v>40190002</v>
      </c>
      <c r="D355" s="370" t="s">
        <v>756</v>
      </c>
      <c r="E355" s="370" t="s">
        <v>412</v>
      </c>
      <c r="F355" s="371" t="s">
        <v>983</v>
      </c>
      <c r="G355" s="10">
        <v>200</v>
      </c>
      <c r="H355" s="14">
        <v>200</v>
      </c>
    </row>
    <row r="356" spans="2:8" ht="15.75" x14ac:dyDescent="0.25">
      <c r="B356" s="10" t="s">
        <v>247</v>
      </c>
      <c r="C356" s="370">
        <v>40310003</v>
      </c>
      <c r="D356" s="370" t="s">
        <v>359</v>
      </c>
      <c r="E356" s="370" t="s">
        <v>360</v>
      </c>
      <c r="F356" s="371" t="s">
        <v>983</v>
      </c>
      <c r="G356" s="10">
        <v>175</v>
      </c>
      <c r="H356" s="14">
        <v>200</v>
      </c>
    </row>
    <row r="357" spans="2:8" ht="15.75" x14ac:dyDescent="0.25">
      <c r="B357" s="10" t="s">
        <v>757</v>
      </c>
      <c r="C357" s="370">
        <v>40141001</v>
      </c>
      <c r="D357" s="370" t="s">
        <v>668</v>
      </c>
      <c r="E357" s="370" t="s">
        <v>373</v>
      </c>
      <c r="F357" s="371" t="s">
        <v>983</v>
      </c>
      <c r="G357" s="10">
        <v>190</v>
      </c>
      <c r="H357" s="14">
        <v>200</v>
      </c>
    </row>
    <row r="358" spans="2:8" ht="15.75" x14ac:dyDescent="0.25">
      <c r="B358" s="10" t="s">
        <v>758</v>
      </c>
      <c r="C358" s="370">
        <v>40141002</v>
      </c>
      <c r="D358" s="370" t="s">
        <v>668</v>
      </c>
      <c r="E358" s="370" t="s">
        <v>373</v>
      </c>
      <c r="F358" s="371" t="s">
        <v>983</v>
      </c>
      <c r="G358" s="10">
        <v>190</v>
      </c>
      <c r="H358" s="14">
        <v>200</v>
      </c>
    </row>
    <row r="359" spans="2:8" ht="15.75" x14ac:dyDescent="0.25">
      <c r="B359" s="10" t="s">
        <v>759</v>
      </c>
      <c r="C359" s="370">
        <v>40141003</v>
      </c>
      <c r="D359" s="370" t="s">
        <v>668</v>
      </c>
      <c r="E359" s="370" t="s">
        <v>373</v>
      </c>
      <c r="F359" s="371" t="s">
        <v>983</v>
      </c>
      <c r="G359" s="10">
        <v>190</v>
      </c>
      <c r="H359" s="14">
        <v>200</v>
      </c>
    </row>
    <row r="360" spans="2:8" ht="15.75" x14ac:dyDescent="0.25">
      <c r="B360" s="10" t="s">
        <v>760</v>
      </c>
      <c r="C360" s="370">
        <v>40540001</v>
      </c>
      <c r="D360" s="370" t="s">
        <v>401</v>
      </c>
      <c r="E360" s="370" t="s">
        <v>761</v>
      </c>
      <c r="F360" s="371" t="s">
        <v>983</v>
      </c>
      <c r="G360" s="10">
        <v>200</v>
      </c>
      <c r="H360" s="14">
        <v>200</v>
      </c>
    </row>
    <row r="361" spans="2:8" ht="15.75" x14ac:dyDescent="0.25">
      <c r="B361" s="10" t="s">
        <v>762</v>
      </c>
      <c r="C361" s="370">
        <v>40540002</v>
      </c>
      <c r="D361" s="370" t="s">
        <v>401</v>
      </c>
      <c r="E361" s="370" t="s">
        <v>761</v>
      </c>
      <c r="F361" s="371" t="s">
        <v>983</v>
      </c>
      <c r="G361" s="10">
        <v>200</v>
      </c>
      <c r="H361" s="14">
        <v>200</v>
      </c>
    </row>
    <row r="362" spans="2:8" ht="15.75" x14ac:dyDescent="0.25">
      <c r="B362" s="10" t="s">
        <v>763</v>
      </c>
      <c r="C362" s="370">
        <v>40540003</v>
      </c>
      <c r="D362" s="370" t="s">
        <v>764</v>
      </c>
      <c r="E362" s="370" t="s">
        <v>765</v>
      </c>
      <c r="F362" s="371" t="s">
        <v>983</v>
      </c>
      <c r="G362" s="10">
        <v>200</v>
      </c>
      <c r="H362" s="14">
        <v>200</v>
      </c>
    </row>
    <row r="363" spans="2:8" ht="15.75" x14ac:dyDescent="0.25">
      <c r="B363" s="10" t="s">
        <v>766</v>
      </c>
      <c r="C363" s="373">
        <v>40170001</v>
      </c>
      <c r="D363" s="370" t="s">
        <v>767</v>
      </c>
      <c r="E363" s="370" t="s">
        <v>391</v>
      </c>
      <c r="F363" s="371" t="s">
        <v>983</v>
      </c>
      <c r="G363" s="10">
        <v>50</v>
      </c>
      <c r="H363" s="14">
        <v>50</v>
      </c>
    </row>
    <row r="364" spans="2:8" ht="15.75" x14ac:dyDescent="0.25">
      <c r="B364" s="10" t="s">
        <v>768</v>
      </c>
      <c r="C364" s="373">
        <v>40170008</v>
      </c>
      <c r="D364" s="370" t="s">
        <v>767</v>
      </c>
      <c r="E364" s="370" t="s">
        <v>391</v>
      </c>
      <c r="F364" s="371" t="s">
        <v>983</v>
      </c>
      <c r="G364" s="10">
        <v>50</v>
      </c>
      <c r="H364" s="14">
        <v>50</v>
      </c>
    </row>
    <row r="365" spans="2:8" ht="15.75" x14ac:dyDescent="0.25">
      <c r="B365" s="10" t="s">
        <v>769</v>
      </c>
      <c r="C365" s="373">
        <v>40170005</v>
      </c>
      <c r="D365" s="370" t="s">
        <v>767</v>
      </c>
      <c r="E365" s="370" t="s">
        <v>391</v>
      </c>
      <c r="F365" s="371" t="s">
        <v>983</v>
      </c>
      <c r="G365" s="10">
        <v>50</v>
      </c>
      <c r="H365" s="14">
        <v>50</v>
      </c>
    </row>
    <row r="366" spans="2:8" ht="15.75" x14ac:dyDescent="0.25">
      <c r="B366" s="10" t="s">
        <v>770</v>
      </c>
      <c r="C366" s="373">
        <v>40170006</v>
      </c>
      <c r="D366" s="370" t="s">
        <v>767</v>
      </c>
      <c r="E366" s="370" t="s">
        <v>391</v>
      </c>
      <c r="F366" s="371" t="s">
        <v>983</v>
      </c>
      <c r="G366" s="10">
        <v>50</v>
      </c>
      <c r="H366" s="14">
        <v>50</v>
      </c>
    </row>
    <row r="367" spans="2:8" ht="15.75" x14ac:dyDescent="0.25">
      <c r="B367" s="10" t="s">
        <v>771</v>
      </c>
      <c r="C367" s="373">
        <v>40170003</v>
      </c>
      <c r="D367" s="370" t="s">
        <v>767</v>
      </c>
      <c r="E367" s="370" t="s">
        <v>391</v>
      </c>
      <c r="F367" s="371" t="s">
        <v>983</v>
      </c>
      <c r="G367" s="10">
        <v>50</v>
      </c>
      <c r="H367" s="14">
        <v>50</v>
      </c>
    </row>
    <row r="368" spans="2:8" ht="15.75" x14ac:dyDescent="0.25">
      <c r="B368" s="10" t="s">
        <v>772</v>
      </c>
      <c r="C368" s="373">
        <v>40170002</v>
      </c>
      <c r="D368" s="370" t="s">
        <v>767</v>
      </c>
      <c r="E368" s="370" t="s">
        <v>391</v>
      </c>
      <c r="F368" s="371" t="s">
        <v>983</v>
      </c>
      <c r="G368" s="10">
        <v>50</v>
      </c>
      <c r="H368" s="14">
        <v>50</v>
      </c>
    </row>
    <row r="369" spans="2:8" ht="15.75" x14ac:dyDescent="0.25">
      <c r="B369" s="10" t="s">
        <v>773</v>
      </c>
      <c r="C369" s="373">
        <v>40170004</v>
      </c>
      <c r="D369" s="370" t="s">
        <v>767</v>
      </c>
      <c r="E369" s="370" t="s">
        <v>391</v>
      </c>
      <c r="F369" s="371" t="s">
        <v>983</v>
      </c>
      <c r="G369" s="10">
        <v>50</v>
      </c>
      <c r="H369" s="14">
        <v>50</v>
      </c>
    </row>
    <row r="370" spans="2:8" ht="15.75" x14ac:dyDescent="0.25">
      <c r="B370" s="10" t="s">
        <v>774</v>
      </c>
      <c r="C370" s="373">
        <v>40170007</v>
      </c>
      <c r="D370" s="370" t="s">
        <v>767</v>
      </c>
      <c r="E370" s="370" t="s">
        <v>391</v>
      </c>
      <c r="F370" s="371" t="s">
        <v>983</v>
      </c>
      <c r="G370" s="10">
        <v>50</v>
      </c>
      <c r="H370" s="14">
        <v>50</v>
      </c>
    </row>
    <row r="371" spans="2:8" ht="15.75" x14ac:dyDescent="0.25">
      <c r="B371" s="10" t="s">
        <v>775</v>
      </c>
      <c r="C371" s="370">
        <v>40720001</v>
      </c>
      <c r="D371" s="370" t="s">
        <v>394</v>
      </c>
      <c r="E371" s="370" t="s">
        <v>354</v>
      </c>
      <c r="F371" s="371" t="s">
        <v>983</v>
      </c>
      <c r="G371" s="10">
        <v>200</v>
      </c>
      <c r="H371" s="14">
        <v>200</v>
      </c>
    </row>
    <row r="372" spans="2:8" ht="15.75" x14ac:dyDescent="0.25">
      <c r="B372" s="10" t="s">
        <v>776</v>
      </c>
      <c r="C372" s="370">
        <v>40720002</v>
      </c>
      <c r="D372" s="370" t="s">
        <v>394</v>
      </c>
      <c r="E372" s="370" t="s">
        <v>354</v>
      </c>
      <c r="F372" s="371" t="s">
        <v>983</v>
      </c>
      <c r="G372" s="10">
        <v>200</v>
      </c>
      <c r="H372" s="14">
        <v>200</v>
      </c>
    </row>
    <row r="373" spans="2:8" ht="15.75" x14ac:dyDescent="0.25">
      <c r="B373" s="10" t="s">
        <v>777</v>
      </c>
      <c r="C373" s="370">
        <v>40720003</v>
      </c>
      <c r="D373" s="370" t="s">
        <v>394</v>
      </c>
      <c r="E373" s="370" t="s">
        <v>354</v>
      </c>
      <c r="F373" s="371" t="s">
        <v>983</v>
      </c>
      <c r="G373" s="10">
        <v>200</v>
      </c>
      <c r="H373" s="14">
        <v>200</v>
      </c>
    </row>
    <row r="374" spans="2:8" ht="15.75" x14ac:dyDescent="0.25">
      <c r="B374" s="10" t="s">
        <v>778</v>
      </c>
      <c r="C374" s="370">
        <v>40720004</v>
      </c>
      <c r="D374" s="370" t="s">
        <v>394</v>
      </c>
      <c r="E374" s="370" t="s">
        <v>354</v>
      </c>
      <c r="F374" s="371" t="s">
        <v>983</v>
      </c>
      <c r="G374" s="10">
        <v>200</v>
      </c>
      <c r="H374" s="14">
        <v>200</v>
      </c>
    </row>
    <row r="375" spans="2:8" ht="15.75" x14ac:dyDescent="0.25">
      <c r="B375" s="10" t="s">
        <v>779</v>
      </c>
      <c r="C375" s="370">
        <v>40720005</v>
      </c>
      <c r="D375" s="370" t="s">
        <v>394</v>
      </c>
      <c r="E375" s="370" t="s">
        <v>354</v>
      </c>
      <c r="F375" s="371" t="s">
        <v>983</v>
      </c>
      <c r="G375" s="10">
        <v>200</v>
      </c>
      <c r="H375" s="14">
        <v>200</v>
      </c>
    </row>
    <row r="376" spans="2:8" ht="15.75" x14ac:dyDescent="0.25">
      <c r="B376" s="10" t="s">
        <v>780</v>
      </c>
      <c r="C376" s="370">
        <v>40760001</v>
      </c>
      <c r="D376" s="370" t="s">
        <v>394</v>
      </c>
      <c r="E376" s="370" t="s">
        <v>781</v>
      </c>
      <c r="F376" s="371" t="s">
        <v>983</v>
      </c>
      <c r="G376" s="10">
        <v>200</v>
      </c>
      <c r="H376" s="14">
        <v>200</v>
      </c>
    </row>
    <row r="377" spans="2:8" ht="15.75" x14ac:dyDescent="0.25">
      <c r="B377" s="10" t="s">
        <v>782</v>
      </c>
      <c r="C377" s="370">
        <v>40760002</v>
      </c>
      <c r="D377" s="370" t="s">
        <v>394</v>
      </c>
      <c r="E377" s="370" t="s">
        <v>781</v>
      </c>
      <c r="F377" s="371" t="s">
        <v>983</v>
      </c>
      <c r="G377" s="10">
        <v>200</v>
      </c>
      <c r="H377" s="14">
        <v>200</v>
      </c>
    </row>
    <row r="378" spans="2:8" ht="15.75" x14ac:dyDescent="0.25">
      <c r="B378" s="10" t="s">
        <v>783</v>
      </c>
      <c r="C378" s="370">
        <v>40760003</v>
      </c>
      <c r="D378" s="370" t="s">
        <v>394</v>
      </c>
      <c r="E378" s="370" t="s">
        <v>781</v>
      </c>
      <c r="F378" s="371" t="s">
        <v>983</v>
      </c>
      <c r="G378" s="10">
        <v>200</v>
      </c>
      <c r="H378" s="14">
        <v>200</v>
      </c>
    </row>
    <row r="379" spans="2:8" ht="15.75" x14ac:dyDescent="0.25">
      <c r="B379" s="10" t="s">
        <v>784</v>
      </c>
      <c r="C379" s="370">
        <v>40760004</v>
      </c>
      <c r="D379" s="370" t="s">
        <v>394</v>
      </c>
      <c r="E379" s="370" t="s">
        <v>781</v>
      </c>
      <c r="F379" s="371" t="s">
        <v>983</v>
      </c>
      <c r="G379" s="10">
        <v>200</v>
      </c>
      <c r="H379" s="14">
        <v>200</v>
      </c>
    </row>
    <row r="380" spans="2:8" ht="15.75" x14ac:dyDescent="0.25">
      <c r="B380" s="10" t="s">
        <v>785</v>
      </c>
      <c r="C380" s="370">
        <v>43050006</v>
      </c>
      <c r="D380" s="370" t="s">
        <v>370</v>
      </c>
      <c r="E380" s="370" t="s">
        <v>786</v>
      </c>
      <c r="F380" s="371" t="s">
        <v>983</v>
      </c>
      <c r="G380" s="10">
        <v>240</v>
      </c>
      <c r="H380" s="14">
        <v>240</v>
      </c>
    </row>
    <row r="381" spans="2:8" ht="15.75" x14ac:dyDescent="0.25">
      <c r="B381" s="10" t="s">
        <v>787</v>
      </c>
      <c r="C381" s="370">
        <v>43050007</v>
      </c>
      <c r="D381" s="370" t="s">
        <v>370</v>
      </c>
      <c r="E381" s="370" t="s">
        <v>786</v>
      </c>
      <c r="F381" s="371" t="s">
        <v>983</v>
      </c>
      <c r="G381" s="10">
        <v>240</v>
      </c>
      <c r="H381" s="14">
        <v>240</v>
      </c>
    </row>
    <row r="382" spans="2:8" ht="15.75" x14ac:dyDescent="0.25">
      <c r="B382" s="10" t="s">
        <v>788</v>
      </c>
      <c r="C382" s="370">
        <v>43050008</v>
      </c>
      <c r="D382" s="370" t="s">
        <v>370</v>
      </c>
      <c r="E382" s="370" t="s">
        <v>786</v>
      </c>
      <c r="F382" s="371" t="s">
        <v>983</v>
      </c>
      <c r="G382" s="10">
        <v>240</v>
      </c>
      <c r="H382" s="14">
        <v>240</v>
      </c>
    </row>
    <row r="383" spans="2:8" ht="15.75" x14ac:dyDescent="0.25">
      <c r="B383" s="10" t="s">
        <v>789</v>
      </c>
      <c r="C383" s="370">
        <v>43050009</v>
      </c>
      <c r="D383" s="370" t="s">
        <v>370</v>
      </c>
      <c r="E383" s="370" t="s">
        <v>786</v>
      </c>
      <c r="F383" s="371" t="s">
        <v>983</v>
      </c>
      <c r="G383" s="10">
        <v>240</v>
      </c>
      <c r="H383" s="14">
        <v>240</v>
      </c>
    </row>
    <row r="384" spans="2:8" ht="15.75" x14ac:dyDescent="0.25">
      <c r="B384" s="10" t="s">
        <v>790</v>
      </c>
      <c r="C384" s="370">
        <v>40140006</v>
      </c>
      <c r="D384" s="370" t="s">
        <v>668</v>
      </c>
      <c r="E384" s="370" t="s">
        <v>791</v>
      </c>
      <c r="F384" s="371" t="s">
        <v>983</v>
      </c>
      <c r="G384" s="10">
        <v>230</v>
      </c>
      <c r="H384" s="14">
        <v>250</v>
      </c>
    </row>
    <row r="385" spans="2:8" ht="15.75" x14ac:dyDescent="0.25">
      <c r="B385" s="10" t="s">
        <v>792</v>
      </c>
      <c r="C385" s="370">
        <v>40300005</v>
      </c>
      <c r="D385" s="370" t="s">
        <v>359</v>
      </c>
      <c r="E385" s="370" t="s">
        <v>567</v>
      </c>
      <c r="F385" s="371" t="s">
        <v>983</v>
      </c>
      <c r="G385" s="10">
        <v>220</v>
      </c>
      <c r="H385" s="14">
        <v>250</v>
      </c>
    </row>
    <row r="386" spans="2:8" ht="15.75" x14ac:dyDescent="0.25">
      <c r="B386" s="10" t="s">
        <v>269</v>
      </c>
      <c r="C386" s="370">
        <v>40140005</v>
      </c>
      <c r="D386" s="370" t="s">
        <v>668</v>
      </c>
      <c r="E386" s="370" t="s">
        <v>791</v>
      </c>
      <c r="F386" s="371" t="s">
        <v>983</v>
      </c>
      <c r="G386" s="10">
        <v>230</v>
      </c>
      <c r="H386" s="14">
        <v>250</v>
      </c>
    </row>
    <row r="387" spans="2:8" ht="15.75" x14ac:dyDescent="0.25">
      <c r="B387" s="10" t="s">
        <v>270</v>
      </c>
      <c r="C387" s="370">
        <v>40140007</v>
      </c>
      <c r="D387" s="370" t="s">
        <v>668</v>
      </c>
      <c r="E387" s="370" t="s">
        <v>791</v>
      </c>
      <c r="F387" s="371" t="s">
        <v>983</v>
      </c>
      <c r="G387" s="10">
        <v>230</v>
      </c>
      <c r="H387" s="14">
        <v>250</v>
      </c>
    </row>
    <row r="388" spans="2:8" ht="15.75" x14ac:dyDescent="0.25">
      <c r="B388" s="10" t="s">
        <v>793</v>
      </c>
      <c r="C388" s="370">
        <v>40140008</v>
      </c>
      <c r="D388" s="370" t="s">
        <v>668</v>
      </c>
      <c r="E388" s="370" t="s">
        <v>791</v>
      </c>
      <c r="F388" s="371" t="s">
        <v>983</v>
      </c>
      <c r="G388" s="10">
        <v>230</v>
      </c>
      <c r="H388" s="14">
        <v>250</v>
      </c>
    </row>
    <row r="389" spans="2:8" ht="15.75" x14ac:dyDescent="0.25">
      <c r="B389" s="10" t="s">
        <v>794</v>
      </c>
      <c r="C389" s="370">
        <v>40143004</v>
      </c>
      <c r="D389" s="370" t="s">
        <v>668</v>
      </c>
      <c r="E389" s="370" t="s">
        <v>550</v>
      </c>
      <c r="F389" s="371" t="s">
        <v>983</v>
      </c>
      <c r="G389" s="10">
        <v>250</v>
      </c>
      <c r="H389" s="14">
        <v>250</v>
      </c>
    </row>
    <row r="390" spans="2:8" ht="15.75" x14ac:dyDescent="0.25">
      <c r="B390" s="10" t="s">
        <v>795</v>
      </c>
      <c r="C390" s="370">
        <v>40143005</v>
      </c>
      <c r="D390" s="370" t="s">
        <v>668</v>
      </c>
      <c r="E390" s="370" t="s">
        <v>550</v>
      </c>
      <c r="F390" s="371" t="s">
        <v>983</v>
      </c>
      <c r="G390" s="10">
        <v>250</v>
      </c>
      <c r="H390" s="14">
        <v>250</v>
      </c>
    </row>
    <row r="391" spans="2:8" ht="15.75" x14ac:dyDescent="0.25">
      <c r="B391" s="10" t="s">
        <v>796</v>
      </c>
      <c r="C391" s="370">
        <v>40143006</v>
      </c>
      <c r="D391" s="370" t="s">
        <v>668</v>
      </c>
      <c r="E391" s="370" t="s">
        <v>550</v>
      </c>
      <c r="F391" s="371" t="s">
        <v>983</v>
      </c>
      <c r="G391" s="10">
        <v>250</v>
      </c>
      <c r="H391" s="14">
        <v>250</v>
      </c>
    </row>
    <row r="392" spans="2:8" ht="15.75" x14ac:dyDescent="0.25">
      <c r="B392" s="10" t="s">
        <v>797</v>
      </c>
      <c r="C392" s="370">
        <v>40143007</v>
      </c>
      <c r="D392" s="370" t="s">
        <v>668</v>
      </c>
      <c r="E392" s="370" t="s">
        <v>550</v>
      </c>
      <c r="F392" s="371" t="s">
        <v>983</v>
      </c>
      <c r="G392" s="10">
        <v>250</v>
      </c>
      <c r="H392" s="14">
        <v>250</v>
      </c>
    </row>
    <row r="393" spans="2:8" ht="15.75" x14ac:dyDescent="0.25">
      <c r="B393" s="10" t="s">
        <v>798</v>
      </c>
      <c r="C393" s="370">
        <v>40135001</v>
      </c>
      <c r="D393" s="370" t="s">
        <v>485</v>
      </c>
      <c r="E393" s="370" t="s">
        <v>371</v>
      </c>
      <c r="F393" s="371" t="s">
        <v>983</v>
      </c>
      <c r="G393" s="10">
        <v>240</v>
      </c>
      <c r="H393" s="14">
        <v>250</v>
      </c>
    </row>
    <row r="394" spans="2:8" ht="15.75" x14ac:dyDescent="0.25">
      <c r="B394" s="10" t="s">
        <v>1028</v>
      </c>
      <c r="C394" s="370">
        <v>43210001</v>
      </c>
      <c r="D394" s="370" t="s">
        <v>460</v>
      </c>
      <c r="E394" s="370" t="s">
        <v>1027</v>
      </c>
      <c r="F394" s="371" t="s">
        <v>983</v>
      </c>
      <c r="G394" s="10">
        <v>20</v>
      </c>
      <c r="H394" s="14">
        <v>20</v>
      </c>
    </row>
    <row r="395" spans="2:8" ht="15.75" x14ac:dyDescent="0.25">
      <c r="B395" s="10" t="s">
        <v>283</v>
      </c>
      <c r="C395" s="370">
        <v>43200012</v>
      </c>
      <c r="D395" s="370" t="s">
        <v>424</v>
      </c>
      <c r="E395" s="370" t="s">
        <v>799</v>
      </c>
      <c r="F395" s="371" t="s">
        <v>983</v>
      </c>
      <c r="G395" s="10">
        <v>250</v>
      </c>
      <c r="H395" s="14">
        <v>250</v>
      </c>
    </row>
    <row r="396" spans="2:8" ht="15.75" x14ac:dyDescent="0.25">
      <c r="B396" s="10" t="s">
        <v>800</v>
      </c>
      <c r="C396" s="370">
        <v>43200013</v>
      </c>
      <c r="D396" s="370" t="s">
        <v>424</v>
      </c>
      <c r="E396" s="370" t="s">
        <v>799</v>
      </c>
      <c r="F396" s="371" t="s">
        <v>983</v>
      </c>
      <c r="G396" s="10">
        <v>250</v>
      </c>
      <c r="H396" s="14">
        <v>250</v>
      </c>
    </row>
    <row r="397" spans="2:8" ht="15.75" x14ac:dyDescent="0.25">
      <c r="B397" s="10" t="s">
        <v>284</v>
      </c>
      <c r="C397" s="370">
        <v>43200014</v>
      </c>
      <c r="D397" s="370" t="s">
        <v>424</v>
      </c>
      <c r="E397" s="370" t="s">
        <v>799</v>
      </c>
      <c r="F397" s="371" t="s">
        <v>983</v>
      </c>
      <c r="G397" s="10">
        <v>250</v>
      </c>
      <c r="H397" s="14">
        <v>250</v>
      </c>
    </row>
    <row r="398" spans="2:8" ht="15.75" x14ac:dyDescent="0.25">
      <c r="B398" s="10" t="s">
        <v>801</v>
      </c>
      <c r="C398" s="370">
        <v>43200015</v>
      </c>
      <c r="D398" s="370" t="s">
        <v>424</v>
      </c>
      <c r="E398" s="370" t="s">
        <v>799</v>
      </c>
      <c r="F398" s="371" t="s">
        <v>983</v>
      </c>
      <c r="G398" s="10">
        <v>250</v>
      </c>
      <c r="H398" s="14">
        <v>250</v>
      </c>
    </row>
    <row r="399" spans="2:8" ht="15.75" x14ac:dyDescent="0.25">
      <c r="B399" s="10" t="s">
        <v>802</v>
      </c>
      <c r="C399" s="370">
        <v>43200016</v>
      </c>
      <c r="D399" s="370" t="s">
        <v>424</v>
      </c>
      <c r="E399" s="370" t="s">
        <v>799</v>
      </c>
      <c r="F399" s="371" t="s">
        <v>983</v>
      </c>
      <c r="G399" s="10">
        <v>250</v>
      </c>
      <c r="H399" s="14">
        <v>250</v>
      </c>
    </row>
    <row r="400" spans="2:8" ht="15.75" x14ac:dyDescent="0.25">
      <c r="B400" s="10" t="s">
        <v>285</v>
      </c>
      <c r="C400" s="370">
        <v>43200017</v>
      </c>
      <c r="D400" s="370" t="s">
        <v>424</v>
      </c>
      <c r="E400" s="370" t="s">
        <v>799</v>
      </c>
      <c r="F400" s="371" t="s">
        <v>983</v>
      </c>
      <c r="G400" s="10">
        <v>250</v>
      </c>
      <c r="H400" s="14">
        <v>250</v>
      </c>
    </row>
    <row r="401" spans="2:8" ht="15.75" x14ac:dyDescent="0.25">
      <c r="B401" s="10" t="s">
        <v>803</v>
      </c>
      <c r="C401" s="370">
        <v>41870005</v>
      </c>
      <c r="D401" s="370" t="s">
        <v>353</v>
      </c>
      <c r="E401" s="370" t="s">
        <v>354</v>
      </c>
      <c r="F401" s="371" t="s">
        <v>993</v>
      </c>
      <c r="G401" s="10">
        <v>250</v>
      </c>
      <c r="H401" s="14">
        <v>250</v>
      </c>
    </row>
    <row r="402" spans="2:8" ht="15.75" x14ac:dyDescent="0.25">
      <c r="B402" s="10" t="s">
        <v>250</v>
      </c>
      <c r="C402" s="370">
        <v>41880017</v>
      </c>
      <c r="D402" s="370" t="s">
        <v>353</v>
      </c>
      <c r="E402" s="370" t="s">
        <v>354</v>
      </c>
      <c r="F402" s="371" t="s">
        <v>983</v>
      </c>
      <c r="G402" s="10">
        <v>220</v>
      </c>
      <c r="H402" s="14">
        <v>250</v>
      </c>
    </row>
    <row r="403" spans="2:8" ht="15.75" x14ac:dyDescent="0.25">
      <c r="B403" s="10" t="s">
        <v>804</v>
      </c>
      <c r="C403" s="370">
        <v>41880018</v>
      </c>
      <c r="D403" s="370" t="s">
        <v>353</v>
      </c>
      <c r="E403" s="370" t="s">
        <v>354</v>
      </c>
      <c r="F403" s="371" t="s">
        <v>983</v>
      </c>
      <c r="G403" s="10">
        <v>220</v>
      </c>
      <c r="H403" s="14">
        <v>250</v>
      </c>
    </row>
    <row r="404" spans="2:8" ht="15.75" x14ac:dyDescent="0.25">
      <c r="B404" s="10" t="s">
        <v>805</v>
      </c>
      <c r="C404" s="370">
        <v>41880019</v>
      </c>
      <c r="D404" s="370" t="s">
        <v>353</v>
      </c>
      <c r="E404" s="370" t="s">
        <v>354</v>
      </c>
      <c r="F404" s="371" t="s">
        <v>983</v>
      </c>
      <c r="G404" s="10">
        <v>220</v>
      </c>
      <c r="H404" s="14">
        <v>250</v>
      </c>
    </row>
    <row r="405" spans="2:8" ht="15.75" x14ac:dyDescent="0.25">
      <c r="B405" s="10" t="s">
        <v>806</v>
      </c>
      <c r="C405" s="370">
        <v>41880020</v>
      </c>
      <c r="D405" s="370" t="s">
        <v>353</v>
      </c>
      <c r="E405" s="370" t="s">
        <v>354</v>
      </c>
      <c r="F405" s="371" t="s">
        <v>983</v>
      </c>
      <c r="G405" s="10">
        <v>220</v>
      </c>
      <c r="H405" s="14">
        <v>250</v>
      </c>
    </row>
    <row r="406" spans="2:8" ht="15.75" x14ac:dyDescent="0.25">
      <c r="B406" s="10" t="s">
        <v>807</v>
      </c>
      <c r="C406" s="370">
        <v>41870003</v>
      </c>
      <c r="D406" s="370" t="s">
        <v>353</v>
      </c>
      <c r="E406" s="370" t="s">
        <v>354</v>
      </c>
      <c r="F406" s="371" t="s">
        <v>983</v>
      </c>
      <c r="G406" s="10">
        <v>250</v>
      </c>
      <c r="H406" s="14">
        <v>250</v>
      </c>
    </row>
    <row r="407" spans="2:8" ht="15.75" x14ac:dyDescent="0.25">
      <c r="B407" s="10" t="s">
        <v>808</v>
      </c>
      <c r="C407" s="370">
        <v>40300027</v>
      </c>
      <c r="D407" s="370" t="s">
        <v>359</v>
      </c>
      <c r="E407" s="370" t="s">
        <v>354</v>
      </c>
      <c r="F407" s="371" t="s">
        <v>993</v>
      </c>
      <c r="G407" s="10">
        <v>246</v>
      </c>
      <c r="H407" s="14">
        <v>250</v>
      </c>
    </row>
    <row r="408" spans="2:8" ht="15.75" x14ac:dyDescent="0.25">
      <c r="B408" s="10" t="s">
        <v>809</v>
      </c>
      <c r="C408" s="370">
        <v>40410004</v>
      </c>
      <c r="D408" s="370" t="s">
        <v>571</v>
      </c>
      <c r="E408" s="370" t="s">
        <v>354</v>
      </c>
      <c r="F408" s="371" t="s">
        <v>983</v>
      </c>
      <c r="G408" s="10">
        <v>230</v>
      </c>
      <c r="H408" s="14">
        <v>250</v>
      </c>
    </row>
    <row r="409" spans="2:8" ht="15.75" x14ac:dyDescent="0.25">
      <c r="B409" s="10" t="s">
        <v>810</v>
      </c>
      <c r="C409" s="370">
        <v>41500007</v>
      </c>
      <c r="D409" s="370" t="s">
        <v>514</v>
      </c>
      <c r="E409" s="370" t="s">
        <v>378</v>
      </c>
      <c r="F409" s="371" t="s">
        <v>983</v>
      </c>
      <c r="G409" s="10">
        <v>250</v>
      </c>
      <c r="H409" s="14">
        <v>250</v>
      </c>
    </row>
    <row r="410" spans="2:8" ht="15.75" x14ac:dyDescent="0.25">
      <c r="B410" s="10" t="s">
        <v>811</v>
      </c>
      <c r="C410" s="370">
        <v>41890001</v>
      </c>
      <c r="D410" s="370" t="s">
        <v>353</v>
      </c>
      <c r="E410" s="370" t="s">
        <v>373</v>
      </c>
      <c r="F410" s="371" t="s">
        <v>983</v>
      </c>
      <c r="G410" s="10">
        <v>280</v>
      </c>
      <c r="H410" s="14">
        <v>280</v>
      </c>
    </row>
    <row r="411" spans="2:8" ht="15.75" x14ac:dyDescent="0.25">
      <c r="B411" s="10" t="s">
        <v>812</v>
      </c>
      <c r="C411" s="370">
        <v>41890003</v>
      </c>
      <c r="D411" s="370" t="s">
        <v>353</v>
      </c>
      <c r="E411" s="370" t="s">
        <v>373</v>
      </c>
      <c r="F411" s="371" t="s">
        <v>983</v>
      </c>
      <c r="G411" s="10">
        <v>280</v>
      </c>
      <c r="H411" s="14">
        <v>280</v>
      </c>
    </row>
    <row r="412" spans="2:8" ht="15.75" x14ac:dyDescent="0.25">
      <c r="B412" s="10" t="s">
        <v>813</v>
      </c>
      <c r="C412" s="370">
        <v>41890004</v>
      </c>
      <c r="D412" s="370" t="s">
        <v>353</v>
      </c>
      <c r="E412" s="370" t="s">
        <v>373</v>
      </c>
      <c r="F412" s="371" t="s">
        <v>983</v>
      </c>
      <c r="G412" s="10">
        <v>280</v>
      </c>
      <c r="H412" s="14">
        <v>280</v>
      </c>
    </row>
    <row r="413" spans="2:8" ht="15.75" x14ac:dyDescent="0.25">
      <c r="B413" s="10" t="s">
        <v>814</v>
      </c>
      <c r="C413" s="370">
        <v>41890002</v>
      </c>
      <c r="D413" s="370" t="s">
        <v>353</v>
      </c>
      <c r="E413" s="370" t="s">
        <v>373</v>
      </c>
      <c r="F413" s="371" t="s">
        <v>983</v>
      </c>
      <c r="G413" s="10">
        <v>280</v>
      </c>
      <c r="H413" s="14">
        <v>280</v>
      </c>
    </row>
    <row r="414" spans="2:8" ht="15.75" x14ac:dyDescent="0.25">
      <c r="B414" s="10" t="s">
        <v>815</v>
      </c>
      <c r="C414" s="370">
        <v>40145001</v>
      </c>
      <c r="D414" s="370" t="s">
        <v>668</v>
      </c>
      <c r="E414" s="370" t="s">
        <v>659</v>
      </c>
      <c r="F414" s="371" t="s">
        <v>983</v>
      </c>
      <c r="G414" s="10">
        <v>300</v>
      </c>
      <c r="H414" s="14">
        <v>300</v>
      </c>
    </row>
    <row r="415" spans="2:8" ht="15.75" x14ac:dyDescent="0.25">
      <c r="B415" s="10" t="s">
        <v>816</v>
      </c>
      <c r="C415" s="370">
        <v>40144001</v>
      </c>
      <c r="D415" s="370" t="s">
        <v>668</v>
      </c>
      <c r="E415" s="370" t="s">
        <v>378</v>
      </c>
      <c r="F415" s="371" t="s">
        <v>983</v>
      </c>
      <c r="G415" s="10">
        <v>300</v>
      </c>
      <c r="H415" s="14">
        <v>300</v>
      </c>
    </row>
    <row r="416" spans="2:8" ht="15.75" x14ac:dyDescent="0.25">
      <c r="B416" s="10" t="s">
        <v>817</v>
      </c>
      <c r="C416" s="370">
        <v>40146001</v>
      </c>
      <c r="D416" s="370" t="s">
        <v>668</v>
      </c>
      <c r="E416" s="370" t="s">
        <v>371</v>
      </c>
      <c r="F416" s="371" t="s">
        <v>983</v>
      </c>
      <c r="G416" s="10">
        <v>300</v>
      </c>
      <c r="H416" s="14">
        <v>300</v>
      </c>
    </row>
    <row r="417" spans="2:8" ht="15.75" x14ac:dyDescent="0.25">
      <c r="B417" s="10" t="s">
        <v>818</v>
      </c>
      <c r="C417" s="370">
        <v>40133001</v>
      </c>
      <c r="D417" s="370" t="s">
        <v>485</v>
      </c>
      <c r="E417" s="370" t="s">
        <v>659</v>
      </c>
      <c r="F417" s="371" t="s">
        <v>983</v>
      </c>
      <c r="G417" s="10">
        <v>300</v>
      </c>
      <c r="H417" s="14">
        <v>300</v>
      </c>
    </row>
    <row r="418" spans="2:8" ht="15.75" x14ac:dyDescent="0.25">
      <c r="B418" s="10" t="s">
        <v>819</v>
      </c>
      <c r="C418" s="370">
        <v>40132001</v>
      </c>
      <c r="D418" s="370" t="s">
        <v>485</v>
      </c>
      <c r="E418" s="370" t="s">
        <v>378</v>
      </c>
      <c r="F418" s="371" t="s">
        <v>983</v>
      </c>
      <c r="G418" s="10">
        <v>300</v>
      </c>
      <c r="H418" s="14">
        <v>300</v>
      </c>
    </row>
    <row r="419" spans="2:8" ht="15.75" x14ac:dyDescent="0.25">
      <c r="B419" s="10" t="s">
        <v>820</v>
      </c>
      <c r="C419" s="370">
        <v>40320001</v>
      </c>
      <c r="D419" s="370" t="s">
        <v>359</v>
      </c>
      <c r="E419" s="370" t="s">
        <v>373</v>
      </c>
      <c r="F419" s="371" t="s">
        <v>983</v>
      </c>
      <c r="G419" s="10">
        <v>260</v>
      </c>
      <c r="H419" s="14">
        <v>300</v>
      </c>
    </row>
    <row r="420" spans="2:8" ht="15.75" x14ac:dyDescent="0.25">
      <c r="B420" s="10" t="s">
        <v>374</v>
      </c>
      <c r="C420" s="370">
        <v>40320002</v>
      </c>
      <c r="D420" s="370" t="s">
        <v>359</v>
      </c>
      <c r="E420" s="370" t="s">
        <v>373</v>
      </c>
      <c r="F420" s="371" t="s">
        <v>983</v>
      </c>
      <c r="G420" s="10">
        <v>260</v>
      </c>
      <c r="H420" s="14">
        <v>300</v>
      </c>
    </row>
    <row r="421" spans="2:8" ht="15.75" x14ac:dyDescent="0.25">
      <c r="B421" s="10" t="s">
        <v>821</v>
      </c>
      <c r="C421" s="370">
        <v>40320003</v>
      </c>
      <c r="D421" s="370" t="s">
        <v>359</v>
      </c>
      <c r="E421" s="370" t="s">
        <v>373</v>
      </c>
      <c r="F421" s="371" t="s">
        <v>983</v>
      </c>
      <c r="G421" s="10">
        <v>260</v>
      </c>
      <c r="H421" s="14">
        <v>300</v>
      </c>
    </row>
    <row r="422" spans="2:8" ht="15.75" x14ac:dyDescent="0.25">
      <c r="B422" s="10" t="s">
        <v>375</v>
      </c>
      <c r="C422" s="370">
        <v>40320004</v>
      </c>
      <c r="D422" s="370" t="s">
        <v>359</v>
      </c>
      <c r="E422" s="370" t="s">
        <v>373</v>
      </c>
      <c r="F422" s="371" t="s">
        <v>983</v>
      </c>
      <c r="G422" s="10">
        <v>260</v>
      </c>
      <c r="H422" s="14">
        <v>300</v>
      </c>
    </row>
    <row r="423" spans="2:8" ht="15.75" x14ac:dyDescent="0.25">
      <c r="B423" s="10" t="s">
        <v>822</v>
      </c>
      <c r="C423" s="370">
        <v>40320005</v>
      </c>
      <c r="D423" s="370" t="s">
        <v>359</v>
      </c>
      <c r="E423" s="370" t="s">
        <v>373</v>
      </c>
      <c r="F423" s="371" t="s">
        <v>983</v>
      </c>
      <c r="G423" s="10">
        <v>260</v>
      </c>
      <c r="H423" s="14">
        <v>300</v>
      </c>
    </row>
    <row r="424" spans="2:8" ht="15.75" x14ac:dyDescent="0.25">
      <c r="B424" s="10" t="s">
        <v>823</v>
      </c>
      <c r="C424" s="370">
        <v>41819002</v>
      </c>
      <c r="D424" s="370" t="s">
        <v>353</v>
      </c>
      <c r="E424" s="370" t="s">
        <v>391</v>
      </c>
      <c r="F424" s="371" t="s">
        <v>983</v>
      </c>
      <c r="G424" s="10">
        <v>50</v>
      </c>
      <c r="H424" s="14">
        <v>50</v>
      </c>
    </row>
    <row r="425" spans="2:8" ht="15.75" x14ac:dyDescent="0.25">
      <c r="B425" s="10" t="s">
        <v>824</v>
      </c>
      <c r="C425" s="370">
        <v>41819003</v>
      </c>
      <c r="D425" s="370" t="s">
        <v>353</v>
      </c>
      <c r="E425" s="370" t="s">
        <v>391</v>
      </c>
      <c r="F425" s="371" t="s">
        <v>983</v>
      </c>
      <c r="G425" s="10">
        <v>50</v>
      </c>
      <c r="H425" s="14">
        <v>50</v>
      </c>
    </row>
    <row r="426" spans="2:8" ht="15.75" x14ac:dyDescent="0.25">
      <c r="B426" s="10" t="s">
        <v>825</v>
      </c>
      <c r="C426" s="370">
        <v>41819001</v>
      </c>
      <c r="D426" s="370" t="s">
        <v>353</v>
      </c>
      <c r="E426" s="370" t="s">
        <v>391</v>
      </c>
      <c r="F426" s="371" t="s">
        <v>983</v>
      </c>
      <c r="G426" s="10">
        <v>50</v>
      </c>
      <c r="H426" s="14">
        <v>50</v>
      </c>
    </row>
    <row r="427" spans="2:8" ht="15.75" x14ac:dyDescent="0.25">
      <c r="B427" s="10" t="s">
        <v>826</v>
      </c>
      <c r="C427" s="370">
        <v>41891005</v>
      </c>
      <c r="D427" s="370" t="s">
        <v>353</v>
      </c>
      <c r="E427" s="370" t="s">
        <v>389</v>
      </c>
      <c r="F427" s="371" t="s">
        <v>983</v>
      </c>
      <c r="G427" s="10">
        <v>355</v>
      </c>
      <c r="H427" s="14">
        <v>350</v>
      </c>
    </row>
    <row r="428" spans="2:8" ht="15.75" x14ac:dyDescent="0.25">
      <c r="B428" s="10" t="s">
        <v>827</v>
      </c>
      <c r="C428" s="370">
        <v>41891004</v>
      </c>
      <c r="D428" s="370" t="s">
        <v>353</v>
      </c>
      <c r="E428" s="370" t="s">
        <v>389</v>
      </c>
      <c r="F428" s="371" t="s">
        <v>983</v>
      </c>
      <c r="G428" s="10">
        <v>355</v>
      </c>
      <c r="H428" s="14">
        <v>350</v>
      </c>
    </row>
    <row r="429" spans="2:8" ht="15.75" x14ac:dyDescent="0.25">
      <c r="B429" s="10" t="s">
        <v>828</v>
      </c>
      <c r="C429" s="370">
        <v>41891006</v>
      </c>
      <c r="D429" s="370" t="s">
        <v>353</v>
      </c>
      <c r="E429" s="370" t="s">
        <v>389</v>
      </c>
      <c r="F429" s="371" t="s">
        <v>983</v>
      </c>
      <c r="G429" s="10">
        <v>355</v>
      </c>
      <c r="H429" s="14">
        <v>350</v>
      </c>
    </row>
    <row r="430" spans="2:8" ht="15.75" x14ac:dyDescent="0.25">
      <c r="B430" s="10" t="s">
        <v>829</v>
      </c>
      <c r="C430" s="370">
        <v>41891007</v>
      </c>
      <c r="D430" s="370" t="s">
        <v>353</v>
      </c>
      <c r="E430" s="370" t="s">
        <v>389</v>
      </c>
      <c r="F430" s="371" t="s">
        <v>983</v>
      </c>
      <c r="G430" s="10">
        <v>355</v>
      </c>
      <c r="H430" s="14">
        <v>350</v>
      </c>
    </row>
    <row r="431" spans="2:8" ht="15.75" x14ac:dyDescent="0.25">
      <c r="B431" s="10" t="s">
        <v>830</v>
      </c>
      <c r="C431" s="370">
        <v>41891008</v>
      </c>
      <c r="D431" s="370" t="s">
        <v>353</v>
      </c>
      <c r="E431" s="370" t="s">
        <v>389</v>
      </c>
      <c r="F431" s="371" t="s">
        <v>983</v>
      </c>
      <c r="G431" s="10">
        <v>355</v>
      </c>
      <c r="H431" s="14">
        <v>350</v>
      </c>
    </row>
    <row r="432" spans="2:8" ht="15.75" x14ac:dyDescent="0.25">
      <c r="B432" s="10" t="s">
        <v>831</v>
      </c>
      <c r="C432" s="370">
        <v>41891009</v>
      </c>
      <c r="D432" s="370" t="s">
        <v>353</v>
      </c>
      <c r="E432" s="370" t="s">
        <v>389</v>
      </c>
      <c r="F432" s="371" t="s">
        <v>983</v>
      </c>
      <c r="G432" s="10">
        <v>355</v>
      </c>
      <c r="H432" s="14">
        <v>350</v>
      </c>
    </row>
    <row r="433" spans="2:8" ht="15.75" x14ac:dyDescent="0.25">
      <c r="B433" s="10" t="s">
        <v>832</v>
      </c>
      <c r="C433" s="370">
        <v>41891026</v>
      </c>
      <c r="D433" s="370" t="s">
        <v>353</v>
      </c>
      <c r="E433" s="370" t="s">
        <v>389</v>
      </c>
      <c r="F433" s="371" t="s">
        <v>983</v>
      </c>
      <c r="G433" s="10">
        <v>355</v>
      </c>
      <c r="H433" s="14">
        <v>350</v>
      </c>
    </row>
    <row r="434" spans="2:8" ht="15.75" x14ac:dyDescent="0.25">
      <c r="B434" s="10" t="s">
        <v>833</v>
      </c>
      <c r="C434" s="370">
        <v>41891024</v>
      </c>
      <c r="D434" s="370" t="s">
        <v>353</v>
      </c>
      <c r="E434" s="370" t="s">
        <v>389</v>
      </c>
      <c r="F434" s="371" t="s">
        <v>983</v>
      </c>
      <c r="G434" s="10">
        <v>355</v>
      </c>
      <c r="H434" s="14">
        <v>350</v>
      </c>
    </row>
    <row r="435" spans="2:8" ht="15.75" x14ac:dyDescent="0.25">
      <c r="B435" s="10" t="s">
        <v>834</v>
      </c>
      <c r="C435" s="370">
        <v>41891025</v>
      </c>
      <c r="D435" s="370" t="s">
        <v>353</v>
      </c>
      <c r="E435" s="370" t="s">
        <v>389</v>
      </c>
      <c r="F435" s="371" t="s">
        <v>983</v>
      </c>
      <c r="G435" s="10">
        <v>355</v>
      </c>
      <c r="H435" s="14">
        <v>350</v>
      </c>
    </row>
    <row r="436" spans="2:8" ht="15.75" x14ac:dyDescent="0.25">
      <c r="B436" s="10" t="s">
        <v>835</v>
      </c>
      <c r="C436" s="370">
        <v>41891022</v>
      </c>
      <c r="D436" s="370" t="s">
        <v>353</v>
      </c>
      <c r="E436" s="370" t="s">
        <v>389</v>
      </c>
      <c r="F436" s="371" t="s">
        <v>983</v>
      </c>
      <c r="G436" s="10">
        <v>355</v>
      </c>
      <c r="H436" s="14">
        <v>350</v>
      </c>
    </row>
    <row r="437" spans="2:8" ht="15.75" x14ac:dyDescent="0.25">
      <c r="B437" s="10" t="s">
        <v>836</v>
      </c>
      <c r="C437" s="370">
        <v>41891027</v>
      </c>
      <c r="D437" s="370" t="s">
        <v>353</v>
      </c>
      <c r="E437" s="370" t="s">
        <v>389</v>
      </c>
      <c r="F437" s="371" t="s">
        <v>983</v>
      </c>
      <c r="G437" s="10">
        <v>355</v>
      </c>
      <c r="H437" s="14">
        <v>350</v>
      </c>
    </row>
    <row r="438" spans="2:8" ht="15.75" x14ac:dyDescent="0.25">
      <c r="B438" s="10" t="s">
        <v>837</v>
      </c>
      <c r="C438" s="370">
        <v>41891023</v>
      </c>
      <c r="D438" s="370" t="s">
        <v>353</v>
      </c>
      <c r="E438" s="370" t="s">
        <v>389</v>
      </c>
      <c r="F438" s="371" t="s">
        <v>983</v>
      </c>
      <c r="G438" s="10">
        <v>355</v>
      </c>
      <c r="H438" s="14">
        <v>350</v>
      </c>
    </row>
    <row r="439" spans="2:8" ht="15.75" x14ac:dyDescent="0.25">
      <c r="B439" s="10" t="s">
        <v>838</v>
      </c>
      <c r="C439" s="370">
        <v>40141005</v>
      </c>
      <c r="D439" s="370" t="s">
        <v>668</v>
      </c>
      <c r="E439" s="370" t="s">
        <v>373</v>
      </c>
      <c r="F439" s="371" t="s">
        <v>983</v>
      </c>
      <c r="G439" s="10">
        <v>390</v>
      </c>
      <c r="H439" s="14">
        <v>400</v>
      </c>
    </row>
    <row r="440" spans="2:8" ht="15.75" x14ac:dyDescent="0.25">
      <c r="B440" s="10" t="s">
        <v>839</v>
      </c>
      <c r="C440" s="370">
        <v>40141007</v>
      </c>
      <c r="D440" s="370" t="s">
        <v>668</v>
      </c>
      <c r="E440" s="370" t="s">
        <v>373</v>
      </c>
      <c r="F440" s="371" t="s">
        <v>983</v>
      </c>
      <c r="G440" s="10">
        <v>390</v>
      </c>
      <c r="H440" s="14">
        <v>400</v>
      </c>
    </row>
    <row r="441" spans="2:8" ht="15.75" x14ac:dyDescent="0.25">
      <c r="B441" s="10" t="s">
        <v>840</v>
      </c>
      <c r="C441" s="370">
        <v>41820001</v>
      </c>
      <c r="D441" s="370" t="s">
        <v>353</v>
      </c>
      <c r="E441" s="370" t="s">
        <v>659</v>
      </c>
      <c r="F441" s="371" t="s">
        <v>983</v>
      </c>
      <c r="G441" s="10">
        <v>400</v>
      </c>
      <c r="H441" s="14">
        <v>400</v>
      </c>
    </row>
    <row r="442" spans="2:8" ht="15.75" x14ac:dyDescent="0.25">
      <c r="B442" s="10" t="s">
        <v>841</v>
      </c>
      <c r="C442" s="370">
        <v>40141004</v>
      </c>
      <c r="D442" s="370" t="s">
        <v>668</v>
      </c>
      <c r="E442" s="370" t="s">
        <v>373</v>
      </c>
      <c r="F442" s="371" t="s">
        <v>983</v>
      </c>
      <c r="G442" s="10">
        <v>390</v>
      </c>
      <c r="H442" s="14">
        <v>400</v>
      </c>
    </row>
    <row r="443" spans="2:8" ht="15.75" x14ac:dyDescent="0.25">
      <c r="B443" s="10" t="s">
        <v>842</v>
      </c>
      <c r="C443" s="370">
        <v>40141006</v>
      </c>
      <c r="D443" s="370" t="s">
        <v>668</v>
      </c>
      <c r="E443" s="370" t="s">
        <v>373</v>
      </c>
      <c r="F443" s="371" t="s">
        <v>983</v>
      </c>
      <c r="G443" s="10">
        <v>390</v>
      </c>
      <c r="H443" s="14">
        <v>400</v>
      </c>
    </row>
    <row r="444" spans="2:8" ht="15.75" x14ac:dyDescent="0.25">
      <c r="B444" s="10" t="s">
        <v>843</v>
      </c>
      <c r="C444" s="370">
        <v>41820002</v>
      </c>
      <c r="D444" s="370" t="s">
        <v>353</v>
      </c>
      <c r="E444" s="370" t="s">
        <v>659</v>
      </c>
      <c r="F444" s="371" t="s">
        <v>983</v>
      </c>
      <c r="G444" s="10">
        <v>400</v>
      </c>
      <c r="H444" s="14">
        <v>400</v>
      </c>
    </row>
    <row r="445" spans="2:8" ht="15.75" x14ac:dyDescent="0.25">
      <c r="B445" s="10" t="s">
        <v>844</v>
      </c>
      <c r="C445" s="370">
        <v>41820003</v>
      </c>
      <c r="D445" s="370" t="s">
        <v>353</v>
      </c>
      <c r="E445" s="370" t="s">
        <v>659</v>
      </c>
      <c r="F445" s="371" t="s">
        <v>983</v>
      </c>
      <c r="G445" s="10">
        <v>400</v>
      </c>
      <c r="H445" s="14">
        <v>400</v>
      </c>
    </row>
    <row r="446" spans="2:8" ht="15.75" x14ac:dyDescent="0.25">
      <c r="B446" s="10" t="s">
        <v>903</v>
      </c>
      <c r="C446" s="374">
        <v>430000006</v>
      </c>
      <c r="D446" s="370" t="s">
        <v>370</v>
      </c>
      <c r="E446" s="370" t="s">
        <v>389</v>
      </c>
      <c r="F446" s="371" t="s">
        <v>993</v>
      </c>
      <c r="G446" s="10">
        <v>500</v>
      </c>
      <c r="H446" s="14">
        <v>500</v>
      </c>
    </row>
    <row r="447" spans="2:8" ht="15.75" x14ac:dyDescent="0.25">
      <c r="B447" s="10" t="s">
        <v>255</v>
      </c>
      <c r="C447" s="370">
        <v>41890014</v>
      </c>
      <c r="D447" s="370" t="s">
        <v>353</v>
      </c>
      <c r="E447" s="370" t="s">
        <v>373</v>
      </c>
      <c r="F447" s="371" t="s">
        <v>983</v>
      </c>
      <c r="G447" s="10">
        <v>515</v>
      </c>
      <c r="H447" s="14">
        <v>500</v>
      </c>
    </row>
    <row r="448" spans="2:8" ht="15.75" x14ac:dyDescent="0.25">
      <c r="B448" s="10" t="s">
        <v>366</v>
      </c>
      <c r="C448" s="370">
        <v>40330013</v>
      </c>
      <c r="D448" s="370" t="s">
        <v>359</v>
      </c>
      <c r="E448" s="370" t="s">
        <v>365</v>
      </c>
      <c r="F448" s="371" t="s">
        <v>983</v>
      </c>
      <c r="G448" s="10">
        <v>500</v>
      </c>
      <c r="H448" s="14">
        <v>500</v>
      </c>
    </row>
    <row r="449" spans="2:8" ht="15.75" x14ac:dyDescent="0.25">
      <c r="B449" s="10" t="s">
        <v>904</v>
      </c>
      <c r="C449" s="374">
        <v>430000005</v>
      </c>
      <c r="D449" s="370" t="s">
        <v>370</v>
      </c>
      <c r="E449" s="370" t="s">
        <v>389</v>
      </c>
      <c r="F449" s="371" t="s">
        <v>993</v>
      </c>
      <c r="G449" s="10">
        <v>500</v>
      </c>
      <c r="H449" s="14">
        <v>500</v>
      </c>
    </row>
    <row r="450" spans="2:8" ht="15.75" x14ac:dyDescent="0.25">
      <c r="B450" s="10" t="s">
        <v>905</v>
      </c>
      <c r="C450" s="374">
        <v>430000004</v>
      </c>
      <c r="D450" s="370" t="s">
        <v>370</v>
      </c>
      <c r="E450" s="370" t="s">
        <v>389</v>
      </c>
      <c r="F450" s="371" t="s">
        <v>993</v>
      </c>
      <c r="G450" s="10">
        <v>500</v>
      </c>
      <c r="H450" s="14">
        <v>500</v>
      </c>
    </row>
    <row r="451" spans="2:8" ht="15.75" x14ac:dyDescent="0.25">
      <c r="B451" s="10" t="s">
        <v>906</v>
      </c>
      <c r="C451" s="370">
        <v>430000001</v>
      </c>
      <c r="D451" s="370" t="s">
        <v>370</v>
      </c>
      <c r="E451" s="370" t="s">
        <v>389</v>
      </c>
      <c r="F451" s="371" t="s">
        <v>983</v>
      </c>
      <c r="G451" s="10">
        <v>500</v>
      </c>
      <c r="H451" s="14">
        <v>500</v>
      </c>
    </row>
    <row r="452" spans="2:8" ht="15.75" x14ac:dyDescent="0.25">
      <c r="B452" s="10" t="s">
        <v>849</v>
      </c>
      <c r="C452" s="370">
        <v>40134001</v>
      </c>
      <c r="D452" s="370" t="s">
        <v>485</v>
      </c>
      <c r="E452" s="370" t="s">
        <v>373</v>
      </c>
      <c r="F452" s="371" t="s">
        <v>983</v>
      </c>
      <c r="G452" s="10">
        <v>500</v>
      </c>
      <c r="H452" s="14">
        <v>500</v>
      </c>
    </row>
    <row r="453" spans="2:8" ht="15.75" x14ac:dyDescent="0.25">
      <c r="B453" s="10" t="s">
        <v>850</v>
      </c>
      <c r="C453" s="370">
        <v>40134002</v>
      </c>
      <c r="D453" s="370" t="s">
        <v>485</v>
      </c>
      <c r="E453" s="370" t="s">
        <v>373</v>
      </c>
      <c r="F453" s="371" t="s">
        <v>983</v>
      </c>
      <c r="G453" s="10">
        <v>500</v>
      </c>
      <c r="H453" s="14">
        <v>500</v>
      </c>
    </row>
    <row r="454" spans="2:8" ht="15.75" x14ac:dyDescent="0.25">
      <c r="B454" s="10" t="s">
        <v>851</v>
      </c>
      <c r="C454" s="370">
        <v>40134003</v>
      </c>
      <c r="D454" s="370" t="s">
        <v>485</v>
      </c>
      <c r="E454" s="370" t="s">
        <v>373</v>
      </c>
      <c r="F454" s="371" t="s">
        <v>983</v>
      </c>
      <c r="G454" s="10">
        <v>500</v>
      </c>
      <c r="H454" s="14">
        <v>500</v>
      </c>
    </row>
    <row r="455" spans="2:8" ht="15.75" x14ac:dyDescent="0.25">
      <c r="B455" s="10" t="s">
        <v>852</v>
      </c>
      <c r="C455" s="370">
        <v>40134004</v>
      </c>
      <c r="D455" s="370" t="s">
        <v>485</v>
      </c>
      <c r="E455" s="370" t="s">
        <v>373</v>
      </c>
      <c r="F455" s="371" t="s">
        <v>983</v>
      </c>
      <c r="G455" s="10">
        <v>500</v>
      </c>
      <c r="H455" s="14">
        <v>500</v>
      </c>
    </row>
    <row r="456" spans="2:8" ht="15.75" x14ac:dyDescent="0.25">
      <c r="B456" s="10" t="s">
        <v>853</v>
      </c>
      <c r="C456" s="370">
        <v>40134005</v>
      </c>
      <c r="D456" s="370" t="s">
        <v>485</v>
      </c>
      <c r="E456" s="370" t="s">
        <v>373</v>
      </c>
      <c r="F456" s="371" t="s">
        <v>983</v>
      </c>
      <c r="G456" s="10">
        <v>500</v>
      </c>
      <c r="H456" s="14">
        <v>500</v>
      </c>
    </row>
    <row r="457" spans="2:8" ht="15.75" x14ac:dyDescent="0.25">
      <c r="B457" s="10" t="s">
        <v>254</v>
      </c>
      <c r="C457" s="370">
        <v>41890013</v>
      </c>
      <c r="D457" s="370" t="s">
        <v>353</v>
      </c>
      <c r="E457" s="370" t="s">
        <v>373</v>
      </c>
      <c r="F457" s="371" t="s">
        <v>983</v>
      </c>
      <c r="G457" s="10">
        <v>515</v>
      </c>
      <c r="H457" s="14">
        <v>500</v>
      </c>
    </row>
    <row r="458" spans="2:8" ht="15.75" x14ac:dyDescent="0.25">
      <c r="B458" s="10" t="s">
        <v>854</v>
      </c>
      <c r="C458" s="370">
        <v>41890015</v>
      </c>
      <c r="D458" s="370" t="s">
        <v>353</v>
      </c>
      <c r="E458" s="370" t="s">
        <v>373</v>
      </c>
      <c r="F458" s="371" t="s">
        <v>983</v>
      </c>
      <c r="G458" s="10">
        <v>515</v>
      </c>
      <c r="H458" s="14">
        <v>500</v>
      </c>
    </row>
    <row r="459" spans="2:8" ht="15.75" x14ac:dyDescent="0.25">
      <c r="B459" s="10" t="s">
        <v>855</v>
      </c>
      <c r="C459" s="370">
        <v>41890016</v>
      </c>
      <c r="D459" s="370" t="s">
        <v>353</v>
      </c>
      <c r="E459" s="370" t="s">
        <v>373</v>
      </c>
      <c r="F459" s="371" t="s">
        <v>983</v>
      </c>
      <c r="G459" s="10">
        <v>515</v>
      </c>
      <c r="H459" s="14">
        <v>500</v>
      </c>
    </row>
    <row r="460" spans="2:8" ht="15.75" x14ac:dyDescent="0.25">
      <c r="B460" s="10" t="s">
        <v>856</v>
      </c>
      <c r="C460" s="370">
        <v>41830003</v>
      </c>
      <c r="D460" s="370" t="s">
        <v>353</v>
      </c>
      <c r="E460" s="370" t="s">
        <v>857</v>
      </c>
      <c r="F460" s="371" t="s">
        <v>983</v>
      </c>
      <c r="G460" s="10">
        <v>500</v>
      </c>
      <c r="H460" s="14">
        <v>500</v>
      </c>
    </row>
    <row r="461" spans="2:8" ht="15.75" x14ac:dyDescent="0.25">
      <c r="B461" s="10" t="s">
        <v>858</v>
      </c>
      <c r="C461" s="370">
        <v>41830002</v>
      </c>
      <c r="D461" s="370" t="s">
        <v>353</v>
      </c>
      <c r="E461" s="370" t="s">
        <v>857</v>
      </c>
      <c r="F461" s="371" t="s">
        <v>983</v>
      </c>
      <c r="G461" s="10">
        <v>500</v>
      </c>
      <c r="H461" s="14">
        <v>500</v>
      </c>
    </row>
    <row r="462" spans="2:8" ht="15.75" x14ac:dyDescent="0.25">
      <c r="B462" s="10" t="s">
        <v>859</v>
      </c>
      <c r="C462" s="370">
        <v>41830001</v>
      </c>
      <c r="D462" s="370" t="s">
        <v>353</v>
      </c>
      <c r="E462" s="370" t="s">
        <v>857</v>
      </c>
      <c r="F462" s="371" t="s">
        <v>983</v>
      </c>
      <c r="G462" s="10">
        <v>500</v>
      </c>
      <c r="H462" s="14">
        <v>500</v>
      </c>
    </row>
    <row r="463" spans="2:8" ht="15.75" x14ac:dyDescent="0.25">
      <c r="B463" s="10" t="s">
        <v>860</v>
      </c>
      <c r="C463" s="370">
        <v>41830010</v>
      </c>
      <c r="D463" s="370" t="s">
        <v>353</v>
      </c>
      <c r="E463" s="370" t="s">
        <v>857</v>
      </c>
      <c r="F463" s="371" t="s">
        <v>983</v>
      </c>
      <c r="G463" s="10">
        <v>500</v>
      </c>
      <c r="H463" s="14">
        <v>500</v>
      </c>
    </row>
    <row r="464" spans="2:8" ht="15.75" x14ac:dyDescent="0.25">
      <c r="B464" s="10" t="s">
        <v>861</v>
      </c>
      <c r="C464" s="370">
        <v>41830008</v>
      </c>
      <c r="D464" s="370" t="s">
        <v>353</v>
      </c>
      <c r="E464" s="370" t="s">
        <v>857</v>
      </c>
      <c r="F464" s="371" t="s">
        <v>983</v>
      </c>
      <c r="G464" s="10">
        <v>500</v>
      </c>
      <c r="H464" s="14">
        <v>500</v>
      </c>
    </row>
    <row r="465" spans="2:8" ht="15.75" x14ac:dyDescent="0.25">
      <c r="B465" s="10" t="s">
        <v>862</v>
      </c>
      <c r="C465" s="370">
        <v>41840001</v>
      </c>
      <c r="D465" s="370" t="s">
        <v>353</v>
      </c>
      <c r="E465" s="370" t="s">
        <v>373</v>
      </c>
      <c r="F465" s="371" t="s">
        <v>983</v>
      </c>
      <c r="G465" s="10">
        <v>500</v>
      </c>
      <c r="H465" s="14">
        <v>500</v>
      </c>
    </row>
    <row r="466" spans="2:8" ht="15.75" x14ac:dyDescent="0.25">
      <c r="B466" s="10" t="s">
        <v>863</v>
      </c>
      <c r="C466" s="370">
        <v>41840002</v>
      </c>
      <c r="D466" s="370" t="s">
        <v>353</v>
      </c>
      <c r="E466" s="370" t="s">
        <v>373</v>
      </c>
      <c r="F466" s="371" t="s">
        <v>983</v>
      </c>
      <c r="G466" s="10">
        <v>500</v>
      </c>
      <c r="H466" s="14">
        <v>500</v>
      </c>
    </row>
    <row r="467" spans="2:8" ht="15.75" x14ac:dyDescent="0.25">
      <c r="B467" s="10" t="s">
        <v>864</v>
      </c>
      <c r="C467" s="370">
        <v>41840003</v>
      </c>
      <c r="D467" s="370" t="s">
        <v>353</v>
      </c>
      <c r="E467" s="370" t="s">
        <v>373</v>
      </c>
      <c r="F467" s="371" t="s">
        <v>983</v>
      </c>
      <c r="G467" s="10">
        <v>500</v>
      </c>
      <c r="H467" s="14">
        <v>500</v>
      </c>
    </row>
    <row r="468" spans="2:8" ht="15.75" x14ac:dyDescent="0.25">
      <c r="B468" s="10" t="s">
        <v>865</v>
      </c>
      <c r="C468" s="370">
        <v>41840004</v>
      </c>
      <c r="D468" s="370" t="s">
        <v>353</v>
      </c>
      <c r="E468" s="370" t="s">
        <v>373</v>
      </c>
      <c r="F468" s="371" t="s">
        <v>983</v>
      </c>
      <c r="G468" s="10">
        <v>500</v>
      </c>
      <c r="H468" s="14">
        <v>500</v>
      </c>
    </row>
    <row r="469" spans="2:8" ht="15.75" x14ac:dyDescent="0.25">
      <c r="B469" s="10" t="s">
        <v>866</v>
      </c>
      <c r="C469" s="370">
        <v>41840009</v>
      </c>
      <c r="D469" s="370" t="s">
        <v>353</v>
      </c>
      <c r="E469" s="370" t="s">
        <v>373</v>
      </c>
      <c r="F469" s="371" t="s">
        <v>983</v>
      </c>
      <c r="G469" s="10">
        <v>515</v>
      </c>
      <c r="H469" s="14">
        <v>500</v>
      </c>
    </row>
    <row r="470" spans="2:8" ht="15.75" x14ac:dyDescent="0.25">
      <c r="B470" s="10" t="s">
        <v>867</v>
      </c>
      <c r="C470" s="370">
        <v>41820009</v>
      </c>
      <c r="D470" s="370" t="s">
        <v>353</v>
      </c>
      <c r="E470" s="370" t="s">
        <v>659</v>
      </c>
      <c r="F470" s="371" t="s">
        <v>993</v>
      </c>
      <c r="G470" s="10">
        <v>500</v>
      </c>
      <c r="H470" s="14">
        <v>500</v>
      </c>
    </row>
    <row r="471" spans="2:8" ht="15.75" x14ac:dyDescent="0.25">
      <c r="B471" s="10" t="s">
        <v>868</v>
      </c>
      <c r="C471" s="370">
        <v>41820010</v>
      </c>
      <c r="D471" s="370" t="s">
        <v>353</v>
      </c>
      <c r="E471" s="370" t="s">
        <v>659</v>
      </c>
      <c r="F471" s="371" t="s">
        <v>993</v>
      </c>
      <c r="G471" s="10">
        <v>500</v>
      </c>
      <c r="H471" s="14">
        <v>500</v>
      </c>
    </row>
    <row r="472" spans="2:8" ht="15.75" x14ac:dyDescent="0.25">
      <c r="B472" s="10" t="s">
        <v>869</v>
      </c>
      <c r="C472" s="370">
        <v>41810016</v>
      </c>
      <c r="D472" s="370" t="s">
        <v>353</v>
      </c>
      <c r="E472" s="370" t="s">
        <v>378</v>
      </c>
      <c r="F472" s="371" t="s">
        <v>993</v>
      </c>
      <c r="G472" s="10">
        <v>500</v>
      </c>
      <c r="H472" s="14">
        <v>500</v>
      </c>
    </row>
    <row r="473" spans="2:8" ht="15.75" x14ac:dyDescent="0.25">
      <c r="B473" s="10" t="s">
        <v>870</v>
      </c>
      <c r="C473" s="370">
        <v>41810017</v>
      </c>
      <c r="D473" s="370" t="s">
        <v>353</v>
      </c>
      <c r="E473" s="370" t="s">
        <v>378</v>
      </c>
      <c r="F473" s="371" t="s">
        <v>993</v>
      </c>
      <c r="G473" s="10">
        <v>500</v>
      </c>
      <c r="H473" s="14">
        <v>500</v>
      </c>
    </row>
    <row r="474" spans="2:8" ht="15.75" x14ac:dyDescent="0.25">
      <c r="B474" s="10" t="s">
        <v>871</v>
      </c>
      <c r="C474" s="370">
        <v>41810018</v>
      </c>
      <c r="D474" s="370" t="s">
        <v>353</v>
      </c>
      <c r="E474" s="370" t="s">
        <v>378</v>
      </c>
      <c r="F474" s="371" t="s">
        <v>993</v>
      </c>
      <c r="G474" s="10">
        <v>500</v>
      </c>
      <c r="H474" s="14">
        <v>500</v>
      </c>
    </row>
    <row r="475" spans="2:8" ht="15.75" x14ac:dyDescent="0.25">
      <c r="B475" s="10" t="s">
        <v>872</v>
      </c>
      <c r="C475" s="370">
        <v>41810020</v>
      </c>
      <c r="D475" s="370" t="s">
        <v>353</v>
      </c>
      <c r="E475" s="370" t="s">
        <v>378</v>
      </c>
      <c r="F475" s="371" t="s">
        <v>993</v>
      </c>
      <c r="G475" s="10">
        <v>500</v>
      </c>
      <c r="H475" s="14">
        <v>500</v>
      </c>
    </row>
    <row r="476" spans="2:8" ht="15.75" x14ac:dyDescent="0.25">
      <c r="B476" s="10" t="s">
        <v>873</v>
      </c>
      <c r="C476" s="370">
        <v>41810021</v>
      </c>
      <c r="D476" s="370" t="s">
        <v>353</v>
      </c>
      <c r="E476" s="370" t="s">
        <v>378</v>
      </c>
      <c r="F476" s="371" t="s">
        <v>993</v>
      </c>
      <c r="G476" s="10">
        <v>500</v>
      </c>
      <c r="H476" s="14">
        <v>500</v>
      </c>
    </row>
    <row r="477" spans="2:8" ht="15.75" x14ac:dyDescent="0.25">
      <c r="B477" s="10" t="s">
        <v>243</v>
      </c>
      <c r="C477" s="370">
        <v>40330011</v>
      </c>
      <c r="D477" s="370" t="s">
        <v>359</v>
      </c>
      <c r="E477" s="370" t="s">
        <v>365</v>
      </c>
      <c r="F477" s="371" t="s">
        <v>983</v>
      </c>
      <c r="G477" s="10">
        <v>500</v>
      </c>
      <c r="H477" s="14">
        <v>500</v>
      </c>
    </row>
    <row r="478" spans="2:8" ht="15.75" x14ac:dyDescent="0.25">
      <c r="B478" s="10" t="s">
        <v>244</v>
      </c>
      <c r="C478" s="370">
        <v>40330012</v>
      </c>
      <c r="D478" s="370" t="s">
        <v>359</v>
      </c>
      <c r="E478" s="370" t="s">
        <v>365</v>
      </c>
      <c r="F478" s="371" t="s">
        <v>983</v>
      </c>
      <c r="G478" s="10">
        <v>500</v>
      </c>
      <c r="H478" s="14">
        <v>500</v>
      </c>
    </row>
    <row r="479" spans="2:8" ht="15.75" x14ac:dyDescent="0.25">
      <c r="B479" s="10" t="s">
        <v>874</v>
      </c>
      <c r="C479" s="377">
        <v>46000011</v>
      </c>
      <c r="D479" s="377" t="s">
        <v>525</v>
      </c>
      <c r="E479" s="370" t="s">
        <v>373</v>
      </c>
      <c r="F479" s="371" t="s">
        <v>983</v>
      </c>
      <c r="G479" s="10">
        <v>500</v>
      </c>
      <c r="H479" s="14">
        <v>500</v>
      </c>
    </row>
    <row r="480" spans="2:8" ht="15.75" x14ac:dyDescent="0.25">
      <c r="B480" s="10" t="s">
        <v>875</v>
      </c>
      <c r="C480" s="377">
        <v>46000012</v>
      </c>
      <c r="D480" s="377" t="s">
        <v>525</v>
      </c>
      <c r="E480" s="370" t="s">
        <v>373</v>
      </c>
      <c r="F480" s="371" t="s">
        <v>983</v>
      </c>
      <c r="G480" s="10">
        <v>500</v>
      </c>
      <c r="H480" s="14">
        <v>500</v>
      </c>
    </row>
    <row r="481" spans="2:8" ht="15.75" x14ac:dyDescent="0.25">
      <c r="B481" s="10" t="s">
        <v>876</v>
      </c>
      <c r="C481" s="377">
        <v>46000014</v>
      </c>
      <c r="D481" s="377" t="s">
        <v>525</v>
      </c>
      <c r="E481" s="370" t="s">
        <v>373</v>
      </c>
      <c r="F481" s="371" t="s">
        <v>983</v>
      </c>
      <c r="G481" s="10">
        <v>500</v>
      </c>
      <c r="H481" s="14">
        <v>500</v>
      </c>
    </row>
    <row r="482" spans="2:8" ht="15.75" x14ac:dyDescent="0.25">
      <c r="B482" s="10" t="s">
        <v>877</v>
      </c>
      <c r="C482" s="377">
        <v>46000013</v>
      </c>
      <c r="D482" s="377" t="s">
        <v>525</v>
      </c>
      <c r="E482" s="370" t="s">
        <v>373</v>
      </c>
      <c r="F482" s="371" t="s">
        <v>983</v>
      </c>
      <c r="G482" s="10">
        <v>500</v>
      </c>
      <c r="H482" s="14">
        <v>500</v>
      </c>
    </row>
    <row r="483" spans="2:8" ht="15.75" x14ac:dyDescent="0.25">
      <c r="B483" s="10" t="s">
        <v>385</v>
      </c>
      <c r="C483" s="370">
        <v>430000002</v>
      </c>
      <c r="D483" s="370" t="s">
        <v>370</v>
      </c>
      <c r="E483" s="370" t="s">
        <v>389</v>
      </c>
      <c r="F483" s="371" t="s">
        <v>983</v>
      </c>
      <c r="G483" s="10">
        <v>500</v>
      </c>
      <c r="H483" s="14">
        <v>500</v>
      </c>
    </row>
    <row r="484" spans="2:8" ht="15.75" x14ac:dyDescent="0.25">
      <c r="B484" s="10" t="s">
        <v>387</v>
      </c>
      <c r="C484" s="370">
        <v>430000003</v>
      </c>
      <c r="D484" s="370" t="s">
        <v>370</v>
      </c>
      <c r="E484" s="370" t="s">
        <v>389</v>
      </c>
      <c r="F484" s="371" t="s">
        <v>983</v>
      </c>
      <c r="G484" s="10">
        <v>500</v>
      </c>
      <c r="H484" s="14">
        <v>500</v>
      </c>
    </row>
    <row r="485" spans="2:8" ht="15.75" x14ac:dyDescent="0.25">
      <c r="B485" s="10" t="s">
        <v>890</v>
      </c>
      <c r="C485" s="370">
        <v>45700001</v>
      </c>
      <c r="D485" s="370" t="s">
        <v>672</v>
      </c>
      <c r="E485" s="370" t="s">
        <v>389</v>
      </c>
      <c r="F485" s="371" t="s">
        <v>983</v>
      </c>
      <c r="G485" s="10">
        <v>500</v>
      </c>
      <c r="H485" s="14">
        <v>500</v>
      </c>
    </row>
    <row r="486" spans="2:8" ht="15.75" x14ac:dyDescent="0.25">
      <c r="B486" s="10" t="s">
        <v>891</v>
      </c>
      <c r="C486" s="370">
        <v>45700002</v>
      </c>
      <c r="D486" s="370" t="s">
        <v>672</v>
      </c>
      <c r="E486" s="370" t="s">
        <v>389</v>
      </c>
      <c r="F486" s="371" t="s">
        <v>983</v>
      </c>
      <c r="G486" s="10">
        <v>500</v>
      </c>
      <c r="H486" s="14">
        <v>500</v>
      </c>
    </row>
    <row r="487" spans="2:8" ht="15.75" x14ac:dyDescent="0.25">
      <c r="B487" s="10" t="s">
        <v>892</v>
      </c>
      <c r="C487" s="370">
        <v>45700003</v>
      </c>
      <c r="D487" s="370" t="s">
        <v>672</v>
      </c>
      <c r="E487" s="370" t="s">
        <v>389</v>
      </c>
      <c r="F487" s="371" t="s">
        <v>983</v>
      </c>
      <c r="G487" s="10">
        <v>500</v>
      </c>
      <c r="H487" s="14">
        <v>500</v>
      </c>
    </row>
    <row r="488" spans="2:8" ht="15.75" x14ac:dyDescent="0.25">
      <c r="B488" s="10" t="s">
        <v>893</v>
      </c>
      <c r="C488" s="370">
        <v>45700004</v>
      </c>
      <c r="D488" s="370" t="s">
        <v>672</v>
      </c>
      <c r="E488" s="370" t="s">
        <v>389</v>
      </c>
      <c r="F488" s="371" t="s">
        <v>983</v>
      </c>
      <c r="G488" s="10">
        <v>500</v>
      </c>
      <c r="H488" s="14">
        <v>500</v>
      </c>
    </row>
    <row r="489" spans="2:8" ht="15.75" x14ac:dyDescent="0.25">
      <c r="B489" s="10" t="s">
        <v>894</v>
      </c>
      <c r="C489" s="370">
        <v>45700012</v>
      </c>
      <c r="D489" s="370" t="s">
        <v>672</v>
      </c>
      <c r="E489" s="370" t="s">
        <v>389</v>
      </c>
      <c r="F489" s="371" t="s">
        <v>983</v>
      </c>
      <c r="G489" s="10">
        <v>500</v>
      </c>
      <c r="H489" s="14">
        <v>500</v>
      </c>
    </row>
    <row r="490" spans="2:8" ht="15.75" x14ac:dyDescent="0.25">
      <c r="B490" s="10" t="s">
        <v>845</v>
      </c>
      <c r="C490" s="370">
        <v>40420003</v>
      </c>
      <c r="D490" s="370" t="s">
        <v>571</v>
      </c>
      <c r="E490" s="370" t="s">
        <v>389</v>
      </c>
      <c r="F490" s="371" t="s">
        <v>983</v>
      </c>
      <c r="G490" s="10">
        <v>500</v>
      </c>
      <c r="H490" s="14">
        <v>500</v>
      </c>
    </row>
    <row r="491" spans="2:8" ht="15.75" x14ac:dyDescent="0.25">
      <c r="B491" s="10" t="s">
        <v>846</v>
      </c>
      <c r="C491" s="370">
        <v>40420002</v>
      </c>
      <c r="D491" s="370" t="s">
        <v>571</v>
      </c>
      <c r="E491" s="370" t="s">
        <v>389</v>
      </c>
      <c r="F491" s="371" t="s">
        <v>983</v>
      </c>
      <c r="G491" s="10">
        <v>500</v>
      </c>
      <c r="H491" s="14">
        <v>500</v>
      </c>
    </row>
    <row r="492" spans="2:8" ht="15.75" x14ac:dyDescent="0.25">
      <c r="B492" s="10" t="s">
        <v>889</v>
      </c>
      <c r="C492" s="370">
        <v>40420001</v>
      </c>
      <c r="D492" s="370" t="s">
        <v>571</v>
      </c>
      <c r="E492" s="370" t="s">
        <v>389</v>
      </c>
      <c r="F492" s="371" t="s">
        <v>983</v>
      </c>
      <c r="G492" s="10">
        <v>500</v>
      </c>
      <c r="H492" s="14">
        <v>500</v>
      </c>
    </row>
    <row r="493" spans="2:8" ht="15.75" x14ac:dyDescent="0.25">
      <c r="B493" s="10" t="s">
        <v>878</v>
      </c>
      <c r="C493" s="377">
        <v>46100005</v>
      </c>
      <c r="D493" s="377" t="s">
        <v>525</v>
      </c>
      <c r="E493" s="370" t="s">
        <v>389</v>
      </c>
      <c r="F493" s="371" t="s">
        <v>983</v>
      </c>
      <c r="G493" s="10">
        <v>500</v>
      </c>
      <c r="H493" s="14">
        <v>500</v>
      </c>
    </row>
    <row r="494" spans="2:8" ht="15.75" x14ac:dyDescent="0.25">
      <c r="B494" s="10" t="s">
        <v>879</v>
      </c>
      <c r="C494" s="377">
        <v>46100006</v>
      </c>
      <c r="D494" s="377" t="s">
        <v>525</v>
      </c>
      <c r="E494" s="370" t="s">
        <v>389</v>
      </c>
      <c r="F494" s="371" t="s">
        <v>983</v>
      </c>
      <c r="G494" s="10">
        <v>500</v>
      </c>
      <c r="H494" s="14">
        <v>500</v>
      </c>
    </row>
    <row r="495" spans="2:8" ht="15.75" x14ac:dyDescent="0.25">
      <c r="B495" s="10" t="s">
        <v>880</v>
      </c>
      <c r="C495" s="377">
        <v>46100007</v>
      </c>
      <c r="D495" s="377" t="s">
        <v>525</v>
      </c>
      <c r="E495" s="370" t="s">
        <v>389</v>
      </c>
      <c r="F495" s="371" t="s">
        <v>983</v>
      </c>
      <c r="G495" s="10">
        <v>500</v>
      </c>
      <c r="H495" s="14">
        <v>500</v>
      </c>
    </row>
    <row r="496" spans="2:8" ht="15.75" x14ac:dyDescent="0.25">
      <c r="B496" s="10" t="s">
        <v>881</v>
      </c>
      <c r="C496" s="377">
        <v>46100008</v>
      </c>
      <c r="D496" s="377" t="s">
        <v>525</v>
      </c>
      <c r="E496" s="370" t="s">
        <v>389</v>
      </c>
      <c r="F496" s="371" t="s">
        <v>983</v>
      </c>
      <c r="G496" s="10">
        <v>500</v>
      </c>
      <c r="H496" s="14">
        <v>500</v>
      </c>
    </row>
    <row r="497" spans="2:8" ht="15.75" x14ac:dyDescent="0.25">
      <c r="B497" s="10" t="s">
        <v>882</v>
      </c>
      <c r="C497" s="377">
        <v>45700018</v>
      </c>
      <c r="D497" s="377" t="s">
        <v>883</v>
      </c>
      <c r="E497" s="370" t="s">
        <v>389</v>
      </c>
      <c r="F497" s="371" t="s">
        <v>983</v>
      </c>
      <c r="G497" s="10">
        <v>500</v>
      </c>
      <c r="H497" s="14">
        <v>500</v>
      </c>
    </row>
    <row r="498" spans="2:8" ht="15.75" x14ac:dyDescent="0.25">
      <c r="B498" s="10" t="s">
        <v>895</v>
      </c>
      <c r="C498" s="370">
        <v>45700016</v>
      </c>
      <c r="D498" s="370" t="s">
        <v>672</v>
      </c>
      <c r="E498" s="370" t="s">
        <v>373</v>
      </c>
      <c r="F498" s="371" t="s">
        <v>983</v>
      </c>
      <c r="G498" s="10">
        <v>500</v>
      </c>
      <c r="H498" s="14">
        <v>500</v>
      </c>
    </row>
    <row r="499" spans="2:8" ht="15.75" x14ac:dyDescent="0.25">
      <c r="B499" s="10" t="s">
        <v>896</v>
      </c>
      <c r="C499" s="370">
        <v>45700013</v>
      </c>
      <c r="D499" s="370" t="s">
        <v>672</v>
      </c>
      <c r="E499" s="370" t="s">
        <v>373</v>
      </c>
      <c r="F499" s="371" t="s">
        <v>983</v>
      </c>
      <c r="G499" s="10">
        <v>500</v>
      </c>
      <c r="H499" s="14">
        <v>500</v>
      </c>
    </row>
    <row r="500" spans="2:8" ht="15.75" x14ac:dyDescent="0.25">
      <c r="B500" s="10" t="s">
        <v>897</v>
      </c>
      <c r="C500" s="370">
        <v>45700014</v>
      </c>
      <c r="D500" s="370" t="s">
        <v>672</v>
      </c>
      <c r="E500" s="370" t="s">
        <v>373</v>
      </c>
      <c r="F500" s="371" t="s">
        <v>983</v>
      </c>
      <c r="G500" s="10">
        <v>500</v>
      </c>
      <c r="H500" s="14">
        <v>500</v>
      </c>
    </row>
    <row r="501" spans="2:8" ht="15.75" x14ac:dyDescent="0.25">
      <c r="B501" s="10" t="s">
        <v>898</v>
      </c>
      <c r="C501" s="370">
        <v>45700015</v>
      </c>
      <c r="D501" s="370" t="s">
        <v>672</v>
      </c>
      <c r="E501" s="370" t="s">
        <v>373</v>
      </c>
      <c r="F501" s="371" t="s">
        <v>983</v>
      </c>
      <c r="G501" s="10">
        <v>500</v>
      </c>
      <c r="H501" s="14">
        <v>500</v>
      </c>
    </row>
    <row r="502" spans="2:8" ht="15.75" x14ac:dyDescent="0.25">
      <c r="B502" s="10" t="s">
        <v>899</v>
      </c>
      <c r="C502" s="370">
        <v>45700011</v>
      </c>
      <c r="D502" s="370" t="s">
        <v>672</v>
      </c>
      <c r="E502" s="370" t="s">
        <v>512</v>
      </c>
      <c r="F502" s="371" t="s">
        <v>983</v>
      </c>
      <c r="G502" s="10">
        <v>500</v>
      </c>
      <c r="H502" s="14">
        <v>500</v>
      </c>
    </row>
    <row r="503" spans="2:8" ht="15.75" x14ac:dyDescent="0.25">
      <c r="B503" s="10" t="s">
        <v>900</v>
      </c>
      <c r="C503" s="370">
        <v>42020004</v>
      </c>
      <c r="D503" s="370" t="s">
        <v>390</v>
      </c>
      <c r="E503" s="370" t="s">
        <v>857</v>
      </c>
      <c r="F503" s="371" t="s">
        <v>993</v>
      </c>
      <c r="G503" s="10">
        <v>500</v>
      </c>
      <c r="H503" s="14">
        <v>500</v>
      </c>
    </row>
    <row r="504" spans="2:8" ht="15.75" x14ac:dyDescent="0.25">
      <c r="B504" s="10" t="s">
        <v>901</v>
      </c>
      <c r="C504" s="370">
        <v>42010002</v>
      </c>
      <c r="D504" s="370" t="s">
        <v>390</v>
      </c>
      <c r="E504" s="370" t="s">
        <v>378</v>
      </c>
      <c r="F504" s="371" t="s">
        <v>993</v>
      </c>
      <c r="G504" s="10">
        <v>500</v>
      </c>
      <c r="H504" s="14">
        <v>500</v>
      </c>
    </row>
    <row r="505" spans="2:8" ht="15.75" x14ac:dyDescent="0.25">
      <c r="B505" s="10" t="s">
        <v>902</v>
      </c>
      <c r="C505" s="374">
        <v>42030001</v>
      </c>
      <c r="D505" s="370" t="s">
        <v>390</v>
      </c>
      <c r="E505" s="370" t="s">
        <v>659</v>
      </c>
      <c r="F505" s="371" t="s">
        <v>993</v>
      </c>
      <c r="G505" s="10">
        <v>500</v>
      </c>
      <c r="H505" s="14">
        <v>500</v>
      </c>
    </row>
    <row r="506" spans="2:8" ht="15.75" x14ac:dyDescent="0.25">
      <c r="B506" s="10" t="s">
        <v>884</v>
      </c>
      <c r="C506" s="377">
        <v>45700021</v>
      </c>
      <c r="D506" s="377" t="s">
        <v>883</v>
      </c>
      <c r="E506" s="370" t="s">
        <v>389</v>
      </c>
      <c r="F506" s="371" t="s">
        <v>983</v>
      </c>
      <c r="G506" s="10">
        <v>500</v>
      </c>
      <c r="H506" s="14">
        <v>500</v>
      </c>
    </row>
    <row r="507" spans="2:8" ht="15.75" x14ac:dyDescent="0.25">
      <c r="B507" s="10" t="s">
        <v>885</v>
      </c>
      <c r="C507" s="377">
        <v>45700020</v>
      </c>
      <c r="D507" s="377" t="s">
        <v>883</v>
      </c>
      <c r="E507" s="370" t="s">
        <v>389</v>
      </c>
      <c r="F507" s="371" t="s">
        <v>983</v>
      </c>
      <c r="G507" s="10">
        <v>500</v>
      </c>
      <c r="H507" s="14">
        <v>500</v>
      </c>
    </row>
    <row r="508" spans="2:8" ht="15.75" x14ac:dyDescent="0.25">
      <c r="B508" s="10" t="s">
        <v>886</v>
      </c>
      <c r="C508" s="377">
        <v>45700022</v>
      </c>
      <c r="D508" s="377" t="s">
        <v>883</v>
      </c>
      <c r="E508" s="370" t="s">
        <v>389</v>
      </c>
      <c r="F508" s="371" t="s">
        <v>983</v>
      </c>
      <c r="G508" s="10">
        <v>500</v>
      </c>
      <c r="H508" s="14">
        <v>500</v>
      </c>
    </row>
    <row r="509" spans="2:8" ht="15.75" x14ac:dyDescent="0.25">
      <c r="B509" s="10" t="s">
        <v>887</v>
      </c>
      <c r="C509" s="377">
        <v>45700023</v>
      </c>
      <c r="D509" s="377" t="s">
        <v>883</v>
      </c>
      <c r="E509" s="370" t="s">
        <v>389</v>
      </c>
      <c r="F509" s="371" t="s">
        <v>983</v>
      </c>
      <c r="G509" s="10">
        <v>500</v>
      </c>
      <c r="H509" s="14">
        <v>500</v>
      </c>
    </row>
    <row r="510" spans="2:8" ht="15.75" x14ac:dyDescent="0.25">
      <c r="B510" s="10" t="s">
        <v>888</v>
      </c>
      <c r="C510" s="377">
        <v>45700017</v>
      </c>
      <c r="D510" s="377" t="s">
        <v>883</v>
      </c>
      <c r="E510" s="370" t="s">
        <v>389</v>
      </c>
      <c r="F510" s="371" t="s">
        <v>983</v>
      </c>
      <c r="G510" s="10">
        <v>500</v>
      </c>
      <c r="H510" s="14">
        <v>500</v>
      </c>
    </row>
    <row r="511" spans="2:8" ht="15.75" x14ac:dyDescent="0.25">
      <c r="B511" s="10" t="s">
        <v>847</v>
      </c>
      <c r="C511" s="374">
        <v>43200023</v>
      </c>
      <c r="D511" s="374" t="s">
        <v>424</v>
      </c>
      <c r="E511" s="370" t="s">
        <v>384</v>
      </c>
      <c r="F511" s="371" t="s">
        <v>983</v>
      </c>
      <c r="G511" s="10">
        <v>500</v>
      </c>
      <c r="H511" s="14">
        <v>500</v>
      </c>
    </row>
    <row r="512" spans="2:8" ht="15.75" x14ac:dyDescent="0.25">
      <c r="B512" s="10" t="s">
        <v>907</v>
      </c>
      <c r="C512" s="370">
        <v>43020001</v>
      </c>
      <c r="D512" s="370" t="s">
        <v>370</v>
      </c>
      <c r="E512" s="370" t="s">
        <v>378</v>
      </c>
      <c r="F512" s="371" t="s">
        <v>983</v>
      </c>
      <c r="G512" s="10">
        <v>500</v>
      </c>
      <c r="H512" s="14">
        <v>500</v>
      </c>
    </row>
    <row r="513" spans="2:8" ht="15.75" x14ac:dyDescent="0.25">
      <c r="B513" s="10" t="s">
        <v>908</v>
      </c>
      <c r="C513" s="370">
        <v>43020002</v>
      </c>
      <c r="D513" s="370" t="s">
        <v>370</v>
      </c>
      <c r="E513" s="370" t="s">
        <v>378</v>
      </c>
      <c r="F513" s="371" t="s">
        <v>983</v>
      </c>
      <c r="G513" s="10">
        <v>500</v>
      </c>
      <c r="H513" s="14">
        <v>500</v>
      </c>
    </row>
    <row r="514" spans="2:8" ht="15.75" x14ac:dyDescent="0.25">
      <c r="B514" s="10" t="s">
        <v>848</v>
      </c>
      <c r="C514" s="374">
        <v>43200024</v>
      </c>
      <c r="D514" s="374" t="s">
        <v>424</v>
      </c>
      <c r="E514" s="370" t="s">
        <v>384</v>
      </c>
      <c r="F514" s="371" t="s">
        <v>983</v>
      </c>
      <c r="G514" s="10">
        <v>500</v>
      </c>
      <c r="H514" s="14">
        <v>500</v>
      </c>
    </row>
    <row r="515" spans="2:8" ht="15.75" x14ac:dyDescent="0.25">
      <c r="B515" s="10" t="s">
        <v>909</v>
      </c>
      <c r="C515" s="370">
        <v>43020003</v>
      </c>
      <c r="D515" s="370" t="s">
        <v>370</v>
      </c>
      <c r="E515" s="370" t="s">
        <v>378</v>
      </c>
      <c r="F515" s="371" t="s">
        <v>983</v>
      </c>
      <c r="G515" s="10">
        <v>500</v>
      </c>
      <c r="H515" s="14">
        <v>500</v>
      </c>
    </row>
    <row r="516" spans="2:8" ht="15.75" x14ac:dyDescent="0.25">
      <c r="B516" s="10" t="s">
        <v>910</v>
      </c>
      <c r="C516" s="370">
        <v>43020010</v>
      </c>
      <c r="D516" s="370" t="s">
        <v>370</v>
      </c>
      <c r="E516" s="370" t="s">
        <v>378</v>
      </c>
      <c r="F516" s="371" t="s">
        <v>983</v>
      </c>
      <c r="G516" s="10">
        <v>500</v>
      </c>
      <c r="H516" s="14">
        <v>500</v>
      </c>
    </row>
    <row r="517" spans="2:8" ht="15.75" x14ac:dyDescent="0.25">
      <c r="B517" s="10" t="s">
        <v>911</v>
      </c>
      <c r="C517" s="370">
        <v>43020011</v>
      </c>
      <c r="D517" s="370" t="s">
        <v>370</v>
      </c>
      <c r="E517" s="370" t="s">
        <v>378</v>
      </c>
      <c r="F517" s="371" t="s">
        <v>983</v>
      </c>
      <c r="G517" s="10">
        <v>500</v>
      </c>
      <c r="H517" s="14">
        <v>500</v>
      </c>
    </row>
    <row r="518" spans="2:8" ht="15.75" x14ac:dyDescent="0.25">
      <c r="B518" s="10" t="s">
        <v>912</v>
      </c>
      <c r="C518" s="370">
        <v>43020004</v>
      </c>
      <c r="D518" s="370" t="s">
        <v>370</v>
      </c>
      <c r="E518" s="370" t="s">
        <v>378</v>
      </c>
      <c r="F518" s="371" t="s">
        <v>983</v>
      </c>
      <c r="G518" s="10">
        <v>500</v>
      </c>
      <c r="H518" s="14">
        <v>500</v>
      </c>
    </row>
    <row r="519" spans="2:8" ht="15.75" x14ac:dyDescent="0.25">
      <c r="B519" s="10" t="s">
        <v>913</v>
      </c>
      <c r="C519" s="370">
        <v>43030001</v>
      </c>
      <c r="D519" s="370" t="s">
        <v>370</v>
      </c>
      <c r="E519" s="370" t="s">
        <v>659</v>
      </c>
      <c r="F519" s="371" t="s">
        <v>983</v>
      </c>
      <c r="G519" s="10">
        <v>500</v>
      </c>
      <c r="H519" s="14">
        <v>500</v>
      </c>
    </row>
    <row r="520" spans="2:8" ht="15.75" x14ac:dyDescent="0.25">
      <c r="B520" s="10" t="s">
        <v>914</v>
      </c>
      <c r="C520" s="370">
        <v>43030002</v>
      </c>
      <c r="D520" s="370" t="s">
        <v>370</v>
      </c>
      <c r="E520" s="370" t="s">
        <v>659</v>
      </c>
      <c r="F520" s="371" t="s">
        <v>983</v>
      </c>
      <c r="G520" s="10">
        <v>500</v>
      </c>
      <c r="H520" s="14">
        <v>500</v>
      </c>
    </row>
    <row r="521" spans="2:8" ht="15.75" x14ac:dyDescent="0.25">
      <c r="B521" s="10" t="s">
        <v>372</v>
      </c>
      <c r="C521" s="370">
        <v>43040001</v>
      </c>
      <c r="D521" s="370" t="s">
        <v>370</v>
      </c>
      <c r="E521" s="370" t="s">
        <v>371</v>
      </c>
      <c r="F521" s="371" t="s">
        <v>983</v>
      </c>
      <c r="G521" s="10">
        <v>500</v>
      </c>
      <c r="H521" s="14">
        <v>500</v>
      </c>
    </row>
    <row r="522" spans="2:8" ht="15.75" x14ac:dyDescent="0.25">
      <c r="B522" s="10" t="s">
        <v>915</v>
      </c>
      <c r="C522" s="370">
        <v>43040002</v>
      </c>
      <c r="D522" s="370" t="s">
        <v>370</v>
      </c>
      <c r="E522" s="370" t="s">
        <v>371</v>
      </c>
      <c r="F522" s="371" t="s">
        <v>983</v>
      </c>
      <c r="G522" s="10">
        <v>500</v>
      </c>
      <c r="H522" s="14">
        <v>500</v>
      </c>
    </row>
    <row r="523" spans="2:8" ht="15.75" x14ac:dyDescent="0.25">
      <c r="B523" s="10" t="s">
        <v>916</v>
      </c>
      <c r="C523" s="370">
        <v>43040003</v>
      </c>
      <c r="D523" s="370" t="s">
        <v>370</v>
      </c>
      <c r="E523" s="370" t="s">
        <v>371</v>
      </c>
      <c r="F523" s="371" t="s">
        <v>993</v>
      </c>
      <c r="G523" s="10">
        <v>500</v>
      </c>
      <c r="H523" s="14">
        <v>500</v>
      </c>
    </row>
    <row r="524" spans="2:8" ht="15.75" x14ac:dyDescent="0.25">
      <c r="B524" s="10" t="s">
        <v>917</v>
      </c>
      <c r="C524" s="370">
        <v>43040004</v>
      </c>
      <c r="D524" s="370" t="s">
        <v>370</v>
      </c>
      <c r="E524" s="370" t="s">
        <v>371</v>
      </c>
      <c r="F524" s="371" t="s">
        <v>993</v>
      </c>
      <c r="G524" s="10">
        <v>500</v>
      </c>
      <c r="H524" s="14">
        <v>500</v>
      </c>
    </row>
    <row r="525" spans="2:8" ht="15.75" x14ac:dyDescent="0.25">
      <c r="B525" s="10" t="s">
        <v>918</v>
      </c>
      <c r="C525" s="370">
        <v>43070001</v>
      </c>
      <c r="D525" s="370" t="s">
        <v>370</v>
      </c>
      <c r="E525" s="370" t="s">
        <v>919</v>
      </c>
      <c r="F525" s="371" t="s">
        <v>993</v>
      </c>
      <c r="G525" s="10">
        <v>500</v>
      </c>
      <c r="H525" s="14">
        <v>500</v>
      </c>
    </row>
    <row r="526" spans="2:8" ht="15.75" x14ac:dyDescent="0.25">
      <c r="B526" s="10" t="s">
        <v>920</v>
      </c>
      <c r="C526" s="370">
        <v>41891003</v>
      </c>
      <c r="D526" s="370" t="s">
        <v>353</v>
      </c>
      <c r="E526" s="370" t="s">
        <v>389</v>
      </c>
      <c r="F526" s="371" t="s">
        <v>983</v>
      </c>
      <c r="G526" s="10">
        <v>530</v>
      </c>
      <c r="H526" s="14">
        <v>520</v>
      </c>
    </row>
    <row r="527" spans="2:8" ht="15.75" x14ac:dyDescent="0.25">
      <c r="B527" s="10" t="s">
        <v>256</v>
      </c>
      <c r="C527" s="370">
        <v>41891001</v>
      </c>
      <c r="D527" s="370" t="s">
        <v>353</v>
      </c>
      <c r="E527" s="370" t="s">
        <v>389</v>
      </c>
      <c r="F527" s="371" t="s">
        <v>983</v>
      </c>
      <c r="G527" s="10">
        <v>530</v>
      </c>
      <c r="H527" s="14">
        <v>520</v>
      </c>
    </row>
    <row r="528" spans="2:8" ht="15.75" x14ac:dyDescent="0.25">
      <c r="B528" s="10" t="s">
        <v>921</v>
      </c>
      <c r="C528" s="370">
        <v>41891002</v>
      </c>
      <c r="D528" s="370" t="s">
        <v>353</v>
      </c>
      <c r="E528" s="370" t="s">
        <v>389</v>
      </c>
      <c r="F528" s="371" t="s">
        <v>983</v>
      </c>
      <c r="G528" s="10">
        <v>530</v>
      </c>
      <c r="H528" s="14">
        <v>520</v>
      </c>
    </row>
    <row r="529" spans="2:8" ht="15.75" x14ac:dyDescent="0.25">
      <c r="B529" s="10" t="s">
        <v>922</v>
      </c>
      <c r="C529" s="370">
        <v>41891036</v>
      </c>
      <c r="D529" s="370" t="s">
        <v>353</v>
      </c>
      <c r="E529" s="370" t="s">
        <v>389</v>
      </c>
      <c r="F529" s="371" t="s">
        <v>983</v>
      </c>
      <c r="G529" s="10">
        <v>530</v>
      </c>
      <c r="H529" s="14">
        <v>520</v>
      </c>
    </row>
    <row r="530" spans="2:8" ht="15.75" x14ac:dyDescent="0.25">
      <c r="B530" s="10" t="s">
        <v>923</v>
      </c>
      <c r="C530" s="370">
        <v>41891037</v>
      </c>
      <c r="D530" s="370" t="s">
        <v>353</v>
      </c>
      <c r="E530" s="370" t="s">
        <v>389</v>
      </c>
      <c r="F530" s="371" t="s">
        <v>983</v>
      </c>
      <c r="G530" s="10">
        <v>530</v>
      </c>
      <c r="H530" s="14">
        <v>520</v>
      </c>
    </row>
    <row r="531" spans="2:8" ht="15.75" x14ac:dyDescent="0.25">
      <c r="B531" s="10" t="s">
        <v>924</v>
      </c>
      <c r="C531" s="370">
        <v>41891038</v>
      </c>
      <c r="D531" s="370" t="s">
        <v>353</v>
      </c>
      <c r="E531" s="370" t="s">
        <v>389</v>
      </c>
      <c r="F531" s="371" t="s">
        <v>983</v>
      </c>
      <c r="G531" s="10">
        <v>530</v>
      </c>
      <c r="H531" s="14">
        <v>520</v>
      </c>
    </row>
    <row r="532" spans="2:8" ht="15.75" x14ac:dyDescent="0.25">
      <c r="B532" s="10" t="s">
        <v>382</v>
      </c>
      <c r="C532" s="370">
        <v>43010002</v>
      </c>
      <c r="D532" s="370" t="s">
        <v>370</v>
      </c>
      <c r="E532" s="370" t="s">
        <v>373</v>
      </c>
      <c r="F532" s="371" t="s">
        <v>983</v>
      </c>
      <c r="G532" s="10">
        <v>800</v>
      </c>
      <c r="H532" s="14">
        <v>800</v>
      </c>
    </row>
    <row r="533" spans="2:8" ht="15.75" x14ac:dyDescent="0.25">
      <c r="B533" s="10" t="s">
        <v>388</v>
      </c>
      <c r="C533" s="370">
        <v>43010001</v>
      </c>
      <c r="D533" s="370" t="s">
        <v>370</v>
      </c>
      <c r="E533" s="370" t="s">
        <v>373</v>
      </c>
      <c r="F533" s="371" t="s">
        <v>983</v>
      </c>
      <c r="G533" s="10">
        <v>800</v>
      </c>
      <c r="H533" s="14">
        <v>800</v>
      </c>
    </row>
    <row r="534" spans="2:8" ht="15.75" x14ac:dyDescent="0.25">
      <c r="B534" s="10" t="s">
        <v>386</v>
      </c>
      <c r="C534" s="370">
        <v>43010003</v>
      </c>
      <c r="D534" s="370" t="s">
        <v>370</v>
      </c>
      <c r="E534" s="370" t="s">
        <v>373</v>
      </c>
      <c r="F534" s="371" t="s">
        <v>983</v>
      </c>
      <c r="G534" s="10">
        <v>800</v>
      </c>
      <c r="H534" s="14">
        <v>800</v>
      </c>
    </row>
    <row r="535" spans="2:8" ht="15.75" x14ac:dyDescent="0.25">
      <c r="B535" s="10" t="s">
        <v>925</v>
      </c>
      <c r="C535" s="370">
        <v>46000001</v>
      </c>
      <c r="D535" s="370" t="s">
        <v>525</v>
      </c>
      <c r="E535" s="370" t="s">
        <v>373</v>
      </c>
      <c r="F535" s="371" t="s">
        <v>983</v>
      </c>
      <c r="G535" s="10">
        <v>800</v>
      </c>
      <c r="H535" s="14">
        <v>800</v>
      </c>
    </row>
    <row r="536" spans="2:8" ht="15.75" x14ac:dyDescent="0.25">
      <c r="B536" s="10" t="s">
        <v>926</v>
      </c>
      <c r="C536" s="370">
        <v>46000002</v>
      </c>
      <c r="D536" s="370" t="s">
        <v>525</v>
      </c>
      <c r="E536" s="370" t="s">
        <v>373</v>
      </c>
      <c r="F536" s="371" t="s">
        <v>983</v>
      </c>
      <c r="G536" s="10">
        <v>800</v>
      </c>
      <c r="H536" s="14">
        <v>800</v>
      </c>
    </row>
    <row r="537" spans="2:8" ht="15.75" x14ac:dyDescent="0.25">
      <c r="B537" s="10" t="s">
        <v>927</v>
      </c>
      <c r="C537" s="370">
        <v>46000003</v>
      </c>
      <c r="D537" s="370" t="s">
        <v>525</v>
      </c>
      <c r="E537" s="370" t="s">
        <v>373</v>
      </c>
      <c r="F537" s="371" t="s">
        <v>983</v>
      </c>
      <c r="G537" s="10">
        <v>800</v>
      </c>
      <c r="H537" s="14">
        <v>800</v>
      </c>
    </row>
    <row r="538" spans="2:8" ht="15.75" x14ac:dyDescent="0.25">
      <c r="B538" s="10" t="s">
        <v>928</v>
      </c>
      <c r="C538" s="370">
        <v>46000004</v>
      </c>
      <c r="D538" s="370" t="s">
        <v>525</v>
      </c>
      <c r="E538" s="370" t="s">
        <v>373</v>
      </c>
      <c r="F538" s="371" t="s">
        <v>983</v>
      </c>
      <c r="G538" s="10">
        <v>800</v>
      </c>
      <c r="H538" s="14">
        <v>800</v>
      </c>
    </row>
    <row r="539" spans="2:8" ht="15.75" x14ac:dyDescent="0.25">
      <c r="B539" s="10" t="s">
        <v>929</v>
      </c>
      <c r="C539" s="370">
        <v>45710001</v>
      </c>
      <c r="D539" s="370" t="s">
        <v>930</v>
      </c>
      <c r="E539" s="370" t="s">
        <v>373</v>
      </c>
      <c r="F539" s="371" t="s">
        <v>983</v>
      </c>
      <c r="G539" s="10">
        <v>290</v>
      </c>
      <c r="H539" s="14">
        <v>300</v>
      </c>
    </row>
    <row r="540" spans="2:8" ht="15.75" x14ac:dyDescent="0.25">
      <c r="B540" s="10" t="s">
        <v>931</v>
      </c>
      <c r="C540" s="370">
        <v>45710002</v>
      </c>
      <c r="D540" s="370" t="s">
        <v>930</v>
      </c>
      <c r="E540" s="370" t="s">
        <v>373</v>
      </c>
      <c r="F540" s="371" t="s">
        <v>983</v>
      </c>
      <c r="G540" s="10">
        <v>290</v>
      </c>
      <c r="H540" s="14">
        <v>300</v>
      </c>
    </row>
    <row r="541" spans="2:8" ht="15.75" x14ac:dyDescent="0.25">
      <c r="B541" s="10" t="s">
        <v>932</v>
      </c>
      <c r="C541" s="370">
        <v>45710003</v>
      </c>
      <c r="D541" s="370" t="s">
        <v>930</v>
      </c>
      <c r="E541" s="370" t="s">
        <v>373</v>
      </c>
      <c r="F541" s="371" t="s">
        <v>983</v>
      </c>
      <c r="G541" s="10">
        <v>290</v>
      </c>
      <c r="H541" s="14">
        <v>300</v>
      </c>
    </row>
    <row r="542" spans="2:8" ht="15.75" x14ac:dyDescent="0.25">
      <c r="B542" s="10" t="s">
        <v>933</v>
      </c>
      <c r="C542" s="370">
        <v>45710004</v>
      </c>
      <c r="D542" s="370" t="s">
        <v>930</v>
      </c>
      <c r="E542" s="370" t="s">
        <v>373</v>
      </c>
      <c r="F542" s="371" t="s">
        <v>983</v>
      </c>
      <c r="G542" s="10">
        <v>290</v>
      </c>
      <c r="H542" s="14">
        <v>300</v>
      </c>
    </row>
    <row r="543" spans="2:8" ht="15.75" x14ac:dyDescent="0.25">
      <c r="B543" s="10" t="s">
        <v>934</v>
      </c>
      <c r="C543" s="370">
        <v>40160001</v>
      </c>
      <c r="D543" s="370" t="s">
        <v>935</v>
      </c>
      <c r="E543" s="370" t="s">
        <v>384</v>
      </c>
      <c r="F543" s="371" t="s">
        <v>983</v>
      </c>
      <c r="G543" s="10">
        <v>530</v>
      </c>
      <c r="H543" s="14">
        <v>520</v>
      </c>
    </row>
    <row r="544" spans="2:8" ht="15.75" x14ac:dyDescent="0.25">
      <c r="B544" s="10" t="s">
        <v>936</v>
      </c>
      <c r="C544" s="370">
        <v>40160002</v>
      </c>
      <c r="D544" s="370" t="s">
        <v>935</v>
      </c>
      <c r="E544" s="370" t="s">
        <v>384</v>
      </c>
      <c r="F544" s="371" t="s">
        <v>983</v>
      </c>
      <c r="G544" s="10">
        <v>530</v>
      </c>
      <c r="H544" s="14">
        <v>520</v>
      </c>
    </row>
    <row r="545" spans="2:8" ht="15.75" x14ac:dyDescent="0.25">
      <c r="B545" s="10" t="s">
        <v>937</v>
      </c>
      <c r="C545" s="370">
        <v>40160003</v>
      </c>
      <c r="D545" s="370" t="s">
        <v>935</v>
      </c>
      <c r="E545" s="370" t="s">
        <v>384</v>
      </c>
      <c r="F545" s="371" t="s">
        <v>983</v>
      </c>
      <c r="G545" s="10">
        <v>530</v>
      </c>
      <c r="H545" s="14">
        <v>520</v>
      </c>
    </row>
    <row r="546" spans="2:8" ht="15.75" x14ac:dyDescent="0.25">
      <c r="B546" s="10" t="s">
        <v>938</v>
      </c>
      <c r="C546" s="370">
        <v>40160004</v>
      </c>
      <c r="D546" s="370" t="s">
        <v>935</v>
      </c>
      <c r="E546" s="370" t="s">
        <v>384</v>
      </c>
      <c r="F546" s="371" t="s">
        <v>983</v>
      </c>
      <c r="G546" s="10">
        <v>530</v>
      </c>
      <c r="H546" s="14">
        <v>520</v>
      </c>
    </row>
    <row r="547" spans="2:8" ht="15.75" x14ac:dyDescent="0.25">
      <c r="B547" s="10" t="s">
        <v>939</v>
      </c>
      <c r="C547" s="370">
        <v>40161001</v>
      </c>
      <c r="D547" s="370" t="s">
        <v>935</v>
      </c>
      <c r="E547" s="370" t="s">
        <v>373</v>
      </c>
      <c r="F547" s="371" t="s">
        <v>983</v>
      </c>
      <c r="G547" s="10">
        <v>500</v>
      </c>
      <c r="H547" s="14">
        <v>500</v>
      </c>
    </row>
    <row r="548" spans="2:8" ht="15.75" x14ac:dyDescent="0.25">
      <c r="B548" s="10" t="s">
        <v>940</v>
      </c>
      <c r="C548" s="370">
        <v>40161002</v>
      </c>
      <c r="D548" s="370" t="s">
        <v>935</v>
      </c>
      <c r="E548" s="370" t="s">
        <v>373</v>
      </c>
      <c r="F548" s="371" t="s">
        <v>983</v>
      </c>
      <c r="G548" s="10">
        <v>500</v>
      </c>
      <c r="H548" s="14">
        <v>500</v>
      </c>
    </row>
    <row r="549" spans="2:8" ht="15.75" x14ac:dyDescent="0.25">
      <c r="B549" s="10" t="s">
        <v>941</v>
      </c>
      <c r="C549" s="370">
        <v>40161003</v>
      </c>
      <c r="D549" s="370" t="s">
        <v>935</v>
      </c>
      <c r="E549" s="370" t="s">
        <v>373</v>
      </c>
      <c r="F549" s="371" t="s">
        <v>983</v>
      </c>
      <c r="G549" s="10">
        <v>500</v>
      </c>
      <c r="H549" s="14">
        <v>500</v>
      </c>
    </row>
    <row r="550" spans="2:8" ht="15.75" x14ac:dyDescent="0.25">
      <c r="B550" s="10" t="s">
        <v>942</v>
      </c>
      <c r="C550" s="370">
        <v>41810013</v>
      </c>
      <c r="D550" s="370" t="s">
        <v>353</v>
      </c>
      <c r="E550" s="370" t="s">
        <v>378</v>
      </c>
      <c r="F550" s="371" t="s">
        <v>993</v>
      </c>
      <c r="G550" s="10">
        <v>1000</v>
      </c>
      <c r="H550" s="14">
        <v>1000</v>
      </c>
    </row>
    <row r="551" spans="2:8" ht="15.75" x14ac:dyDescent="0.25">
      <c r="B551" s="10" t="s">
        <v>943</v>
      </c>
      <c r="C551" s="370">
        <v>41810014</v>
      </c>
      <c r="D551" s="370" t="s">
        <v>353</v>
      </c>
      <c r="E551" s="370" t="s">
        <v>378</v>
      </c>
      <c r="F551" s="371" t="s">
        <v>993</v>
      </c>
      <c r="G551" s="10">
        <v>1000</v>
      </c>
      <c r="H551" s="14">
        <v>1000</v>
      </c>
    </row>
    <row r="552" spans="2:8" ht="15.75" x14ac:dyDescent="0.25">
      <c r="B552" s="10" t="s">
        <v>944</v>
      </c>
      <c r="C552" s="370">
        <v>41810015</v>
      </c>
      <c r="D552" s="370" t="s">
        <v>353</v>
      </c>
      <c r="E552" s="370" t="s">
        <v>378</v>
      </c>
      <c r="F552" s="371" t="s">
        <v>993</v>
      </c>
      <c r="G552" s="10">
        <v>1000</v>
      </c>
      <c r="H552" s="14">
        <v>1000</v>
      </c>
    </row>
    <row r="553" spans="2:8" ht="15.75" x14ac:dyDescent="0.25">
      <c r="B553" s="10" t="s">
        <v>945</v>
      </c>
      <c r="C553" s="370">
        <v>41820007</v>
      </c>
      <c r="D553" s="370" t="s">
        <v>353</v>
      </c>
      <c r="E553" s="370" t="s">
        <v>659</v>
      </c>
      <c r="F553" s="371" t="s">
        <v>993</v>
      </c>
      <c r="G553" s="10">
        <v>1000</v>
      </c>
      <c r="H553" s="14">
        <v>1000</v>
      </c>
    </row>
    <row r="554" spans="2:8" ht="15.75" x14ac:dyDescent="0.25">
      <c r="B554" s="10" t="s">
        <v>946</v>
      </c>
      <c r="C554" s="370">
        <v>41820008</v>
      </c>
      <c r="D554" s="370" t="s">
        <v>353</v>
      </c>
      <c r="E554" s="370" t="s">
        <v>659</v>
      </c>
      <c r="F554" s="371" t="s">
        <v>993</v>
      </c>
      <c r="G554" s="10">
        <v>1000</v>
      </c>
      <c r="H554" s="14">
        <v>1000</v>
      </c>
    </row>
    <row r="555" spans="2:8" ht="15.75" x14ac:dyDescent="0.25">
      <c r="B555" s="10" t="s">
        <v>947</v>
      </c>
      <c r="C555" s="370">
        <v>41830007</v>
      </c>
      <c r="D555" s="370" t="s">
        <v>353</v>
      </c>
      <c r="E555" s="370" t="s">
        <v>371</v>
      </c>
      <c r="F555" s="371" t="s">
        <v>993</v>
      </c>
      <c r="G555" s="10">
        <v>1000</v>
      </c>
      <c r="H555" s="14">
        <v>1000</v>
      </c>
    </row>
    <row r="556" spans="2:8" ht="15.75" x14ac:dyDescent="0.25">
      <c r="B556" s="10" t="s">
        <v>379</v>
      </c>
      <c r="C556" s="370">
        <v>41920002</v>
      </c>
      <c r="D556" s="370" t="s">
        <v>377</v>
      </c>
      <c r="E556" s="370" t="s">
        <v>378</v>
      </c>
      <c r="F556" s="371" t="s">
        <v>983</v>
      </c>
      <c r="G556" s="10">
        <v>1000</v>
      </c>
      <c r="H556" s="14">
        <v>1000</v>
      </c>
    </row>
    <row r="557" spans="2:8" ht="15.75" x14ac:dyDescent="0.25">
      <c r="B557" s="10" t="s">
        <v>948</v>
      </c>
      <c r="C557" s="370">
        <v>41930001</v>
      </c>
      <c r="D557" s="370" t="s">
        <v>377</v>
      </c>
      <c r="E557" s="370" t="s">
        <v>659</v>
      </c>
      <c r="F557" s="371" t="s">
        <v>983</v>
      </c>
      <c r="G557" s="10">
        <v>1000</v>
      </c>
      <c r="H557" s="14">
        <v>1000</v>
      </c>
    </row>
    <row r="558" spans="2:8" ht="15.75" x14ac:dyDescent="0.25">
      <c r="B558" s="10" t="s">
        <v>949</v>
      </c>
      <c r="C558" s="370">
        <v>41930002</v>
      </c>
      <c r="D558" s="370" t="s">
        <v>377</v>
      </c>
      <c r="E558" s="370" t="s">
        <v>659</v>
      </c>
      <c r="F558" s="371" t="s">
        <v>983</v>
      </c>
      <c r="G558" s="10">
        <v>1000</v>
      </c>
      <c r="H558" s="14">
        <v>1000</v>
      </c>
    </row>
    <row r="559" spans="2:8" ht="15.75" x14ac:dyDescent="0.25">
      <c r="B559" s="10" t="s">
        <v>381</v>
      </c>
      <c r="C559" s="370">
        <v>41920003</v>
      </c>
      <c r="D559" s="370" t="s">
        <v>377</v>
      </c>
      <c r="E559" s="370" t="s">
        <v>378</v>
      </c>
      <c r="F559" s="371" t="s">
        <v>983</v>
      </c>
      <c r="G559" s="10">
        <v>1000</v>
      </c>
      <c r="H559" s="14">
        <v>1000</v>
      </c>
    </row>
    <row r="560" spans="2:8" ht="15.75" x14ac:dyDescent="0.25">
      <c r="B560" s="10" t="s">
        <v>950</v>
      </c>
      <c r="C560" s="370">
        <v>41920001</v>
      </c>
      <c r="D560" s="370" t="s">
        <v>377</v>
      </c>
      <c r="E560" s="370" t="s">
        <v>378</v>
      </c>
      <c r="F560" s="371" t="s">
        <v>983</v>
      </c>
      <c r="G560" s="10">
        <v>1000</v>
      </c>
      <c r="H560" s="14">
        <v>1000</v>
      </c>
    </row>
    <row r="561" spans="2:8" ht="15.75" x14ac:dyDescent="0.25">
      <c r="B561" s="10" t="s">
        <v>951</v>
      </c>
      <c r="C561" s="370">
        <v>41940001</v>
      </c>
      <c r="D561" s="370" t="s">
        <v>377</v>
      </c>
      <c r="E561" s="370" t="s">
        <v>371</v>
      </c>
      <c r="F561" s="371" t="s">
        <v>983</v>
      </c>
      <c r="G561" s="10">
        <v>1000</v>
      </c>
      <c r="H561" s="14">
        <v>1000</v>
      </c>
    </row>
    <row r="562" spans="2:8" ht="15.75" x14ac:dyDescent="0.25">
      <c r="B562" s="10" t="s">
        <v>952</v>
      </c>
      <c r="C562" s="370">
        <v>41940002</v>
      </c>
      <c r="D562" s="370" t="s">
        <v>377</v>
      </c>
      <c r="E562" s="370" t="s">
        <v>371</v>
      </c>
      <c r="F562" s="371" t="s">
        <v>983</v>
      </c>
      <c r="G562" s="10">
        <v>1000</v>
      </c>
      <c r="H562" s="14">
        <v>1000</v>
      </c>
    </row>
    <row r="563" spans="2:8" ht="15.75" x14ac:dyDescent="0.25">
      <c r="B563" s="10" t="s">
        <v>953</v>
      </c>
      <c r="C563" s="370">
        <v>46000007</v>
      </c>
      <c r="D563" s="370" t="s">
        <v>525</v>
      </c>
      <c r="E563" s="370" t="s">
        <v>373</v>
      </c>
      <c r="F563" s="371" t="s">
        <v>983</v>
      </c>
      <c r="G563" s="10">
        <v>1000</v>
      </c>
      <c r="H563" s="14">
        <v>1000</v>
      </c>
    </row>
    <row r="564" spans="2:8" ht="15.75" x14ac:dyDescent="0.25">
      <c r="B564" s="10" t="s">
        <v>954</v>
      </c>
      <c r="C564" s="370">
        <v>46000008</v>
      </c>
      <c r="D564" s="370" t="s">
        <v>525</v>
      </c>
      <c r="E564" s="370" t="s">
        <v>373</v>
      </c>
      <c r="F564" s="371" t="s">
        <v>983</v>
      </c>
      <c r="G564" s="10">
        <v>1000</v>
      </c>
      <c r="H564" s="14">
        <v>1000</v>
      </c>
    </row>
    <row r="565" spans="2:8" ht="15.75" x14ac:dyDescent="0.25">
      <c r="B565" s="10" t="s">
        <v>955</v>
      </c>
      <c r="C565" s="370">
        <v>46000009</v>
      </c>
      <c r="D565" s="370" t="s">
        <v>525</v>
      </c>
      <c r="E565" s="370" t="s">
        <v>373</v>
      </c>
      <c r="F565" s="371" t="s">
        <v>983</v>
      </c>
      <c r="G565" s="10">
        <v>1000</v>
      </c>
      <c r="H565" s="14">
        <v>1000</v>
      </c>
    </row>
    <row r="566" spans="2:8" ht="15.75" x14ac:dyDescent="0.25">
      <c r="B566" s="10" t="s">
        <v>956</v>
      </c>
      <c r="C566" s="370">
        <v>46000010</v>
      </c>
      <c r="D566" s="370" t="s">
        <v>525</v>
      </c>
      <c r="E566" s="370" t="s">
        <v>373</v>
      </c>
      <c r="F566" s="371" t="s">
        <v>983</v>
      </c>
      <c r="G566" s="10">
        <v>1000</v>
      </c>
      <c r="H566" s="14">
        <v>1000</v>
      </c>
    </row>
    <row r="567" spans="2:8" ht="15.75" x14ac:dyDescent="0.25">
      <c r="B567" s="10" t="s">
        <v>259</v>
      </c>
      <c r="C567" s="370">
        <v>45700005</v>
      </c>
      <c r="D567" s="370" t="s">
        <v>672</v>
      </c>
      <c r="E567" s="370" t="s">
        <v>373</v>
      </c>
      <c r="F567" s="371" t="s">
        <v>983</v>
      </c>
      <c r="G567" s="10">
        <v>1000</v>
      </c>
      <c r="H567" s="14">
        <v>1000</v>
      </c>
    </row>
    <row r="568" spans="2:8" ht="15.75" x14ac:dyDescent="0.25">
      <c r="B568" s="10" t="s">
        <v>258</v>
      </c>
      <c r="C568" s="370">
        <v>45700006</v>
      </c>
      <c r="D568" s="370" t="s">
        <v>672</v>
      </c>
      <c r="E568" s="370" t="s">
        <v>373</v>
      </c>
      <c r="F568" s="371" t="s">
        <v>983</v>
      </c>
      <c r="G568" s="10">
        <v>1000</v>
      </c>
      <c r="H568" s="14">
        <v>1000</v>
      </c>
    </row>
    <row r="569" spans="2:8" ht="15.75" x14ac:dyDescent="0.25">
      <c r="B569" s="10" t="s">
        <v>257</v>
      </c>
      <c r="C569" s="378">
        <v>45700007</v>
      </c>
      <c r="D569" s="370" t="s">
        <v>672</v>
      </c>
      <c r="E569" s="370" t="s">
        <v>373</v>
      </c>
      <c r="F569" s="371" t="s">
        <v>983</v>
      </c>
      <c r="G569" s="10">
        <v>1000</v>
      </c>
      <c r="H569" s="14">
        <v>1000</v>
      </c>
    </row>
    <row r="570" spans="2:8" ht="15.75" x14ac:dyDescent="0.25">
      <c r="B570" s="10" t="s">
        <v>957</v>
      </c>
      <c r="C570" s="370">
        <v>45700008</v>
      </c>
      <c r="D570" s="370" t="s">
        <v>672</v>
      </c>
      <c r="E570" s="370" t="s">
        <v>373</v>
      </c>
      <c r="F570" s="371" t="s">
        <v>983</v>
      </c>
      <c r="G570" s="10">
        <v>1000</v>
      </c>
      <c r="H570" s="14">
        <v>1000</v>
      </c>
    </row>
    <row r="571" spans="2:8" ht="15.75" x14ac:dyDescent="0.25">
      <c r="B571" s="104" t="s">
        <v>958</v>
      </c>
      <c r="C571" s="370">
        <v>42020001</v>
      </c>
      <c r="D571" s="370" t="s">
        <v>390</v>
      </c>
      <c r="E571" s="370" t="s">
        <v>371</v>
      </c>
      <c r="F571" s="371" t="s">
        <v>993</v>
      </c>
      <c r="G571" s="10">
        <v>1000</v>
      </c>
      <c r="H571" s="14">
        <v>1000</v>
      </c>
    </row>
    <row r="572" spans="2:8" ht="15.75" x14ac:dyDescent="0.25">
      <c r="B572" s="10" t="s">
        <v>959</v>
      </c>
      <c r="C572" s="370">
        <v>42020003</v>
      </c>
      <c r="D572" s="370" t="s">
        <v>390</v>
      </c>
      <c r="E572" s="370" t="s">
        <v>371</v>
      </c>
      <c r="F572" s="371" t="s">
        <v>983</v>
      </c>
      <c r="G572" s="10">
        <v>1000</v>
      </c>
      <c r="H572" s="14">
        <v>1000</v>
      </c>
    </row>
    <row r="573" spans="2:8" ht="15.75" x14ac:dyDescent="0.25">
      <c r="B573" s="10" t="s">
        <v>960</v>
      </c>
      <c r="C573" s="370">
        <v>42020002</v>
      </c>
      <c r="D573" s="370" t="s">
        <v>390</v>
      </c>
      <c r="E573" s="370" t="s">
        <v>371</v>
      </c>
      <c r="F573" s="371" t="s">
        <v>993</v>
      </c>
      <c r="G573" s="10">
        <v>1000</v>
      </c>
      <c r="H573" s="14">
        <v>1000</v>
      </c>
    </row>
    <row r="574" spans="2:8" ht="15.75" x14ac:dyDescent="0.25">
      <c r="B574" s="10" t="s">
        <v>961</v>
      </c>
      <c r="C574" s="370">
        <v>42010001</v>
      </c>
      <c r="D574" s="370" t="s">
        <v>390</v>
      </c>
      <c r="E574" s="370" t="s">
        <v>378</v>
      </c>
      <c r="F574" s="371" t="s">
        <v>993</v>
      </c>
      <c r="G574" s="10">
        <v>1000</v>
      </c>
      <c r="H574" s="14">
        <v>1000</v>
      </c>
    </row>
  </sheetData>
  <autoFilter ref="B3:H574" xr:uid="{4ABF43AF-7063-4055-B95E-887A39242128}"/>
  <conditionalFormatting sqref="C283:C285">
    <cfRule type="duplicateValues" dxfId="6" priority="1"/>
    <cfRule type="duplicateValues" dxfId="5" priority="2"/>
  </conditionalFormatting>
  <conditionalFormatting sqref="C355">
    <cfRule type="duplicateValues" dxfId="4" priority="6"/>
  </conditionalFormatting>
  <conditionalFormatting sqref="C356:C574 C4:C70 C72:C143 C147:C282 C286:C354">
    <cfRule type="duplicateValues" dxfId="3" priority="213"/>
  </conditionalFormatting>
  <conditionalFormatting sqref="C363:C370">
    <cfRule type="duplicateValues" dxfId="2" priority="14"/>
  </conditionalFormatting>
  <conditionalFormatting sqref="C371:C574 C356:C362 C129:C143 C287:C354 C4:C61 C72:C124 C147:C282">
    <cfRule type="duplicateValues" dxfId="1" priority="211"/>
  </conditionalFormatting>
  <conditionalFormatting sqref="C575:C1048576 C1:C3">
    <cfRule type="duplicateValues" dxfId="0" priority="1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"/>
  <dimension ref="B3:N10"/>
  <sheetViews>
    <sheetView workbookViewId="0">
      <selection activeCell="C18" sqref="C18"/>
    </sheetView>
  </sheetViews>
  <sheetFormatPr defaultColWidth="9" defaultRowHeight="15" x14ac:dyDescent="0.25"/>
  <cols>
    <col min="1" max="1" width="3.140625" customWidth="1"/>
    <col min="2" max="2" width="35.28515625" customWidth="1"/>
    <col min="3" max="3" width="11.42578125" customWidth="1"/>
    <col min="4" max="4" width="7.28515625" customWidth="1"/>
    <col min="5" max="5" width="15.5703125" customWidth="1"/>
    <col min="8" max="10" width="11.28515625" customWidth="1"/>
    <col min="14" max="14" width="15.28515625" customWidth="1"/>
  </cols>
  <sheetData>
    <row r="3" spans="2:14" ht="56.25" x14ac:dyDescent="0.25">
      <c r="B3" s="52" t="s">
        <v>962</v>
      </c>
      <c r="C3" s="53" t="s">
        <v>963</v>
      </c>
      <c r="D3" s="54" t="s">
        <v>964</v>
      </c>
      <c r="E3" s="54" t="s">
        <v>299</v>
      </c>
      <c r="F3" s="54" t="s">
        <v>965</v>
      </c>
      <c r="G3" s="54" t="s">
        <v>966</v>
      </c>
      <c r="H3" s="54" t="s">
        <v>967</v>
      </c>
      <c r="I3" s="54" t="s">
        <v>968</v>
      </c>
      <c r="J3" s="54" t="s">
        <v>969</v>
      </c>
      <c r="K3" s="54" t="s">
        <v>970</v>
      </c>
      <c r="L3" s="54" t="s">
        <v>971</v>
      </c>
      <c r="M3" s="53" t="s">
        <v>972</v>
      </c>
      <c r="N3" s="53" t="s">
        <v>973</v>
      </c>
    </row>
    <row r="4" spans="2:14" ht="15.75" x14ac:dyDescent="0.25">
      <c r="B4" s="55" t="s">
        <v>311</v>
      </c>
      <c r="C4" s="56">
        <v>2160</v>
      </c>
      <c r="D4" s="30">
        <v>188</v>
      </c>
      <c r="E4" s="57">
        <v>235</v>
      </c>
      <c r="F4" s="57"/>
      <c r="G4" s="57"/>
      <c r="H4" s="57"/>
      <c r="I4" s="57"/>
      <c r="J4" s="57"/>
      <c r="K4" s="57"/>
      <c r="L4" s="57">
        <v>128</v>
      </c>
      <c r="M4" s="56">
        <f t="shared" ref="M4:M9" si="0">SUM(D4:L4)</f>
        <v>551</v>
      </c>
      <c r="N4" s="60">
        <f t="shared" ref="N4:N10" si="1">M4/C4</f>
        <v>0.25509259259259259</v>
      </c>
    </row>
    <row r="5" spans="2:14" ht="15.75" x14ac:dyDescent="0.25">
      <c r="B5" s="55" t="s">
        <v>313</v>
      </c>
      <c r="C5" s="56">
        <f>2160-220</f>
        <v>1940</v>
      </c>
      <c r="D5" s="57">
        <v>510</v>
      </c>
      <c r="E5" s="57"/>
      <c r="F5" s="57"/>
      <c r="G5" s="57"/>
      <c r="H5" s="57"/>
      <c r="I5" s="57"/>
      <c r="J5" s="57"/>
      <c r="K5" s="57"/>
      <c r="L5" s="57"/>
      <c r="M5" s="56">
        <f t="shared" si="0"/>
        <v>510</v>
      </c>
      <c r="N5" s="60">
        <f t="shared" si="1"/>
        <v>0.26288659793814434</v>
      </c>
    </row>
    <row r="6" spans="2:14" ht="15.75" x14ac:dyDescent="0.25">
      <c r="B6" s="55" t="s">
        <v>314</v>
      </c>
      <c r="C6" s="56">
        <v>2160</v>
      </c>
      <c r="D6" s="57"/>
      <c r="E6" s="57"/>
      <c r="F6" s="57">
        <f>360+360</f>
        <v>720</v>
      </c>
      <c r="G6" s="57"/>
      <c r="H6" s="57">
        <v>130</v>
      </c>
      <c r="I6" s="57">
        <f>360+180</f>
        <v>540</v>
      </c>
      <c r="J6" s="57"/>
      <c r="K6" s="57"/>
      <c r="L6" s="57"/>
      <c r="M6" s="56">
        <f t="shared" si="0"/>
        <v>1390</v>
      </c>
      <c r="N6" s="60">
        <f t="shared" si="1"/>
        <v>0.64351851851851849</v>
      </c>
    </row>
    <row r="7" spans="2:14" ht="15.75" x14ac:dyDescent="0.25">
      <c r="B7" s="55" t="s">
        <v>315</v>
      </c>
      <c r="C7" s="56">
        <v>2160</v>
      </c>
      <c r="D7" s="57">
        <f>195+360</f>
        <v>555</v>
      </c>
      <c r="E7" s="57"/>
      <c r="F7" s="57">
        <v>123</v>
      </c>
      <c r="G7" s="57"/>
      <c r="H7" s="57"/>
      <c r="I7" s="57"/>
      <c r="J7" s="57"/>
      <c r="K7" s="57"/>
      <c r="L7" s="57"/>
      <c r="M7" s="56">
        <f t="shared" si="0"/>
        <v>678</v>
      </c>
      <c r="N7" s="60">
        <f t="shared" si="1"/>
        <v>0.31388888888888888</v>
      </c>
    </row>
    <row r="8" spans="2:14" ht="15.75" x14ac:dyDescent="0.25">
      <c r="B8" s="55" t="s">
        <v>974</v>
      </c>
      <c r="C8" s="56">
        <v>2160</v>
      </c>
      <c r="D8" s="57"/>
      <c r="E8" s="57"/>
      <c r="F8" s="57"/>
      <c r="G8" s="57"/>
      <c r="H8" s="57"/>
      <c r="I8" s="57">
        <v>160</v>
      </c>
      <c r="J8" s="57">
        <f>2*360</f>
        <v>720</v>
      </c>
      <c r="K8" s="57"/>
      <c r="L8" s="57"/>
      <c r="M8" s="56">
        <f t="shared" si="0"/>
        <v>880</v>
      </c>
      <c r="N8" s="60">
        <f t="shared" si="1"/>
        <v>0.40740740740740738</v>
      </c>
    </row>
    <row r="9" spans="2:14" ht="15.75" x14ac:dyDescent="0.25">
      <c r="B9" s="55" t="s">
        <v>975</v>
      </c>
      <c r="C9" s="56">
        <v>2160</v>
      </c>
      <c r="D9" s="57"/>
      <c r="E9" s="57">
        <v>305</v>
      </c>
      <c r="F9" s="57"/>
      <c r="G9" s="57"/>
      <c r="H9" s="57"/>
      <c r="I9" s="57"/>
      <c r="J9" s="57"/>
      <c r="K9" s="57"/>
      <c r="L9" s="57">
        <v>215</v>
      </c>
      <c r="M9" s="56">
        <f t="shared" si="0"/>
        <v>520</v>
      </c>
      <c r="N9" s="60">
        <f t="shared" si="1"/>
        <v>0.24074074074074073</v>
      </c>
    </row>
    <row r="10" spans="2:14" ht="21" x14ac:dyDescent="0.25">
      <c r="B10" s="58" t="s">
        <v>972</v>
      </c>
      <c r="C10" s="59">
        <f>SUM(C4:C9)</f>
        <v>12740</v>
      </c>
      <c r="D10" s="59">
        <f>SUM(D4:D9)</f>
        <v>1253</v>
      </c>
      <c r="E10" s="59">
        <f>SUM(E4:E9)</f>
        <v>540</v>
      </c>
      <c r="F10" s="59">
        <f t="shared" ref="F10:M10" si="2">SUM(F4:F9)</f>
        <v>843</v>
      </c>
      <c r="G10" s="59">
        <f t="shared" si="2"/>
        <v>0</v>
      </c>
      <c r="H10" s="59">
        <f t="shared" si="2"/>
        <v>130</v>
      </c>
      <c r="I10" s="59">
        <f t="shared" si="2"/>
        <v>700</v>
      </c>
      <c r="J10" s="59">
        <f t="shared" si="2"/>
        <v>720</v>
      </c>
      <c r="K10" s="59">
        <f t="shared" si="2"/>
        <v>0</v>
      </c>
      <c r="L10" s="59">
        <f t="shared" si="2"/>
        <v>343</v>
      </c>
      <c r="M10" s="61">
        <f t="shared" si="2"/>
        <v>4529</v>
      </c>
      <c r="N10" s="62">
        <f t="shared" si="1"/>
        <v>0.35549450549450551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">
    <tabColor rgb="FF00B050"/>
  </sheetPr>
  <dimension ref="A1:AI299"/>
  <sheetViews>
    <sheetView zoomScale="85" zoomScaleNormal="85" workbookViewId="0">
      <pane xSplit="2" ySplit="20" topLeftCell="C39" activePane="bottomRight" state="frozen"/>
      <selection pane="topRight"/>
      <selection pane="bottomLeft"/>
      <selection pane="bottomRight" activeCell="V21" sqref="V21"/>
    </sheetView>
  </sheetViews>
  <sheetFormatPr defaultColWidth="9" defaultRowHeight="15" x14ac:dyDescent="0.25"/>
  <cols>
    <col min="1" max="1" width="15.7109375" customWidth="1"/>
    <col min="2" max="2" width="61.7109375" customWidth="1"/>
    <col min="3" max="3" width="8.85546875" customWidth="1"/>
    <col min="4" max="8" width="8.28515625" customWidth="1"/>
    <col min="9" max="9" width="8.85546875" customWidth="1"/>
    <col min="10" max="15" width="8.28515625" customWidth="1"/>
    <col min="16" max="16" width="8.85546875" customWidth="1"/>
    <col min="17" max="20" width="8.140625" customWidth="1"/>
    <col min="21" max="21" width="9" customWidth="1"/>
    <col min="22" max="22" width="8.140625" customWidth="1"/>
    <col min="23" max="23" width="8.85546875" customWidth="1"/>
    <col min="24" max="25" width="9" customWidth="1"/>
    <col min="26" max="26" width="8.42578125" customWidth="1"/>
    <col min="27" max="29" width="9.140625" customWidth="1"/>
    <col min="30" max="30" width="8.85546875" customWidth="1"/>
    <col min="31" max="33" width="9.140625" customWidth="1"/>
    <col min="34" max="34" width="12.140625" customWidth="1"/>
    <col min="37" max="37" width="9.7109375" customWidth="1"/>
  </cols>
  <sheetData>
    <row r="1" spans="1:35" x14ac:dyDescent="0.25">
      <c r="C1">
        <f t="shared" ref="C1:AD1" si="0">SUM(C4:C20)</f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1008</v>
      </c>
      <c r="H1">
        <f t="shared" si="0"/>
        <v>2160</v>
      </c>
      <c r="I1">
        <f t="shared" si="0"/>
        <v>0</v>
      </c>
      <c r="J1">
        <f t="shared" si="0"/>
        <v>1944</v>
      </c>
      <c r="K1">
        <f t="shared" si="0"/>
        <v>384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 t="shared" si="0"/>
        <v>0</v>
      </c>
      <c r="AC1">
        <f t="shared" si="0"/>
        <v>0</v>
      </c>
      <c r="AD1">
        <f t="shared" si="0"/>
        <v>0</v>
      </c>
      <c r="AE1">
        <f>SUM(AE4:AE20)</f>
        <v>0</v>
      </c>
      <c r="AG1">
        <f>SUM(AG4:AG20)</f>
        <v>0</v>
      </c>
      <c r="AH1" s="26">
        <f>SUM(AH4:AH20)</f>
        <v>5496</v>
      </c>
    </row>
    <row r="2" spans="1:35" ht="24" customHeight="1" x14ac:dyDescent="0.25">
      <c r="A2" s="2" t="s">
        <v>0</v>
      </c>
      <c r="B2" s="3" t="s">
        <v>0</v>
      </c>
      <c r="C2" s="4">
        <v>45717</v>
      </c>
      <c r="D2" s="4">
        <v>45718</v>
      </c>
      <c r="E2" s="4">
        <v>45719</v>
      </c>
      <c r="F2" s="4">
        <v>45720</v>
      </c>
      <c r="G2" s="4">
        <v>45721</v>
      </c>
      <c r="H2" s="4">
        <v>45722</v>
      </c>
      <c r="I2" s="4">
        <v>45723</v>
      </c>
      <c r="J2" s="4">
        <v>45724</v>
      </c>
      <c r="K2" s="4">
        <v>45725</v>
      </c>
      <c r="L2" s="4">
        <v>45726</v>
      </c>
      <c r="M2" s="4">
        <v>45727</v>
      </c>
      <c r="N2" s="4">
        <v>45728</v>
      </c>
      <c r="O2" s="4">
        <v>45729</v>
      </c>
      <c r="P2" s="4">
        <v>45730</v>
      </c>
      <c r="Q2" s="4">
        <v>45731</v>
      </c>
      <c r="R2" s="4">
        <v>45732</v>
      </c>
      <c r="S2" s="4">
        <v>45733</v>
      </c>
      <c r="T2" s="4">
        <v>45734</v>
      </c>
      <c r="U2" s="4">
        <v>45735</v>
      </c>
      <c r="V2" s="4">
        <v>45736</v>
      </c>
      <c r="W2" s="4">
        <v>45737</v>
      </c>
      <c r="X2" s="4">
        <v>45738</v>
      </c>
      <c r="Y2" s="4">
        <v>45739</v>
      </c>
      <c r="Z2" s="4">
        <v>45740</v>
      </c>
      <c r="AA2" s="4">
        <v>45741</v>
      </c>
      <c r="AB2" s="4">
        <v>45742</v>
      </c>
      <c r="AC2" s="4">
        <v>45743</v>
      </c>
      <c r="AD2" s="4">
        <v>45744</v>
      </c>
      <c r="AE2" s="4">
        <v>45745</v>
      </c>
      <c r="AF2" s="4">
        <v>45746</v>
      </c>
      <c r="AG2" s="4">
        <v>45747</v>
      </c>
      <c r="AH2" s="27"/>
    </row>
    <row r="3" spans="1:35" ht="15.75" x14ac:dyDescent="0.25">
      <c r="A3" s="5" t="s">
        <v>4</v>
      </c>
      <c r="B3" s="6" t="s">
        <v>5</v>
      </c>
      <c r="C3" s="7" t="s">
        <v>11</v>
      </c>
      <c r="D3" s="8" t="s">
        <v>12</v>
      </c>
      <c r="E3" s="8" t="s">
        <v>13</v>
      </c>
      <c r="F3" s="8" t="s">
        <v>7</v>
      </c>
      <c r="G3" s="8" t="s">
        <v>8</v>
      </c>
      <c r="H3" s="8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7</v>
      </c>
      <c r="N3" s="8" t="s">
        <v>8</v>
      </c>
      <c r="O3" s="8" t="s">
        <v>9</v>
      </c>
      <c r="P3" s="7" t="s">
        <v>10</v>
      </c>
      <c r="Q3" s="8" t="s">
        <v>11</v>
      </c>
      <c r="R3" s="8" t="s">
        <v>12</v>
      </c>
      <c r="S3" s="8" t="s">
        <v>13</v>
      </c>
      <c r="T3" s="8" t="s">
        <v>7</v>
      </c>
      <c r="U3" s="8" t="s">
        <v>8</v>
      </c>
      <c r="V3" s="8" t="s">
        <v>9</v>
      </c>
      <c r="W3" s="7" t="s">
        <v>10</v>
      </c>
      <c r="X3" s="8" t="s">
        <v>11</v>
      </c>
      <c r="Y3" s="8" t="s">
        <v>12</v>
      </c>
      <c r="Z3" s="8" t="s">
        <v>13</v>
      </c>
      <c r="AA3" s="8" t="s">
        <v>7</v>
      </c>
      <c r="AB3" s="8" t="s">
        <v>8</v>
      </c>
      <c r="AC3" s="8" t="s">
        <v>9</v>
      </c>
      <c r="AD3" s="7" t="s">
        <v>10</v>
      </c>
      <c r="AE3" s="8" t="s">
        <v>11</v>
      </c>
      <c r="AF3" s="8" t="s">
        <v>12</v>
      </c>
      <c r="AG3" s="8" t="s">
        <v>13</v>
      </c>
      <c r="AH3" s="27"/>
    </row>
    <row r="4" spans="1:35" ht="15.75" x14ac:dyDescent="0.25">
      <c r="A4" s="9" t="e">
        <f>VLOOKUP(B4,#REF!,2,FALSE)</f>
        <v>#REF!</v>
      </c>
      <c r="B4" s="10" t="s">
        <v>733</v>
      </c>
      <c r="C4" s="11"/>
      <c r="D4" s="12"/>
      <c r="E4" s="12"/>
      <c r="F4" s="12"/>
      <c r="G4" s="12">
        <v>1008</v>
      </c>
      <c r="H4" s="12">
        <v>2160</v>
      </c>
      <c r="I4" s="11"/>
      <c r="J4" s="12">
        <v>1008</v>
      </c>
      <c r="K4" s="12"/>
      <c r="L4" s="12"/>
      <c r="M4" s="12"/>
      <c r="N4" s="12"/>
      <c r="O4" s="12"/>
      <c r="P4" s="11"/>
      <c r="Q4" s="13"/>
      <c r="R4" s="13"/>
      <c r="S4" s="13"/>
      <c r="T4" s="13"/>
      <c r="U4" s="13"/>
      <c r="V4" s="13"/>
      <c r="W4" s="11"/>
      <c r="X4" s="13"/>
      <c r="Y4" s="13"/>
      <c r="Z4" s="13"/>
      <c r="AA4" s="13"/>
      <c r="AB4" s="13"/>
      <c r="AC4" s="13"/>
      <c r="AD4" s="11"/>
      <c r="AE4" s="13"/>
      <c r="AF4" s="13"/>
      <c r="AG4" s="13"/>
      <c r="AH4" s="28">
        <f>SUM(C4:AG4)</f>
        <v>4176</v>
      </c>
      <c r="AI4" s="29">
        <f>COUNT(C4:AG4)</f>
        <v>3</v>
      </c>
    </row>
    <row r="5" spans="1:35" ht="15.75" x14ac:dyDescent="0.25">
      <c r="A5" s="9" t="e">
        <f>VLOOKUP(B5,#REF!,2,FALSE)</f>
        <v>#REF!</v>
      </c>
      <c r="B5" s="10" t="s">
        <v>282</v>
      </c>
      <c r="C5" s="11"/>
      <c r="D5" s="13"/>
      <c r="E5" s="13"/>
      <c r="F5" s="13"/>
      <c r="G5" s="13"/>
      <c r="H5" s="13"/>
      <c r="I5" s="11"/>
      <c r="J5" s="13">
        <v>936</v>
      </c>
      <c r="K5" s="13">
        <v>384</v>
      </c>
      <c r="L5" s="13"/>
      <c r="M5" s="13"/>
      <c r="N5" s="13"/>
      <c r="O5" s="13"/>
      <c r="P5" s="11"/>
      <c r="Q5" s="13"/>
      <c r="R5" s="13"/>
      <c r="S5" s="13"/>
      <c r="T5" s="13"/>
      <c r="U5" s="13"/>
      <c r="V5" s="13"/>
      <c r="W5" s="11"/>
      <c r="X5" s="13"/>
      <c r="Y5" s="13"/>
      <c r="Z5" s="13"/>
      <c r="AA5" s="13"/>
      <c r="AB5" s="13"/>
      <c r="AC5" s="13"/>
      <c r="AD5" s="11"/>
      <c r="AE5" s="13"/>
      <c r="AF5" s="13"/>
      <c r="AG5" s="13"/>
      <c r="AH5" s="28">
        <f>SUM(C5:AG5)</f>
        <v>1320</v>
      </c>
      <c r="AI5" s="29">
        <f t="shared" ref="AI5:AI20" si="1">COUNT(C5:AG5)</f>
        <v>2</v>
      </c>
    </row>
    <row r="6" spans="1:35" ht="15.75" x14ac:dyDescent="0.25">
      <c r="A6" s="9" t="e">
        <f>VLOOKUP(B6,#REF!,2,FALSE)</f>
        <v>#REF!</v>
      </c>
      <c r="B6" s="14"/>
      <c r="C6" s="11"/>
      <c r="D6" s="13"/>
      <c r="E6" s="13"/>
      <c r="F6" s="13"/>
      <c r="G6" s="13"/>
      <c r="H6" s="13"/>
      <c r="I6" s="11"/>
      <c r="J6" s="13"/>
      <c r="K6" s="13"/>
      <c r="L6" s="13"/>
      <c r="M6" s="13"/>
      <c r="N6" s="13"/>
      <c r="O6" s="13"/>
      <c r="P6" s="11"/>
      <c r="Q6" s="13"/>
      <c r="R6" s="13"/>
      <c r="S6" s="13"/>
      <c r="T6" s="13"/>
      <c r="U6" s="13"/>
      <c r="V6" s="13"/>
      <c r="W6" s="11"/>
      <c r="X6" s="13"/>
      <c r="Y6" s="13"/>
      <c r="Z6" s="13"/>
      <c r="AA6" s="13"/>
      <c r="AB6" s="13"/>
      <c r="AC6" s="13"/>
      <c r="AD6" s="11"/>
      <c r="AE6" s="13"/>
      <c r="AF6" s="13"/>
      <c r="AG6" s="13"/>
      <c r="AH6" s="28">
        <f t="shared" ref="AH6:AH22" si="2">SUM(C6:AG6)</f>
        <v>0</v>
      </c>
      <c r="AI6" s="29">
        <f t="shared" si="1"/>
        <v>0</v>
      </c>
    </row>
    <row r="7" spans="1:35" ht="15.75" x14ac:dyDescent="0.25">
      <c r="A7" s="9" t="e">
        <f>VLOOKUP(B7,#REF!,2,FALSE)</f>
        <v>#REF!</v>
      </c>
      <c r="B7" s="14"/>
      <c r="C7" s="11"/>
      <c r="D7" s="13"/>
      <c r="E7" s="13"/>
      <c r="F7" s="13"/>
      <c r="G7" s="13"/>
      <c r="H7" s="13"/>
      <c r="I7" s="11"/>
      <c r="J7" s="13"/>
      <c r="K7" s="13"/>
      <c r="L7" s="13"/>
      <c r="M7" s="13"/>
      <c r="N7" s="13"/>
      <c r="O7" s="13"/>
      <c r="P7" s="11"/>
      <c r="Q7" s="13"/>
      <c r="R7" s="13"/>
      <c r="S7" s="13"/>
      <c r="T7" s="13"/>
      <c r="U7" s="13"/>
      <c r="V7" s="13"/>
      <c r="W7" s="11"/>
      <c r="X7" s="13"/>
      <c r="Y7" s="13"/>
      <c r="Z7" s="13"/>
      <c r="AA7" s="13"/>
      <c r="AB7" s="13"/>
      <c r="AC7" s="13"/>
      <c r="AD7" s="11"/>
      <c r="AE7" s="13"/>
      <c r="AF7" s="13"/>
      <c r="AG7" s="13"/>
      <c r="AH7" s="28">
        <f t="shared" si="2"/>
        <v>0</v>
      </c>
      <c r="AI7" s="29">
        <f t="shared" si="1"/>
        <v>0</v>
      </c>
    </row>
    <row r="8" spans="1:35" ht="15.75" x14ac:dyDescent="0.25">
      <c r="A8" s="9" t="e">
        <f>VLOOKUP(B8,#REF!,2,FALSE)</f>
        <v>#REF!</v>
      </c>
      <c r="B8" s="14"/>
      <c r="C8" s="11"/>
      <c r="D8" s="13"/>
      <c r="E8" s="13"/>
      <c r="F8" s="13"/>
      <c r="G8" s="13"/>
      <c r="H8" s="13"/>
      <c r="I8" s="11"/>
      <c r="J8" s="13"/>
      <c r="K8" s="13"/>
      <c r="L8" s="13"/>
      <c r="M8" s="13"/>
      <c r="N8" s="13"/>
      <c r="O8" s="13"/>
      <c r="P8" s="11"/>
      <c r="Q8" s="13"/>
      <c r="R8" s="13"/>
      <c r="S8" s="13"/>
      <c r="T8" s="13"/>
      <c r="U8" s="13"/>
      <c r="V8" s="13"/>
      <c r="W8" s="11"/>
      <c r="X8" s="13"/>
      <c r="Y8" s="13"/>
      <c r="Z8" s="13"/>
      <c r="AA8" s="13"/>
      <c r="AB8" s="13"/>
      <c r="AC8" s="13"/>
      <c r="AD8" s="11"/>
      <c r="AE8" s="13"/>
      <c r="AF8" s="13"/>
      <c r="AG8" s="13"/>
      <c r="AH8" s="28">
        <f t="shared" si="2"/>
        <v>0</v>
      </c>
      <c r="AI8" s="29">
        <f t="shared" si="1"/>
        <v>0</v>
      </c>
    </row>
    <row r="9" spans="1:35" ht="15.75" x14ac:dyDescent="0.25">
      <c r="A9" s="9" t="e">
        <f>VLOOKUP(B9,#REF!,2,FALSE)</f>
        <v>#REF!</v>
      </c>
      <c r="B9" s="14"/>
      <c r="C9" s="11"/>
      <c r="D9" s="13"/>
      <c r="E9" s="13"/>
      <c r="F9" s="13"/>
      <c r="G9" s="13"/>
      <c r="H9" s="13"/>
      <c r="I9" s="11"/>
      <c r="J9" s="13"/>
      <c r="K9" s="13"/>
      <c r="L9" s="13"/>
      <c r="M9" s="13"/>
      <c r="N9" s="13"/>
      <c r="O9" s="13"/>
      <c r="P9" s="11"/>
      <c r="Q9" s="13"/>
      <c r="R9" s="13"/>
      <c r="S9" s="13"/>
      <c r="T9" s="13"/>
      <c r="U9" s="13"/>
      <c r="V9" s="13"/>
      <c r="W9" s="11"/>
      <c r="X9" s="13"/>
      <c r="Y9" s="13"/>
      <c r="Z9" s="13"/>
      <c r="AA9" s="13"/>
      <c r="AB9" s="13"/>
      <c r="AC9" s="13"/>
      <c r="AD9" s="11"/>
      <c r="AE9" s="13"/>
      <c r="AF9" s="13"/>
      <c r="AG9" s="13"/>
      <c r="AH9" s="28">
        <f t="shared" si="2"/>
        <v>0</v>
      </c>
      <c r="AI9" s="29">
        <f t="shared" si="1"/>
        <v>0</v>
      </c>
    </row>
    <row r="10" spans="1:35" ht="15.75" hidden="1" x14ac:dyDescent="0.25">
      <c r="A10" s="9" t="e">
        <f>VLOOKUP(B10,#REF!,2,FALSE)</f>
        <v>#REF!</v>
      </c>
      <c r="B10" s="14"/>
      <c r="C10" s="11"/>
      <c r="D10" s="13"/>
      <c r="E10" s="13"/>
      <c r="F10" s="13"/>
      <c r="G10" s="13"/>
      <c r="H10" s="13"/>
      <c r="I10" s="11"/>
      <c r="J10" s="13"/>
      <c r="K10" s="13"/>
      <c r="L10" s="13"/>
      <c r="M10" s="13"/>
      <c r="N10" s="13"/>
      <c r="O10" s="13"/>
      <c r="P10" s="11"/>
      <c r="Q10" s="13"/>
      <c r="R10" s="13"/>
      <c r="S10" s="13"/>
      <c r="T10" s="13"/>
      <c r="U10" s="13"/>
      <c r="V10" s="13"/>
      <c r="W10" s="11"/>
      <c r="X10" s="13"/>
      <c r="Y10" s="13"/>
      <c r="Z10" s="13"/>
      <c r="AA10" s="13"/>
      <c r="AB10" s="13"/>
      <c r="AC10" s="13"/>
      <c r="AD10" s="11"/>
      <c r="AE10" s="13"/>
      <c r="AF10" s="13"/>
      <c r="AG10" s="13"/>
      <c r="AH10" s="28">
        <f t="shared" si="2"/>
        <v>0</v>
      </c>
      <c r="AI10" s="29">
        <f t="shared" si="1"/>
        <v>0</v>
      </c>
    </row>
    <row r="11" spans="1:35" ht="15.75" hidden="1" x14ac:dyDescent="0.25">
      <c r="A11" s="9" t="e">
        <f>VLOOKUP(B11,#REF!,2,FALSE)</f>
        <v>#REF!</v>
      </c>
      <c r="B11" s="14"/>
      <c r="C11" s="11"/>
      <c r="D11" s="13"/>
      <c r="E11" s="13"/>
      <c r="F11" s="13"/>
      <c r="G11" s="13"/>
      <c r="H11" s="13"/>
      <c r="I11" s="11"/>
      <c r="J11" s="13"/>
      <c r="K11" s="13"/>
      <c r="L11" s="13"/>
      <c r="M11" s="13"/>
      <c r="N11" s="13"/>
      <c r="O11" s="13"/>
      <c r="P11" s="11"/>
      <c r="Q11" s="13"/>
      <c r="R11" s="13"/>
      <c r="S11" s="13"/>
      <c r="T11" s="13"/>
      <c r="U11" s="13"/>
      <c r="V11" s="13"/>
      <c r="W11" s="11"/>
      <c r="X11" s="13"/>
      <c r="Y11" s="13"/>
      <c r="Z11" s="13"/>
      <c r="AA11" s="13"/>
      <c r="AB11" s="13"/>
      <c r="AC11" s="13"/>
      <c r="AD11" s="11"/>
      <c r="AE11" s="13"/>
      <c r="AF11" s="13"/>
      <c r="AG11" s="13"/>
      <c r="AH11" s="28">
        <f t="shared" si="2"/>
        <v>0</v>
      </c>
      <c r="AI11" s="29">
        <f t="shared" si="1"/>
        <v>0</v>
      </c>
    </row>
    <row r="12" spans="1:35" ht="15.75" hidden="1" x14ac:dyDescent="0.25">
      <c r="A12" s="9" t="e">
        <f>VLOOKUP(B12,#REF!,2,FALSE)</f>
        <v>#REF!</v>
      </c>
      <c r="B12" s="14"/>
      <c r="C12" s="11"/>
      <c r="D12" s="13"/>
      <c r="E12" s="13"/>
      <c r="F12" s="13"/>
      <c r="G12" s="13"/>
      <c r="H12" s="13"/>
      <c r="I12" s="11"/>
      <c r="J12" s="13"/>
      <c r="K12" s="13"/>
      <c r="L12" s="13"/>
      <c r="M12" s="13"/>
      <c r="N12" s="13"/>
      <c r="O12" s="13"/>
      <c r="P12" s="11"/>
      <c r="Q12" s="13"/>
      <c r="R12" s="13"/>
      <c r="S12" s="13"/>
      <c r="T12" s="13"/>
      <c r="U12" s="13"/>
      <c r="V12" s="13"/>
      <c r="W12" s="11"/>
      <c r="X12" s="13"/>
      <c r="Y12" s="13"/>
      <c r="Z12" s="13"/>
      <c r="AA12" s="13"/>
      <c r="AB12" s="13"/>
      <c r="AC12" s="13"/>
      <c r="AD12" s="11"/>
      <c r="AE12" s="13"/>
      <c r="AF12" s="13"/>
      <c r="AG12" s="13"/>
      <c r="AH12" s="28">
        <f t="shared" si="2"/>
        <v>0</v>
      </c>
      <c r="AI12" s="29">
        <f t="shared" si="1"/>
        <v>0</v>
      </c>
    </row>
    <row r="13" spans="1:35" ht="15.75" hidden="1" x14ac:dyDescent="0.25">
      <c r="A13" s="9" t="e">
        <f>VLOOKUP(B13,#REF!,2,FALSE)</f>
        <v>#REF!</v>
      </c>
      <c r="B13" s="14"/>
      <c r="C13" s="11"/>
      <c r="D13" s="13"/>
      <c r="E13" s="13"/>
      <c r="F13" s="13"/>
      <c r="G13" s="13"/>
      <c r="H13" s="13"/>
      <c r="I13" s="11"/>
      <c r="J13" s="13"/>
      <c r="K13" s="13"/>
      <c r="L13" s="13"/>
      <c r="M13" s="13"/>
      <c r="N13" s="13"/>
      <c r="O13" s="13"/>
      <c r="P13" s="11"/>
      <c r="Q13" s="13"/>
      <c r="R13" s="13"/>
      <c r="S13" s="13"/>
      <c r="T13" s="13"/>
      <c r="U13" s="12"/>
      <c r="V13" s="13"/>
      <c r="W13" s="11"/>
      <c r="X13" s="12"/>
      <c r="Y13" s="12"/>
      <c r="Z13" s="13"/>
      <c r="AA13" s="13"/>
      <c r="AB13" s="13"/>
      <c r="AC13" s="13"/>
      <c r="AD13" s="11"/>
      <c r="AE13" s="13"/>
      <c r="AF13" s="13"/>
      <c r="AG13" s="13"/>
      <c r="AH13" s="28">
        <f t="shared" si="2"/>
        <v>0</v>
      </c>
      <c r="AI13" s="29">
        <f t="shared" si="1"/>
        <v>0</v>
      </c>
    </row>
    <row r="14" spans="1:35" ht="15.75" hidden="1" x14ac:dyDescent="0.25">
      <c r="A14" s="9" t="e">
        <f>VLOOKUP(B14,#REF!,2,FALSE)</f>
        <v>#REF!</v>
      </c>
      <c r="B14" s="14"/>
      <c r="C14" s="11"/>
      <c r="D14" s="13"/>
      <c r="E14" s="13"/>
      <c r="F14" s="13"/>
      <c r="G14" s="13"/>
      <c r="H14" s="13"/>
      <c r="I14" s="11"/>
      <c r="J14" s="13"/>
      <c r="K14" s="13"/>
      <c r="L14" s="13"/>
      <c r="M14" s="13"/>
      <c r="N14" s="13"/>
      <c r="O14" s="13"/>
      <c r="P14" s="11"/>
      <c r="Q14" s="13"/>
      <c r="R14" s="13"/>
      <c r="S14" s="13"/>
      <c r="T14" s="13"/>
      <c r="U14" s="12"/>
      <c r="V14" s="13"/>
      <c r="W14" s="11"/>
      <c r="X14" s="12"/>
      <c r="Y14" s="12"/>
      <c r="Z14" s="13"/>
      <c r="AA14" s="13"/>
      <c r="AB14" s="13"/>
      <c r="AC14" s="13"/>
      <c r="AD14" s="11"/>
      <c r="AE14" s="13"/>
      <c r="AF14" s="13"/>
      <c r="AG14" s="13"/>
      <c r="AH14" s="28">
        <f t="shared" si="2"/>
        <v>0</v>
      </c>
      <c r="AI14" s="29">
        <f t="shared" si="1"/>
        <v>0</v>
      </c>
    </row>
    <row r="15" spans="1:35" ht="15.75" hidden="1" x14ac:dyDescent="0.25">
      <c r="A15" s="9" t="e">
        <f>VLOOKUP(B15,#REF!,2,FALSE)</f>
        <v>#REF!</v>
      </c>
      <c r="B15" s="14"/>
      <c r="C15" s="11"/>
      <c r="D15" s="13"/>
      <c r="E15" s="13"/>
      <c r="F15" s="13"/>
      <c r="G15" s="13"/>
      <c r="H15" s="13"/>
      <c r="I15" s="11"/>
      <c r="J15" s="13"/>
      <c r="K15" s="13"/>
      <c r="L15" s="13"/>
      <c r="M15" s="13"/>
      <c r="N15" s="13"/>
      <c r="O15" s="13"/>
      <c r="P15" s="11"/>
      <c r="Q15" s="13"/>
      <c r="R15" s="13"/>
      <c r="S15" s="13"/>
      <c r="T15" s="13"/>
      <c r="U15" s="13"/>
      <c r="V15" s="13"/>
      <c r="W15" s="11"/>
      <c r="X15" s="13"/>
      <c r="Y15" s="13"/>
      <c r="Z15" s="13"/>
      <c r="AA15" s="13"/>
      <c r="AB15" s="13"/>
      <c r="AC15" s="13"/>
      <c r="AD15" s="11"/>
      <c r="AE15" s="13"/>
      <c r="AF15" s="13"/>
      <c r="AG15" s="13"/>
      <c r="AH15" s="28">
        <f t="shared" si="2"/>
        <v>0</v>
      </c>
      <c r="AI15" s="29">
        <f t="shared" si="1"/>
        <v>0</v>
      </c>
    </row>
    <row r="16" spans="1:35" ht="15.75" hidden="1" x14ac:dyDescent="0.25">
      <c r="A16" s="9" t="e">
        <f>VLOOKUP(B16,#REF!,2,FALSE)</f>
        <v>#REF!</v>
      </c>
      <c r="B16" s="14"/>
      <c r="C16" s="11"/>
      <c r="D16" s="13"/>
      <c r="E16" s="13"/>
      <c r="F16" s="13"/>
      <c r="G16" s="13"/>
      <c r="H16" s="13"/>
      <c r="I16" s="11"/>
      <c r="J16" s="13"/>
      <c r="K16" s="13"/>
      <c r="L16" s="13"/>
      <c r="M16" s="13"/>
      <c r="N16" s="13"/>
      <c r="O16" s="13"/>
      <c r="P16" s="11"/>
      <c r="Q16" s="13"/>
      <c r="R16" s="13"/>
      <c r="S16" s="13"/>
      <c r="T16" s="13"/>
      <c r="U16" s="13"/>
      <c r="V16" s="13"/>
      <c r="W16" s="11"/>
      <c r="X16" s="13"/>
      <c r="Y16" s="13"/>
      <c r="Z16" s="13"/>
      <c r="AA16" s="13"/>
      <c r="AB16" s="13"/>
      <c r="AC16" s="13"/>
      <c r="AD16" s="11"/>
      <c r="AE16" s="13"/>
      <c r="AF16" s="13"/>
      <c r="AG16" s="13"/>
      <c r="AH16" s="28">
        <f t="shared" si="2"/>
        <v>0</v>
      </c>
      <c r="AI16" s="29">
        <f t="shared" si="1"/>
        <v>0</v>
      </c>
    </row>
    <row r="17" spans="1:35" ht="15.75" hidden="1" x14ac:dyDescent="0.25">
      <c r="A17" s="9" t="e">
        <f>VLOOKUP(B17,#REF!,2,FALSE)</f>
        <v>#REF!</v>
      </c>
      <c r="B17" s="14"/>
      <c r="C17" s="11"/>
      <c r="D17" s="13"/>
      <c r="E17" s="13"/>
      <c r="F17" s="13"/>
      <c r="G17" s="13"/>
      <c r="H17" s="13"/>
      <c r="I17" s="11"/>
      <c r="J17" s="13"/>
      <c r="K17" s="13"/>
      <c r="L17" s="13"/>
      <c r="M17" s="13"/>
      <c r="N17" s="13"/>
      <c r="O17" s="13"/>
      <c r="P17" s="11"/>
      <c r="Q17" s="13"/>
      <c r="R17" s="13"/>
      <c r="S17" s="13"/>
      <c r="T17" s="13"/>
      <c r="U17" s="13"/>
      <c r="V17" s="13"/>
      <c r="W17" s="11"/>
      <c r="X17" s="13"/>
      <c r="Y17" s="13"/>
      <c r="Z17" s="13"/>
      <c r="AA17" s="13"/>
      <c r="AB17" s="13"/>
      <c r="AC17" s="13"/>
      <c r="AD17" s="11"/>
      <c r="AE17" s="13"/>
      <c r="AF17" s="13"/>
      <c r="AG17" s="13"/>
      <c r="AH17" s="28">
        <f t="shared" si="2"/>
        <v>0</v>
      </c>
      <c r="AI17" s="29">
        <f t="shared" si="1"/>
        <v>0</v>
      </c>
    </row>
    <row r="18" spans="1:35" ht="15.75" hidden="1" x14ac:dyDescent="0.25">
      <c r="A18" s="9" t="e">
        <f>VLOOKUP(B18,#REF!,2,FALSE)</f>
        <v>#REF!</v>
      </c>
      <c r="B18" s="14"/>
      <c r="C18" s="11"/>
      <c r="D18" s="13"/>
      <c r="E18" s="13"/>
      <c r="F18" s="13"/>
      <c r="G18" s="13"/>
      <c r="H18" s="13"/>
      <c r="I18" s="11"/>
      <c r="J18" s="13"/>
      <c r="K18" s="13"/>
      <c r="L18" s="13"/>
      <c r="M18" s="13"/>
      <c r="N18" s="13"/>
      <c r="O18" s="13"/>
      <c r="P18" s="11"/>
      <c r="Q18" s="13"/>
      <c r="R18" s="13"/>
      <c r="S18" s="13"/>
      <c r="T18" s="13"/>
      <c r="U18" s="13"/>
      <c r="V18" s="13"/>
      <c r="W18" s="11"/>
      <c r="X18" s="13"/>
      <c r="Y18" s="13"/>
      <c r="Z18" s="13"/>
      <c r="AA18" s="13"/>
      <c r="AB18" s="13"/>
      <c r="AC18" s="13"/>
      <c r="AD18" s="11"/>
      <c r="AE18" s="13"/>
      <c r="AF18" s="13"/>
      <c r="AG18" s="13"/>
      <c r="AH18" s="28">
        <f t="shared" si="2"/>
        <v>0</v>
      </c>
      <c r="AI18" s="29">
        <f t="shared" si="1"/>
        <v>0</v>
      </c>
    </row>
    <row r="19" spans="1:35" ht="15.75" hidden="1" x14ac:dyDescent="0.25">
      <c r="A19" s="9" t="e">
        <f>VLOOKUP(B19,#REF!,2,FALSE)</f>
        <v>#REF!</v>
      </c>
      <c r="B19" s="14"/>
      <c r="C19" s="11"/>
      <c r="D19" s="13"/>
      <c r="E19" s="13"/>
      <c r="F19" s="13"/>
      <c r="G19" s="13"/>
      <c r="H19" s="13"/>
      <c r="I19" s="11"/>
      <c r="J19" s="13"/>
      <c r="K19" s="13"/>
      <c r="L19" s="13"/>
      <c r="M19" s="13"/>
      <c r="N19" s="13"/>
      <c r="O19" s="13"/>
      <c r="P19" s="11"/>
      <c r="Q19" s="13"/>
      <c r="R19" s="13"/>
      <c r="S19" s="13"/>
      <c r="T19" s="13"/>
      <c r="U19" s="13"/>
      <c r="V19" s="13"/>
      <c r="W19" s="11"/>
      <c r="X19" s="13"/>
      <c r="Y19" s="13"/>
      <c r="Z19" s="13"/>
      <c r="AA19" s="13"/>
      <c r="AB19" s="13"/>
      <c r="AC19" s="13"/>
      <c r="AD19" s="11"/>
      <c r="AE19" s="13"/>
      <c r="AF19" s="13"/>
      <c r="AG19" s="13"/>
      <c r="AH19" s="28">
        <f t="shared" si="2"/>
        <v>0</v>
      </c>
      <c r="AI19" s="29">
        <f t="shared" si="1"/>
        <v>0</v>
      </c>
    </row>
    <row r="20" spans="1:35" ht="15.75" hidden="1" x14ac:dyDescent="0.25">
      <c r="A20" s="9" t="e">
        <f>VLOOKUP(B20,#REF!,2,FALSE)</f>
        <v>#REF!</v>
      </c>
      <c r="B20" s="14"/>
      <c r="C20" s="11"/>
      <c r="D20" s="13"/>
      <c r="E20" s="13"/>
      <c r="F20" s="13"/>
      <c r="G20" s="13"/>
      <c r="H20" s="13"/>
      <c r="I20" s="11"/>
      <c r="J20" s="13"/>
      <c r="K20" s="13"/>
      <c r="L20" s="13"/>
      <c r="M20" s="13"/>
      <c r="N20" s="13"/>
      <c r="O20" s="13"/>
      <c r="P20" s="11"/>
      <c r="Q20" s="13"/>
      <c r="R20" s="13"/>
      <c r="S20" s="13"/>
      <c r="T20" s="13"/>
      <c r="U20" s="13"/>
      <c r="V20" s="13"/>
      <c r="W20" s="11"/>
      <c r="X20" s="13"/>
      <c r="Y20" s="13"/>
      <c r="Z20" s="13"/>
      <c r="AA20" s="13"/>
      <c r="AB20" s="13"/>
      <c r="AC20" s="13"/>
      <c r="AD20" s="11"/>
      <c r="AE20" s="13"/>
      <c r="AF20" s="13"/>
      <c r="AG20" s="13"/>
      <c r="AH20" s="28">
        <f t="shared" si="2"/>
        <v>0</v>
      </c>
      <c r="AI20" s="29">
        <f t="shared" si="1"/>
        <v>0</v>
      </c>
    </row>
    <row r="21" spans="1:35" ht="30" customHeight="1" x14ac:dyDescent="0.25">
      <c r="A21" s="9"/>
      <c r="B21" s="15" t="s">
        <v>18</v>
      </c>
      <c r="C21" s="16">
        <f>SUM(C22:C30)</f>
        <v>0</v>
      </c>
      <c r="D21" s="17">
        <f>SUM(D22:D30)</f>
        <v>0</v>
      </c>
      <c r="E21" s="17">
        <f t="shared" ref="E21:AG21" si="3">SUM(E22:E30)</f>
        <v>0</v>
      </c>
      <c r="F21" s="17">
        <f t="shared" si="3"/>
        <v>0</v>
      </c>
      <c r="G21" s="17">
        <f t="shared" si="3"/>
        <v>0</v>
      </c>
      <c r="H21" s="17">
        <f t="shared" si="3"/>
        <v>0</v>
      </c>
      <c r="I21" s="16">
        <f t="shared" si="3"/>
        <v>0</v>
      </c>
      <c r="J21" s="17">
        <f t="shared" si="3"/>
        <v>0</v>
      </c>
      <c r="K21" s="17">
        <f t="shared" si="3"/>
        <v>0</v>
      </c>
      <c r="L21" s="17">
        <f t="shared" si="3"/>
        <v>0</v>
      </c>
      <c r="M21" s="17">
        <f t="shared" si="3"/>
        <v>0</v>
      </c>
      <c r="N21" s="17">
        <f t="shared" si="3"/>
        <v>0</v>
      </c>
      <c r="O21" s="17">
        <f t="shared" si="3"/>
        <v>0</v>
      </c>
      <c r="P21" s="16">
        <f t="shared" si="3"/>
        <v>0</v>
      </c>
      <c r="Q21" s="17">
        <f t="shared" si="3"/>
        <v>0</v>
      </c>
      <c r="R21" s="17">
        <f t="shared" si="3"/>
        <v>0</v>
      </c>
      <c r="S21" s="17">
        <f t="shared" si="3"/>
        <v>0</v>
      </c>
      <c r="T21" s="17">
        <f t="shared" si="3"/>
        <v>0</v>
      </c>
      <c r="U21" s="17">
        <f t="shared" si="3"/>
        <v>0</v>
      </c>
      <c r="V21" s="17">
        <f t="shared" si="3"/>
        <v>0</v>
      </c>
      <c r="W21" s="16">
        <f t="shared" si="3"/>
        <v>0</v>
      </c>
      <c r="X21" s="17">
        <f t="shared" si="3"/>
        <v>0</v>
      </c>
      <c r="Y21" s="17">
        <f t="shared" si="3"/>
        <v>0</v>
      </c>
      <c r="Z21" s="17">
        <f t="shared" si="3"/>
        <v>0</v>
      </c>
      <c r="AA21" s="17">
        <f t="shared" si="3"/>
        <v>0</v>
      </c>
      <c r="AB21" s="17">
        <f t="shared" si="3"/>
        <v>0</v>
      </c>
      <c r="AC21" s="17">
        <f t="shared" si="3"/>
        <v>0</v>
      </c>
      <c r="AD21" s="16">
        <f t="shared" si="3"/>
        <v>0</v>
      </c>
      <c r="AE21" s="17">
        <f t="shared" si="3"/>
        <v>0</v>
      </c>
      <c r="AF21" s="17"/>
      <c r="AG21" s="17">
        <f t="shared" si="3"/>
        <v>0</v>
      </c>
      <c r="AH21" s="30">
        <f t="shared" si="2"/>
        <v>0</v>
      </c>
      <c r="AI21" s="29"/>
    </row>
    <row r="22" spans="1:35" ht="15.75" x14ac:dyDescent="0.25">
      <c r="A22" s="18"/>
      <c r="B22" s="18" t="s">
        <v>976</v>
      </c>
      <c r="C22" s="11"/>
      <c r="D22" s="13"/>
      <c r="E22" s="13"/>
      <c r="F22" s="13"/>
      <c r="G22" s="13"/>
      <c r="H22" s="13"/>
      <c r="I22" s="11"/>
      <c r="J22" s="13"/>
      <c r="K22" s="13"/>
      <c r="L22" s="13"/>
      <c r="M22" s="13"/>
      <c r="N22" s="13"/>
      <c r="O22" s="13"/>
      <c r="P22" s="11"/>
      <c r="Q22" s="13"/>
      <c r="R22" s="13"/>
      <c r="S22" s="13"/>
      <c r="T22" s="13"/>
      <c r="U22" s="13"/>
      <c r="V22" s="13"/>
      <c r="W22" s="11"/>
      <c r="X22" s="13"/>
      <c r="Y22" s="13"/>
      <c r="Z22" s="13"/>
      <c r="AA22" s="13"/>
      <c r="AB22" s="13"/>
      <c r="AC22" s="13"/>
      <c r="AD22" s="11"/>
      <c r="AE22" s="13"/>
      <c r="AF22" s="13"/>
      <c r="AG22" s="13"/>
      <c r="AH22" s="30">
        <f t="shared" si="2"/>
        <v>0</v>
      </c>
      <c r="AI22" s="29">
        <f>COUNT(C22:AG22)</f>
        <v>0</v>
      </c>
    </row>
    <row r="23" spans="1:35" ht="15.75" x14ac:dyDescent="0.25">
      <c r="A23" s="18"/>
      <c r="B23" s="18"/>
      <c r="C23" s="11"/>
      <c r="D23" s="13"/>
      <c r="E23" s="13"/>
      <c r="F23" s="13"/>
      <c r="G23" s="13"/>
      <c r="H23" s="13"/>
      <c r="I23" s="11"/>
      <c r="J23" s="13"/>
      <c r="K23" s="13"/>
      <c r="L23" s="13"/>
      <c r="M23" s="13"/>
      <c r="N23" s="13"/>
      <c r="O23" s="13"/>
      <c r="P23" s="11"/>
      <c r="Q23" s="13"/>
      <c r="R23" s="13"/>
      <c r="S23" s="13"/>
      <c r="T23" s="13"/>
      <c r="U23" s="13"/>
      <c r="V23" s="13"/>
      <c r="W23" s="11"/>
      <c r="X23" s="13"/>
      <c r="Y23" s="13"/>
      <c r="Z23" s="13"/>
      <c r="AA23" s="13"/>
      <c r="AB23" s="13"/>
      <c r="AC23" s="13"/>
      <c r="AD23" s="11"/>
      <c r="AE23" s="13"/>
      <c r="AF23" s="13"/>
      <c r="AG23" s="13"/>
      <c r="AH23" s="30">
        <f t="shared" ref="AH23:AH30" si="4">SUM(C23:AG23)</f>
        <v>0</v>
      </c>
      <c r="AI23" s="29">
        <f t="shared" ref="AI23:AI30" si="5">COUNT(C23:AG23)</f>
        <v>0</v>
      </c>
    </row>
    <row r="24" spans="1:35" ht="15.75" x14ac:dyDescent="0.25">
      <c r="A24" s="18"/>
      <c r="B24" s="18"/>
      <c r="C24" s="11"/>
      <c r="D24" s="13"/>
      <c r="E24" s="13"/>
      <c r="F24" s="13"/>
      <c r="G24" s="13"/>
      <c r="H24" s="13"/>
      <c r="I24" s="11"/>
      <c r="J24" s="13"/>
      <c r="K24" s="13"/>
      <c r="L24" s="13"/>
      <c r="M24" s="13"/>
      <c r="N24" s="13"/>
      <c r="O24" s="13"/>
      <c r="P24" s="11"/>
      <c r="Q24" s="13"/>
      <c r="R24" s="13"/>
      <c r="S24" s="13"/>
      <c r="T24" s="13"/>
      <c r="U24" s="13"/>
      <c r="V24" s="13"/>
      <c r="W24" s="11"/>
      <c r="X24" s="13"/>
      <c r="Y24" s="13"/>
      <c r="Z24" s="13"/>
      <c r="AA24" s="13"/>
      <c r="AB24" s="13"/>
      <c r="AC24" s="13"/>
      <c r="AD24" s="11"/>
      <c r="AE24" s="13"/>
      <c r="AF24" s="13"/>
      <c r="AG24" s="13"/>
      <c r="AH24" s="30">
        <f t="shared" si="4"/>
        <v>0</v>
      </c>
      <c r="AI24" s="29">
        <f t="shared" si="5"/>
        <v>0</v>
      </c>
    </row>
    <row r="25" spans="1:35" ht="15.75" x14ac:dyDescent="0.25">
      <c r="A25" s="18"/>
      <c r="B25" s="18"/>
      <c r="C25" s="11"/>
      <c r="D25" s="13"/>
      <c r="E25" s="13"/>
      <c r="F25" s="13"/>
      <c r="G25" s="13"/>
      <c r="H25" s="13"/>
      <c r="I25" s="11"/>
      <c r="J25" s="13"/>
      <c r="K25" s="13"/>
      <c r="L25" s="13"/>
      <c r="M25" s="13"/>
      <c r="N25" s="13"/>
      <c r="O25" s="13"/>
      <c r="P25" s="11"/>
      <c r="Q25" s="13"/>
      <c r="R25" s="13"/>
      <c r="S25" s="13"/>
      <c r="T25" s="13"/>
      <c r="U25" s="13"/>
      <c r="V25" s="13"/>
      <c r="W25" s="11"/>
      <c r="X25" s="13"/>
      <c r="Y25" s="13"/>
      <c r="Z25" s="13"/>
      <c r="AA25" s="13"/>
      <c r="AB25" s="13"/>
      <c r="AC25" s="13"/>
      <c r="AD25" s="11"/>
      <c r="AE25" s="13"/>
      <c r="AF25" s="13"/>
      <c r="AG25" s="13"/>
      <c r="AH25" s="30">
        <f t="shared" si="4"/>
        <v>0</v>
      </c>
      <c r="AI25" s="29">
        <f t="shared" si="5"/>
        <v>0</v>
      </c>
    </row>
    <row r="26" spans="1:35" ht="15.75" x14ac:dyDescent="0.25">
      <c r="A26" s="18"/>
      <c r="B26" s="18" t="s">
        <v>977</v>
      </c>
      <c r="C26" s="11"/>
      <c r="D26" s="13"/>
      <c r="E26" s="13"/>
      <c r="F26" s="13"/>
      <c r="G26" s="13"/>
      <c r="H26" s="13"/>
      <c r="I26" s="11"/>
      <c r="J26" s="13"/>
      <c r="K26" s="13"/>
      <c r="L26" s="13"/>
      <c r="M26" s="13"/>
      <c r="N26" s="13"/>
      <c r="O26" s="13"/>
      <c r="P26" s="11"/>
      <c r="Q26" s="13"/>
      <c r="R26" s="13"/>
      <c r="S26" s="13"/>
      <c r="T26" s="13"/>
      <c r="U26" s="13"/>
      <c r="V26" s="13"/>
      <c r="W26" s="11"/>
      <c r="X26" s="13"/>
      <c r="Y26" s="13"/>
      <c r="Z26" s="13"/>
      <c r="AA26" s="13"/>
      <c r="AB26" s="13"/>
      <c r="AC26" s="13"/>
      <c r="AD26" s="11"/>
      <c r="AE26" s="13"/>
      <c r="AF26" s="13"/>
      <c r="AG26" s="13"/>
      <c r="AH26" s="30">
        <f t="shared" si="4"/>
        <v>0</v>
      </c>
      <c r="AI26" s="29">
        <f t="shared" si="5"/>
        <v>0</v>
      </c>
    </row>
    <row r="27" spans="1:35" ht="15.75" x14ac:dyDescent="0.25">
      <c r="A27" s="18"/>
      <c r="B27" s="18"/>
      <c r="C27" s="11"/>
      <c r="D27" s="13"/>
      <c r="E27" s="13"/>
      <c r="F27" s="13"/>
      <c r="G27" s="13"/>
      <c r="H27" s="13"/>
      <c r="I27" s="11"/>
      <c r="J27" s="13"/>
      <c r="K27" s="13"/>
      <c r="L27" s="13"/>
      <c r="M27" s="13"/>
      <c r="N27" s="13"/>
      <c r="O27" s="13"/>
      <c r="P27" s="11"/>
      <c r="Q27" s="13"/>
      <c r="R27" s="13"/>
      <c r="S27" s="13"/>
      <c r="T27" s="13"/>
      <c r="U27" s="13"/>
      <c r="V27" s="13"/>
      <c r="W27" s="11"/>
      <c r="X27" s="13"/>
      <c r="Y27" s="13"/>
      <c r="Z27" s="13"/>
      <c r="AA27" s="13"/>
      <c r="AB27" s="13"/>
      <c r="AC27" s="13"/>
      <c r="AD27" s="11"/>
      <c r="AE27" s="13"/>
      <c r="AF27" s="13"/>
      <c r="AG27" s="13"/>
      <c r="AH27" s="30">
        <f t="shared" si="4"/>
        <v>0</v>
      </c>
      <c r="AI27" s="29">
        <f t="shared" si="5"/>
        <v>0</v>
      </c>
    </row>
    <row r="28" spans="1:35" ht="15.75" x14ac:dyDescent="0.25">
      <c r="A28" s="18"/>
      <c r="B28" s="18"/>
      <c r="C28" s="11"/>
      <c r="D28" s="13"/>
      <c r="E28" s="13"/>
      <c r="F28" s="13"/>
      <c r="G28" s="13"/>
      <c r="H28" s="13"/>
      <c r="I28" s="11"/>
      <c r="J28" s="13"/>
      <c r="K28" s="13"/>
      <c r="L28" s="13"/>
      <c r="M28" s="13"/>
      <c r="N28" s="13"/>
      <c r="O28" s="13"/>
      <c r="P28" s="11"/>
      <c r="Q28" s="13"/>
      <c r="R28" s="13"/>
      <c r="S28" s="13"/>
      <c r="T28" s="13"/>
      <c r="U28" s="13"/>
      <c r="V28" s="13"/>
      <c r="W28" s="11"/>
      <c r="X28" s="13"/>
      <c r="Y28" s="13"/>
      <c r="Z28" s="13"/>
      <c r="AA28" s="13"/>
      <c r="AB28" s="13"/>
      <c r="AC28" s="13"/>
      <c r="AD28" s="11"/>
      <c r="AE28" s="13"/>
      <c r="AF28" s="13"/>
      <c r="AG28" s="13"/>
      <c r="AH28" s="30">
        <f t="shared" si="4"/>
        <v>0</v>
      </c>
      <c r="AI28" s="29">
        <f t="shared" si="5"/>
        <v>0</v>
      </c>
    </row>
    <row r="29" spans="1:35" ht="15.75" x14ac:dyDescent="0.25">
      <c r="A29" s="18"/>
      <c r="B29" s="18"/>
      <c r="C29" s="11"/>
      <c r="D29" s="13"/>
      <c r="E29" s="13"/>
      <c r="F29" s="13"/>
      <c r="G29" s="13"/>
      <c r="H29" s="13"/>
      <c r="I29" s="11"/>
      <c r="J29" s="13"/>
      <c r="K29" s="13"/>
      <c r="L29" s="13"/>
      <c r="M29" s="13"/>
      <c r="N29" s="13"/>
      <c r="O29" s="13"/>
      <c r="P29" s="11"/>
      <c r="Q29" s="13"/>
      <c r="R29" s="13"/>
      <c r="S29" s="13"/>
      <c r="T29" s="13"/>
      <c r="U29" s="13"/>
      <c r="V29" s="13"/>
      <c r="W29" s="11"/>
      <c r="X29" s="13"/>
      <c r="Y29" s="13"/>
      <c r="Z29" s="13"/>
      <c r="AA29" s="13"/>
      <c r="AB29" s="13"/>
      <c r="AC29" s="13"/>
      <c r="AD29" s="11"/>
      <c r="AE29" s="13"/>
      <c r="AF29" s="13"/>
      <c r="AG29" s="13"/>
      <c r="AH29" s="30">
        <f t="shared" si="4"/>
        <v>0</v>
      </c>
      <c r="AI29" s="29">
        <f t="shared" si="5"/>
        <v>0</v>
      </c>
    </row>
    <row r="30" spans="1:35" ht="15.75" x14ac:dyDescent="0.25">
      <c r="A30" s="18"/>
      <c r="B30" s="18"/>
      <c r="C30" s="11"/>
      <c r="D30" s="13"/>
      <c r="E30" s="13"/>
      <c r="F30" s="13"/>
      <c r="G30" s="13"/>
      <c r="H30" s="13"/>
      <c r="I30" s="11"/>
      <c r="J30" s="13"/>
      <c r="K30" s="13"/>
      <c r="L30" s="13"/>
      <c r="M30" s="13"/>
      <c r="N30" s="13"/>
      <c r="O30" s="13"/>
      <c r="P30" s="11"/>
      <c r="Q30" s="13"/>
      <c r="R30" s="13"/>
      <c r="S30" s="13"/>
      <c r="T30" s="13"/>
      <c r="U30" s="13"/>
      <c r="V30" s="13"/>
      <c r="W30" s="11"/>
      <c r="X30" s="13"/>
      <c r="Y30" s="13"/>
      <c r="Z30" s="13"/>
      <c r="AA30" s="13"/>
      <c r="AB30" s="13"/>
      <c r="AC30" s="13"/>
      <c r="AD30" s="11"/>
      <c r="AE30" s="13"/>
      <c r="AF30" s="13"/>
      <c r="AG30" s="13"/>
      <c r="AH30" s="30">
        <f t="shared" si="4"/>
        <v>0</v>
      </c>
      <c r="AI30" s="29">
        <f t="shared" si="5"/>
        <v>0</v>
      </c>
    </row>
    <row r="31" spans="1:35" ht="30.75" customHeight="1" x14ac:dyDescent="0.25">
      <c r="A31" s="18"/>
      <c r="B31" s="19" t="s">
        <v>24</v>
      </c>
      <c r="C31" s="11">
        <f>SUM(C34:C91)</f>
        <v>0</v>
      </c>
      <c r="D31" s="17">
        <f>SUM(D33:D91)</f>
        <v>0</v>
      </c>
      <c r="E31" s="17">
        <f>SUM(E33:E91)</f>
        <v>0</v>
      </c>
      <c r="F31" s="17">
        <f t="shared" ref="F31:AG31" si="6">SUM(F33:F91)</f>
        <v>0</v>
      </c>
      <c r="G31" s="17">
        <f t="shared" si="6"/>
        <v>195</v>
      </c>
      <c r="H31" s="17">
        <f t="shared" si="6"/>
        <v>35</v>
      </c>
      <c r="I31" s="11">
        <f t="shared" si="6"/>
        <v>0</v>
      </c>
      <c r="J31" s="17">
        <f t="shared" si="6"/>
        <v>77</v>
      </c>
      <c r="K31" s="17">
        <f t="shared" si="6"/>
        <v>0</v>
      </c>
      <c r="L31" s="17">
        <f t="shared" si="6"/>
        <v>0</v>
      </c>
      <c r="M31" s="17">
        <f t="shared" si="6"/>
        <v>0</v>
      </c>
      <c r="N31" s="17">
        <f t="shared" si="6"/>
        <v>0</v>
      </c>
      <c r="O31" s="17">
        <f t="shared" si="6"/>
        <v>0</v>
      </c>
      <c r="P31" s="11">
        <f t="shared" si="6"/>
        <v>0</v>
      </c>
      <c r="Q31" s="17">
        <f t="shared" si="6"/>
        <v>0</v>
      </c>
      <c r="R31" s="17">
        <f t="shared" si="6"/>
        <v>0</v>
      </c>
      <c r="S31" s="17">
        <f t="shared" si="6"/>
        <v>0</v>
      </c>
      <c r="T31" s="17">
        <f t="shared" si="6"/>
        <v>0</v>
      </c>
      <c r="U31" s="17">
        <f t="shared" si="6"/>
        <v>0</v>
      </c>
      <c r="V31" s="17">
        <f t="shared" si="6"/>
        <v>0</v>
      </c>
      <c r="W31" s="11">
        <f t="shared" si="6"/>
        <v>0</v>
      </c>
      <c r="X31" s="17">
        <f t="shared" si="6"/>
        <v>0</v>
      </c>
      <c r="Y31" s="17">
        <f t="shared" si="6"/>
        <v>0</v>
      </c>
      <c r="Z31" s="17">
        <f t="shared" si="6"/>
        <v>0</v>
      </c>
      <c r="AA31" s="17">
        <f t="shared" si="6"/>
        <v>0</v>
      </c>
      <c r="AB31" s="17">
        <f t="shared" si="6"/>
        <v>0</v>
      </c>
      <c r="AC31" s="17">
        <f t="shared" si="6"/>
        <v>0</v>
      </c>
      <c r="AD31" s="11">
        <f t="shared" si="6"/>
        <v>0</v>
      </c>
      <c r="AE31" s="17">
        <f t="shared" si="6"/>
        <v>0</v>
      </c>
      <c r="AF31" s="17"/>
      <c r="AG31" s="17">
        <f t="shared" si="6"/>
        <v>0</v>
      </c>
      <c r="AH31" s="30">
        <f>SUM(C31:AD31)</f>
        <v>307</v>
      </c>
      <c r="AI31" s="29"/>
    </row>
    <row r="32" spans="1:35" ht="16.5" customHeight="1" x14ac:dyDescent="0.35">
      <c r="A32" s="20">
        <f>SUM(AH33:AH51)</f>
        <v>0</v>
      </c>
      <c r="B32" s="21" t="s">
        <v>25</v>
      </c>
      <c r="C32" s="11"/>
      <c r="D32" s="22"/>
      <c r="E32" s="22"/>
      <c r="F32" s="22"/>
      <c r="G32" s="22"/>
      <c r="H32" s="22"/>
      <c r="I32" s="11"/>
      <c r="J32" s="22"/>
      <c r="K32" s="22"/>
      <c r="L32" s="22"/>
      <c r="M32" s="22"/>
      <c r="N32" s="22"/>
      <c r="O32" s="22"/>
      <c r="P32" s="11"/>
      <c r="Q32" s="22"/>
      <c r="R32" s="22"/>
      <c r="S32" s="22"/>
      <c r="T32" s="22"/>
      <c r="U32" s="22"/>
      <c r="V32" s="22"/>
      <c r="W32" s="11"/>
      <c r="X32" s="22"/>
      <c r="Y32" s="22"/>
      <c r="Z32" s="22"/>
      <c r="AA32" s="22"/>
      <c r="AB32" s="22"/>
      <c r="AC32" s="22"/>
      <c r="AD32" s="11"/>
      <c r="AE32" s="22"/>
      <c r="AF32" s="22"/>
      <c r="AG32" s="22"/>
      <c r="AH32" s="30">
        <f>SUM(C32:AG32)</f>
        <v>0</v>
      </c>
      <c r="AI32" s="29">
        <f>COUNT(C32:AG32)</f>
        <v>0</v>
      </c>
    </row>
    <row r="33" spans="1:35" ht="16.5" customHeight="1" x14ac:dyDescent="0.35">
      <c r="A33" s="20"/>
      <c r="B33" s="23" t="s">
        <v>28</v>
      </c>
      <c r="C33" s="11"/>
      <c r="D33" s="22"/>
      <c r="E33" s="22"/>
      <c r="F33" s="22"/>
      <c r="G33" s="22"/>
      <c r="H33" s="22"/>
      <c r="I33" s="11"/>
      <c r="J33" s="22"/>
      <c r="K33" s="22"/>
      <c r="L33" s="22"/>
      <c r="M33" s="22"/>
      <c r="N33" s="22"/>
      <c r="O33" s="22"/>
      <c r="P33" s="11"/>
      <c r="Q33" s="22"/>
      <c r="R33" s="22"/>
      <c r="S33" s="22"/>
      <c r="T33" s="22"/>
      <c r="U33" s="22"/>
      <c r="V33" s="22"/>
      <c r="W33" s="11"/>
      <c r="X33" s="22"/>
      <c r="Y33" s="22"/>
      <c r="Z33" s="22"/>
      <c r="AA33" s="22"/>
      <c r="AB33" s="22"/>
      <c r="AC33" s="22"/>
      <c r="AD33" s="11"/>
      <c r="AE33" s="22"/>
      <c r="AF33" s="22"/>
      <c r="AG33" s="22"/>
      <c r="AH33" s="30">
        <f t="shared" ref="AH33:AH94" si="7">SUM(C33:AG33)</f>
        <v>0</v>
      </c>
      <c r="AI33" s="29">
        <f t="shared" ref="AI33:AI91" si="8">COUNT(C33:AG33)</f>
        <v>0</v>
      </c>
    </row>
    <row r="34" spans="1:35" ht="15" customHeight="1" x14ac:dyDescent="0.35">
      <c r="A34" s="24"/>
      <c r="B34" s="23" t="s">
        <v>271</v>
      </c>
      <c r="C34" s="11"/>
      <c r="D34" s="22"/>
      <c r="E34" s="22"/>
      <c r="F34" s="22"/>
      <c r="G34" s="22"/>
      <c r="H34" s="22"/>
      <c r="I34" s="11"/>
      <c r="J34" s="22"/>
      <c r="K34" s="22"/>
      <c r="L34" s="22"/>
      <c r="M34" s="22"/>
      <c r="N34" s="22"/>
      <c r="O34" s="22"/>
      <c r="P34" s="11"/>
      <c r="Q34" s="22"/>
      <c r="R34" s="22"/>
      <c r="S34" s="22"/>
      <c r="T34" s="22"/>
      <c r="U34" s="22"/>
      <c r="V34" s="22"/>
      <c r="W34" s="11"/>
      <c r="X34" s="22"/>
      <c r="Y34" s="22"/>
      <c r="Z34" s="22"/>
      <c r="AA34" s="22"/>
      <c r="AB34" s="22"/>
      <c r="AC34" s="22"/>
      <c r="AD34" s="11"/>
      <c r="AE34" s="22"/>
      <c r="AF34" s="22"/>
      <c r="AG34" s="22"/>
      <c r="AH34" s="30">
        <f t="shared" si="7"/>
        <v>0</v>
      </c>
      <c r="AI34" s="29">
        <f t="shared" si="8"/>
        <v>0</v>
      </c>
    </row>
    <row r="35" spans="1:35" ht="15" customHeight="1" x14ac:dyDescent="0.35">
      <c r="A35" s="24"/>
      <c r="B35" s="23" t="s">
        <v>31</v>
      </c>
      <c r="C35" s="11"/>
      <c r="D35" s="22"/>
      <c r="E35" s="22"/>
      <c r="F35" s="22"/>
      <c r="G35" s="22"/>
      <c r="H35" s="22"/>
      <c r="I35" s="11"/>
      <c r="J35" s="22"/>
      <c r="K35" s="22"/>
      <c r="L35" s="22"/>
      <c r="M35" s="22"/>
      <c r="N35" s="22"/>
      <c r="O35" s="22"/>
      <c r="P35" s="11"/>
      <c r="Q35" s="22"/>
      <c r="R35" s="22"/>
      <c r="S35" s="22"/>
      <c r="T35" s="22"/>
      <c r="U35" s="22"/>
      <c r="V35" s="22"/>
      <c r="W35" s="11"/>
      <c r="X35" s="22"/>
      <c r="Y35" s="22"/>
      <c r="Z35" s="22"/>
      <c r="AA35" s="22"/>
      <c r="AB35" s="22"/>
      <c r="AC35" s="22"/>
      <c r="AD35" s="11"/>
      <c r="AE35" s="22"/>
      <c r="AF35" s="22"/>
      <c r="AG35" s="22"/>
      <c r="AH35" s="30">
        <f t="shared" si="7"/>
        <v>0</v>
      </c>
      <c r="AI35" s="29">
        <f t="shared" si="8"/>
        <v>0</v>
      </c>
    </row>
    <row r="36" spans="1:35" ht="15" customHeight="1" x14ac:dyDescent="0.35">
      <c r="A36" s="24"/>
      <c r="B36" s="23" t="s">
        <v>35</v>
      </c>
      <c r="C36" s="11"/>
      <c r="D36" s="22"/>
      <c r="E36" s="22"/>
      <c r="F36" s="22"/>
      <c r="G36" s="22"/>
      <c r="H36" s="22"/>
      <c r="I36" s="11"/>
      <c r="J36" s="22"/>
      <c r="K36" s="22"/>
      <c r="L36" s="22"/>
      <c r="M36" s="22"/>
      <c r="N36" s="22"/>
      <c r="O36" s="22"/>
      <c r="P36" s="11"/>
      <c r="Q36" s="22"/>
      <c r="R36" s="22"/>
      <c r="S36" s="22"/>
      <c r="T36" s="22"/>
      <c r="U36" s="22"/>
      <c r="V36" s="22"/>
      <c r="W36" s="11"/>
      <c r="X36" s="22"/>
      <c r="Y36" s="22"/>
      <c r="Z36" s="22"/>
      <c r="AA36" s="22"/>
      <c r="AB36" s="22"/>
      <c r="AC36" s="22"/>
      <c r="AD36" s="11"/>
      <c r="AE36" s="22"/>
      <c r="AF36" s="22"/>
      <c r="AG36" s="22"/>
      <c r="AH36" s="30">
        <f t="shared" si="7"/>
        <v>0</v>
      </c>
      <c r="AI36" s="29">
        <f t="shared" si="8"/>
        <v>0</v>
      </c>
    </row>
    <row r="37" spans="1:35" ht="15" customHeight="1" x14ac:dyDescent="0.35">
      <c r="A37" s="24"/>
      <c r="B37" s="23" t="s">
        <v>37</v>
      </c>
      <c r="C37" s="11"/>
      <c r="D37" s="22"/>
      <c r="E37" s="22"/>
      <c r="F37" s="22"/>
      <c r="G37" s="22"/>
      <c r="H37" s="22"/>
      <c r="I37" s="11"/>
      <c r="J37" s="22"/>
      <c r="K37" s="22"/>
      <c r="L37" s="22"/>
      <c r="M37" s="22"/>
      <c r="N37" s="22"/>
      <c r="O37" s="22"/>
      <c r="P37" s="11"/>
      <c r="Q37" s="22"/>
      <c r="R37" s="22"/>
      <c r="S37" s="22"/>
      <c r="T37" s="22"/>
      <c r="U37" s="22"/>
      <c r="V37" s="22"/>
      <c r="W37" s="11"/>
      <c r="X37" s="22"/>
      <c r="Y37" s="22"/>
      <c r="Z37" s="22"/>
      <c r="AA37" s="22"/>
      <c r="AB37" s="22"/>
      <c r="AC37" s="22"/>
      <c r="AD37" s="11"/>
      <c r="AE37" s="22"/>
      <c r="AF37" s="22"/>
      <c r="AG37" s="22"/>
      <c r="AH37" s="30">
        <f t="shared" si="7"/>
        <v>0</v>
      </c>
      <c r="AI37" s="29">
        <f t="shared" si="8"/>
        <v>0</v>
      </c>
    </row>
    <row r="38" spans="1:35" ht="15" customHeight="1" x14ac:dyDescent="0.35">
      <c r="A38" s="24"/>
      <c r="B38" s="23" t="s">
        <v>39</v>
      </c>
      <c r="C38" s="11"/>
      <c r="D38" s="22"/>
      <c r="E38" s="22"/>
      <c r="F38" s="22"/>
      <c r="G38" s="22"/>
      <c r="H38" s="22"/>
      <c r="I38" s="11"/>
      <c r="J38" s="22"/>
      <c r="K38" s="22"/>
      <c r="L38" s="22"/>
      <c r="M38" s="22"/>
      <c r="N38" s="22"/>
      <c r="O38" s="22"/>
      <c r="P38" s="11"/>
      <c r="Q38" s="22"/>
      <c r="R38" s="22"/>
      <c r="S38" s="22"/>
      <c r="T38" s="22"/>
      <c r="U38" s="22"/>
      <c r="V38" s="22"/>
      <c r="W38" s="11"/>
      <c r="X38" s="22"/>
      <c r="Y38" s="22"/>
      <c r="Z38" s="22"/>
      <c r="AA38" s="22"/>
      <c r="AB38" s="22"/>
      <c r="AC38" s="22"/>
      <c r="AD38" s="11"/>
      <c r="AE38" s="22"/>
      <c r="AF38" s="22"/>
      <c r="AG38" s="22"/>
      <c r="AH38" s="30">
        <f t="shared" si="7"/>
        <v>0</v>
      </c>
      <c r="AI38" s="29">
        <f t="shared" si="8"/>
        <v>0</v>
      </c>
    </row>
    <row r="39" spans="1:35" ht="15" customHeight="1" x14ac:dyDescent="0.35">
      <c r="A39" s="24"/>
      <c r="B39" s="23" t="s">
        <v>41</v>
      </c>
      <c r="C39" s="11"/>
      <c r="D39" s="22"/>
      <c r="E39" s="22"/>
      <c r="F39" s="22"/>
      <c r="G39" s="22"/>
      <c r="H39" s="22"/>
      <c r="I39" s="11"/>
      <c r="J39" s="22"/>
      <c r="K39" s="22"/>
      <c r="L39" s="22"/>
      <c r="M39" s="22"/>
      <c r="N39" s="22"/>
      <c r="O39" s="22"/>
      <c r="P39" s="11"/>
      <c r="Q39" s="22"/>
      <c r="R39" s="22"/>
      <c r="S39" s="22"/>
      <c r="T39" s="22"/>
      <c r="U39" s="22"/>
      <c r="V39" s="22"/>
      <c r="W39" s="11"/>
      <c r="X39" s="22"/>
      <c r="Y39" s="22"/>
      <c r="Z39" s="22"/>
      <c r="AA39" s="22"/>
      <c r="AB39" s="22"/>
      <c r="AC39" s="22"/>
      <c r="AD39" s="11"/>
      <c r="AE39" s="22"/>
      <c r="AF39" s="22"/>
      <c r="AG39" s="22"/>
      <c r="AH39" s="30">
        <f t="shared" si="7"/>
        <v>0</v>
      </c>
      <c r="AI39" s="29">
        <f t="shared" si="8"/>
        <v>0</v>
      </c>
    </row>
    <row r="40" spans="1:35" ht="15" customHeight="1" x14ac:dyDescent="0.35">
      <c r="A40" s="24"/>
      <c r="B40" s="23" t="s">
        <v>43</v>
      </c>
      <c r="C40" s="11"/>
      <c r="D40" s="22"/>
      <c r="E40" s="22"/>
      <c r="F40" s="22"/>
      <c r="G40" s="22"/>
      <c r="H40" s="22"/>
      <c r="I40" s="11"/>
      <c r="J40" s="22"/>
      <c r="K40" s="22"/>
      <c r="L40" s="22"/>
      <c r="M40" s="22"/>
      <c r="N40" s="22"/>
      <c r="O40" s="22"/>
      <c r="P40" s="11"/>
      <c r="Q40" s="22"/>
      <c r="R40" s="22"/>
      <c r="S40" s="22"/>
      <c r="T40" s="22"/>
      <c r="U40" s="22"/>
      <c r="V40" s="22"/>
      <c r="W40" s="11"/>
      <c r="X40" s="22"/>
      <c r="Y40" s="22"/>
      <c r="Z40" s="22"/>
      <c r="AA40" s="22"/>
      <c r="AB40" s="22"/>
      <c r="AC40" s="22"/>
      <c r="AD40" s="11"/>
      <c r="AE40" s="22"/>
      <c r="AF40" s="22"/>
      <c r="AG40" s="22"/>
      <c r="AH40" s="30">
        <f t="shared" si="7"/>
        <v>0</v>
      </c>
      <c r="AI40" s="29">
        <f t="shared" si="8"/>
        <v>0</v>
      </c>
    </row>
    <row r="41" spans="1:35" ht="15" customHeight="1" x14ac:dyDescent="0.35">
      <c r="A41" s="24"/>
      <c r="B41" s="23" t="s">
        <v>111</v>
      </c>
      <c r="C41" s="11"/>
      <c r="D41" s="22"/>
      <c r="E41" s="22"/>
      <c r="F41" s="22"/>
      <c r="G41" s="22"/>
      <c r="H41" s="22"/>
      <c r="I41" s="11"/>
      <c r="J41" s="22"/>
      <c r="K41" s="22"/>
      <c r="L41" s="22"/>
      <c r="M41" s="22"/>
      <c r="N41" s="22"/>
      <c r="O41" s="22"/>
      <c r="P41" s="11"/>
      <c r="Q41" s="22"/>
      <c r="R41" s="22"/>
      <c r="S41" s="22"/>
      <c r="T41" s="22"/>
      <c r="U41" s="22"/>
      <c r="V41" s="22"/>
      <c r="W41" s="11"/>
      <c r="X41" s="22"/>
      <c r="Y41" s="22"/>
      <c r="Z41" s="22"/>
      <c r="AA41" s="22"/>
      <c r="AB41" s="22"/>
      <c r="AC41" s="22"/>
      <c r="AD41" s="11"/>
      <c r="AE41" s="22"/>
      <c r="AF41" s="22"/>
      <c r="AG41" s="22"/>
      <c r="AH41" s="30">
        <f t="shared" si="7"/>
        <v>0</v>
      </c>
      <c r="AI41" s="29">
        <f t="shared" si="8"/>
        <v>0</v>
      </c>
    </row>
    <row r="42" spans="1:35" ht="15" customHeight="1" x14ac:dyDescent="0.35">
      <c r="A42" s="24"/>
      <c r="B42" s="23" t="s">
        <v>272</v>
      </c>
      <c r="C42" s="11"/>
      <c r="D42" s="22"/>
      <c r="E42" s="22"/>
      <c r="F42" s="22"/>
      <c r="G42" s="22"/>
      <c r="H42" s="22"/>
      <c r="I42" s="11"/>
      <c r="J42" s="22"/>
      <c r="K42" s="22"/>
      <c r="L42" s="22"/>
      <c r="M42" s="22"/>
      <c r="N42" s="22"/>
      <c r="O42" s="22"/>
      <c r="P42" s="11"/>
      <c r="Q42" s="22"/>
      <c r="R42" s="22"/>
      <c r="S42" s="22"/>
      <c r="T42" s="22"/>
      <c r="U42" s="22"/>
      <c r="V42" s="22"/>
      <c r="W42" s="11"/>
      <c r="X42" s="22"/>
      <c r="Y42" s="22"/>
      <c r="Z42" s="22"/>
      <c r="AA42" s="22"/>
      <c r="AB42" s="22"/>
      <c r="AC42" s="22"/>
      <c r="AD42" s="11"/>
      <c r="AE42" s="22"/>
      <c r="AF42" s="22"/>
      <c r="AG42" s="22"/>
      <c r="AH42" s="30">
        <f t="shared" si="7"/>
        <v>0</v>
      </c>
      <c r="AI42" s="29">
        <f t="shared" si="8"/>
        <v>0</v>
      </c>
    </row>
    <row r="43" spans="1:35" ht="15" customHeight="1" x14ac:dyDescent="0.35">
      <c r="A43" s="24"/>
      <c r="B43" s="23" t="s">
        <v>273</v>
      </c>
      <c r="C43" s="11"/>
      <c r="D43" s="22"/>
      <c r="E43" s="22"/>
      <c r="F43" s="22"/>
      <c r="G43" s="22"/>
      <c r="H43" s="22"/>
      <c r="I43" s="11"/>
      <c r="J43" s="22"/>
      <c r="K43" s="22"/>
      <c r="L43" s="22"/>
      <c r="M43" s="22"/>
      <c r="N43" s="22"/>
      <c r="O43" s="22"/>
      <c r="P43" s="11"/>
      <c r="Q43" s="22"/>
      <c r="R43" s="22"/>
      <c r="S43" s="22"/>
      <c r="T43" s="22"/>
      <c r="U43" s="22"/>
      <c r="V43" s="22"/>
      <c r="W43" s="11"/>
      <c r="X43" s="22"/>
      <c r="Y43" s="22"/>
      <c r="Z43" s="22"/>
      <c r="AA43" s="22"/>
      <c r="AB43" s="22"/>
      <c r="AC43" s="22"/>
      <c r="AD43" s="11"/>
      <c r="AE43" s="22"/>
      <c r="AF43" s="22"/>
      <c r="AG43" s="22"/>
      <c r="AH43" s="30">
        <f t="shared" si="7"/>
        <v>0</v>
      </c>
      <c r="AI43" s="29">
        <f t="shared" si="8"/>
        <v>0</v>
      </c>
    </row>
    <row r="44" spans="1:35" ht="15" customHeight="1" x14ac:dyDescent="0.35">
      <c r="A44" s="24"/>
      <c r="B44" s="23" t="s">
        <v>52</v>
      </c>
      <c r="C44" s="11"/>
      <c r="D44" s="22"/>
      <c r="E44" s="22"/>
      <c r="F44" s="22"/>
      <c r="G44" s="22"/>
      <c r="H44" s="22"/>
      <c r="I44" s="11"/>
      <c r="J44" s="22"/>
      <c r="K44" s="22"/>
      <c r="L44" s="22"/>
      <c r="M44" s="22"/>
      <c r="N44" s="22"/>
      <c r="O44" s="22"/>
      <c r="P44" s="11"/>
      <c r="Q44" s="22"/>
      <c r="R44" s="22"/>
      <c r="S44" s="22"/>
      <c r="T44" s="22"/>
      <c r="U44" s="22"/>
      <c r="V44" s="22"/>
      <c r="W44" s="11"/>
      <c r="X44" s="22"/>
      <c r="Y44" s="22"/>
      <c r="Z44" s="22"/>
      <c r="AA44" s="22"/>
      <c r="AB44" s="22"/>
      <c r="AC44" s="22"/>
      <c r="AD44" s="11"/>
      <c r="AE44" s="22"/>
      <c r="AF44" s="22"/>
      <c r="AG44" s="22"/>
      <c r="AH44" s="30">
        <f t="shared" si="7"/>
        <v>0</v>
      </c>
      <c r="AI44" s="29">
        <f t="shared" si="8"/>
        <v>0</v>
      </c>
    </row>
    <row r="45" spans="1:35" ht="15" customHeight="1" x14ac:dyDescent="0.35">
      <c r="A45" s="24"/>
      <c r="B45" s="23" t="s">
        <v>54</v>
      </c>
      <c r="C45" s="11"/>
      <c r="D45" s="22"/>
      <c r="E45" s="22"/>
      <c r="F45" s="22"/>
      <c r="G45" s="22"/>
      <c r="H45" s="22"/>
      <c r="I45" s="11"/>
      <c r="J45" s="22"/>
      <c r="K45" s="22"/>
      <c r="L45" s="22"/>
      <c r="M45" s="22"/>
      <c r="N45" s="22"/>
      <c r="O45" s="22"/>
      <c r="P45" s="11"/>
      <c r="Q45" s="22"/>
      <c r="R45" s="22"/>
      <c r="S45" s="22"/>
      <c r="T45" s="22"/>
      <c r="U45" s="22"/>
      <c r="V45" s="22"/>
      <c r="W45" s="11"/>
      <c r="X45" s="22"/>
      <c r="Y45" s="22"/>
      <c r="Z45" s="22"/>
      <c r="AA45" s="22"/>
      <c r="AB45" s="22"/>
      <c r="AC45" s="22"/>
      <c r="AD45" s="11"/>
      <c r="AE45" s="22"/>
      <c r="AF45" s="22"/>
      <c r="AG45" s="22"/>
      <c r="AH45" s="30">
        <f t="shared" si="7"/>
        <v>0</v>
      </c>
      <c r="AI45" s="29">
        <f t="shared" si="8"/>
        <v>0</v>
      </c>
    </row>
    <row r="46" spans="1:35" ht="15" customHeight="1" x14ac:dyDescent="0.35">
      <c r="A46" s="24"/>
      <c r="B46" s="25" t="s">
        <v>56</v>
      </c>
      <c r="C46" s="11"/>
      <c r="D46" s="22"/>
      <c r="E46" s="22"/>
      <c r="F46" s="22"/>
      <c r="G46" s="22"/>
      <c r="H46" s="22"/>
      <c r="I46" s="11"/>
      <c r="J46" s="22"/>
      <c r="K46" s="22"/>
      <c r="L46" s="22"/>
      <c r="M46" s="22"/>
      <c r="N46" s="22"/>
      <c r="O46" s="22"/>
      <c r="P46" s="11"/>
      <c r="Q46" s="22"/>
      <c r="R46" s="22"/>
      <c r="S46" s="22"/>
      <c r="T46" s="22"/>
      <c r="U46" s="22"/>
      <c r="V46" s="22"/>
      <c r="W46" s="11"/>
      <c r="X46" s="22"/>
      <c r="Y46" s="22"/>
      <c r="Z46" s="22"/>
      <c r="AA46" s="22"/>
      <c r="AB46" s="22"/>
      <c r="AC46" s="22"/>
      <c r="AD46" s="11"/>
      <c r="AE46" s="22"/>
      <c r="AF46" s="22"/>
      <c r="AG46" s="22"/>
      <c r="AH46" s="30">
        <f t="shared" si="7"/>
        <v>0</v>
      </c>
      <c r="AI46" s="29">
        <f t="shared" si="8"/>
        <v>0</v>
      </c>
    </row>
    <row r="47" spans="1:35" ht="15" customHeight="1" x14ac:dyDescent="0.35">
      <c r="A47" s="24"/>
      <c r="B47" s="25" t="s">
        <v>58</v>
      </c>
      <c r="C47" s="11"/>
      <c r="D47" s="22"/>
      <c r="E47" s="22"/>
      <c r="F47" s="22"/>
      <c r="G47" s="22"/>
      <c r="H47" s="22"/>
      <c r="I47" s="11"/>
      <c r="J47" s="22"/>
      <c r="K47" s="22"/>
      <c r="L47" s="22"/>
      <c r="M47" s="22"/>
      <c r="N47" s="22"/>
      <c r="O47" s="22"/>
      <c r="P47" s="11"/>
      <c r="Q47" s="22"/>
      <c r="R47" s="22"/>
      <c r="S47" s="22"/>
      <c r="T47" s="22"/>
      <c r="U47" s="22"/>
      <c r="V47" s="22"/>
      <c r="W47" s="11"/>
      <c r="X47" s="22"/>
      <c r="Y47" s="22"/>
      <c r="Z47" s="22"/>
      <c r="AA47" s="22"/>
      <c r="AB47" s="22"/>
      <c r="AC47" s="22"/>
      <c r="AD47" s="11"/>
      <c r="AE47" s="22"/>
      <c r="AF47" s="22"/>
      <c r="AG47" s="22"/>
      <c r="AH47" s="30">
        <f t="shared" si="7"/>
        <v>0</v>
      </c>
      <c r="AI47" s="29">
        <f t="shared" si="8"/>
        <v>0</v>
      </c>
    </row>
    <row r="48" spans="1:35" ht="15" customHeight="1" x14ac:dyDescent="0.35">
      <c r="A48" s="24"/>
      <c r="B48" s="25" t="s">
        <v>60</v>
      </c>
      <c r="C48" s="11"/>
      <c r="D48" s="22"/>
      <c r="E48" s="22"/>
      <c r="F48" s="22"/>
      <c r="G48" s="22"/>
      <c r="H48" s="22"/>
      <c r="I48" s="11"/>
      <c r="J48" s="22"/>
      <c r="K48" s="22"/>
      <c r="L48" s="22"/>
      <c r="M48" s="22"/>
      <c r="N48" s="22"/>
      <c r="O48" s="22"/>
      <c r="P48" s="11"/>
      <c r="Q48" s="22"/>
      <c r="R48" s="22"/>
      <c r="S48" s="22"/>
      <c r="T48" s="22"/>
      <c r="U48" s="22"/>
      <c r="V48" s="22"/>
      <c r="W48" s="11"/>
      <c r="X48" s="22"/>
      <c r="Y48" s="22"/>
      <c r="Z48" s="22"/>
      <c r="AA48" s="22"/>
      <c r="AB48" s="22"/>
      <c r="AC48" s="22"/>
      <c r="AD48" s="11"/>
      <c r="AE48" s="22"/>
      <c r="AF48" s="22"/>
      <c r="AG48" s="22"/>
      <c r="AH48" s="30">
        <f t="shared" si="7"/>
        <v>0</v>
      </c>
      <c r="AI48" s="29">
        <f t="shared" si="8"/>
        <v>0</v>
      </c>
    </row>
    <row r="49" spans="1:35" ht="15" customHeight="1" x14ac:dyDescent="0.35">
      <c r="A49" s="24"/>
      <c r="B49" s="23" t="s">
        <v>62</v>
      </c>
      <c r="C49" s="11"/>
      <c r="D49" s="22"/>
      <c r="E49" s="22"/>
      <c r="F49" s="22"/>
      <c r="G49" s="22"/>
      <c r="H49" s="22"/>
      <c r="I49" s="11"/>
      <c r="J49" s="22"/>
      <c r="K49" s="22"/>
      <c r="L49" s="22"/>
      <c r="M49" s="22"/>
      <c r="N49" s="22"/>
      <c r="O49" s="22"/>
      <c r="P49" s="11"/>
      <c r="Q49" s="22"/>
      <c r="R49" s="22"/>
      <c r="S49" s="22"/>
      <c r="T49" s="22"/>
      <c r="U49" s="22"/>
      <c r="V49" s="22"/>
      <c r="W49" s="11"/>
      <c r="X49" s="22"/>
      <c r="Y49" s="22"/>
      <c r="Z49" s="22"/>
      <c r="AA49" s="22"/>
      <c r="AB49" s="22"/>
      <c r="AC49" s="22"/>
      <c r="AD49" s="11"/>
      <c r="AE49" s="22"/>
      <c r="AF49" s="22"/>
      <c r="AG49" s="22"/>
      <c r="AH49" s="30">
        <f t="shared" si="7"/>
        <v>0</v>
      </c>
      <c r="AI49" s="29">
        <f t="shared" si="8"/>
        <v>0</v>
      </c>
    </row>
    <row r="50" spans="1:35" ht="15" customHeight="1" x14ac:dyDescent="0.35">
      <c r="A50" s="24"/>
      <c r="B50" s="23" t="s">
        <v>274</v>
      </c>
      <c r="C50" s="11"/>
      <c r="D50" s="22"/>
      <c r="E50" s="22"/>
      <c r="F50" s="22"/>
      <c r="G50" s="22"/>
      <c r="H50" s="22"/>
      <c r="I50" s="11"/>
      <c r="J50" s="22"/>
      <c r="K50" s="22"/>
      <c r="L50" s="22"/>
      <c r="M50" s="22"/>
      <c r="N50" s="22"/>
      <c r="O50" s="22"/>
      <c r="P50" s="11"/>
      <c r="Q50" s="22"/>
      <c r="R50" s="22"/>
      <c r="S50" s="22"/>
      <c r="T50" s="22"/>
      <c r="U50" s="22"/>
      <c r="V50" s="22"/>
      <c r="W50" s="11"/>
      <c r="X50" s="22"/>
      <c r="Y50" s="22"/>
      <c r="Z50" s="22"/>
      <c r="AA50" s="22"/>
      <c r="AB50" s="22"/>
      <c r="AC50" s="22"/>
      <c r="AD50" s="11"/>
      <c r="AE50" s="22"/>
      <c r="AF50" s="22"/>
      <c r="AG50" s="22"/>
      <c r="AH50" s="30">
        <f t="shared" si="7"/>
        <v>0</v>
      </c>
      <c r="AI50" s="29">
        <f t="shared" si="8"/>
        <v>0</v>
      </c>
    </row>
    <row r="51" spans="1:35" ht="15" customHeight="1" x14ac:dyDescent="0.35">
      <c r="A51" s="24"/>
      <c r="B51" s="25" t="s">
        <v>68</v>
      </c>
      <c r="C51" s="11"/>
      <c r="D51" s="22"/>
      <c r="E51" s="22"/>
      <c r="F51" s="22"/>
      <c r="G51" s="22"/>
      <c r="H51" s="22"/>
      <c r="I51" s="11"/>
      <c r="J51" s="22"/>
      <c r="K51" s="22"/>
      <c r="L51" s="22"/>
      <c r="M51" s="22"/>
      <c r="N51" s="22"/>
      <c r="O51" s="22"/>
      <c r="P51" s="11"/>
      <c r="Q51" s="22"/>
      <c r="R51" s="22"/>
      <c r="S51" s="22"/>
      <c r="T51" s="22"/>
      <c r="U51" s="22"/>
      <c r="V51" s="22"/>
      <c r="W51" s="11"/>
      <c r="X51" s="22"/>
      <c r="Y51" s="22"/>
      <c r="Z51" s="22"/>
      <c r="AA51" s="22"/>
      <c r="AB51" s="22"/>
      <c r="AC51" s="22"/>
      <c r="AD51" s="11"/>
      <c r="AE51" s="22"/>
      <c r="AF51" s="22"/>
      <c r="AG51" s="22"/>
      <c r="AH51" s="30">
        <f t="shared" si="7"/>
        <v>0</v>
      </c>
      <c r="AI51" s="29">
        <f t="shared" si="8"/>
        <v>0</v>
      </c>
    </row>
    <row r="52" spans="1:35" ht="16.5" customHeight="1" x14ac:dyDescent="0.35">
      <c r="A52" s="24">
        <f>SUM(AH53:AH70)</f>
        <v>282</v>
      </c>
      <c r="B52" s="21" t="s">
        <v>83</v>
      </c>
      <c r="C52" s="11"/>
      <c r="D52" s="22"/>
      <c r="E52" s="22"/>
      <c r="F52" s="22"/>
      <c r="G52" s="22"/>
      <c r="H52" s="22"/>
      <c r="I52" s="11"/>
      <c r="J52" s="22"/>
      <c r="K52" s="22"/>
      <c r="L52" s="22"/>
      <c r="M52" s="22"/>
      <c r="N52" s="22"/>
      <c r="O52" s="22"/>
      <c r="P52" s="11"/>
      <c r="Q52" s="22"/>
      <c r="R52" s="22"/>
      <c r="S52" s="22"/>
      <c r="T52" s="22"/>
      <c r="U52" s="22"/>
      <c r="V52" s="22"/>
      <c r="W52" s="11"/>
      <c r="X52" s="22"/>
      <c r="Y52" s="22"/>
      <c r="Z52" s="22"/>
      <c r="AA52" s="22"/>
      <c r="AB52" s="22"/>
      <c r="AC52" s="22"/>
      <c r="AD52" s="11"/>
      <c r="AE52" s="22"/>
      <c r="AF52" s="22"/>
      <c r="AG52" s="22"/>
      <c r="AH52" s="30">
        <f t="shared" si="7"/>
        <v>0</v>
      </c>
      <c r="AI52" s="29">
        <f t="shared" si="8"/>
        <v>0</v>
      </c>
    </row>
    <row r="53" spans="1:35" ht="15" customHeight="1" x14ac:dyDescent="0.35">
      <c r="A53" s="24"/>
      <c r="B53" s="25" t="s">
        <v>31</v>
      </c>
      <c r="C53" s="11"/>
      <c r="D53" s="22"/>
      <c r="E53" s="22"/>
      <c r="F53" s="22"/>
      <c r="G53" s="22"/>
      <c r="H53" s="22"/>
      <c r="I53" s="11"/>
      <c r="J53" s="22"/>
      <c r="K53" s="22"/>
      <c r="L53" s="22"/>
      <c r="M53" s="22"/>
      <c r="N53" s="22"/>
      <c r="O53" s="22"/>
      <c r="P53" s="11"/>
      <c r="Q53" s="22"/>
      <c r="R53" s="22"/>
      <c r="S53" s="22"/>
      <c r="T53" s="22"/>
      <c r="U53" s="22"/>
      <c r="V53" s="22"/>
      <c r="W53" s="11"/>
      <c r="X53" s="22"/>
      <c r="Y53" s="22"/>
      <c r="Z53" s="22"/>
      <c r="AA53" s="22"/>
      <c r="AB53" s="22"/>
      <c r="AC53" s="22"/>
      <c r="AD53" s="11"/>
      <c r="AE53" s="22"/>
      <c r="AF53" s="22"/>
      <c r="AG53" s="22"/>
      <c r="AH53" s="30">
        <f t="shared" si="7"/>
        <v>0</v>
      </c>
      <c r="AI53" s="29">
        <f t="shared" si="8"/>
        <v>0</v>
      </c>
    </row>
    <row r="54" spans="1:35" ht="15" customHeight="1" x14ac:dyDescent="0.35">
      <c r="A54" s="24"/>
      <c r="B54" s="23" t="s">
        <v>87</v>
      </c>
      <c r="C54" s="11"/>
      <c r="D54" s="22"/>
      <c r="E54" s="22"/>
      <c r="F54" s="22"/>
      <c r="G54" s="22"/>
      <c r="H54" s="22"/>
      <c r="I54" s="11"/>
      <c r="J54" s="22"/>
      <c r="K54" s="22"/>
      <c r="L54" s="22"/>
      <c r="M54" s="22"/>
      <c r="N54" s="22"/>
      <c r="O54" s="22"/>
      <c r="P54" s="11"/>
      <c r="Q54" s="22"/>
      <c r="R54" s="22"/>
      <c r="S54" s="22"/>
      <c r="T54" s="22"/>
      <c r="U54" s="22"/>
      <c r="V54" s="22"/>
      <c r="W54" s="11"/>
      <c r="X54" s="22"/>
      <c r="Y54" s="22"/>
      <c r="Z54" s="22"/>
      <c r="AA54" s="22"/>
      <c r="AB54" s="22"/>
      <c r="AC54" s="22"/>
      <c r="AD54" s="11"/>
      <c r="AE54" s="22"/>
      <c r="AF54" s="22"/>
      <c r="AG54" s="22"/>
      <c r="AH54" s="30">
        <f t="shared" si="7"/>
        <v>0</v>
      </c>
      <c r="AI54" s="29">
        <f t="shared" si="8"/>
        <v>0</v>
      </c>
    </row>
    <row r="55" spans="1:35" ht="15" customHeight="1" x14ac:dyDescent="0.35">
      <c r="A55" s="24"/>
      <c r="B55" s="23" t="s">
        <v>89</v>
      </c>
      <c r="C55" s="11"/>
      <c r="D55" s="22"/>
      <c r="E55" s="22"/>
      <c r="F55" s="22"/>
      <c r="G55" s="22"/>
      <c r="H55" s="22"/>
      <c r="I55" s="11"/>
      <c r="J55" s="22"/>
      <c r="K55" s="22"/>
      <c r="L55" s="22"/>
      <c r="M55" s="22"/>
      <c r="N55" s="22"/>
      <c r="O55" s="22"/>
      <c r="P55" s="11"/>
      <c r="Q55" s="22"/>
      <c r="R55" s="22"/>
      <c r="S55" s="22"/>
      <c r="T55" s="22"/>
      <c r="U55" s="22"/>
      <c r="V55" s="22"/>
      <c r="W55" s="11"/>
      <c r="X55" s="22"/>
      <c r="Y55" s="22"/>
      <c r="Z55" s="22"/>
      <c r="AA55" s="22"/>
      <c r="AB55" s="22"/>
      <c r="AC55" s="22"/>
      <c r="AD55" s="11"/>
      <c r="AE55" s="22"/>
      <c r="AF55" s="22"/>
      <c r="AG55" s="22"/>
      <c r="AH55" s="30">
        <f t="shared" si="7"/>
        <v>0</v>
      </c>
      <c r="AI55" s="29">
        <f t="shared" si="8"/>
        <v>0</v>
      </c>
    </row>
    <row r="56" spans="1:35" ht="15" customHeight="1" x14ac:dyDescent="0.35">
      <c r="A56" s="24"/>
      <c r="B56" s="23" t="s">
        <v>91</v>
      </c>
      <c r="C56" s="11"/>
      <c r="D56" s="22"/>
      <c r="E56" s="22"/>
      <c r="F56" s="22"/>
      <c r="G56" s="22">
        <v>5</v>
      </c>
      <c r="H56" s="22">
        <v>10</v>
      </c>
      <c r="I56" s="11"/>
      <c r="J56" s="22"/>
      <c r="K56" s="22"/>
      <c r="L56" s="22"/>
      <c r="M56" s="22"/>
      <c r="N56" s="22"/>
      <c r="O56" s="22"/>
      <c r="P56" s="11"/>
      <c r="Q56" s="22"/>
      <c r="R56" s="22"/>
      <c r="S56" s="22"/>
      <c r="T56" s="22"/>
      <c r="U56" s="22"/>
      <c r="V56" s="22"/>
      <c r="W56" s="11"/>
      <c r="X56" s="22"/>
      <c r="Y56" s="22"/>
      <c r="Z56" s="22"/>
      <c r="AA56" s="22"/>
      <c r="AB56" s="22"/>
      <c r="AC56" s="22"/>
      <c r="AD56" s="11"/>
      <c r="AE56" s="22"/>
      <c r="AF56" s="22"/>
      <c r="AG56" s="22"/>
      <c r="AH56" s="30">
        <f t="shared" si="7"/>
        <v>15</v>
      </c>
      <c r="AI56" s="29">
        <f t="shared" si="8"/>
        <v>2</v>
      </c>
    </row>
    <row r="57" spans="1:35" ht="15" customHeight="1" x14ac:dyDescent="0.35">
      <c r="A57" s="24"/>
      <c r="B57" s="23" t="s">
        <v>95</v>
      </c>
      <c r="C57" s="11"/>
      <c r="D57" s="22"/>
      <c r="E57" s="22"/>
      <c r="F57" s="22"/>
      <c r="G57" s="22"/>
      <c r="H57" s="22"/>
      <c r="I57" s="11"/>
      <c r="J57" s="22"/>
      <c r="K57" s="22"/>
      <c r="L57" s="22"/>
      <c r="M57" s="22"/>
      <c r="N57" s="22"/>
      <c r="O57" s="22"/>
      <c r="P57" s="11"/>
      <c r="Q57" s="22"/>
      <c r="R57" s="22"/>
      <c r="S57" s="22"/>
      <c r="T57" s="22"/>
      <c r="U57" s="22"/>
      <c r="V57" s="22"/>
      <c r="W57" s="11"/>
      <c r="X57" s="22"/>
      <c r="Y57" s="22"/>
      <c r="Z57" s="22"/>
      <c r="AA57" s="22"/>
      <c r="AB57" s="22"/>
      <c r="AC57" s="22"/>
      <c r="AD57" s="11"/>
      <c r="AE57" s="22"/>
      <c r="AF57" s="22"/>
      <c r="AG57" s="22"/>
      <c r="AH57" s="30">
        <f t="shared" si="7"/>
        <v>0</v>
      </c>
      <c r="AI57" s="29">
        <f t="shared" si="8"/>
        <v>0</v>
      </c>
    </row>
    <row r="58" spans="1:35" ht="15" customHeight="1" x14ac:dyDescent="0.35">
      <c r="A58" s="24"/>
      <c r="B58" s="23" t="s">
        <v>245</v>
      </c>
      <c r="C58" s="11"/>
      <c r="D58" s="22"/>
      <c r="E58" s="22"/>
      <c r="F58" s="22"/>
      <c r="G58" s="22"/>
      <c r="H58" s="22"/>
      <c r="I58" s="11"/>
      <c r="J58" s="22">
        <v>15</v>
      </c>
      <c r="K58" s="22"/>
      <c r="L58" s="22"/>
      <c r="M58" s="22"/>
      <c r="N58" s="22"/>
      <c r="O58" s="22"/>
      <c r="P58" s="11"/>
      <c r="Q58" s="22"/>
      <c r="R58" s="22"/>
      <c r="S58" s="22"/>
      <c r="T58" s="22"/>
      <c r="U58" s="22"/>
      <c r="V58" s="22"/>
      <c r="W58" s="11"/>
      <c r="X58" s="22"/>
      <c r="Y58" s="22"/>
      <c r="Z58" s="22"/>
      <c r="AA58" s="22"/>
      <c r="AB58" s="22"/>
      <c r="AC58" s="22"/>
      <c r="AD58" s="11"/>
      <c r="AE58" s="22"/>
      <c r="AF58" s="22"/>
      <c r="AG58" s="22"/>
      <c r="AH58" s="30">
        <f t="shared" si="7"/>
        <v>15</v>
      </c>
      <c r="AI58" s="29">
        <f t="shared" si="8"/>
        <v>1</v>
      </c>
    </row>
    <row r="59" spans="1:35" ht="15" customHeight="1" x14ac:dyDescent="0.35">
      <c r="A59" s="24"/>
      <c r="B59" s="23" t="s">
        <v>99</v>
      </c>
      <c r="C59" s="11"/>
      <c r="D59" s="22"/>
      <c r="E59" s="22"/>
      <c r="F59" s="22"/>
      <c r="G59" s="22"/>
      <c r="H59" s="22"/>
      <c r="I59" s="11"/>
      <c r="J59" s="22">
        <v>22</v>
      </c>
      <c r="K59" s="22"/>
      <c r="L59" s="22"/>
      <c r="M59" s="22"/>
      <c r="N59" s="22"/>
      <c r="O59" s="22"/>
      <c r="P59" s="11"/>
      <c r="Q59" s="22"/>
      <c r="R59" s="22"/>
      <c r="S59" s="22"/>
      <c r="T59" s="22"/>
      <c r="U59" s="22"/>
      <c r="V59" s="22"/>
      <c r="W59" s="11"/>
      <c r="X59" s="22"/>
      <c r="Y59" s="22"/>
      <c r="Z59" s="22"/>
      <c r="AA59" s="22"/>
      <c r="AB59" s="22"/>
      <c r="AC59" s="22"/>
      <c r="AD59" s="11"/>
      <c r="AE59" s="22"/>
      <c r="AF59" s="22"/>
      <c r="AG59" s="22"/>
      <c r="AH59" s="30">
        <f t="shared" si="7"/>
        <v>22</v>
      </c>
      <c r="AI59" s="29">
        <f t="shared" si="8"/>
        <v>1</v>
      </c>
    </row>
    <row r="60" spans="1:35" ht="15" customHeight="1" x14ac:dyDescent="0.35">
      <c r="A60" s="24"/>
      <c r="B60" s="23" t="s">
        <v>101</v>
      </c>
      <c r="C60" s="11"/>
      <c r="D60" s="22"/>
      <c r="E60" s="22"/>
      <c r="F60" s="22"/>
      <c r="G60" s="22"/>
      <c r="H60" s="22"/>
      <c r="I60" s="11"/>
      <c r="J60" s="22"/>
      <c r="K60" s="22"/>
      <c r="L60" s="22"/>
      <c r="M60" s="22"/>
      <c r="N60" s="22"/>
      <c r="O60" s="22"/>
      <c r="P60" s="11"/>
      <c r="Q60" s="22"/>
      <c r="R60" s="22"/>
      <c r="S60" s="22"/>
      <c r="T60" s="22"/>
      <c r="U60" s="22"/>
      <c r="V60" s="22"/>
      <c r="W60" s="11"/>
      <c r="X60" s="22"/>
      <c r="Y60" s="22"/>
      <c r="Z60" s="22"/>
      <c r="AA60" s="22"/>
      <c r="AB60" s="22"/>
      <c r="AC60" s="22"/>
      <c r="AD60" s="11"/>
      <c r="AE60" s="22"/>
      <c r="AF60" s="22"/>
      <c r="AG60" s="22"/>
      <c r="AH60" s="30">
        <f t="shared" si="7"/>
        <v>0</v>
      </c>
      <c r="AI60" s="29">
        <f t="shared" si="8"/>
        <v>0</v>
      </c>
    </row>
    <row r="61" spans="1:35" ht="15" customHeight="1" x14ac:dyDescent="0.35">
      <c r="A61" s="24"/>
      <c r="B61" s="23" t="s">
        <v>978</v>
      </c>
      <c r="C61" s="11"/>
      <c r="D61" s="22"/>
      <c r="E61" s="22"/>
      <c r="F61" s="22"/>
      <c r="G61" s="22"/>
      <c r="H61" s="22"/>
      <c r="I61" s="11"/>
      <c r="J61" s="22"/>
      <c r="K61" s="22"/>
      <c r="L61" s="22"/>
      <c r="M61" s="22"/>
      <c r="N61" s="22"/>
      <c r="O61" s="22"/>
      <c r="P61" s="11"/>
      <c r="Q61" s="22"/>
      <c r="R61" s="22"/>
      <c r="S61" s="22"/>
      <c r="T61" s="22"/>
      <c r="U61" s="22"/>
      <c r="V61" s="22"/>
      <c r="W61" s="11"/>
      <c r="X61" s="22"/>
      <c r="Y61" s="22"/>
      <c r="Z61" s="22"/>
      <c r="AA61" s="22"/>
      <c r="AB61" s="22"/>
      <c r="AC61" s="22"/>
      <c r="AD61" s="11"/>
      <c r="AE61" s="22"/>
      <c r="AF61" s="22"/>
      <c r="AG61" s="22"/>
      <c r="AH61" s="30">
        <f t="shared" si="7"/>
        <v>0</v>
      </c>
      <c r="AI61" s="29">
        <f t="shared" si="8"/>
        <v>0</v>
      </c>
    </row>
    <row r="62" spans="1:35" ht="15" customHeight="1" x14ac:dyDescent="0.35">
      <c r="A62" s="24"/>
      <c r="B62" s="23" t="s">
        <v>103</v>
      </c>
      <c r="C62" s="11"/>
      <c r="D62" s="22"/>
      <c r="E62" s="22"/>
      <c r="F62" s="22"/>
      <c r="G62" s="22"/>
      <c r="H62" s="22"/>
      <c r="I62" s="11"/>
      <c r="J62" s="22"/>
      <c r="K62" s="22"/>
      <c r="L62" s="22"/>
      <c r="M62" s="22"/>
      <c r="N62" s="22"/>
      <c r="O62" s="22"/>
      <c r="P62" s="11"/>
      <c r="Q62" s="22"/>
      <c r="R62" s="22"/>
      <c r="S62" s="22"/>
      <c r="T62" s="22"/>
      <c r="U62" s="22"/>
      <c r="V62" s="22"/>
      <c r="W62" s="11"/>
      <c r="X62" s="22"/>
      <c r="Y62" s="22"/>
      <c r="Z62" s="22"/>
      <c r="AA62" s="22"/>
      <c r="AB62" s="22"/>
      <c r="AC62" s="22"/>
      <c r="AD62" s="11"/>
      <c r="AE62" s="22"/>
      <c r="AF62" s="22"/>
      <c r="AG62" s="22"/>
      <c r="AH62" s="30">
        <f t="shared" si="7"/>
        <v>0</v>
      </c>
      <c r="AI62" s="29">
        <f t="shared" si="8"/>
        <v>0</v>
      </c>
    </row>
    <row r="63" spans="1:35" ht="15" customHeight="1" x14ac:dyDescent="0.35">
      <c r="A63" s="24"/>
      <c r="B63" s="23" t="s">
        <v>106</v>
      </c>
      <c r="C63" s="11"/>
      <c r="D63" s="22"/>
      <c r="E63" s="22"/>
      <c r="F63" s="22"/>
      <c r="G63" s="22"/>
      <c r="H63" s="22"/>
      <c r="I63" s="11"/>
      <c r="J63" s="22"/>
      <c r="K63" s="22"/>
      <c r="L63" s="22"/>
      <c r="M63" s="22"/>
      <c r="N63" s="22"/>
      <c r="O63" s="22"/>
      <c r="P63" s="11"/>
      <c r="Q63" s="22"/>
      <c r="R63" s="22"/>
      <c r="S63" s="22"/>
      <c r="T63" s="22"/>
      <c r="U63" s="22"/>
      <c r="V63" s="22"/>
      <c r="W63" s="11"/>
      <c r="X63" s="22"/>
      <c r="Y63" s="22"/>
      <c r="Z63" s="22"/>
      <c r="AA63" s="22"/>
      <c r="AB63" s="22"/>
      <c r="AC63" s="22"/>
      <c r="AD63" s="11"/>
      <c r="AE63" s="22"/>
      <c r="AF63" s="22"/>
      <c r="AG63" s="22"/>
      <c r="AH63" s="30">
        <f t="shared" si="7"/>
        <v>0</v>
      </c>
      <c r="AI63" s="29">
        <f t="shared" si="8"/>
        <v>0</v>
      </c>
    </row>
    <row r="64" spans="1:35" ht="15" customHeight="1" x14ac:dyDescent="0.35">
      <c r="A64" s="24"/>
      <c r="B64" s="23" t="s">
        <v>108</v>
      </c>
      <c r="C64" s="11"/>
      <c r="D64" s="22"/>
      <c r="E64" s="22"/>
      <c r="F64" s="22"/>
      <c r="G64" s="22"/>
      <c r="H64" s="22"/>
      <c r="I64" s="11"/>
      <c r="J64" s="22"/>
      <c r="K64" s="22"/>
      <c r="L64" s="22"/>
      <c r="M64" s="22"/>
      <c r="N64" s="22"/>
      <c r="O64" s="22"/>
      <c r="P64" s="11"/>
      <c r="Q64" s="22"/>
      <c r="R64" s="22"/>
      <c r="S64" s="22"/>
      <c r="T64" s="22"/>
      <c r="U64" s="22"/>
      <c r="V64" s="22"/>
      <c r="W64" s="11"/>
      <c r="X64" s="22"/>
      <c r="Y64" s="22"/>
      <c r="Z64" s="22"/>
      <c r="AA64" s="22"/>
      <c r="AB64" s="22"/>
      <c r="AC64" s="22"/>
      <c r="AD64" s="11"/>
      <c r="AE64" s="22"/>
      <c r="AF64" s="22"/>
      <c r="AG64" s="22"/>
      <c r="AH64" s="30">
        <f t="shared" si="7"/>
        <v>0</v>
      </c>
      <c r="AI64" s="29">
        <f t="shared" si="8"/>
        <v>0</v>
      </c>
    </row>
    <row r="65" spans="1:35" ht="15" customHeight="1" x14ac:dyDescent="0.35">
      <c r="A65" s="24"/>
      <c r="B65" s="23" t="s">
        <v>275</v>
      </c>
      <c r="C65" s="11"/>
      <c r="D65" s="22"/>
      <c r="E65" s="22"/>
      <c r="F65" s="22"/>
      <c r="G65" s="22"/>
      <c r="H65" s="22"/>
      <c r="I65" s="11"/>
      <c r="J65" s="22"/>
      <c r="K65" s="22"/>
      <c r="L65" s="22"/>
      <c r="M65" s="22"/>
      <c r="N65" s="22"/>
      <c r="O65" s="22"/>
      <c r="P65" s="11"/>
      <c r="Q65" s="22"/>
      <c r="R65" s="22"/>
      <c r="S65" s="22"/>
      <c r="T65" s="22"/>
      <c r="U65" s="22"/>
      <c r="V65" s="22"/>
      <c r="W65" s="11"/>
      <c r="X65" s="22"/>
      <c r="Y65" s="22"/>
      <c r="Z65" s="22"/>
      <c r="AA65" s="22"/>
      <c r="AB65" s="22"/>
      <c r="AC65" s="22"/>
      <c r="AD65" s="11"/>
      <c r="AE65" s="22"/>
      <c r="AF65" s="22"/>
      <c r="AG65" s="22"/>
      <c r="AH65" s="30">
        <f t="shared" si="7"/>
        <v>0</v>
      </c>
      <c r="AI65" s="29">
        <f t="shared" si="8"/>
        <v>0</v>
      </c>
    </row>
    <row r="66" spans="1:35" ht="15" customHeight="1" x14ac:dyDescent="0.35">
      <c r="A66" s="24"/>
      <c r="B66" s="23" t="s">
        <v>276</v>
      </c>
      <c r="C66" s="11"/>
      <c r="D66" s="22"/>
      <c r="E66" s="22"/>
      <c r="F66" s="22"/>
      <c r="G66" s="22"/>
      <c r="H66" s="22"/>
      <c r="I66" s="11"/>
      <c r="J66" s="22">
        <v>40</v>
      </c>
      <c r="K66" s="22"/>
      <c r="L66" s="22"/>
      <c r="M66" s="22"/>
      <c r="N66" s="22"/>
      <c r="O66" s="22"/>
      <c r="P66" s="11"/>
      <c r="Q66" s="22"/>
      <c r="R66" s="22"/>
      <c r="S66" s="22"/>
      <c r="T66" s="22"/>
      <c r="U66" s="22"/>
      <c r="V66" s="22"/>
      <c r="W66" s="11"/>
      <c r="X66" s="22"/>
      <c r="Y66" s="22"/>
      <c r="Z66" s="22"/>
      <c r="AA66" s="22"/>
      <c r="AB66" s="22"/>
      <c r="AC66" s="22"/>
      <c r="AD66" s="11"/>
      <c r="AE66" s="22"/>
      <c r="AF66" s="22"/>
      <c r="AG66" s="22"/>
      <c r="AH66" s="30">
        <f t="shared" si="7"/>
        <v>40</v>
      </c>
      <c r="AI66" s="29">
        <f t="shared" si="8"/>
        <v>1</v>
      </c>
    </row>
    <row r="67" spans="1:35" ht="15" customHeight="1" x14ac:dyDescent="0.35">
      <c r="A67" s="24"/>
      <c r="B67" s="23" t="s">
        <v>111</v>
      </c>
      <c r="C67" s="11"/>
      <c r="D67" s="22"/>
      <c r="E67" s="22"/>
      <c r="F67" s="22"/>
      <c r="G67" s="22"/>
      <c r="H67" s="22"/>
      <c r="I67" s="11"/>
      <c r="J67" s="22"/>
      <c r="K67" s="22"/>
      <c r="L67" s="22"/>
      <c r="M67" s="22"/>
      <c r="N67" s="22"/>
      <c r="O67" s="22"/>
      <c r="P67" s="11"/>
      <c r="Q67" s="22"/>
      <c r="R67" s="22"/>
      <c r="S67" s="22"/>
      <c r="T67" s="22"/>
      <c r="U67" s="22"/>
      <c r="V67" s="22"/>
      <c r="W67" s="11"/>
      <c r="X67" s="22"/>
      <c r="Y67" s="22"/>
      <c r="Z67" s="22"/>
      <c r="AA67" s="22"/>
      <c r="AB67" s="22"/>
      <c r="AC67" s="22"/>
      <c r="AD67" s="11"/>
      <c r="AE67" s="22"/>
      <c r="AF67" s="22"/>
      <c r="AG67" s="22"/>
      <c r="AH67" s="30">
        <f t="shared" si="7"/>
        <v>0</v>
      </c>
      <c r="AI67" s="29">
        <f t="shared" si="8"/>
        <v>0</v>
      </c>
    </row>
    <row r="68" spans="1:35" ht="15" customHeight="1" x14ac:dyDescent="0.35">
      <c r="A68" s="24"/>
      <c r="B68" s="23" t="s">
        <v>54</v>
      </c>
      <c r="C68" s="11"/>
      <c r="D68" s="22"/>
      <c r="E68" s="22"/>
      <c r="F68" s="22"/>
      <c r="G68" s="22">
        <f>120+70</f>
        <v>190</v>
      </c>
      <c r="H68" s="22"/>
      <c r="I68" s="11"/>
      <c r="J68" s="22"/>
      <c r="K68" s="22"/>
      <c r="L68" s="22"/>
      <c r="M68" s="22"/>
      <c r="N68" s="22"/>
      <c r="O68" s="22"/>
      <c r="P68" s="11"/>
      <c r="Q68" s="22"/>
      <c r="R68" s="22"/>
      <c r="S68" s="22"/>
      <c r="T68" s="22"/>
      <c r="U68" s="22"/>
      <c r="V68" s="22"/>
      <c r="W68" s="11"/>
      <c r="X68" s="22"/>
      <c r="Y68" s="22"/>
      <c r="Z68" s="22"/>
      <c r="AA68" s="22"/>
      <c r="AB68" s="22"/>
      <c r="AC68" s="22"/>
      <c r="AD68" s="11"/>
      <c r="AE68" s="22"/>
      <c r="AF68" s="22"/>
      <c r="AG68" s="22"/>
      <c r="AH68" s="30">
        <f t="shared" si="7"/>
        <v>190</v>
      </c>
      <c r="AI68" s="29">
        <f t="shared" si="8"/>
        <v>1</v>
      </c>
    </row>
    <row r="69" spans="1:35" ht="15" customHeight="1" x14ac:dyDescent="0.35">
      <c r="A69" s="24"/>
      <c r="B69" s="25" t="s">
        <v>277</v>
      </c>
      <c r="C69" s="11"/>
      <c r="D69" s="22"/>
      <c r="E69" s="22"/>
      <c r="F69" s="22"/>
      <c r="G69" s="22"/>
      <c r="H69" s="22"/>
      <c r="I69" s="11"/>
      <c r="J69" s="22"/>
      <c r="K69" s="22"/>
      <c r="L69" s="22"/>
      <c r="M69" s="22"/>
      <c r="N69" s="22"/>
      <c r="O69" s="22"/>
      <c r="P69" s="11"/>
      <c r="Q69" s="22"/>
      <c r="R69" s="22"/>
      <c r="S69" s="22"/>
      <c r="T69" s="22"/>
      <c r="U69" s="22"/>
      <c r="V69" s="22"/>
      <c r="W69" s="11"/>
      <c r="X69" s="22"/>
      <c r="Y69" s="22"/>
      <c r="Z69" s="22"/>
      <c r="AA69" s="22"/>
      <c r="AB69" s="22"/>
      <c r="AC69" s="22"/>
      <c r="AD69" s="11"/>
      <c r="AE69" s="22"/>
      <c r="AF69" s="22"/>
      <c r="AG69" s="22"/>
      <c r="AH69" s="30">
        <f t="shared" si="7"/>
        <v>0</v>
      </c>
      <c r="AI69" s="29">
        <f t="shared" si="8"/>
        <v>0</v>
      </c>
    </row>
    <row r="70" spans="1:35" ht="15" customHeight="1" x14ac:dyDescent="0.35">
      <c r="A70" s="24"/>
      <c r="B70" s="25"/>
      <c r="C70" s="11"/>
      <c r="D70" s="22"/>
      <c r="E70" s="22"/>
      <c r="F70" s="22"/>
      <c r="G70" s="22"/>
      <c r="H70" s="22"/>
      <c r="I70" s="11"/>
      <c r="J70" s="22"/>
      <c r="K70" s="22"/>
      <c r="L70" s="22"/>
      <c r="M70" s="22"/>
      <c r="N70" s="22"/>
      <c r="O70" s="22"/>
      <c r="P70" s="11"/>
      <c r="Q70" s="22"/>
      <c r="R70" s="22"/>
      <c r="S70" s="22"/>
      <c r="T70" s="22"/>
      <c r="U70" s="22"/>
      <c r="V70" s="22"/>
      <c r="W70" s="11"/>
      <c r="X70" s="22"/>
      <c r="Y70" s="22"/>
      <c r="Z70" s="22"/>
      <c r="AA70" s="22"/>
      <c r="AB70" s="22"/>
      <c r="AC70" s="22"/>
      <c r="AD70" s="11"/>
      <c r="AE70" s="22"/>
      <c r="AF70" s="22"/>
      <c r="AG70" s="22"/>
      <c r="AH70" s="30">
        <f t="shared" si="7"/>
        <v>0</v>
      </c>
      <c r="AI70" s="29">
        <f t="shared" si="8"/>
        <v>0</v>
      </c>
    </row>
    <row r="71" spans="1:35" ht="15" customHeight="1" x14ac:dyDescent="0.35">
      <c r="A71" s="24">
        <f>SUM(AH72:AH74)</f>
        <v>0</v>
      </c>
      <c r="B71" s="21" t="s">
        <v>127</v>
      </c>
      <c r="C71" s="11"/>
      <c r="D71" s="22"/>
      <c r="E71" s="22"/>
      <c r="F71" s="22"/>
      <c r="G71" s="22"/>
      <c r="H71" s="22"/>
      <c r="I71" s="11"/>
      <c r="J71" s="22"/>
      <c r="K71" s="22"/>
      <c r="L71" s="22"/>
      <c r="M71" s="22"/>
      <c r="N71" s="22"/>
      <c r="O71" s="22"/>
      <c r="P71" s="11"/>
      <c r="Q71" s="22"/>
      <c r="R71" s="22"/>
      <c r="S71" s="22"/>
      <c r="T71" s="22"/>
      <c r="U71" s="22"/>
      <c r="V71" s="22"/>
      <c r="W71" s="11"/>
      <c r="X71" s="22"/>
      <c r="Y71" s="22"/>
      <c r="Z71" s="22"/>
      <c r="AA71" s="22"/>
      <c r="AB71" s="22"/>
      <c r="AC71" s="22"/>
      <c r="AD71" s="11"/>
      <c r="AE71" s="22"/>
      <c r="AF71" s="22"/>
      <c r="AG71" s="22"/>
      <c r="AH71" s="30">
        <f t="shared" si="7"/>
        <v>0</v>
      </c>
      <c r="AI71" s="29">
        <f t="shared" si="8"/>
        <v>0</v>
      </c>
    </row>
    <row r="72" spans="1:35" ht="15" customHeight="1" x14ac:dyDescent="0.35">
      <c r="A72" s="24"/>
      <c r="B72" s="23" t="s">
        <v>278</v>
      </c>
      <c r="C72" s="11"/>
      <c r="D72" s="22"/>
      <c r="E72" s="22"/>
      <c r="F72" s="22"/>
      <c r="G72" s="22"/>
      <c r="H72" s="22"/>
      <c r="I72" s="11"/>
      <c r="J72" s="22"/>
      <c r="K72" s="22"/>
      <c r="L72" s="22"/>
      <c r="M72" s="22"/>
      <c r="N72" s="22"/>
      <c r="O72" s="22"/>
      <c r="P72" s="11"/>
      <c r="Q72" s="22"/>
      <c r="R72" s="22"/>
      <c r="S72" s="22"/>
      <c r="T72" s="22"/>
      <c r="U72" s="22"/>
      <c r="V72" s="22"/>
      <c r="W72" s="11"/>
      <c r="X72" s="22"/>
      <c r="Y72" s="22"/>
      <c r="Z72" s="22"/>
      <c r="AA72" s="22"/>
      <c r="AB72" s="22"/>
      <c r="AC72" s="22"/>
      <c r="AD72" s="11"/>
      <c r="AE72" s="22"/>
      <c r="AF72" s="22"/>
      <c r="AG72" s="22"/>
      <c r="AH72" s="30">
        <f t="shared" si="7"/>
        <v>0</v>
      </c>
      <c r="AI72" s="29">
        <f t="shared" si="8"/>
        <v>0</v>
      </c>
    </row>
    <row r="73" spans="1:35" ht="15" customHeight="1" x14ac:dyDescent="0.35">
      <c r="A73" s="24"/>
      <c r="B73" s="23"/>
      <c r="C73" s="11"/>
      <c r="D73" s="22"/>
      <c r="E73" s="22"/>
      <c r="F73" s="22"/>
      <c r="G73" s="22"/>
      <c r="H73" s="22"/>
      <c r="I73" s="11"/>
      <c r="J73" s="22"/>
      <c r="K73" s="22"/>
      <c r="L73" s="22"/>
      <c r="M73" s="22"/>
      <c r="N73" s="22"/>
      <c r="O73" s="22"/>
      <c r="P73" s="11"/>
      <c r="Q73" s="22"/>
      <c r="R73" s="22"/>
      <c r="S73" s="22"/>
      <c r="T73" s="22"/>
      <c r="U73" s="22"/>
      <c r="V73" s="22"/>
      <c r="W73" s="11"/>
      <c r="X73" s="22"/>
      <c r="Y73" s="22"/>
      <c r="Z73" s="22"/>
      <c r="AA73" s="22"/>
      <c r="AB73" s="22"/>
      <c r="AC73" s="22"/>
      <c r="AD73" s="11"/>
      <c r="AE73" s="22"/>
      <c r="AF73" s="22"/>
      <c r="AG73" s="22"/>
      <c r="AH73" s="30">
        <f t="shared" si="7"/>
        <v>0</v>
      </c>
      <c r="AI73" s="29">
        <f t="shared" si="8"/>
        <v>0</v>
      </c>
    </row>
    <row r="74" spans="1:35" ht="15" customHeight="1" x14ac:dyDescent="0.35">
      <c r="A74" s="24"/>
      <c r="B74" s="23"/>
      <c r="C74" s="11"/>
      <c r="D74" s="22"/>
      <c r="E74" s="22"/>
      <c r="F74" s="22"/>
      <c r="G74" s="22"/>
      <c r="H74" s="22"/>
      <c r="I74" s="11"/>
      <c r="J74" s="22"/>
      <c r="K74" s="22"/>
      <c r="L74" s="22"/>
      <c r="M74" s="22"/>
      <c r="N74" s="22"/>
      <c r="O74" s="22"/>
      <c r="P74" s="11"/>
      <c r="Q74" s="22"/>
      <c r="R74" s="22"/>
      <c r="S74" s="22"/>
      <c r="T74" s="22"/>
      <c r="U74" s="22"/>
      <c r="V74" s="22"/>
      <c r="W74" s="11"/>
      <c r="X74" s="22"/>
      <c r="Y74" s="22"/>
      <c r="Z74" s="22"/>
      <c r="AA74" s="22"/>
      <c r="AB74" s="22"/>
      <c r="AC74" s="22"/>
      <c r="AD74" s="11"/>
      <c r="AE74" s="22"/>
      <c r="AF74" s="22"/>
      <c r="AG74" s="22"/>
      <c r="AH74" s="30">
        <f t="shared" si="7"/>
        <v>0</v>
      </c>
      <c r="AI74" s="29">
        <f t="shared" si="8"/>
        <v>0</v>
      </c>
    </row>
    <row r="75" spans="1:35" ht="15" customHeight="1" x14ac:dyDescent="0.35">
      <c r="A75" s="24">
        <f>SUM(AH76:AH78)</f>
        <v>25</v>
      </c>
      <c r="B75" s="21" t="s">
        <v>127</v>
      </c>
      <c r="C75" s="11"/>
      <c r="D75" s="22"/>
      <c r="E75" s="22"/>
      <c r="F75" s="22"/>
      <c r="G75" s="22"/>
      <c r="H75" s="22"/>
      <c r="I75" s="11"/>
      <c r="J75" s="22"/>
      <c r="K75" s="22"/>
      <c r="L75" s="22"/>
      <c r="M75" s="22"/>
      <c r="N75" s="22"/>
      <c r="O75" s="22"/>
      <c r="P75" s="11"/>
      <c r="Q75" s="22"/>
      <c r="R75" s="22"/>
      <c r="S75" s="22"/>
      <c r="T75" s="22"/>
      <c r="U75" s="22"/>
      <c r="V75" s="22"/>
      <c r="W75" s="11"/>
      <c r="X75" s="22"/>
      <c r="Y75" s="22"/>
      <c r="Z75" s="22"/>
      <c r="AA75" s="22"/>
      <c r="AB75" s="22"/>
      <c r="AC75" s="22"/>
      <c r="AD75" s="11"/>
      <c r="AE75" s="22"/>
      <c r="AF75" s="22"/>
      <c r="AG75" s="22"/>
      <c r="AH75" s="30">
        <f>SUM(C75:AG75)</f>
        <v>0</v>
      </c>
      <c r="AI75" s="29">
        <f>COUNT(C75:AG75)</f>
        <v>0</v>
      </c>
    </row>
    <row r="76" spans="1:35" ht="15" customHeight="1" x14ac:dyDescent="0.35">
      <c r="A76" s="24"/>
      <c r="B76" s="23" t="s">
        <v>278</v>
      </c>
      <c r="C76" s="11"/>
      <c r="D76" s="22"/>
      <c r="E76" s="22"/>
      <c r="F76" s="22"/>
      <c r="G76" s="22"/>
      <c r="H76" s="22"/>
      <c r="I76" s="11"/>
      <c r="J76" s="22"/>
      <c r="K76" s="22"/>
      <c r="L76" s="22"/>
      <c r="M76" s="22"/>
      <c r="N76" s="22"/>
      <c r="O76" s="22"/>
      <c r="P76" s="11"/>
      <c r="Q76" s="22"/>
      <c r="R76" s="22"/>
      <c r="S76" s="22"/>
      <c r="T76" s="22"/>
      <c r="U76" s="22"/>
      <c r="V76" s="22"/>
      <c r="W76" s="11"/>
      <c r="X76" s="22"/>
      <c r="Y76" s="22"/>
      <c r="Z76" s="22"/>
      <c r="AA76" s="22"/>
      <c r="AB76" s="22"/>
      <c r="AC76" s="22"/>
      <c r="AD76" s="11"/>
      <c r="AE76" s="22"/>
      <c r="AF76" s="22"/>
      <c r="AG76" s="22"/>
      <c r="AH76" s="30">
        <f>SUM(C76:AG76)</f>
        <v>0</v>
      </c>
      <c r="AI76" s="29">
        <f>COUNT(C76:AG76)</f>
        <v>0</v>
      </c>
    </row>
    <row r="77" spans="1:35" ht="15" customHeight="1" x14ac:dyDescent="0.35">
      <c r="A77" s="24"/>
      <c r="B77" s="23" t="s">
        <v>979</v>
      </c>
      <c r="C77" s="11"/>
      <c r="D77" s="22"/>
      <c r="E77" s="22"/>
      <c r="F77" s="22"/>
      <c r="G77" s="22"/>
      <c r="H77" s="22">
        <v>25</v>
      </c>
      <c r="I77" s="11"/>
      <c r="J77" s="22"/>
      <c r="K77" s="22"/>
      <c r="L77" s="22"/>
      <c r="M77" s="22"/>
      <c r="N77" s="22"/>
      <c r="O77" s="22"/>
      <c r="P77" s="11"/>
      <c r="Q77" s="22"/>
      <c r="R77" s="22"/>
      <c r="S77" s="22"/>
      <c r="T77" s="22"/>
      <c r="U77" s="22"/>
      <c r="V77" s="22"/>
      <c r="W77" s="11"/>
      <c r="X77" s="22"/>
      <c r="Y77" s="22"/>
      <c r="Z77" s="22"/>
      <c r="AA77" s="22"/>
      <c r="AB77" s="22"/>
      <c r="AC77" s="22"/>
      <c r="AD77" s="11"/>
      <c r="AE77" s="22"/>
      <c r="AF77" s="22"/>
      <c r="AG77" s="22"/>
      <c r="AH77" s="30">
        <f>SUM(C77:AG77)</f>
        <v>25</v>
      </c>
      <c r="AI77" s="29">
        <f>COUNT(C77:AG77)</f>
        <v>1</v>
      </c>
    </row>
    <row r="78" spans="1:35" ht="15" customHeight="1" x14ac:dyDescent="0.35">
      <c r="A78" s="24">
        <f>SUM(AH79:AH85)</f>
        <v>0</v>
      </c>
      <c r="B78" s="21" t="s">
        <v>133</v>
      </c>
      <c r="C78" s="11"/>
      <c r="D78" s="22"/>
      <c r="E78" s="22"/>
      <c r="F78" s="22"/>
      <c r="G78" s="22"/>
      <c r="H78" s="22"/>
      <c r="I78" s="11"/>
      <c r="J78" s="22"/>
      <c r="K78" s="22"/>
      <c r="L78" s="22"/>
      <c r="M78" s="22"/>
      <c r="N78" s="22"/>
      <c r="O78" s="22"/>
      <c r="P78" s="11"/>
      <c r="Q78" s="22"/>
      <c r="R78" s="22"/>
      <c r="S78" s="22"/>
      <c r="T78" s="22"/>
      <c r="U78" s="22"/>
      <c r="V78" s="22"/>
      <c r="W78" s="11"/>
      <c r="X78" s="22"/>
      <c r="Y78" s="22"/>
      <c r="Z78" s="22"/>
      <c r="AA78" s="22"/>
      <c r="AB78" s="22"/>
      <c r="AC78" s="22"/>
      <c r="AD78" s="11"/>
      <c r="AE78" s="22"/>
      <c r="AF78" s="22"/>
      <c r="AG78" s="22"/>
      <c r="AH78" s="30">
        <f t="shared" si="7"/>
        <v>0</v>
      </c>
      <c r="AI78" s="29">
        <f t="shared" si="8"/>
        <v>0</v>
      </c>
    </row>
    <row r="79" spans="1:35" ht="15" customHeight="1" x14ac:dyDescent="0.35">
      <c r="A79" s="24"/>
      <c r="B79" s="23" t="s">
        <v>135</v>
      </c>
      <c r="C79" s="11"/>
      <c r="D79" s="22"/>
      <c r="E79" s="22"/>
      <c r="F79" s="22"/>
      <c r="G79" s="22"/>
      <c r="H79" s="22"/>
      <c r="I79" s="11"/>
      <c r="J79" s="22"/>
      <c r="K79" s="22"/>
      <c r="L79" s="22"/>
      <c r="M79" s="22"/>
      <c r="N79" s="22"/>
      <c r="O79" s="22"/>
      <c r="P79" s="11"/>
      <c r="Q79" s="22"/>
      <c r="R79" s="22"/>
      <c r="S79" s="22"/>
      <c r="T79" s="22"/>
      <c r="U79" s="22"/>
      <c r="V79" s="22"/>
      <c r="W79" s="11"/>
      <c r="X79" s="22"/>
      <c r="Y79" s="22"/>
      <c r="Z79" s="22"/>
      <c r="AA79" s="22"/>
      <c r="AB79" s="22"/>
      <c r="AC79" s="22"/>
      <c r="AD79" s="11"/>
      <c r="AE79" s="22"/>
      <c r="AF79" s="22"/>
      <c r="AG79" s="22"/>
      <c r="AH79" s="30">
        <f t="shared" si="7"/>
        <v>0</v>
      </c>
      <c r="AI79" s="29">
        <f t="shared" si="8"/>
        <v>0</v>
      </c>
    </row>
    <row r="80" spans="1:35" ht="15" customHeight="1" x14ac:dyDescent="0.35">
      <c r="A80" s="24"/>
      <c r="B80" s="23" t="s">
        <v>137</v>
      </c>
      <c r="C80" s="11"/>
      <c r="D80" s="22"/>
      <c r="E80" s="22"/>
      <c r="F80" s="22"/>
      <c r="G80" s="22"/>
      <c r="H80" s="22"/>
      <c r="I80" s="11"/>
      <c r="J80" s="22"/>
      <c r="K80" s="22"/>
      <c r="L80" s="22"/>
      <c r="M80" s="22"/>
      <c r="N80" s="22"/>
      <c r="O80" s="22"/>
      <c r="P80" s="11"/>
      <c r="Q80" s="22"/>
      <c r="R80" s="22"/>
      <c r="S80" s="22"/>
      <c r="T80" s="22"/>
      <c r="U80" s="22"/>
      <c r="V80" s="22"/>
      <c r="W80" s="11"/>
      <c r="X80" s="22"/>
      <c r="Y80" s="22"/>
      <c r="Z80" s="22"/>
      <c r="AA80" s="22"/>
      <c r="AB80" s="22"/>
      <c r="AC80" s="22"/>
      <c r="AD80" s="11"/>
      <c r="AE80" s="22"/>
      <c r="AF80" s="22"/>
      <c r="AG80" s="22"/>
      <c r="AH80" s="30">
        <f t="shared" si="7"/>
        <v>0</v>
      </c>
      <c r="AI80" s="29">
        <f t="shared" si="8"/>
        <v>0</v>
      </c>
    </row>
    <row r="81" spans="1:35" ht="15" customHeight="1" x14ac:dyDescent="0.35">
      <c r="A81" s="24"/>
      <c r="B81" s="23" t="s">
        <v>139</v>
      </c>
      <c r="C81" s="11"/>
      <c r="D81" s="22"/>
      <c r="E81" s="22"/>
      <c r="F81" s="22"/>
      <c r="G81" s="22"/>
      <c r="H81" s="22"/>
      <c r="I81" s="11"/>
      <c r="J81" s="22"/>
      <c r="K81" s="22"/>
      <c r="L81" s="22"/>
      <c r="M81" s="22"/>
      <c r="N81" s="22"/>
      <c r="O81" s="22"/>
      <c r="P81" s="11"/>
      <c r="Q81" s="22"/>
      <c r="R81" s="22"/>
      <c r="S81" s="22"/>
      <c r="T81" s="22"/>
      <c r="U81" s="22"/>
      <c r="V81" s="22"/>
      <c r="W81" s="11"/>
      <c r="X81" s="22"/>
      <c r="Y81" s="22"/>
      <c r="Z81" s="22"/>
      <c r="AA81" s="22"/>
      <c r="AB81" s="22"/>
      <c r="AC81" s="22"/>
      <c r="AD81" s="11"/>
      <c r="AE81" s="22"/>
      <c r="AF81" s="22"/>
      <c r="AG81" s="22"/>
      <c r="AH81" s="30">
        <f t="shared" si="7"/>
        <v>0</v>
      </c>
      <c r="AI81" s="29">
        <f t="shared" si="8"/>
        <v>0</v>
      </c>
    </row>
    <row r="82" spans="1:35" ht="15.75" customHeight="1" x14ac:dyDescent="0.35">
      <c r="A82" s="24"/>
      <c r="B82" s="23" t="s">
        <v>141</v>
      </c>
      <c r="C82" s="11"/>
      <c r="D82" s="22"/>
      <c r="E82" s="22"/>
      <c r="F82" s="22"/>
      <c r="G82" s="22"/>
      <c r="H82" s="22"/>
      <c r="I82" s="11"/>
      <c r="J82" s="22"/>
      <c r="K82" s="22"/>
      <c r="L82" s="22"/>
      <c r="M82" s="22"/>
      <c r="N82" s="22"/>
      <c r="O82" s="22"/>
      <c r="P82" s="11"/>
      <c r="Q82" s="22"/>
      <c r="R82" s="22"/>
      <c r="S82" s="22"/>
      <c r="T82" s="22"/>
      <c r="U82" s="22"/>
      <c r="V82" s="22"/>
      <c r="W82" s="11"/>
      <c r="X82" s="22"/>
      <c r="Y82" s="22"/>
      <c r="Z82" s="22"/>
      <c r="AA82" s="22"/>
      <c r="AB82" s="22"/>
      <c r="AC82" s="22"/>
      <c r="AD82" s="11"/>
      <c r="AE82" s="22"/>
      <c r="AF82" s="22"/>
      <c r="AG82" s="22"/>
      <c r="AH82" s="30">
        <f t="shared" si="7"/>
        <v>0</v>
      </c>
      <c r="AI82" s="29">
        <f t="shared" si="8"/>
        <v>0</v>
      </c>
    </row>
    <row r="83" spans="1:35" ht="15" customHeight="1" x14ac:dyDescent="0.35">
      <c r="A83" s="24"/>
      <c r="B83" s="23" t="s">
        <v>143</v>
      </c>
      <c r="C83" s="11"/>
      <c r="D83" s="22"/>
      <c r="E83" s="22"/>
      <c r="F83" s="22"/>
      <c r="G83" s="22"/>
      <c r="H83" s="22"/>
      <c r="I83" s="11"/>
      <c r="J83" s="22"/>
      <c r="K83" s="22"/>
      <c r="L83" s="22"/>
      <c r="M83" s="22"/>
      <c r="N83" s="22"/>
      <c r="O83" s="22"/>
      <c r="P83" s="11"/>
      <c r="Q83" s="22"/>
      <c r="R83" s="22"/>
      <c r="S83" s="22"/>
      <c r="T83" s="22"/>
      <c r="U83" s="22"/>
      <c r="V83" s="22"/>
      <c r="W83" s="11"/>
      <c r="X83" s="22"/>
      <c r="Y83" s="22"/>
      <c r="Z83" s="22"/>
      <c r="AA83" s="22"/>
      <c r="AB83" s="22"/>
      <c r="AC83" s="22"/>
      <c r="AD83" s="11"/>
      <c r="AE83" s="22"/>
      <c r="AF83" s="22"/>
      <c r="AG83" s="22"/>
      <c r="AH83" s="30">
        <f t="shared" si="7"/>
        <v>0</v>
      </c>
      <c r="AI83" s="29">
        <f t="shared" si="8"/>
        <v>0</v>
      </c>
    </row>
    <row r="84" spans="1:35" ht="15" customHeight="1" x14ac:dyDescent="0.35">
      <c r="A84" s="24"/>
      <c r="B84" s="23"/>
      <c r="C84" s="11"/>
      <c r="D84" s="22"/>
      <c r="E84" s="22"/>
      <c r="F84" s="22"/>
      <c r="G84" s="22"/>
      <c r="H84" s="22"/>
      <c r="I84" s="11"/>
      <c r="J84" s="22"/>
      <c r="K84" s="22"/>
      <c r="L84" s="22"/>
      <c r="M84" s="22"/>
      <c r="N84" s="22"/>
      <c r="O84" s="22"/>
      <c r="P84" s="11"/>
      <c r="Q84" s="22"/>
      <c r="R84" s="22"/>
      <c r="S84" s="22"/>
      <c r="T84" s="22"/>
      <c r="U84" s="22"/>
      <c r="V84" s="22"/>
      <c r="W84" s="11"/>
      <c r="X84" s="22"/>
      <c r="Y84" s="22"/>
      <c r="Z84" s="22"/>
      <c r="AA84" s="22"/>
      <c r="AB84" s="22"/>
      <c r="AC84" s="22"/>
      <c r="AD84" s="11"/>
      <c r="AE84" s="22"/>
      <c r="AF84" s="22"/>
      <c r="AG84" s="22"/>
      <c r="AH84" s="30">
        <f t="shared" si="7"/>
        <v>0</v>
      </c>
      <c r="AI84" s="29">
        <f t="shared" si="8"/>
        <v>0</v>
      </c>
    </row>
    <row r="85" spans="1:35" ht="15.75" customHeight="1" x14ac:dyDescent="0.35">
      <c r="A85" s="24"/>
      <c r="B85" s="23"/>
      <c r="C85" s="11"/>
      <c r="D85" s="22"/>
      <c r="E85" s="22"/>
      <c r="F85" s="22"/>
      <c r="G85" s="22"/>
      <c r="H85" s="22"/>
      <c r="I85" s="11"/>
      <c r="J85" s="22"/>
      <c r="K85" s="22"/>
      <c r="L85" s="22"/>
      <c r="M85" s="22"/>
      <c r="N85" s="22"/>
      <c r="O85" s="22"/>
      <c r="P85" s="11"/>
      <c r="Q85" s="22"/>
      <c r="R85" s="22"/>
      <c r="S85" s="22"/>
      <c r="T85" s="22"/>
      <c r="U85" s="22"/>
      <c r="V85" s="22"/>
      <c r="W85" s="11"/>
      <c r="X85" s="22"/>
      <c r="Y85" s="22"/>
      <c r="Z85" s="22"/>
      <c r="AA85" s="22"/>
      <c r="AB85" s="22"/>
      <c r="AC85" s="22"/>
      <c r="AD85" s="11"/>
      <c r="AE85" s="22"/>
      <c r="AF85" s="22"/>
      <c r="AG85" s="22"/>
      <c r="AH85" s="30">
        <f t="shared" si="7"/>
        <v>0</v>
      </c>
      <c r="AI85" s="29">
        <f t="shared" si="8"/>
        <v>0</v>
      </c>
    </row>
    <row r="86" spans="1:35" ht="15.75" customHeight="1" x14ac:dyDescent="0.35">
      <c r="A86" s="24">
        <f>SUM(AH87:AH91)</f>
        <v>0</v>
      </c>
      <c r="B86" s="21" t="s">
        <v>145</v>
      </c>
      <c r="C86" s="11"/>
      <c r="D86" s="22"/>
      <c r="E86" s="22"/>
      <c r="F86" s="22"/>
      <c r="G86" s="22"/>
      <c r="H86" s="22"/>
      <c r="I86" s="11"/>
      <c r="J86" s="22"/>
      <c r="K86" s="22"/>
      <c r="L86" s="22"/>
      <c r="M86" s="22"/>
      <c r="N86" s="22"/>
      <c r="O86" s="22"/>
      <c r="P86" s="11"/>
      <c r="Q86" s="22"/>
      <c r="R86" s="22"/>
      <c r="S86" s="22"/>
      <c r="T86" s="22"/>
      <c r="U86" s="22"/>
      <c r="V86" s="22"/>
      <c r="W86" s="11"/>
      <c r="X86" s="22"/>
      <c r="Y86" s="22"/>
      <c r="Z86" s="22"/>
      <c r="AA86" s="22"/>
      <c r="AB86" s="22"/>
      <c r="AC86" s="22"/>
      <c r="AD86" s="11"/>
      <c r="AE86" s="22"/>
      <c r="AF86" s="22"/>
      <c r="AG86" s="22"/>
      <c r="AH86" s="30">
        <f t="shared" si="7"/>
        <v>0</v>
      </c>
      <c r="AI86" s="29">
        <f t="shared" si="8"/>
        <v>0</v>
      </c>
    </row>
    <row r="87" spans="1:35" ht="15" customHeight="1" x14ac:dyDescent="0.35">
      <c r="A87" s="24"/>
      <c r="B87" s="23" t="s">
        <v>147</v>
      </c>
      <c r="C87" s="11"/>
      <c r="D87" s="22"/>
      <c r="E87" s="22"/>
      <c r="F87" s="22"/>
      <c r="G87" s="22"/>
      <c r="H87" s="22"/>
      <c r="I87" s="11"/>
      <c r="J87" s="22"/>
      <c r="K87" s="22"/>
      <c r="L87" s="22"/>
      <c r="M87" s="22"/>
      <c r="N87" s="22"/>
      <c r="O87" s="22"/>
      <c r="P87" s="11"/>
      <c r="Q87" s="22"/>
      <c r="R87" s="22"/>
      <c r="S87" s="22"/>
      <c r="T87" s="22"/>
      <c r="U87" s="22"/>
      <c r="V87" s="22"/>
      <c r="W87" s="11"/>
      <c r="X87" s="22"/>
      <c r="Y87" s="22"/>
      <c r="Z87" s="22"/>
      <c r="AA87" s="22"/>
      <c r="AB87" s="22"/>
      <c r="AC87" s="22"/>
      <c r="AD87" s="11"/>
      <c r="AE87" s="22"/>
      <c r="AF87" s="22"/>
      <c r="AG87" s="22"/>
      <c r="AH87" s="30">
        <f t="shared" si="7"/>
        <v>0</v>
      </c>
      <c r="AI87" s="29">
        <f t="shared" si="8"/>
        <v>0</v>
      </c>
    </row>
    <row r="88" spans="1:35" ht="15" customHeight="1" x14ac:dyDescent="0.35">
      <c r="A88" s="24"/>
      <c r="B88" s="23" t="s">
        <v>137</v>
      </c>
      <c r="C88" s="11"/>
      <c r="D88" s="22"/>
      <c r="E88" s="22"/>
      <c r="F88" s="22"/>
      <c r="G88" s="22"/>
      <c r="H88" s="22"/>
      <c r="I88" s="11"/>
      <c r="J88" s="22"/>
      <c r="K88" s="22"/>
      <c r="L88" s="22"/>
      <c r="M88" s="22"/>
      <c r="N88" s="22"/>
      <c r="O88" s="22"/>
      <c r="P88" s="11"/>
      <c r="Q88" s="22"/>
      <c r="R88" s="22"/>
      <c r="S88" s="22"/>
      <c r="T88" s="22"/>
      <c r="U88" s="22"/>
      <c r="V88" s="22"/>
      <c r="W88" s="11"/>
      <c r="X88" s="22"/>
      <c r="Y88" s="22"/>
      <c r="Z88" s="22"/>
      <c r="AA88" s="22"/>
      <c r="AB88" s="22"/>
      <c r="AC88" s="22"/>
      <c r="AD88" s="11"/>
      <c r="AE88" s="22"/>
      <c r="AF88" s="22"/>
      <c r="AG88" s="22"/>
      <c r="AH88" s="30">
        <f t="shared" si="7"/>
        <v>0</v>
      </c>
      <c r="AI88" s="29">
        <f t="shared" si="8"/>
        <v>0</v>
      </c>
    </row>
    <row r="89" spans="1:35" ht="15" customHeight="1" x14ac:dyDescent="0.35">
      <c r="A89" s="24"/>
      <c r="B89" s="23" t="s">
        <v>150</v>
      </c>
      <c r="C89" s="11"/>
      <c r="D89" s="22"/>
      <c r="E89" s="22"/>
      <c r="F89" s="22"/>
      <c r="G89" s="22"/>
      <c r="H89" s="22"/>
      <c r="I89" s="11"/>
      <c r="J89" s="22"/>
      <c r="K89" s="22"/>
      <c r="L89" s="22"/>
      <c r="M89" s="22"/>
      <c r="N89" s="22"/>
      <c r="O89" s="22"/>
      <c r="P89" s="11"/>
      <c r="Q89" s="22"/>
      <c r="R89" s="22"/>
      <c r="S89" s="22"/>
      <c r="T89" s="22"/>
      <c r="U89" s="22"/>
      <c r="V89" s="22"/>
      <c r="W89" s="11"/>
      <c r="X89" s="22"/>
      <c r="Y89" s="22"/>
      <c r="Z89" s="22"/>
      <c r="AA89" s="22"/>
      <c r="AB89" s="22"/>
      <c r="AC89" s="22"/>
      <c r="AD89" s="11"/>
      <c r="AE89" s="22"/>
      <c r="AF89" s="22"/>
      <c r="AG89" s="22"/>
      <c r="AH89" s="30">
        <f t="shared" si="7"/>
        <v>0</v>
      </c>
      <c r="AI89" s="29">
        <f t="shared" si="8"/>
        <v>0</v>
      </c>
    </row>
    <row r="90" spans="1:35" ht="15" customHeight="1" x14ac:dyDescent="0.35">
      <c r="A90" s="24"/>
      <c r="B90" s="23"/>
      <c r="C90" s="11"/>
      <c r="D90" s="22"/>
      <c r="E90" s="22"/>
      <c r="F90" s="22"/>
      <c r="G90" s="22"/>
      <c r="H90" s="22"/>
      <c r="I90" s="11"/>
      <c r="J90" s="22"/>
      <c r="K90" s="22"/>
      <c r="L90" s="22"/>
      <c r="M90" s="22"/>
      <c r="N90" s="22"/>
      <c r="O90" s="22"/>
      <c r="P90" s="11"/>
      <c r="Q90" s="22"/>
      <c r="R90" s="22"/>
      <c r="S90" s="22"/>
      <c r="T90" s="22"/>
      <c r="U90" s="22"/>
      <c r="V90" s="22"/>
      <c r="W90" s="11"/>
      <c r="X90" s="22"/>
      <c r="Y90" s="22"/>
      <c r="Z90" s="22"/>
      <c r="AA90" s="22"/>
      <c r="AB90" s="22"/>
      <c r="AC90" s="22"/>
      <c r="AD90" s="11"/>
      <c r="AE90" s="22"/>
      <c r="AF90" s="22"/>
      <c r="AG90" s="22"/>
      <c r="AH90" s="30">
        <f t="shared" si="7"/>
        <v>0</v>
      </c>
      <c r="AI90" s="29">
        <f t="shared" si="8"/>
        <v>0</v>
      </c>
    </row>
    <row r="91" spans="1:35" ht="15" customHeight="1" x14ac:dyDescent="0.35">
      <c r="A91" s="24"/>
      <c r="B91" s="23"/>
      <c r="C91" s="11"/>
      <c r="D91" s="22"/>
      <c r="E91" s="22"/>
      <c r="F91" s="22"/>
      <c r="G91" s="22"/>
      <c r="H91" s="22"/>
      <c r="I91" s="11"/>
      <c r="J91" s="22"/>
      <c r="K91" s="22"/>
      <c r="L91" s="22"/>
      <c r="M91" s="22"/>
      <c r="N91" s="22"/>
      <c r="O91" s="22"/>
      <c r="P91" s="11"/>
      <c r="Q91" s="22"/>
      <c r="R91" s="22"/>
      <c r="S91" s="22"/>
      <c r="T91" s="22"/>
      <c r="U91" s="22"/>
      <c r="V91" s="22"/>
      <c r="W91" s="11"/>
      <c r="X91" s="22"/>
      <c r="Y91" s="22"/>
      <c r="Z91" s="22"/>
      <c r="AA91" s="22"/>
      <c r="AB91" s="22"/>
      <c r="AC91" s="22"/>
      <c r="AD91" s="11"/>
      <c r="AE91" s="22"/>
      <c r="AF91" s="22"/>
      <c r="AG91" s="22"/>
      <c r="AH91" s="30">
        <f t="shared" si="7"/>
        <v>0</v>
      </c>
      <c r="AI91" s="29">
        <f t="shared" si="8"/>
        <v>0</v>
      </c>
    </row>
    <row r="92" spans="1:35" ht="15.75" x14ac:dyDescent="0.25">
      <c r="A92" s="31"/>
      <c r="B92" s="32" t="s">
        <v>151</v>
      </c>
      <c r="C92" s="11"/>
      <c r="D92" s="33"/>
      <c r="E92" s="33"/>
      <c r="F92" s="33"/>
      <c r="G92" s="33"/>
      <c r="H92" s="33"/>
      <c r="I92" s="11"/>
      <c r="J92" s="33"/>
      <c r="K92" s="33"/>
      <c r="L92" s="33"/>
      <c r="M92" s="33"/>
      <c r="N92" s="33"/>
      <c r="O92" s="33"/>
      <c r="P92" s="11"/>
      <c r="Q92" s="33"/>
      <c r="R92" s="33"/>
      <c r="S92" s="33"/>
      <c r="T92" s="33"/>
      <c r="U92" s="33"/>
      <c r="V92" s="33"/>
      <c r="W92" s="11"/>
      <c r="X92" s="33"/>
      <c r="Y92" s="33"/>
      <c r="Z92" s="33"/>
      <c r="AA92" s="33"/>
      <c r="AB92" s="33"/>
      <c r="AC92" s="33"/>
      <c r="AD92" s="11"/>
      <c r="AE92" s="33"/>
      <c r="AF92" s="33"/>
      <c r="AG92" s="33"/>
      <c r="AH92" s="49">
        <f t="shared" si="7"/>
        <v>0</v>
      </c>
      <c r="AI92" s="29"/>
    </row>
    <row r="93" spans="1:35" ht="15.75" x14ac:dyDescent="0.25">
      <c r="A93" s="31"/>
      <c r="B93" s="34" t="s">
        <v>152</v>
      </c>
      <c r="C93" s="11"/>
      <c r="D93" s="35"/>
      <c r="E93" s="35"/>
      <c r="F93" s="35"/>
      <c r="G93" s="35"/>
      <c r="H93" s="35"/>
      <c r="I93" s="11"/>
      <c r="J93" s="35"/>
      <c r="K93" s="35"/>
      <c r="L93" s="35"/>
      <c r="M93" s="35"/>
      <c r="N93" s="35"/>
      <c r="O93" s="35"/>
      <c r="P93" s="11"/>
      <c r="Q93" s="35"/>
      <c r="R93" s="35"/>
      <c r="S93" s="35"/>
      <c r="T93" s="35"/>
      <c r="U93" s="35"/>
      <c r="V93" s="35"/>
      <c r="W93" s="11"/>
      <c r="X93" s="35"/>
      <c r="Y93" s="35"/>
      <c r="Z93" s="35"/>
      <c r="AA93" s="35"/>
      <c r="AB93" s="35"/>
      <c r="AC93" s="35"/>
      <c r="AD93" s="11"/>
      <c r="AE93" s="35"/>
      <c r="AF93" s="35"/>
      <c r="AG93" s="35"/>
      <c r="AH93" s="49">
        <f t="shared" si="7"/>
        <v>0</v>
      </c>
      <c r="AI93" s="29"/>
    </row>
    <row r="94" spans="1:35" s="1" customFormat="1" ht="15.75" x14ac:dyDescent="0.25">
      <c r="A94" s="36"/>
      <c r="B94" s="37" t="s">
        <v>980</v>
      </c>
      <c r="C94" s="11"/>
      <c r="D94" s="38"/>
      <c r="E94" s="38"/>
      <c r="F94" s="38"/>
      <c r="G94" s="38">
        <v>6</v>
      </c>
      <c r="H94" s="38">
        <v>6</v>
      </c>
      <c r="I94" s="11"/>
      <c r="J94" s="38">
        <v>6</v>
      </c>
      <c r="K94" s="38">
        <v>6</v>
      </c>
      <c r="L94" s="38"/>
      <c r="M94" s="38"/>
      <c r="N94" s="38"/>
      <c r="O94" s="38"/>
      <c r="P94" s="11"/>
      <c r="Q94" s="38"/>
      <c r="R94" s="38"/>
      <c r="S94" s="38"/>
      <c r="T94" s="38"/>
      <c r="U94" s="38"/>
      <c r="V94" s="38"/>
      <c r="W94" s="11"/>
      <c r="X94" s="38"/>
      <c r="Y94" s="38"/>
      <c r="Z94" s="38"/>
      <c r="AA94" s="38"/>
      <c r="AB94" s="38"/>
      <c r="AC94" s="38"/>
      <c r="AD94" s="11"/>
      <c r="AE94" s="38"/>
      <c r="AF94" s="38"/>
      <c r="AG94" s="38"/>
      <c r="AH94" s="30">
        <f t="shared" si="7"/>
        <v>24</v>
      </c>
      <c r="AI94" s="50"/>
    </row>
    <row r="95" spans="1:35" s="1" customFormat="1" ht="15.75" x14ac:dyDescent="0.25">
      <c r="A95" s="36"/>
      <c r="B95" s="37" t="s">
        <v>154</v>
      </c>
      <c r="C95" s="11"/>
      <c r="D95" s="13"/>
      <c r="E95" s="13"/>
      <c r="F95" s="13"/>
      <c r="G95" s="13"/>
      <c r="H95" s="13"/>
      <c r="I95" s="11"/>
      <c r="J95" s="13"/>
      <c r="K95" s="13"/>
      <c r="L95" s="13"/>
      <c r="M95" s="13"/>
      <c r="N95" s="13"/>
      <c r="O95" s="13"/>
      <c r="P95" s="11"/>
      <c r="Q95" s="13"/>
      <c r="R95" s="13"/>
      <c r="S95" s="13"/>
      <c r="T95" s="13"/>
      <c r="U95" s="13"/>
      <c r="V95" s="13"/>
      <c r="W95" s="11"/>
      <c r="X95" s="13"/>
      <c r="Y95" s="13"/>
      <c r="Z95" s="13"/>
      <c r="AA95" s="13"/>
      <c r="AB95" s="13"/>
      <c r="AC95" s="13"/>
      <c r="AD95" s="11"/>
      <c r="AE95" s="13"/>
      <c r="AF95" s="13"/>
      <c r="AG95" s="13"/>
      <c r="AH95" s="30">
        <f>SUM(C95:AD95)</f>
        <v>0</v>
      </c>
      <c r="AI95" s="50"/>
    </row>
    <row r="96" spans="1:35" s="1" customFormat="1" ht="15.75" x14ac:dyDescent="0.25">
      <c r="A96" s="36"/>
      <c r="B96" s="37" t="s">
        <v>155</v>
      </c>
      <c r="C96" s="11">
        <f t="shared" ref="C96:AD96" si="9">(C94*60)+C95</f>
        <v>0</v>
      </c>
      <c r="D96" s="13">
        <f t="shared" si="9"/>
        <v>0</v>
      </c>
      <c r="E96" s="13">
        <f t="shared" si="9"/>
        <v>0</v>
      </c>
      <c r="F96" s="13">
        <f t="shared" si="9"/>
        <v>0</v>
      </c>
      <c r="G96" s="13">
        <f t="shared" si="9"/>
        <v>360</v>
      </c>
      <c r="H96" s="13">
        <f>(H94*60)+H95</f>
        <v>360</v>
      </c>
      <c r="I96" s="11">
        <f t="shared" si="9"/>
        <v>0</v>
      </c>
      <c r="J96" s="13">
        <f>(J94*60)+J95</f>
        <v>360</v>
      </c>
      <c r="K96" s="13">
        <f>(K94*60)+K95</f>
        <v>360</v>
      </c>
      <c r="L96" s="13">
        <f>(L94*60)+L95</f>
        <v>0</v>
      </c>
      <c r="M96" s="13">
        <f t="shared" si="9"/>
        <v>0</v>
      </c>
      <c r="N96" s="13">
        <f t="shared" si="9"/>
        <v>0</v>
      </c>
      <c r="O96" s="13">
        <f t="shared" si="9"/>
        <v>0</v>
      </c>
      <c r="P96" s="11">
        <f t="shared" si="9"/>
        <v>0</v>
      </c>
      <c r="Q96" s="13">
        <f t="shared" si="9"/>
        <v>0</v>
      </c>
      <c r="R96" s="13">
        <f t="shared" si="9"/>
        <v>0</v>
      </c>
      <c r="S96" s="13">
        <f t="shared" si="9"/>
        <v>0</v>
      </c>
      <c r="T96" s="13">
        <f t="shared" si="9"/>
        <v>0</v>
      </c>
      <c r="U96" s="13">
        <f t="shared" si="9"/>
        <v>0</v>
      </c>
      <c r="V96" s="13">
        <f t="shared" si="9"/>
        <v>0</v>
      </c>
      <c r="W96" s="11">
        <f t="shared" si="9"/>
        <v>0</v>
      </c>
      <c r="X96" s="13">
        <f t="shared" si="9"/>
        <v>0</v>
      </c>
      <c r="Y96" s="13">
        <f t="shared" si="9"/>
        <v>0</v>
      </c>
      <c r="Z96" s="13">
        <f t="shared" si="9"/>
        <v>0</v>
      </c>
      <c r="AA96" s="13">
        <f t="shared" si="9"/>
        <v>0</v>
      </c>
      <c r="AB96" s="13">
        <f t="shared" si="9"/>
        <v>0</v>
      </c>
      <c r="AC96" s="13">
        <f t="shared" si="9"/>
        <v>0</v>
      </c>
      <c r="AD96" s="11">
        <f t="shared" si="9"/>
        <v>0</v>
      </c>
      <c r="AE96" s="13">
        <f>(AE94*60)+AE95</f>
        <v>0</v>
      </c>
      <c r="AF96" s="13"/>
      <c r="AG96" s="13">
        <f>(AG94*60)+AG95</f>
        <v>0</v>
      </c>
      <c r="AH96" s="30">
        <f>SUM(C96:AG96)</f>
        <v>1440</v>
      </c>
      <c r="AI96" s="50">
        <f>AH96-AH97</f>
        <v>1140</v>
      </c>
    </row>
    <row r="97" spans="1:35" s="1" customFormat="1" ht="15.75" x14ac:dyDescent="0.25">
      <c r="A97" s="39"/>
      <c r="B97" s="40" t="s">
        <v>157</v>
      </c>
      <c r="C97" s="11">
        <f>SUM(C98:C100)</f>
        <v>0</v>
      </c>
      <c r="D97" s="41">
        <f>SUM(D98:D100)</f>
        <v>0</v>
      </c>
      <c r="E97" s="41">
        <f t="shared" ref="E97:AG97" si="10">SUM(E98:E100)</f>
        <v>0</v>
      </c>
      <c r="F97" s="41">
        <f t="shared" si="10"/>
        <v>0</v>
      </c>
      <c r="G97" s="41">
        <f t="shared" si="10"/>
        <v>0</v>
      </c>
      <c r="H97" s="41">
        <f>SUM(H98:H100)</f>
        <v>0</v>
      </c>
      <c r="I97" s="11">
        <f t="shared" si="10"/>
        <v>0</v>
      </c>
      <c r="J97" s="41">
        <f>SUM(J98:J100)</f>
        <v>0</v>
      </c>
      <c r="K97" s="41">
        <f>SUM(K98:K100)</f>
        <v>300</v>
      </c>
      <c r="L97" s="41">
        <f t="shared" si="10"/>
        <v>0</v>
      </c>
      <c r="M97" s="41">
        <f t="shared" si="10"/>
        <v>0</v>
      </c>
      <c r="N97" s="41">
        <f t="shared" si="10"/>
        <v>0</v>
      </c>
      <c r="O97" s="41">
        <f t="shared" si="10"/>
        <v>0</v>
      </c>
      <c r="P97" s="11">
        <f t="shared" si="10"/>
        <v>0</v>
      </c>
      <c r="Q97" s="41">
        <f t="shared" si="10"/>
        <v>0</v>
      </c>
      <c r="R97" s="41">
        <f t="shared" si="10"/>
        <v>0</v>
      </c>
      <c r="S97" s="41">
        <f t="shared" si="10"/>
        <v>0</v>
      </c>
      <c r="T97" s="41">
        <f t="shared" si="10"/>
        <v>0</v>
      </c>
      <c r="U97" s="41">
        <f t="shared" si="10"/>
        <v>0</v>
      </c>
      <c r="V97" s="41">
        <f t="shared" si="10"/>
        <v>0</v>
      </c>
      <c r="W97" s="11">
        <f t="shared" si="10"/>
        <v>0</v>
      </c>
      <c r="X97" s="41">
        <f t="shared" si="10"/>
        <v>0</v>
      </c>
      <c r="Y97" s="41">
        <f t="shared" si="10"/>
        <v>0</v>
      </c>
      <c r="Z97" s="41">
        <f t="shared" si="10"/>
        <v>0</v>
      </c>
      <c r="AA97" s="41">
        <f t="shared" si="10"/>
        <v>0</v>
      </c>
      <c r="AB97" s="41">
        <f t="shared" si="10"/>
        <v>0</v>
      </c>
      <c r="AC97" s="41">
        <f t="shared" si="10"/>
        <v>0</v>
      </c>
      <c r="AD97" s="11">
        <f t="shared" si="10"/>
        <v>0</v>
      </c>
      <c r="AE97" s="41">
        <f t="shared" si="10"/>
        <v>0</v>
      </c>
      <c r="AF97" s="41"/>
      <c r="AG97" s="41">
        <f t="shared" si="10"/>
        <v>0</v>
      </c>
      <c r="AH97" s="30">
        <f>SUM(C97:AG97)</f>
        <v>300</v>
      </c>
      <c r="AI97" s="50"/>
    </row>
    <row r="98" spans="1:35" s="1" customFormat="1" ht="15" customHeight="1" x14ac:dyDescent="0.25">
      <c r="A98" s="42"/>
      <c r="B98" s="43" t="s">
        <v>158</v>
      </c>
      <c r="C98" s="11"/>
      <c r="D98" s="38"/>
      <c r="E98" s="38"/>
      <c r="F98" s="38"/>
      <c r="G98" s="38"/>
      <c r="H98" s="38"/>
      <c r="I98" s="11"/>
      <c r="J98" s="38"/>
      <c r="K98" s="38">
        <v>300</v>
      </c>
      <c r="L98" s="38"/>
      <c r="M98" s="38"/>
      <c r="N98" s="38"/>
      <c r="O98" s="38"/>
      <c r="P98" s="11"/>
      <c r="Q98" s="38"/>
      <c r="R98" s="38"/>
      <c r="S98" s="38"/>
      <c r="T98" s="38"/>
      <c r="U98" s="38"/>
      <c r="V98" s="38"/>
      <c r="W98" s="11"/>
      <c r="X98" s="38"/>
      <c r="Y98" s="38"/>
      <c r="Z98" s="38"/>
      <c r="AA98" s="38"/>
      <c r="AB98" s="38"/>
      <c r="AC98" s="38"/>
      <c r="AD98" s="11"/>
      <c r="AE98" s="38"/>
      <c r="AF98" s="38"/>
      <c r="AG98" s="38"/>
      <c r="AH98" s="30">
        <f>SUM(C98:AG98)</f>
        <v>300</v>
      </c>
      <c r="AI98" s="50"/>
    </row>
    <row r="99" spans="1:35" s="1" customFormat="1" ht="15.75" x14ac:dyDescent="0.25">
      <c r="A99" s="42"/>
      <c r="B99" s="43" t="s">
        <v>279</v>
      </c>
      <c r="C99" s="11"/>
      <c r="D99" s="38"/>
      <c r="E99" s="38"/>
      <c r="F99" s="38"/>
      <c r="G99" s="38"/>
      <c r="H99" s="38"/>
      <c r="I99" s="11"/>
      <c r="J99" s="38"/>
      <c r="K99" s="38"/>
      <c r="L99" s="38"/>
      <c r="M99" s="38"/>
      <c r="N99" s="38"/>
      <c r="O99" s="38"/>
      <c r="P99" s="11"/>
      <c r="Q99" s="38"/>
      <c r="R99" s="38"/>
      <c r="S99" s="38"/>
      <c r="T99" s="38"/>
      <c r="U99" s="38"/>
      <c r="V99" s="38"/>
      <c r="W99" s="11"/>
      <c r="X99" s="38"/>
      <c r="Y99" s="38"/>
      <c r="Z99" s="38"/>
      <c r="AA99" s="38"/>
      <c r="AB99" s="38"/>
      <c r="AC99" s="38"/>
      <c r="AD99" s="11"/>
      <c r="AE99" s="38"/>
      <c r="AF99" s="38"/>
      <c r="AG99" s="38"/>
      <c r="AH99" s="30">
        <f>SUM(C99:AG99)</f>
        <v>0</v>
      </c>
      <c r="AI99" s="50"/>
    </row>
    <row r="100" spans="1:35" s="1" customFormat="1" ht="15.75" x14ac:dyDescent="0.25">
      <c r="A100" s="42"/>
      <c r="B100" s="43" t="s">
        <v>161</v>
      </c>
      <c r="C100" s="11"/>
      <c r="D100" s="38"/>
      <c r="E100" s="38"/>
      <c r="F100" s="38"/>
      <c r="G100" s="38"/>
      <c r="H100" s="38"/>
      <c r="I100" s="11"/>
      <c r="J100" s="38"/>
      <c r="K100" s="38"/>
      <c r="L100" s="38"/>
      <c r="M100" s="38"/>
      <c r="N100" s="38"/>
      <c r="O100" s="38"/>
      <c r="P100" s="11"/>
      <c r="Q100" s="38"/>
      <c r="R100" s="38"/>
      <c r="S100" s="38"/>
      <c r="T100" s="38"/>
      <c r="U100" s="38"/>
      <c r="V100" s="38"/>
      <c r="W100" s="11"/>
      <c r="X100" s="38"/>
      <c r="Y100" s="38"/>
      <c r="Z100" s="38"/>
      <c r="AA100" s="38"/>
      <c r="AB100" s="38"/>
      <c r="AC100" s="38"/>
      <c r="AD100" s="11"/>
      <c r="AE100" s="38"/>
      <c r="AF100" s="38"/>
      <c r="AG100" s="38"/>
      <c r="AH100" s="30">
        <f>SUM(C100:AG100)</f>
        <v>0</v>
      </c>
      <c r="AI100" s="50"/>
    </row>
    <row r="101" spans="1:35" ht="15.75" x14ac:dyDescent="0.25">
      <c r="A101" s="44"/>
      <c r="B101" s="45" t="s">
        <v>981</v>
      </c>
      <c r="C101" s="11"/>
      <c r="D101" s="33"/>
      <c r="E101" s="33"/>
      <c r="F101" s="33"/>
      <c r="G101" s="33">
        <v>8</v>
      </c>
      <c r="H101" s="33">
        <v>8</v>
      </c>
      <c r="I101" s="11"/>
      <c r="J101" s="33">
        <v>8</v>
      </c>
      <c r="K101" s="33">
        <v>8</v>
      </c>
      <c r="L101" s="33"/>
      <c r="M101" s="33"/>
      <c r="N101" s="33"/>
      <c r="O101" s="33"/>
      <c r="P101" s="11"/>
      <c r="Q101" s="33"/>
      <c r="R101" s="33"/>
      <c r="S101" s="33"/>
      <c r="T101" s="33"/>
      <c r="U101" s="33"/>
      <c r="V101" s="33"/>
      <c r="W101" s="11"/>
      <c r="X101" s="33"/>
      <c r="Y101" s="33"/>
      <c r="Z101" s="33"/>
      <c r="AA101" s="33"/>
      <c r="AB101" s="33"/>
      <c r="AC101" s="33"/>
      <c r="AD101" s="11"/>
      <c r="AE101" s="33"/>
      <c r="AF101" s="33"/>
      <c r="AG101" s="33"/>
      <c r="AH101" s="30">
        <f t="shared" ref="AH101:AH106" si="11">AVERAGE(C101:AG101)</f>
        <v>8</v>
      </c>
      <c r="AI101" s="29"/>
    </row>
    <row r="102" spans="1:35" ht="15.75" x14ac:dyDescent="0.25">
      <c r="A102" s="44"/>
      <c r="B102" s="45" t="s">
        <v>165</v>
      </c>
      <c r="C102" s="11"/>
      <c r="D102" s="33"/>
      <c r="E102" s="33"/>
      <c r="F102" s="33"/>
      <c r="G102" s="33">
        <f>SUM(G4:G21)/(G96-G97-G31)</f>
        <v>6.1090909090909093</v>
      </c>
      <c r="H102" s="33">
        <f>SUM(H4:H21)/(H96-H97-H31)</f>
        <v>6.6461538461538465</v>
      </c>
      <c r="I102" s="11"/>
      <c r="J102" s="33">
        <f>SUM(J4:J21)/(J96-J97-J31)</f>
        <v>6.8692579505300353</v>
      </c>
      <c r="K102" s="33">
        <f>SUM(K4:K21)/(K96-K97-K31)</f>
        <v>6.4</v>
      </c>
      <c r="L102" s="33"/>
      <c r="M102" s="33"/>
      <c r="N102" s="33"/>
      <c r="O102" s="33"/>
      <c r="P102" s="11"/>
      <c r="Q102" s="33"/>
      <c r="R102" s="33"/>
      <c r="S102" s="33"/>
      <c r="T102" s="33"/>
      <c r="U102" s="33"/>
      <c r="V102" s="33"/>
      <c r="W102" s="11"/>
      <c r="X102" s="33"/>
      <c r="Y102" s="33"/>
      <c r="Z102" s="33"/>
      <c r="AA102" s="33"/>
      <c r="AB102" s="33"/>
      <c r="AC102" s="33"/>
      <c r="AD102" s="11"/>
      <c r="AE102" s="33"/>
      <c r="AF102" s="33"/>
      <c r="AG102" s="33"/>
      <c r="AH102" s="30">
        <f t="shared" si="11"/>
        <v>6.5061256764436983</v>
      </c>
      <c r="AI102" s="29"/>
    </row>
    <row r="103" spans="1:35" ht="15.75" x14ac:dyDescent="0.25">
      <c r="A103" s="46"/>
      <c r="B103" s="47" t="s">
        <v>166</v>
      </c>
      <c r="C103" s="11"/>
      <c r="D103" s="48"/>
      <c r="E103" s="48"/>
      <c r="F103" s="48"/>
      <c r="G103" s="48">
        <f>((G96-G97)-G31)/(G96-G97)</f>
        <v>0.45833333333333331</v>
      </c>
      <c r="H103" s="48">
        <f>((H96-H97)-H31)/(H96-H97)</f>
        <v>0.90277777777777779</v>
      </c>
      <c r="I103" s="11"/>
      <c r="J103" s="48">
        <f>((J96-J97)-J31)/(J96-J97)</f>
        <v>0.78611111111111109</v>
      </c>
      <c r="K103" s="48">
        <f>((K96-K97)-K31)/(K96-K97)</f>
        <v>1</v>
      </c>
      <c r="L103" s="48"/>
      <c r="M103" s="48"/>
      <c r="N103" s="48"/>
      <c r="O103" s="48"/>
      <c r="P103" s="11"/>
      <c r="Q103" s="48"/>
      <c r="R103" s="48"/>
      <c r="S103" s="48"/>
      <c r="T103" s="48"/>
      <c r="U103" s="48"/>
      <c r="V103" s="48"/>
      <c r="W103" s="11"/>
      <c r="X103" s="48"/>
      <c r="Y103" s="48"/>
      <c r="Z103" s="48"/>
      <c r="AA103" s="48"/>
      <c r="AB103" s="48"/>
      <c r="AC103" s="48"/>
      <c r="AD103" s="11"/>
      <c r="AE103" s="48"/>
      <c r="AF103" s="48"/>
      <c r="AG103" s="48"/>
      <c r="AH103" s="51">
        <f t="shared" si="11"/>
        <v>0.78680555555555554</v>
      </c>
      <c r="AI103" s="29"/>
    </row>
    <row r="104" spans="1:35" ht="15.75" x14ac:dyDescent="0.25">
      <c r="A104" s="46"/>
      <c r="B104" s="47" t="s">
        <v>167</v>
      </c>
      <c r="C104" s="11"/>
      <c r="D104" s="48"/>
      <c r="E104" s="48"/>
      <c r="F104" s="48"/>
      <c r="G104" s="48">
        <f>((SUM(G4:G21)/(G96-G97-G31))/G101)</f>
        <v>0.76363636363636367</v>
      </c>
      <c r="H104" s="48">
        <f>((SUM(H4:H21)/(H96-H97-H31))/H101)</f>
        <v>0.83076923076923082</v>
      </c>
      <c r="I104" s="11"/>
      <c r="J104" s="48">
        <f>((SUM(J4:J21)/(J96-J97-J31))/J101)</f>
        <v>0.85865724381625441</v>
      </c>
      <c r="K104" s="48">
        <f>((SUM(K4:K21)/(K96-K97-K31))/K101)</f>
        <v>0.8</v>
      </c>
      <c r="L104" s="48"/>
      <c r="M104" s="48"/>
      <c r="N104" s="48"/>
      <c r="O104" s="48"/>
      <c r="P104" s="11"/>
      <c r="Q104" s="48"/>
      <c r="R104" s="48"/>
      <c r="S104" s="48"/>
      <c r="T104" s="48"/>
      <c r="U104" s="48"/>
      <c r="V104" s="48"/>
      <c r="W104" s="11"/>
      <c r="X104" s="48"/>
      <c r="Y104" s="48"/>
      <c r="Z104" s="48"/>
      <c r="AA104" s="48"/>
      <c r="AB104" s="48"/>
      <c r="AC104" s="48"/>
      <c r="AD104" s="11"/>
      <c r="AE104" s="48"/>
      <c r="AF104" s="48"/>
      <c r="AG104" s="48"/>
      <c r="AH104" s="51">
        <f t="shared" si="11"/>
        <v>0.81326570955546229</v>
      </c>
      <c r="AI104" s="29"/>
    </row>
    <row r="105" spans="1:35" ht="15.75" x14ac:dyDescent="0.25">
      <c r="A105" s="46"/>
      <c r="B105" s="47" t="s">
        <v>168</v>
      </c>
      <c r="C105" s="11"/>
      <c r="D105" s="48"/>
      <c r="E105" s="48"/>
      <c r="F105" s="48"/>
      <c r="G105" s="48">
        <f>SUM(G4:G13)/(SUM(G4:G21))</f>
        <v>1</v>
      </c>
      <c r="H105" s="48">
        <f>SUM(H4:H13)/(SUM(H4:H21))</f>
        <v>1</v>
      </c>
      <c r="I105" s="11"/>
      <c r="J105" s="48">
        <f>SUM(J4:J13)/(SUM(J4:J21))</f>
        <v>1</v>
      </c>
      <c r="K105" s="48">
        <f>SUM(K4:K13)/(SUM(K4:K21))</f>
        <v>1</v>
      </c>
      <c r="L105" s="48"/>
      <c r="M105" s="48"/>
      <c r="N105" s="48"/>
      <c r="O105" s="48"/>
      <c r="P105" s="11"/>
      <c r="Q105" s="48"/>
      <c r="R105" s="48"/>
      <c r="S105" s="48"/>
      <c r="T105" s="48"/>
      <c r="U105" s="48"/>
      <c r="V105" s="48"/>
      <c r="W105" s="11"/>
      <c r="X105" s="48"/>
      <c r="Y105" s="48"/>
      <c r="Z105" s="48"/>
      <c r="AA105" s="48"/>
      <c r="AB105" s="48"/>
      <c r="AC105" s="48"/>
      <c r="AD105" s="11"/>
      <c r="AE105" s="48"/>
      <c r="AF105" s="48"/>
      <c r="AG105" s="48"/>
      <c r="AH105" s="51">
        <f t="shared" si="11"/>
        <v>1</v>
      </c>
      <c r="AI105" s="29"/>
    </row>
    <row r="106" spans="1:35" ht="15.75" x14ac:dyDescent="0.25">
      <c r="A106" s="46"/>
      <c r="B106" s="47" t="s">
        <v>169</v>
      </c>
      <c r="C106" s="11"/>
      <c r="D106" s="48"/>
      <c r="E106" s="48"/>
      <c r="F106" s="48"/>
      <c r="G106" s="48">
        <f>G105*G104*G103</f>
        <v>0.35</v>
      </c>
      <c r="H106" s="48">
        <f>H105*H104*H103</f>
        <v>0.75</v>
      </c>
      <c r="I106" s="11"/>
      <c r="J106" s="48">
        <f>J105*J104*J103</f>
        <v>0.67499999999999993</v>
      </c>
      <c r="K106" s="48">
        <f>K105*K104*K103</f>
        <v>0.8</v>
      </c>
      <c r="L106" s="48"/>
      <c r="M106" s="48"/>
      <c r="N106" s="48"/>
      <c r="O106" s="48"/>
      <c r="P106" s="11"/>
      <c r="Q106" s="48"/>
      <c r="R106" s="48"/>
      <c r="S106" s="48"/>
      <c r="T106" s="48"/>
      <c r="U106" s="48"/>
      <c r="V106" s="48"/>
      <c r="W106" s="11"/>
      <c r="X106" s="48"/>
      <c r="Y106" s="48"/>
      <c r="Z106" s="48"/>
      <c r="AA106" s="48"/>
      <c r="AB106" s="48"/>
      <c r="AC106" s="48"/>
      <c r="AD106" s="11"/>
      <c r="AE106" s="48"/>
      <c r="AF106" s="48"/>
      <c r="AG106" s="48"/>
      <c r="AH106" s="51">
        <f t="shared" si="11"/>
        <v>0.64375000000000004</v>
      </c>
      <c r="AI106" s="29"/>
    </row>
    <row r="108" spans="1:35" ht="17.25" customHeight="1" x14ac:dyDescent="0.25"/>
    <row r="244" spans="4:4" x14ac:dyDescent="0.25">
      <c r="D244" t="s">
        <v>170</v>
      </c>
    </row>
    <row r="245" spans="4:4" x14ac:dyDescent="0.25">
      <c r="D245" t="s">
        <v>171</v>
      </c>
    </row>
    <row r="246" spans="4:4" x14ac:dyDescent="0.25">
      <c r="D246" t="s">
        <v>172</v>
      </c>
    </row>
    <row r="247" spans="4:4" x14ac:dyDescent="0.25">
      <c r="D247" t="s">
        <v>173</v>
      </c>
    </row>
    <row r="248" spans="4:4" x14ac:dyDescent="0.25">
      <c r="D248" t="s">
        <v>174</v>
      </c>
    </row>
    <row r="249" spans="4:4" x14ac:dyDescent="0.25">
      <c r="D249" t="s">
        <v>175</v>
      </c>
    </row>
    <row r="250" spans="4:4" x14ac:dyDescent="0.25">
      <c r="D250" t="s">
        <v>176</v>
      </c>
    </row>
    <row r="251" spans="4:4" x14ac:dyDescent="0.25">
      <c r="D251" t="s">
        <v>177</v>
      </c>
    </row>
    <row r="252" spans="4:4" x14ac:dyDescent="0.25">
      <c r="D252" t="s">
        <v>178</v>
      </c>
    </row>
    <row r="253" spans="4:4" x14ac:dyDescent="0.25">
      <c r="D253" t="s">
        <v>179</v>
      </c>
    </row>
    <row r="254" spans="4:4" x14ac:dyDescent="0.25">
      <c r="D254" t="s">
        <v>180</v>
      </c>
    </row>
    <row r="255" spans="4:4" x14ac:dyDescent="0.25">
      <c r="D255" t="s">
        <v>181</v>
      </c>
    </row>
    <row r="256" spans="4:4" x14ac:dyDescent="0.25">
      <c r="D256" t="s">
        <v>182</v>
      </c>
    </row>
    <row r="257" spans="4:4" x14ac:dyDescent="0.25">
      <c r="D257" t="s">
        <v>183</v>
      </c>
    </row>
    <row r="258" spans="4:4" x14ac:dyDescent="0.25">
      <c r="D258" t="s">
        <v>184</v>
      </c>
    </row>
    <row r="259" spans="4:4" x14ac:dyDescent="0.25">
      <c r="D259" t="s">
        <v>185</v>
      </c>
    </row>
    <row r="260" spans="4:4" x14ac:dyDescent="0.25">
      <c r="D260" t="s">
        <v>186</v>
      </c>
    </row>
    <row r="261" spans="4:4" x14ac:dyDescent="0.25">
      <c r="D261" t="s">
        <v>187</v>
      </c>
    </row>
    <row r="262" spans="4:4" x14ac:dyDescent="0.25">
      <c r="D262" t="s">
        <v>188</v>
      </c>
    </row>
    <row r="263" spans="4:4" x14ac:dyDescent="0.25">
      <c r="D263" t="s">
        <v>189</v>
      </c>
    </row>
    <row r="264" spans="4:4" x14ac:dyDescent="0.25">
      <c r="D264" t="s">
        <v>190</v>
      </c>
    </row>
    <row r="265" spans="4:4" x14ac:dyDescent="0.25">
      <c r="D265" t="s">
        <v>191</v>
      </c>
    </row>
    <row r="266" spans="4:4" x14ac:dyDescent="0.25">
      <c r="D266" t="s">
        <v>192</v>
      </c>
    </row>
    <row r="267" spans="4:4" x14ac:dyDescent="0.25">
      <c r="D267" t="s">
        <v>193</v>
      </c>
    </row>
    <row r="268" spans="4:4" x14ac:dyDescent="0.25">
      <c r="D268" t="s">
        <v>194</v>
      </c>
    </row>
    <row r="269" spans="4:4" x14ac:dyDescent="0.25">
      <c r="D269" t="s">
        <v>195</v>
      </c>
    </row>
    <row r="270" spans="4:4" x14ac:dyDescent="0.25">
      <c r="D270" t="s">
        <v>196</v>
      </c>
    </row>
    <row r="271" spans="4:4" x14ac:dyDescent="0.25">
      <c r="D271" t="s">
        <v>197</v>
      </c>
    </row>
    <row r="272" spans="4:4" x14ac:dyDescent="0.25">
      <c r="D272" t="s">
        <v>198</v>
      </c>
    </row>
    <row r="273" spans="4:4" x14ac:dyDescent="0.25">
      <c r="D273" t="s">
        <v>199</v>
      </c>
    </row>
    <row r="274" spans="4:4" x14ac:dyDescent="0.25">
      <c r="D274" t="s">
        <v>200</v>
      </c>
    </row>
    <row r="275" spans="4:4" x14ac:dyDescent="0.25">
      <c r="D275" t="s">
        <v>201</v>
      </c>
    </row>
    <row r="276" spans="4:4" x14ac:dyDescent="0.25">
      <c r="D276" t="s">
        <v>202</v>
      </c>
    </row>
    <row r="277" spans="4:4" x14ac:dyDescent="0.25">
      <c r="D277" t="s">
        <v>203</v>
      </c>
    </row>
    <row r="278" spans="4:4" x14ac:dyDescent="0.25">
      <c r="D278" t="s">
        <v>204</v>
      </c>
    </row>
    <row r="279" spans="4:4" x14ac:dyDescent="0.25">
      <c r="D279" t="s">
        <v>205</v>
      </c>
    </row>
    <row r="280" spans="4:4" x14ac:dyDescent="0.25">
      <c r="D280" t="s">
        <v>206</v>
      </c>
    </row>
    <row r="281" spans="4:4" x14ac:dyDescent="0.25">
      <c r="D281" t="s">
        <v>207</v>
      </c>
    </row>
    <row r="282" spans="4:4" x14ac:dyDescent="0.25">
      <c r="D282" t="s">
        <v>208</v>
      </c>
    </row>
    <row r="283" spans="4:4" x14ac:dyDescent="0.25">
      <c r="D283" t="s">
        <v>209</v>
      </c>
    </row>
    <row r="284" spans="4:4" x14ac:dyDescent="0.25">
      <c r="D284" t="s">
        <v>210</v>
      </c>
    </row>
    <row r="285" spans="4:4" x14ac:dyDescent="0.25">
      <c r="D285" t="s">
        <v>211</v>
      </c>
    </row>
    <row r="286" spans="4:4" x14ac:dyDescent="0.25">
      <c r="D286" t="s">
        <v>212</v>
      </c>
    </row>
    <row r="287" spans="4:4" x14ac:dyDescent="0.25">
      <c r="D287" t="s">
        <v>213</v>
      </c>
    </row>
    <row r="288" spans="4:4" x14ac:dyDescent="0.25">
      <c r="D288" t="s">
        <v>214</v>
      </c>
    </row>
    <row r="289" spans="4:4" x14ac:dyDescent="0.25">
      <c r="D289" t="s">
        <v>215</v>
      </c>
    </row>
    <row r="290" spans="4:4" x14ac:dyDescent="0.25">
      <c r="D290" t="s">
        <v>216</v>
      </c>
    </row>
    <row r="291" spans="4:4" x14ac:dyDescent="0.25">
      <c r="D291" t="s">
        <v>217</v>
      </c>
    </row>
    <row r="292" spans="4:4" x14ac:dyDescent="0.25">
      <c r="D292" t="s">
        <v>218</v>
      </c>
    </row>
    <row r="293" spans="4:4" x14ac:dyDescent="0.25">
      <c r="D293" t="s">
        <v>219</v>
      </c>
    </row>
    <row r="294" spans="4:4" x14ac:dyDescent="0.25">
      <c r="D294" t="s">
        <v>220</v>
      </c>
    </row>
    <row r="295" spans="4:4" x14ac:dyDescent="0.25">
      <c r="D295" t="s">
        <v>221</v>
      </c>
    </row>
    <row r="296" spans="4:4" x14ac:dyDescent="0.25">
      <c r="D296" t="s">
        <v>222</v>
      </c>
    </row>
    <row r="297" spans="4:4" x14ac:dyDescent="0.25">
      <c r="D297" t="s">
        <v>223</v>
      </c>
    </row>
    <row r="298" spans="4:4" x14ac:dyDescent="0.25">
      <c r="D298" t="s">
        <v>224</v>
      </c>
    </row>
    <row r="299" spans="4:4" x14ac:dyDescent="0.25">
      <c r="D299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Perfume</vt:lpstr>
      <vt:lpstr>Codes</vt:lpstr>
      <vt:lpstr>Week Dashboard</vt:lpstr>
      <vt:lpstr>NORDON</vt:lpstr>
      <vt:lpstr>KALEKS</vt:lpstr>
      <vt:lpstr>Techno</vt:lpstr>
      <vt:lpstr>Cream1</vt:lpstr>
      <vt:lpstr>4 NOZZOLE</vt:lpstr>
      <vt:lpstr>OEE F1 march-2026</vt:lpstr>
      <vt:lpstr>6 Nozzole </vt:lpstr>
      <vt:lpstr>ROLL ON</vt:lpstr>
      <vt:lpstr>perfume-</vt:lpstr>
      <vt:lpstr>DashBoard</vt:lpstr>
      <vt:lpstr>Week-1</vt:lpstr>
      <vt:lpstr>Products</vt:lpstr>
      <vt:lpstr>الاعطال متكررة</vt:lpstr>
      <vt:lpstr>Perfum+Toner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Ali Abobaker</cp:lastModifiedBy>
  <dcterms:created xsi:type="dcterms:W3CDTF">2022-01-02T19:27:00Z</dcterms:created>
  <dcterms:modified xsi:type="dcterms:W3CDTF">2026-05-05T12:14:30Z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2DDA8EA6BC844178A7C57B5C7AA29553_13</vt:lpwstr>
  </property>
  <property fmtid="{D5CDD505-2E9C-101B-9397-08002B2CF9AE}" pid="3" name="KSOProductBuildVer">
    <vt:lpwstr>1033-12.2.0.21179</vt:lpwstr>
  </property>
</Properties>
</file>